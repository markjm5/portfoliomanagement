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drawings/drawing1.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0" yWindow="500" windowWidth="28800" windowHeight="17500" tabRatio="600" firstSheet="0" activeTab="2" autoFilterDateGrouping="1"/>
  </bookViews>
  <sheets>
    <sheet xmlns:r="http://schemas.openxmlformats.org/officeDocument/2006/relationships" name="Notes" sheetId="1" state="visible" r:id="rId1"/>
    <sheet xmlns:r="http://schemas.openxmlformats.org/officeDocument/2006/relationships" name="Data" sheetId="2" state="visible" r:id="rId2"/>
    <sheet xmlns:r="http://schemas.openxmlformats.org/officeDocument/2006/relationships" name="Data Core CPI" sheetId="3" state="visible" r:id="rId3"/>
    <sheet xmlns:r="http://schemas.openxmlformats.org/officeDocument/2006/relationships" name="Recap CPI yoy" sheetId="4" state="visible" r:id="rId4"/>
    <sheet xmlns:r="http://schemas.openxmlformats.org/officeDocument/2006/relationships" name="Recap Core CPI yoy" sheetId="5" state="visible" r:id="rId5"/>
    <sheet xmlns:r="http://schemas.openxmlformats.org/officeDocument/2006/relationships" name="Country" sheetId="6" state="visible" r:id="rId6"/>
  </sheets>
  <definedNames>
    <definedName name="_xlnm._FilterDatabase" localSheetId="0" hidden="1">'Notes'!$O$12:$P$12</definedName>
  </definedNames>
  <calcPr calcId="191029" fullCalcOnLoad="1"/>
</workbook>
</file>

<file path=xl/styles.xml><?xml version="1.0" encoding="utf-8"?>
<styleSheet xmlns="http://schemas.openxmlformats.org/spreadsheetml/2006/main">
  <numFmts count="5">
    <numFmt numFmtId="164" formatCode="0.0"/>
    <numFmt numFmtId="165" formatCode="0.0%"/>
    <numFmt numFmtId="166" formatCode="dd\-mm\-yyyy"/>
    <numFmt numFmtId="167" formatCode="dd-mm-YYYY"/>
    <numFmt numFmtId="168" formatCode="yyyy-mm-dd h:mm:ss"/>
  </numFmts>
  <fonts count="14">
    <font>
      <name val="Calibri"/>
      <family val="2"/>
      <color theme="1"/>
      <sz val="11"/>
      <scheme val="minor"/>
    </font>
    <font>
      <name val="Calibri"/>
      <family val="2"/>
      <color theme="10"/>
      <sz val="11"/>
      <u val="single"/>
      <scheme val="minor"/>
    </font>
    <font>
      <name val="Calibri"/>
      <family val="2"/>
      <sz val="9"/>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color theme="1"/>
      <sz val="11"/>
      <scheme val="minor"/>
    </font>
    <font>
      <name val="Calibri"/>
      <family val="2"/>
      <b val="1"/>
      <color theme="1"/>
      <sz val="11"/>
      <scheme val="minor"/>
    </font>
    <font>
      <name val="Calibri"/>
      <family val="2"/>
      <color rgb="FF00B0F0"/>
      <sz val="11"/>
      <scheme val="minor"/>
    </font>
    <font>
      <name val="Calibri"/>
      <family val="2"/>
      <color rgb="FF00B0F0"/>
      <sz val="9"/>
      <scheme val="minor"/>
    </font>
    <font>
      <name val="Arial"/>
      <family val="2"/>
      <sz val="10"/>
    </font>
    <font>
      <name val="Calibri"/>
      <family val="2"/>
      <color theme="0"/>
      <sz val="11"/>
      <scheme val="minor"/>
    </font>
    <font>
      <name val="Calibri"/>
      <family val="2"/>
      <b val="1"/>
      <color theme="0"/>
      <sz val="11"/>
      <scheme val="minor"/>
    </font>
    <font>
      <name val="Calibri"/>
      <family val="2"/>
      <sz val="11"/>
      <scheme val="minor"/>
    </font>
  </fonts>
  <fills count="12">
    <fill>
      <patternFill/>
    </fill>
    <fill>
      <patternFill patternType="gray125"/>
    </fill>
    <fill>
      <patternFill patternType="solid">
        <fgColor theme="0"/>
        <bgColor indexed="64"/>
      </patternFill>
    </fill>
    <fill>
      <patternFill patternType="solid">
        <fgColor rgb="FFFFFF00"/>
        <bgColor indexed="64"/>
      </patternFill>
    </fill>
    <fill>
      <patternFill patternType="solid">
        <fgColor theme="5" tint="0.5999938962981048"/>
        <bgColor indexed="64"/>
      </patternFill>
    </fill>
    <fill>
      <patternFill patternType="solid">
        <fgColor theme="7" tint="0.3999755851924192"/>
        <bgColor indexed="64"/>
      </patternFill>
    </fill>
    <fill>
      <patternFill patternType="solid">
        <fgColor theme="9" tint="0.5999938962981048"/>
        <bgColor indexed="64"/>
      </patternFill>
    </fill>
    <fill>
      <patternFill patternType="solid">
        <fgColor theme="0" tint="-0.1499984740745262"/>
        <bgColor indexed="64"/>
      </patternFill>
    </fill>
    <fill>
      <patternFill patternType="solid">
        <fgColor theme="0" tint="-0.0499893185216834"/>
        <bgColor indexed="64"/>
      </patternFill>
    </fill>
    <fill>
      <patternFill patternType="solid">
        <fgColor rgb="FF00B050"/>
        <bgColor indexed="64"/>
      </patternFill>
    </fill>
    <fill>
      <patternFill patternType="solid">
        <fgColor rgb="FF00B0F0"/>
        <bgColor indexed="64"/>
      </patternFill>
    </fill>
    <fill>
      <patternFill patternType="solid">
        <fgColor theme="4" tint="0.7999816888943144"/>
        <bgColor indexed="64"/>
      </patternFill>
    </fill>
  </fills>
  <borders count="2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bottom/>
      <diagonal/>
    </border>
    <border>
      <left/>
      <right/>
      <top style="medium">
        <color indexed="64"/>
      </top>
      <bottom/>
      <diagonal/>
    </border>
    <border>
      <left/>
      <right style="medium">
        <color indexed="64"/>
      </right>
      <top style="medium">
        <color indexed="64"/>
      </top>
      <bottom/>
      <diagonal/>
    </border>
    <border>
      <left/>
      <right/>
      <top style="thin">
        <color indexed="64"/>
      </top>
      <bottom/>
      <diagonal/>
    </border>
    <border>
      <left/>
      <right style="thin">
        <color indexed="64"/>
      </right>
      <top style="thin">
        <color indexed="64"/>
      </top>
      <bottom/>
      <diagonal/>
    </border>
  </borders>
  <cellStyleXfs count="4">
    <xf numFmtId="0" fontId="6" fillId="0" borderId="0"/>
    <xf numFmtId="0" fontId="1" fillId="0" borderId="0"/>
    <xf numFmtId="9" fontId="6" fillId="0" borderId="0"/>
    <xf numFmtId="0" fontId="10" fillId="0" borderId="0"/>
  </cellStyleXfs>
  <cellXfs count="93">
    <xf numFmtId="0" fontId="0" fillId="0" borderId="0" pivotButton="0" quotePrefix="0" xfId="0"/>
    <xf numFmtId="10" fontId="0" fillId="0" borderId="0" applyAlignment="1" pivotButton="0" quotePrefix="0" xfId="0">
      <alignment horizontal="center"/>
    </xf>
    <xf numFmtId="2" fontId="0" fillId="0" borderId="0" applyAlignment="1" pivotButton="0" quotePrefix="0" xfId="0">
      <alignment horizontal="center"/>
    </xf>
    <xf numFmtId="0" fontId="3" fillId="0" borderId="1" pivotButton="0" quotePrefix="0" xfId="0"/>
    <xf numFmtId="0" fontId="4" fillId="4" borderId="1" applyAlignment="1" pivotButton="0" quotePrefix="0" xfId="0">
      <alignment horizontal="center" textRotation="90"/>
    </xf>
    <xf numFmtId="0" fontId="4" fillId="5" borderId="1" applyAlignment="1" pivotButton="0" quotePrefix="0" xfId="0">
      <alignment horizontal="center" textRotation="90"/>
    </xf>
    <xf numFmtId="0" fontId="4" fillId="6" borderId="1" applyAlignment="1" pivotButton="0" quotePrefix="0" xfId="0">
      <alignment horizontal="center" textRotation="90"/>
    </xf>
    <xf numFmtId="0" fontId="4" fillId="7" borderId="1" applyAlignment="1" pivotButton="0" quotePrefix="0" xfId="0">
      <alignment horizontal="center" textRotation="90"/>
    </xf>
    <xf numFmtId="0" fontId="4" fillId="8" borderId="1" applyAlignment="1" pivotButton="0" quotePrefix="0" xfId="0">
      <alignment horizontal="center" textRotation="90"/>
    </xf>
    <xf numFmtId="0" fontId="4" fillId="8" borderId="1" applyAlignment="1" pivotButton="0" quotePrefix="0" xfId="0">
      <alignment horizontal="left" textRotation="90"/>
    </xf>
    <xf numFmtId="0" fontId="4" fillId="8" borderId="0" applyAlignment="1" pivotButton="0" quotePrefix="0" xfId="0">
      <alignment horizontal="center" textRotation="90"/>
    </xf>
    <xf numFmtId="2" fontId="5" fillId="8" borderId="1" applyAlignment="1" pivotButton="0" quotePrefix="0" xfId="0">
      <alignment horizontal="center" vertical="center"/>
    </xf>
    <xf numFmtId="2" fontId="5" fillId="8" borderId="0" applyAlignment="1" pivotButton="0" quotePrefix="0" xfId="0">
      <alignment horizontal="center" vertical="center"/>
    </xf>
    <xf numFmtId="0" fontId="5" fillId="8" borderId="1" applyAlignment="1" pivotButton="0" quotePrefix="0" xfId="0">
      <alignment horizontal="center" vertical="center"/>
    </xf>
    <xf numFmtId="0" fontId="5" fillId="8" borderId="0" applyAlignment="1" pivotButton="0" quotePrefix="0" xfId="0">
      <alignment horizontal="center" vertical="center"/>
    </xf>
    <xf numFmtId="17" fontId="2" fillId="8" borderId="1" applyAlignment="1" pivotButton="0" quotePrefix="0" xfId="0">
      <alignment horizontal="left" vertical="top" wrapText="1"/>
    </xf>
    <xf numFmtId="164" fontId="3" fillId="0" borderId="1" applyAlignment="1" pivotButton="0" quotePrefix="0" xfId="0">
      <alignment horizontal="center" vertical="center"/>
    </xf>
    <xf numFmtId="164" fontId="3" fillId="0" borderId="0" applyAlignment="1" pivotButton="0" quotePrefix="0" xfId="0">
      <alignment horizontal="center" vertical="center"/>
    </xf>
    <xf numFmtId="2" fontId="3" fillId="0" borderId="1" applyAlignment="1" pivotButton="0" quotePrefix="0" xfId="0">
      <alignment horizontal="center" vertical="center"/>
    </xf>
    <xf numFmtId="2" fontId="3" fillId="0" borderId="0" applyAlignment="1" pivotButton="0" quotePrefix="0" xfId="0">
      <alignment horizontal="center" vertical="center"/>
    </xf>
    <xf numFmtId="10" fontId="3" fillId="0" borderId="1" applyAlignment="1" pivotButton="0" quotePrefix="0" xfId="2">
      <alignment horizontal="center" vertical="center"/>
    </xf>
    <xf numFmtId="14" fontId="3" fillId="0" borderId="1" pivotButton="0" quotePrefix="0" xfId="0"/>
    <xf numFmtId="165" fontId="5" fillId="8" borderId="1" applyAlignment="1" pivotButton="0" quotePrefix="0" xfId="2">
      <alignment horizontal="center" vertical="center"/>
    </xf>
    <xf numFmtId="165" fontId="5" fillId="8" borderId="1" applyAlignment="1" pivotButton="0" quotePrefix="0" xfId="0">
      <alignment horizontal="center" vertical="center"/>
    </xf>
    <xf numFmtId="165" fontId="5" fillId="8" borderId="1" applyAlignment="1" pivotButton="0" quotePrefix="0" xfId="0">
      <alignment horizontal="left" vertical="center"/>
    </xf>
    <xf numFmtId="165" fontId="3" fillId="0" borderId="1" applyAlignment="1" pivotButton="0" quotePrefix="0" xfId="0">
      <alignment horizontal="center" vertical="center"/>
    </xf>
    <xf numFmtId="0" fontId="0" fillId="8" borderId="0" pivotButton="0" quotePrefix="0" xfId="0"/>
    <xf numFmtId="0" fontId="8" fillId="2" borderId="0" pivotButton="0" quotePrefix="0" xfId="0"/>
    <xf numFmtId="17" fontId="9" fillId="3" borderId="1" applyAlignment="1" pivotButton="0" quotePrefix="0" xfId="0">
      <alignment horizontal="left" vertical="top" wrapText="1"/>
    </xf>
    <xf numFmtId="2" fontId="0" fillId="8" borderId="0" applyAlignment="1" pivotButton="0" quotePrefix="0" xfId="0">
      <alignment horizontal="center"/>
    </xf>
    <xf numFmtId="10" fontId="0" fillId="8" borderId="0" applyAlignment="1" pivotButton="0" quotePrefix="0" xfId="0">
      <alignment horizontal="center"/>
    </xf>
    <xf numFmtId="0" fontId="0" fillId="8" borderId="0" applyAlignment="1" pivotButton="0" quotePrefix="0" xfId="0">
      <alignment horizontal="center"/>
    </xf>
    <xf numFmtId="0" fontId="0" fillId="0" borderId="0" applyAlignment="1" pivotButton="0" quotePrefix="0" xfId="0">
      <alignment horizontal="center"/>
    </xf>
    <xf numFmtId="17" fontId="0" fillId="8" borderId="1" applyAlignment="1" pivotButton="0" quotePrefix="0" xfId="0">
      <alignment horizontal="center"/>
    </xf>
    <xf numFmtId="2" fontId="0" fillId="8" borderId="1" applyAlignment="1" pivotButton="0" quotePrefix="0" xfId="0">
      <alignment horizontal="center"/>
    </xf>
    <xf numFmtId="10" fontId="0" fillId="8" borderId="1" applyAlignment="1" pivotButton="0" quotePrefix="0" xfId="0">
      <alignment horizontal="center"/>
    </xf>
    <xf numFmtId="164" fontId="0" fillId="8" borderId="0" pivotButton="0" quotePrefix="0" xfId="0"/>
    <xf numFmtId="0" fontId="8" fillId="8" borderId="0" pivotButton="0" quotePrefix="0" xfId="0"/>
    <xf numFmtId="17" fontId="0" fillId="8" borderId="2" applyAlignment="1" pivotButton="0" quotePrefix="0" xfId="0">
      <alignment horizontal="center"/>
    </xf>
    <xf numFmtId="2" fontId="0" fillId="8" borderId="2" applyAlignment="1" pivotButton="0" quotePrefix="0" xfId="0">
      <alignment horizontal="center"/>
    </xf>
    <xf numFmtId="10" fontId="0" fillId="8" borderId="2" applyAlignment="1" pivotButton="0" quotePrefix="0" xfId="0">
      <alignment horizontal="center"/>
    </xf>
    <xf numFmtId="0" fontId="0" fillId="9" borderId="3" applyAlignment="1" pivotButton="0" quotePrefix="0" xfId="0">
      <alignment horizontal="center" vertical="center" wrapText="1"/>
    </xf>
    <xf numFmtId="10" fontId="0" fillId="9" borderId="4" applyAlignment="1" pivotButton="0" quotePrefix="0" xfId="0">
      <alignment horizontal="center" vertical="center" wrapText="1"/>
    </xf>
    <xf numFmtId="2" fontId="0" fillId="9" borderId="4" applyAlignment="1" pivotButton="0" quotePrefix="0" xfId="0">
      <alignment horizontal="center" vertical="center" wrapText="1"/>
    </xf>
    <xf numFmtId="0" fontId="0" fillId="9" borderId="4" applyAlignment="1" pivotButton="0" quotePrefix="0" xfId="0">
      <alignment horizontal="center" vertical="center" wrapText="1"/>
    </xf>
    <xf numFmtId="164" fontId="0" fillId="9" borderId="4" applyAlignment="1" pivotButton="0" quotePrefix="0" xfId="0">
      <alignment horizontal="center" vertical="center" wrapText="1"/>
    </xf>
    <xf numFmtId="10" fontId="0" fillId="9" borderId="5" applyAlignment="1" pivotButton="0" quotePrefix="0" xfId="0">
      <alignment horizontal="center" vertical="center" wrapText="1"/>
    </xf>
    <xf numFmtId="164" fontId="11" fillId="10" borderId="4" applyAlignment="1" pivotButton="0" quotePrefix="0" xfId="0">
      <alignment horizontal="center" vertical="center" wrapText="1"/>
    </xf>
    <xf numFmtId="0" fontId="4" fillId="8" borderId="6" applyAlignment="1" pivotButton="0" quotePrefix="0" xfId="0">
      <alignment horizontal="center" textRotation="90"/>
    </xf>
    <xf numFmtId="165" fontId="5" fillId="8" borderId="6" applyAlignment="1" pivotButton="0" quotePrefix="0" xfId="2">
      <alignment horizontal="center" vertical="center"/>
    </xf>
    <xf numFmtId="2" fontId="5" fillId="8" borderId="6" applyAlignment="1" pivotButton="0" quotePrefix="0" xfId="0">
      <alignment horizontal="center" vertical="center"/>
    </xf>
    <xf numFmtId="0" fontId="3" fillId="0" borderId="2" pivotButton="0" quotePrefix="0" xfId="0"/>
    <xf numFmtId="165" fontId="5" fillId="8" borderId="2" applyAlignment="1" pivotButton="0" quotePrefix="0" xfId="0">
      <alignment horizontal="center" vertical="center"/>
    </xf>
    <xf numFmtId="0" fontId="3" fillId="0" borderId="7" pivotButton="0" quotePrefix="0" xfId="0"/>
    <xf numFmtId="0" fontId="4" fillId="4" borderId="8" applyAlignment="1" pivotButton="0" quotePrefix="0" xfId="0">
      <alignment horizontal="center" textRotation="90"/>
    </xf>
    <xf numFmtId="0" fontId="4" fillId="5" borderId="8" applyAlignment="1" pivotButton="0" quotePrefix="0" xfId="0">
      <alignment horizontal="center" textRotation="90"/>
    </xf>
    <xf numFmtId="0" fontId="4" fillId="6" borderId="8" applyAlignment="1" pivotButton="0" quotePrefix="0" xfId="0">
      <alignment horizontal="center" textRotation="90"/>
    </xf>
    <xf numFmtId="0" fontId="4" fillId="7" borderId="8" applyAlignment="1" pivotButton="0" quotePrefix="0" xfId="0">
      <alignment horizontal="center" textRotation="90"/>
    </xf>
    <xf numFmtId="0" fontId="4" fillId="8" borderId="8" applyAlignment="1" pivotButton="0" quotePrefix="0" xfId="0">
      <alignment horizontal="center" textRotation="90"/>
    </xf>
    <xf numFmtId="0" fontId="4" fillId="8" borderId="8" applyAlignment="1" pivotButton="0" quotePrefix="0" xfId="0">
      <alignment horizontal="left" textRotation="90"/>
    </xf>
    <xf numFmtId="0" fontId="4" fillId="8" borderId="9" applyAlignment="1" pivotButton="0" quotePrefix="0" xfId="0">
      <alignment horizontal="center" textRotation="90"/>
    </xf>
    <xf numFmtId="0" fontId="3" fillId="0" borderId="10" pivotButton="0" quotePrefix="0" xfId="0"/>
    <xf numFmtId="165" fontId="5" fillId="8" borderId="11" applyAlignment="1" pivotButton="0" quotePrefix="0" xfId="2">
      <alignment horizontal="center" vertical="center"/>
    </xf>
    <xf numFmtId="0" fontId="3" fillId="0" borderId="12" pivotButton="0" quotePrefix="0" xfId="0"/>
    <xf numFmtId="165" fontId="5" fillId="8" borderId="13" applyAlignment="1" pivotButton="0" quotePrefix="0" xfId="0">
      <alignment horizontal="center" vertical="center"/>
    </xf>
    <xf numFmtId="165" fontId="5" fillId="8" borderId="14" applyAlignment="1" pivotButton="0" quotePrefix="0" xfId="0">
      <alignment horizontal="center" vertical="center"/>
    </xf>
    <xf numFmtId="0" fontId="0" fillId="2" borderId="0" applyAlignment="1" pivotButton="0" quotePrefix="0" xfId="0">
      <alignment vertical="center"/>
    </xf>
    <xf numFmtId="0" fontId="7" fillId="2" borderId="0" pivotButton="0" quotePrefix="0" xfId="0"/>
    <xf numFmtId="0" fontId="0" fillId="0" borderId="0" applyAlignment="1" pivotButton="0" quotePrefix="0" xfId="0">
      <alignment vertical="center"/>
    </xf>
    <xf numFmtId="0" fontId="10" fillId="0" borderId="1" applyAlignment="1" pivotButton="0" quotePrefix="0" xfId="3">
      <alignment horizontal="center"/>
    </xf>
    <xf numFmtId="0" fontId="0" fillId="0" borderId="0" pivotButton="0" quotePrefix="0" xfId="0"/>
    <xf numFmtId="0" fontId="4" fillId="8" borderId="20" applyAlignment="1" pivotButton="0" quotePrefix="0" xfId="0">
      <alignment horizontal="center" textRotation="90"/>
    </xf>
    <xf numFmtId="2" fontId="5" fillId="8" borderId="20" applyAlignment="1" pivotButton="0" quotePrefix="0" xfId="0">
      <alignment horizontal="center" vertical="center"/>
    </xf>
    <xf numFmtId="0" fontId="0" fillId="2" borderId="0" pivotButton="0" quotePrefix="0" xfId="0"/>
    <xf numFmtId="0" fontId="7" fillId="11" borderId="1" applyAlignment="1" pivotButton="0" quotePrefix="0" xfId="0">
      <alignment horizontal="center"/>
    </xf>
    <xf numFmtId="0" fontId="1" fillId="2" borderId="0" pivotButton="0" quotePrefix="0" xfId="1"/>
    <xf numFmtId="166" fontId="0" fillId="0" borderId="0" pivotButton="0" quotePrefix="0" xfId="0"/>
    <xf numFmtId="164" fontId="0" fillId="2" borderId="0" applyAlignment="1" pivotButton="0" quotePrefix="0" xfId="0">
      <alignment horizontal="left" vertical="center" wrapText="1"/>
    </xf>
    <xf numFmtId="0" fontId="0" fillId="2" borderId="0" pivotButton="0" quotePrefix="0" xfId="0"/>
    <xf numFmtId="0" fontId="7" fillId="2" borderId="15" applyAlignment="1" pivotButton="0" quotePrefix="0" xfId="0">
      <alignment horizontal="center" vertical="center"/>
    </xf>
    <xf numFmtId="0" fontId="0" fillId="0" borderId="15" pivotButton="0" quotePrefix="0" xfId="0"/>
    <xf numFmtId="0" fontId="12" fillId="9" borderId="19" applyAlignment="1" pivotButton="0" quotePrefix="0" xfId="0">
      <alignment horizontal="center"/>
    </xf>
    <xf numFmtId="0" fontId="0" fillId="0" borderId="16" pivotButton="0" quotePrefix="0" xfId="0"/>
    <xf numFmtId="0" fontId="0" fillId="0" borderId="17" pivotButton="0" quotePrefix="0" xfId="0"/>
    <xf numFmtId="0" fontId="7" fillId="11" borderId="1" applyAlignment="1" pivotButton="0" quotePrefix="0" xfId="0">
      <alignment horizontal="center"/>
    </xf>
    <xf numFmtId="0" fontId="0" fillId="0" borderId="18" pivotButton="0" quotePrefix="0" xfId="0"/>
    <xf numFmtId="0" fontId="0" fillId="0" borderId="6" pivotButton="0" quotePrefix="0" xfId="0"/>
    <xf numFmtId="0" fontId="0" fillId="2" borderId="0" applyAlignment="1" pivotButton="0" quotePrefix="0" xfId="0">
      <alignment vertical="center" wrapText="1"/>
    </xf>
    <xf numFmtId="0" fontId="1" fillId="2" borderId="0" pivotButton="0" quotePrefix="0" xfId="1"/>
    <xf numFmtId="0" fontId="0" fillId="2" borderId="0" applyAlignment="1" pivotButton="0" quotePrefix="0" xfId="0">
      <alignment wrapText="1"/>
    </xf>
    <xf numFmtId="164" fontId="13" fillId="2" borderId="0" applyAlignment="1" pivotButton="0" quotePrefix="0" xfId="0">
      <alignment horizontal="left" vertical="center" wrapText="1"/>
    </xf>
    <xf numFmtId="167" fontId="0" fillId="0" borderId="0" pivotButton="0" quotePrefix="0" xfId="0"/>
    <xf numFmtId="167" fontId="0" fillId="0" borderId="0" pivotButton="0" quotePrefix="0" xfId="0"/>
  </cellXfs>
  <cellStyles count="4">
    <cellStyle name="Normal" xfId="0" builtinId="0"/>
    <cellStyle name="Hyperlink" xfId="1" builtinId="8"/>
    <cellStyle name="Per cent" xfId="2" builtinId="5"/>
    <cellStyle name="Normal 2" xfId="3"/>
  </cellStyles>
  <dxfs count="12">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2" formatCode="mmm\-yy"/>
      <fill>
        <patternFill patternType="solid">
          <fgColor indexed="64"/>
          <bgColor theme="0" tint="-0.0499893185216834"/>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tint="-0.0499893185216834"/>
        </patternFill>
      </fill>
      <alignment horizontal="center"/>
    </dxf>
    <dxf>
      <border>
        <bottom style="medium">
          <color indexed="64"/>
        </bottom>
      </border>
    </dxf>
    <dxf>
      <font>
        <name val="Calibri"/>
        <family val="2"/>
        <strike val="0"/>
        <outline val="0"/>
        <shadow val="0"/>
        <condense val="0"/>
        <color theme="1"/>
        <extend val="0"/>
        <sz val="11"/>
        <vertAlign val="baseline"/>
        <scheme val="minor"/>
      </font>
      <fill>
        <patternFill>
          <fgColor indexed="64"/>
          <bgColor rgb="FF00B050"/>
        </patternFill>
      </fill>
      <alignment horizontal="center" vertical="center" wrapText="1"/>
      <border outline="0">
        <left style="thin">
          <color indexed="64"/>
        </left>
        <right style="thin">
          <color indexed="64"/>
        </right>
        <top/>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styles" Target="styles.xml" Id="rId7"/><Relationship Type="http://schemas.openxmlformats.org/officeDocument/2006/relationships/theme" Target="theme/theme1.xml" Id="rId8"/><Relationship Type="http://schemas.microsoft.com/office/2006/relationships/vbaProject" Target="vbaProject.bin" Id="rId9"/></Relationships>
</file>

<file path=xl/charts/chart1.xml><?xml version="1.0" encoding="utf-8"?>
<chartSpace xmlns="http://schemas.openxmlformats.org/drawingml/2006/chart">
  <chart>
    <title>
      <tx>
        <strRef>
          <f>Table143454[[#Headers],[CPI YoY]]</f>
          <strCache>
            <ptCount val="1"/>
            <pt idx="0">
              <v>CPI YoY</v>
            </pt>
          </strCache>
        </strRef>
      </tx>
      <overlay val="0"/>
    </title>
    <plotArea>
      <layout/>
      <barChart>
        <barDir val="col"/>
        <grouping val="clustered"/>
        <varyColors val="0"/>
        <ser>
          <idx val="3"/>
          <order val="0"/>
          <tx>
            <strRef>
              <f>Country!$M$2</f>
              <strCache>
                <ptCount val="1"/>
                <pt idx="0">
                  <v>United States CPI yoy %</v>
                </pt>
              </strCache>
            </strRef>
          </tx>
          <spPr>
            <a:noFill xmlns:a="http://schemas.openxmlformats.org/drawingml/2006/main"/>
            <a:ln xmlns:a="http://schemas.openxmlformats.org/drawingml/2006/main">
              <a:solidFill>
                <a:schemeClr val="tx1"/>
              </a:solidFill>
              <a:prstDash val="solid"/>
            </a:ln>
          </spPr>
          <invertIfNegative val="1"/>
          <cat>
            <numRef>
              <f>Country!$A$707:$A$950</f>
              <numCache>
                <formatCode>mmm\-yy</formatCode>
                <ptCount val="244"/>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numCache>
            </numRef>
          </cat>
          <val>
            <numRef>
              <f>Country!$E$707:$E$950</f>
              <numCache>
                <formatCode>0.00%</formatCode>
                <ptCount val="244"/>
                <pt idx="0">
                  <v>0.0818520288622574</v>
                </pt>
                <pt idx="1">
                  <v>0.1012784348062929</v>
                </pt>
                <pt idx="2">
                  <v>0.09560827764102728</v>
                </pt>
                <pt idx="3">
                  <v>0.1019424871330638</v>
                </pt>
                <pt idx="4">
                  <v>0.09099828054460495</v>
                </pt>
                <pt idx="5">
                  <v>0.08367527441020634</v>
                </pt>
                <pt idx="6">
                  <v>0.07577251491585875</v>
                </pt>
                <pt idx="7">
                  <v>0.08334874650610381</v>
                </pt>
                <pt idx="8">
                  <v>0.09235659120515592</v>
                </pt>
                <pt idx="9">
                  <v>0.08619250381998844</v>
                </pt>
                <pt idx="10">
                  <v>0.07287796281119119</v>
                </pt>
                <pt idx="11">
                  <v>0.06401035936367919</v>
                </pt>
                <pt idx="12">
                  <v>0.04900321408629073</v>
                </pt>
                <pt idx="13">
                  <v>0.04156536944740598</v>
                </pt>
                <pt idx="14">
                  <v>0.03986032104095507</v>
                </pt>
                <pt idx="15">
                  <v>0.0426462243245068</v>
                </pt>
                <pt idx="16">
                  <v>0.07172541684230242</v>
                </pt>
                <pt idx="17">
                  <v>0.06235861491372117</v>
                </pt>
                <pt idx="18">
                  <v>0.06311365551668413</v>
                </pt>
                <pt idx="19">
                  <v>0.06653475870919526</v>
                </pt>
                <pt idx="20">
                  <v>0.06154023242080821</v>
                </pt>
                <pt idx="21">
                  <v>0.07655596818219422</v>
                </pt>
                <pt idx="22">
                  <v>0.09484651699695763</v>
                </pt>
                <pt idx="23">
                  <v>0.1044817611275958</v>
                </pt>
                <pt idx="24">
                  <v>0.1061337374827146</v>
                </pt>
                <pt idx="25">
                  <v>0.104333024007027</v>
                </pt>
                <pt idx="26">
                  <v>0.1042773188891827</v>
                </pt>
                <pt idx="27">
                  <v>0.1113794513280251</v>
                </pt>
                <pt idx="28">
                  <v>0.08280487290250667</v>
                </pt>
                <pt idx="29">
                  <v>0.08868577752789487</v>
                </pt>
                <pt idx="30">
                  <v>0.0906517448801889</v>
                </pt>
                <pt idx="31">
                  <v>0.08883231624110113</v>
                </pt>
                <pt idx="32">
                  <v>0.09185110204735163</v>
                </pt>
                <pt idx="33">
                  <v>0.07798900209386594</v>
                </pt>
                <pt idx="34">
                  <v>0.06369561478619622</v>
                </pt>
                <pt idx="35">
                  <v>0.06163791906698502</v>
                </pt>
                <pt idx="36">
                  <v>0.0730764278568684</v>
                </pt>
                <pt idx="37">
                  <v>0.07025416660840116</v>
                </pt>
                <pt idx="38">
                  <v>0.07290643100394083</v>
                </pt>
                <pt idx="39">
                  <v>0.0613378450218387</v>
                </pt>
                <pt idx="40">
                  <v>0.06514687970876434</v>
                </pt>
                <pt idx="41">
                  <v>0.08297511805291756</v>
                </pt>
                <pt idx="42">
                  <v>0.08884445106603998</v>
                </pt>
                <pt idx="43">
                  <v>0.08168235698839194</v>
                </pt>
                <pt idx="44">
                  <v>0.07882448848811842</v>
                </pt>
                <pt idx="45">
                  <v>0.07711934021585373</v>
                </pt>
                <pt idx="46">
                  <v>0.07315688745076322</v>
                </pt>
                <pt idx="47">
                  <v>0.07400465516326925</v>
                </pt>
                <pt idx="48">
                  <v>0.07751232079970771</v>
                </pt>
                <pt idx="49">
                  <v>0.07889039871576276</v>
                </pt>
                <pt idx="50">
                  <v>0.08385506696878312</v>
                </pt>
                <pt idx="51">
                  <v>0.09383384151854823</v>
                </pt>
                <pt idx="52">
                  <v>0.09656019984774836</v>
                </pt>
                <pt idx="53">
                  <v>0.09163485100941873</v>
                </pt>
                <pt idx="54">
                  <v>0.09319357056594052</v>
                </pt>
                <pt idx="55">
                  <v>0.09536020091582938</v>
                </pt>
                <pt idx="56">
                  <v>0.08856235430760699</v>
                </pt>
                <pt idx="57">
                  <v>0.08962882243340249</v>
                </pt>
                <pt idx="58">
                  <v>0.09150733612642589</v>
                </pt>
                <pt idx="59">
                  <v>0.08169950444357679</v>
                </pt>
                <pt idx="60">
                  <v>0.07240723563549471</v>
                </pt>
                <pt idx="61">
                  <v>0.07546687868409356</v>
                </pt>
                <pt idx="62">
                  <v>0.07610250643030103</v>
                </pt>
                <pt idx="63">
                  <v>0.07912810208315149</v>
                </pt>
                <pt idx="64">
                  <v>0.08092993382143154</v>
                </pt>
                <pt idx="65">
                  <v>0.07204512112836398</v>
                </pt>
                <pt idx="66">
                  <v>0.06814163256068358</v>
                </pt>
                <pt idx="67">
                  <v>0.07140478872594054</v>
                </pt>
                <pt idx="68">
                  <v>0.0794701915952945</v>
                </pt>
                <pt idx="69">
                  <v>0.07581410910870313</v>
                </pt>
                <pt idx="70">
                  <v>0.08102243322417853</v>
                </pt>
                <pt idx="71">
                  <v>0.08808334848994397</v>
                </pt>
                <pt idx="72">
                  <v>0.09578780378911109</v>
                </pt>
                <pt idx="73">
                  <v>0.08777398280267096</v>
                </pt>
                <pt idx="74">
                  <v>0.07459889993374855</v>
                </pt>
                <pt idx="75">
                  <v>0.06565387554246263</v>
                </pt>
                <pt idx="76">
                  <v>0.06582305795006492</v>
                </pt>
                <pt idx="77">
                  <v>0.07637447526023863</v>
                </pt>
                <pt idx="78">
                  <v>0.08793384307293262</v>
                </pt>
                <pt idx="79">
                  <v>0.0804508227845572</v>
                </pt>
                <pt idx="80">
                  <v>0.07282136101179583</v>
                </pt>
                <pt idx="81">
                  <v>0.07159457179498432</v>
                </pt>
                <pt idx="82">
                  <v>0.07000472769265347</v>
                </pt>
                <pt idx="83">
                  <v>0.08533061346816649</v>
                </pt>
                <pt idx="84">
                  <v>0.09218748368020707</v>
                </pt>
                <pt idx="85">
                  <v>0.101282220527495</v>
                </pt>
                <pt idx="86">
                  <v>0.1129179983962239</v>
                </pt>
                <pt idx="87">
                  <v>0.1186961887011944</v>
                </pt>
                <pt idx="88">
                  <v>0.1172220259122865</v>
                </pt>
                <pt idx="89">
                  <v>0.1090113757003696</v>
                </pt>
                <pt idx="90">
                  <v>0.09788400285501921</v>
                </pt>
                <pt idx="91">
                  <v>0.1067930995256456</v>
                </pt>
                <pt idx="92">
                  <v>0.1119849485375506</v>
                </pt>
                <pt idx="93">
                  <v>0.1189883117627733</v>
                </pt>
                <pt idx="94">
                  <v>0.1298434732850692</v>
                </pt>
                <pt idx="95">
                  <v>0.1191970982373502</v>
                </pt>
                <pt idx="96">
                  <v>0.1034567896941382</v>
                </pt>
                <pt idx="97">
                  <v>0.1025911901088582</v>
                </pt>
                <pt idx="98">
                  <v>0.1023456414914578</v>
                </pt>
                <pt idx="99">
                  <v>0.108495494979253</v>
                </pt>
                <pt idx="100">
                  <v>0.1214701352045182</v>
                </pt>
                <pt idx="101">
                  <v>0.1538509421788764</v>
                </pt>
                <pt idx="102">
                  <v>0.1584903473346816</v>
                </pt>
                <pt idx="103">
                  <v>0.1789643445054441</v>
                </pt>
                <pt idx="104">
                  <v>0.245188751379179</v>
                </pt>
                <pt idx="105">
                  <v>0.2524031325510903</v>
                </pt>
                <pt idx="106">
                  <v>0.2161873890622934</v>
                </pt>
                <pt idx="107">
                  <v>0.203017727837815</v>
                </pt>
                <pt idx="108">
                  <v>0.2035367064273671</v>
                </pt>
                <pt idx="109">
                  <v>0.1967164263155177</v>
                </pt>
                <pt idx="110">
                  <v>0.1971294437629334</v>
                </pt>
                <pt idx="111">
                  <v>0.1950229013436723</v>
                </pt>
                <pt idx="112">
                  <v>0.1871164703338892</v>
                </pt>
                <pt idx="113">
                  <v>0.1572010442646006</v>
                </pt>
                <pt idx="114">
                  <v>0.1664674027709403</v>
                </pt>
                <pt idx="115">
                  <v>0.1500848393439091</v>
                </pt>
                <pt idx="116">
                  <v>0.09262089160559406</v>
                </pt>
                <pt idx="117">
                  <v>0.08552868695697914</v>
                </pt>
                <pt idx="118">
                  <v>0.1056183787958057</v>
                </pt>
                <pt idx="119">
                  <v>0.1183608310034522</v>
                </pt>
                <pt idx="120">
                  <v>0.1215363174022536</v>
                </pt>
                <pt idx="121">
                  <v>0.1236738239163641</v>
                </pt>
                <pt idx="122">
                  <v>0.1185917112986166</v>
                </pt>
                <pt idx="123">
                  <v>0.1093670779782984</v>
                </pt>
                <pt idx="124">
                  <v>0.1139000725317618</v>
                </pt>
                <pt idx="125">
                  <v>0.1262240024494223</v>
                </pt>
                <pt idx="126">
                  <v>0.1176411356739817</v>
                </pt>
                <pt idx="127">
                  <v>0.1177038647107799</v>
                </pt>
                <pt idx="128">
                  <v>0.117483557830427</v>
                </pt>
                <pt idx="129">
                  <v>0.1188961374982426</v>
                </pt>
                <pt idx="130">
                  <v>0.1402629987097389</v>
                </pt>
                <pt idx="131">
                  <v>0.145993290452649</v>
                </pt>
                <pt idx="132">
                  <v>0.149737342843468</v>
                </pt>
                <pt idx="133">
                  <v>0.1561096618652521</v>
                </pt>
                <pt idx="134">
                  <v>0.1619030379229996</v>
                </pt>
                <pt idx="135">
                  <v>0.1714013088026497</v>
                </pt>
                <pt idx="136">
                  <v>0.1659287704835492</v>
                </pt>
                <pt idx="137">
                  <v>0.1752532626267711</v>
                </pt>
                <pt idx="138">
                  <v>0.1895169811824429</v>
                </pt>
                <pt idx="139">
                  <v>0.1925266727317839</v>
                </pt>
                <pt idx="140">
                  <v>0.195825595218268</v>
                </pt>
                <pt idx="141">
                  <v>0.1989001940833972</v>
                </pt>
                <pt idx="142">
                  <v>0.2131254213901564</v>
                </pt>
                <pt idx="143">
                  <v>0.3608091603526294</v>
                </pt>
                <pt idx="144">
                  <v>0.4869080550858237</v>
                </pt>
                <pt idx="145">
                  <v>0.544385369490693</v>
                </pt>
                <pt idx="146">
                  <v>0.6114450709959945</v>
                </pt>
                <pt idx="147">
                  <v>0.6997108853194752</v>
                </pt>
                <pt idx="148">
                  <v>0.734959290420876</v>
                </pt>
                <pt idx="149">
                  <v>0.7861839678433483</v>
                </pt>
                <pt idx="150">
                  <v>0.7960203470975463</v>
                </pt>
              </numCache>
            </numRef>
          </val>
        </ser>
        <dLbls>
          <showLegendKey val="0"/>
          <showVal val="0"/>
          <showCatName val="0"/>
          <showSerName val="0"/>
          <showPercent val="0"/>
          <showBubbleSize val="0"/>
        </dLbls>
        <gapWidth val="219"/>
        <overlap val="-27"/>
        <axId val="722471976"/>
        <axId val="722469680"/>
      </barChart>
      <dateAx>
        <axId val="722471976"/>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2469680"/>
        <crosses val="autoZero"/>
        <lblOffset val="100"/>
        <baseTimeUnit val="months"/>
      </dateAx>
      <valAx>
        <axId val="7224696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247197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1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xml><?xml version="1.0" encoding="utf-8"?>
<chartSpace xmlns="http://schemas.openxmlformats.org/drawingml/2006/chart">
  <chart>
    <title>
      <tx>
        <strRef>
          <f>Table143454[[#Headers],[CPI core yoy ]]</f>
          <strCache>
            <ptCount val="1"/>
            <pt idx="0">
              <v xml:space="preserve">CPI core yoy </v>
            </pt>
          </strCache>
        </strRef>
      </tx>
      <overlay val="0"/>
    </title>
    <plotArea>
      <layout/>
      <lineChart>
        <grouping val="standard"/>
        <varyColors val="0"/>
        <ser>
          <idx val="7"/>
          <order val="0"/>
          <tx>
            <strRef>
              <f>Country!$N$2</f>
              <strCache>
                <ptCount val="1"/>
                <pt idx="0">
                  <v>United States Core CPI yoy %</v>
                </pt>
              </strCache>
            </strRef>
          </tx>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Country!$A$707:$A$950</f>
              <numCache>
                <formatCode>mmm\-yy</formatCode>
                <ptCount val="244"/>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numCache>
            </numRef>
          </cat>
          <val>
            <numRef>
              <f>Country!$I$707:$I$950</f>
              <numCache>
                <formatCode>0.00%</formatCode>
                <ptCount val="244"/>
                <pt idx="0">
                  <v>0.07790615660074587</v>
                </pt>
                <pt idx="1">
                  <v>0.0817622391507869</v>
                </pt>
                <pt idx="2">
                  <v>0.08824677909756032</v>
                </pt>
                <pt idx="3">
                  <v>0.09197471719716517</v>
                </pt>
                <pt idx="4">
                  <v>0.09131256879476457</v>
                </pt>
                <pt idx="5">
                  <v>0.08696202810873586</v>
                </pt>
                <pt idx="6">
                  <v>0.07321499768507009</v>
                </pt>
                <pt idx="7">
                  <v>0.067780692275743</v>
                </pt>
                <pt idx="8">
                  <v>0.0606739143462792</v>
                </pt>
                <pt idx="9">
                  <v>0.04878498632846172</v>
                </pt>
                <pt idx="10">
                  <v>0.04890615162500272</v>
                </pt>
                <pt idx="11">
                  <v>0.05448463748855297</v>
                </pt>
                <pt idx="12">
                  <v>0.0365269776187061</v>
                </pt>
                <pt idx="13">
                  <v>0.03683291364016464</v>
                </pt>
                <pt idx="14">
                  <v>0.0365563483760653</v>
                </pt>
                <pt idx="15">
                  <v>0.04246790498541549</v>
                </pt>
                <pt idx="16">
                  <v>0.04450900515189708</v>
                </pt>
                <pt idx="17">
                  <v>0.04864048801422352</v>
                </pt>
                <pt idx="18">
                  <v>0.05115046438710122</v>
                </pt>
                <pt idx="19">
                  <v>0.06060589538525629</v>
                </pt>
                <pt idx="20">
                  <v>0.06959537861451896</v>
                </pt>
                <pt idx="21">
                  <v>0.08942188475318306</v>
                </pt>
                <pt idx="22">
                  <v>0.09746941285524244</v>
                </pt>
                <pt idx="23">
                  <v>0.09520781881821339</v>
                </pt>
                <pt idx="24">
                  <v>0.0977469255527048</v>
                </pt>
                <pt idx="25">
                  <v>0.09588724009090396</v>
                </pt>
                <pt idx="26">
                  <v>0.0935095039145843</v>
                </pt>
                <pt idx="27">
                  <v>0.09663907097649189</v>
                </pt>
                <pt idx="28">
                  <v>0.09095456193825785</v>
                </pt>
                <pt idx="29">
                  <v>0.0890645532805798</v>
                </pt>
                <pt idx="30">
                  <v>0.08701431219555998</v>
                </pt>
                <pt idx="31">
                  <v>0.08134850497480449</v>
                </pt>
                <pt idx="32">
                  <v>0.07648810543909761</v>
                </pt>
                <pt idx="33">
                  <v>0.06011858603046824</v>
                </pt>
                <pt idx="34">
                  <v>0.05243474315129622</v>
                </pt>
                <pt idx="35">
                  <v>0.05265376887265533</v>
                </pt>
                <pt idx="36">
                  <v>0.06373013421250409</v>
                </pt>
                <pt idx="37">
                  <v>0.06551757107000047</v>
                </pt>
                <pt idx="38">
                  <v>0.06539548496606673</v>
                </pt>
                <pt idx="39">
                  <v>0.06144878707816501</v>
                </pt>
                <pt idx="40">
                  <v>0.06200607720620775</v>
                </pt>
                <pt idx="41">
                  <v>0.06111992301417791</v>
                </pt>
                <pt idx="42">
                  <v>0.06735343102601278</v>
                </pt>
                <pt idx="43">
                  <v>0.0705780973576155</v>
                </pt>
                <pt idx="44">
                  <v>0.07503174321936244</v>
                </pt>
                <pt idx="45">
                  <v>0.07777993995295394</v>
                </pt>
                <pt idx="46">
                  <v>0.07498383636523943</v>
                </pt>
                <pt idx="47">
                  <v>0.0712285914501838</v>
                </pt>
                <pt idx="48">
                  <v>0.06995496882769375</v>
                </pt>
                <pt idx="49">
                  <v>0.0770714554371975</v>
                </pt>
                <pt idx="50">
                  <v>0.08509582398245658</v>
                </pt>
                <pt idx="51">
                  <v>0.08914603975711288</v>
                </pt>
                <pt idx="52">
                  <v>0.09041145191351238</v>
                </pt>
                <pt idx="53">
                  <v>0.08941297850812262</v>
                </pt>
                <pt idx="54">
                  <v>0.09324539296495778</v>
                </pt>
                <pt idx="55">
                  <v>0.09165551358160046</v>
                </pt>
                <pt idx="56">
                  <v>0.08654401988638175</v>
                </pt>
                <pt idx="57">
                  <v>0.08643193861080674</v>
                </pt>
                <pt idx="58">
                  <v>0.08673794264705301</v>
                </pt>
                <pt idx="59">
                  <v>0.08708428372294773</v>
                </pt>
                <pt idx="60">
                  <v>0.08498642696907992</v>
                </pt>
                <pt idx="61">
                  <v>0.07693018594423179</v>
                </pt>
                <pt idx="62">
                  <v>0.07142540153883135</v>
                </pt>
                <pt idx="63">
                  <v>0.071807898148848</v>
                </pt>
                <pt idx="64">
                  <v>0.07608987742331656</v>
                </pt>
                <pt idx="65">
                  <v>0.07667356693187385</v>
                </pt>
                <pt idx="66">
                  <v>0.07266455602035307</v>
                </pt>
                <pt idx="67">
                  <v>0.07665709173797905</v>
                </pt>
                <pt idx="68">
                  <v>0.08410521623589104</v>
                </pt>
                <pt idx="69">
                  <v>0.08971550797224942</v>
                </pt>
                <pt idx="70">
                  <v>0.09176113267811938</v>
                </pt>
                <pt idx="71">
                  <v>0.09445473310417543</v>
                </pt>
                <pt idx="72">
                  <v>0.0981033394024831</v>
                </pt>
                <pt idx="73">
                  <v>0.100392412659265</v>
                </pt>
                <pt idx="74">
                  <v>0.09842662075792605</v>
                </pt>
                <pt idx="75">
                  <v>0.09668551508680555</v>
                </pt>
                <pt idx="76">
                  <v>0.09125157828994263</v>
                </pt>
                <pt idx="77">
                  <v>0.09030032548573247</v>
                </pt>
                <pt idx="78">
                  <v>0.09715250397369093</v>
                </pt>
                <pt idx="79">
                  <v>0.09739636722288125</v>
                </pt>
                <pt idx="80">
                  <v>0.08954289354166289</v>
                </pt>
                <pt idx="81">
                  <v>0.08335622055285195</v>
                </pt>
                <pt idx="82">
                  <v>0.08412764552042493</v>
                </pt>
                <pt idx="83">
                  <v>0.09505532829015499</v>
                </pt>
                <pt idx="84">
                  <v>0.09419039675014872</v>
                </pt>
                <pt idx="85">
                  <v>0.1001857628610896</v>
                </pt>
                <pt idx="86">
                  <v>0.1078680334972408</v>
                </pt>
                <pt idx="87">
                  <v>0.1080564870511782</v>
                </pt>
                <pt idx="88">
                  <v>0.1062695461484163</v>
                </pt>
                <pt idx="89">
                  <v>0.1044813158697208</v>
                </pt>
                <pt idx="90">
                  <v>0.101136534048306</v>
                </pt>
                <pt idx="91">
                  <v>0.1028170404993173</v>
                </pt>
                <pt idx="92">
                  <v>0.1104289426076474</v>
                </pt>
                <pt idx="93">
                  <v>0.1184047146576973</v>
                </pt>
                <pt idx="94">
                  <v>0.1215182116140938</v>
                </pt>
                <pt idx="95">
                  <v>0.1159052446046258</v>
                </pt>
                <pt idx="96">
                  <v>0.1102716134706668</v>
                </pt>
                <pt idx="97">
                  <v>0.1078308530903365</v>
                </pt>
                <pt idx="98">
                  <v>0.1040567999767968</v>
                </pt>
                <pt idx="99">
                  <v>0.1119453375261807</v>
                </pt>
                <pt idx="100">
                  <v>0.1180255231583664</v>
                </pt>
                <pt idx="101">
                  <v>0.1360545684132329</v>
                </pt>
                <pt idx="102">
                  <v>0.1410743071083147</v>
                </pt>
                <pt idx="103">
                  <v>0.1636402622016691</v>
                </pt>
                <pt idx="104">
                  <v>0.22509645523939</v>
                </pt>
                <pt idx="105">
                  <v>0.2264094169179516</v>
                </pt>
                <pt idx="106">
                  <v>0.1917681012938098</v>
                </pt>
                <pt idx="107">
                  <v>0.1821688300456786</v>
                </pt>
                <pt idx="108">
                  <v>0.175894153049223</v>
                </pt>
                <pt idx="109">
                  <v>0.1671971510304162</v>
                </pt>
                <pt idx="110">
                  <v>0.1619528138243827</v>
                </pt>
                <pt idx="111">
                  <v>0.1560503572212555</v>
                </pt>
                <pt idx="112">
                  <v>0.1581983966418836</v>
                </pt>
                <pt idx="113">
                  <v>0.1480232693069783</v>
                </pt>
                <pt idx="114">
                  <v>0.1595656186888416</v>
                </pt>
                <pt idx="115">
                  <v>0.1491077145957517</v>
                </pt>
                <pt idx="116">
                  <v>0.09506208812482292</v>
                </pt>
                <pt idx="117">
                  <v>0.08813252451415859</v>
                </pt>
                <pt idx="118">
                  <v>0.1121367704848625</v>
                </pt>
                <pt idx="119">
                  <v>0.1172571021177998</v>
                </pt>
                <pt idx="120">
                  <v>0.1215187836217484</v>
                </pt>
                <pt idx="121">
                  <v>0.1229768671443024</v>
                </pt>
                <pt idx="122">
                  <v>0.1278626715608045</v>
                </pt>
                <pt idx="123">
                  <v>0.1200319474433237</v>
                </pt>
                <pt idx="124">
                  <v>0.1175330741992411</v>
                </pt>
                <pt idx="125">
                  <v>0.1298987121123988</v>
                </pt>
                <pt idx="126">
                  <v>0.1195651834888997</v>
                </pt>
                <pt idx="127">
                  <v>0.115553526687466</v>
                </pt>
                <pt idx="128">
                  <v>0.1158708982906076</v>
                </pt>
                <pt idx="129">
                  <v>0.118155578229909</v>
                </pt>
                <pt idx="130">
                  <v>0.1344400238782069</v>
                </pt>
                <pt idx="131">
                  <v>0.1419121306135666</v>
                </pt>
                <pt idx="132">
                  <v>0.1520278083161666</v>
                </pt>
                <pt idx="133">
                  <v>0.157691008029722</v>
                </pt>
                <pt idx="134">
                  <v>0.1631984670941115</v>
                </pt>
                <pt idx="135">
                  <v>0.16940368244558</v>
                </pt>
                <pt idx="136">
                  <v>0.1624894925579214</v>
                </pt>
                <pt idx="137">
                  <v>0.1664942215410688</v>
                </pt>
                <pt idx="138">
                  <v>0.161560628905166</v>
                </pt>
                <pt idx="139">
                  <v>0.152046461547782</v>
                </pt>
                <pt idx="140">
                  <v>0.1563695853964606</v>
                </pt>
                <pt idx="141">
                  <v>0.1597947298153125</v>
                </pt>
                <pt idx="142">
                  <v>0.1698664725671654</v>
                </pt>
                <pt idx="143">
                  <v>0.3107113237240487</v>
                </pt>
                <pt idx="144">
                  <v>0.3974089733176446</v>
                </pt>
                <pt idx="145">
                  <v>0.4410095413973529</v>
                </pt>
                <pt idx="146">
                  <v>0.4865205557216931</v>
                </pt>
                <pt idx="147">
                  <v>0.5304257977605115</v>
                </pt>
                <pt idx="148">
                  <v>0.5719232271735399</v>
                </pt>
                <pt idx="149">
                  <v>0.5884184633193459</v>
                </pt>
                <pt idx="150">
                  <v>0.6376782813041896</v>
                </pt>
              </numCache>
            </numRef>
          </val>
          <smooth val="0"/>
        </ser>
        <dLbls>
          <showLegendKey val="0"/>
          <showVal val="0"/>
          <showCatName val="0"/>
          <showSerName val="0"/>
          <showPercent val="0"/>
          <showBubbleSize val="0"/>
        </dLbls>
        <smooth val="0"/>
        <axId val="722471976"/>
        <axId val="722469680"/>
      </lineChart>
      <dateAx>
        <axId val="722471976"/>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2469680"/>
        <crosses val="autoZero"/>
        <lblOffset val="100"/>
        <baseTimeUnit val="months"/>
      </dateAx>
      <valAx>
        <axId val="7224696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247197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1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s>
</file>

<file path=xl/drawings/drawing1.xml><?xml version="1.0" encoding="utf-8"?>
<wsDr xmlns="http://schemas.openxmlformats.org/drawingml/2006/spreadsheetDrawing">
  <twoCellAnchor>
    <from>
      <col>9</col>
      <colOff>332467</colOff>
      <row>820</row>
      <rowOff>88900</rowOff>
    </from>
    <to>
      <col>16</col>
      <colOff>637267</colOff>
      <row>834</row>
      <rowOff>165100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9</col>
      <colOff>322942</colOff>
      <row>835</row>
      <rowOff>69850</rowOff>
    </from>
    <to>
      <col>16</col>
      <colOff>627742</colOff>
      <row>849</row>
      <rowOff>146050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143454" displayName="Table143454" ref="A2:I857" headerRowCount="1" totalsRowShown="0" headerRowDxfId="11" dataDxfId="9" headerRowBorderDxfId="10">
  <autoFilter ref="A2:I857"/>
  <tableColumns count="9">
    <tableColumn id="1" name="Date" dataDxfId="8">
      <calculatedColumnFormula>IF(Data!A30="",#N/A,Data!A30)</calculatedColumnFormula>
    </tableColumn>
    <tableColumn id="2" name="USA" dataDxfId="7">
      <calculatedColumnFormula>VLOOKUP(A3,Data!A:AX,MATCH($B$2,Data!$B$1:$AX$1,0),FALSE)</calculatedColumnFormula>
    </tableColumn>
    <tableColumn id="3" name="Monthly Change" dataDxfId="6">
      <calculatedColumnFormula>(B3/B2)-1</calculatedColumnFormula>
    </tableColumn>
    <tableColumn id="4" name="12 Month Change" dataDxfId="5">
      <calculatedColumnFormula>((1+C3)^12)-1</calculatedColumnFormula>
    </tableColumn>
    <tableColumn id="5" name="CPI YoY" dataDxfId="4"/>
    <tableColumn id="6" name="Core CPI" dataDxfId="3">
      <calculatedColumnFormula>VLOOKUP(Table143454[[#This Row],[Date]],'Data Core CPI'!$A:$AX,MATCH($B$2,'Data Core CPI'!$B$1:$AX$1,0),FALSE)</calculatedColumnFormula>
    </tableColumn>
    <tableColumn id="7" name="Monthly Change " dataDxfId="2">
      <calculatedColumnFormula>(F3/F2)-1</calculatedColumnFormula>
    </tableColumn>
    <tableColumn id="8" name="Annualized" dataDxfId="1">
      <calculatedColumnFormula>((1+G3)^12)-1</calculatedColumnFormula>
    </tableColumn>
    <tableColumn id="9" name="CPI core yoy "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data.oecd.org/price/inflation-cpi.htm" TargetMode="External" Id="rId1"/><Relationship Type="http://schemas.openxmlformats.org/officeDocument/2006/relationships/hyperlink" Target="https://data.oecd.org/price/inflation-cpi.htm" TargetMode="External" Id="rId2"/><Relationship Type="http://schemas.openxmlformats.org/officeDocument/2006/relationships/hyperlink" Target="https://data.oecd.org/price/inflation-cpi.htm" TargetMode="External" Id="rId3"/></Relationships>
</file>

<file path=xl/worksheets/_rels/sheet6.xml.rels><Relationships xmlns="http://schemas.openxmlformats.org/package/2006/relationships"><Relationship Type="http://schemas.openxmlformats.org/officeDocument/2006/relationships/drawing" Target="/xl/drawings/drawing1.xml" Id="rId1"/><Relationship Type="http://schemas.openxmlformats.org/officeDocument/2006/relationships/table" Target="/xl/tables/table1.xml" Id="rId2"/></Relationships>
</file>

<file path=xl/worksheets/sheet1.xml><?xml version="1.0" encoding="utf-8"?>
<worksheet xmlns="http://schemas.openxmlformats.org/spreadsheetml/2006/main">
  <sheetPr codeName="Sheet1">
    <tabColor rgb="FFFFFF00"/>
    <outlinePr summaryBelow="1" summaryRight="1"/>
    <pageSetUpPr/>
  </sheetPr>
  <dimension ref="B1:P246"/>
  <sheetViews>
    <sheetView tabSelected="1" zoomScale="140" zoomScaleNormal="140" workbookViewId="0">
      <selection activeCell="M12" sqref="M12"/>
    </sheetView>
  </sheetViews>
  <sheetFormatPr baseColWidth="10" defaultColWidth="9.1640625" defaultRowHeight="15"/>
  <cols>
    <col width="9.1640625" customWidth="1" style="78" min="1" max="1"/>
    <col width="12.83203125" customWidth="1" style="78" min="2" max="10"/>
    <col width="9.1640625" customWidth="1" style="78" min="11" max="14"/>
    <col width="19.1640625" customWidth="1" style="78" min="15" max="16"/>
    <col width="9.1640625" customWidth="1" style="78" min="17" max="26"/>
    <col width="9.1640625" customWidth="1" style="78" min="27" max="16384"/>
  </cols>
  <sheetData>
    <row r="1">
      <c r="B1" s="79" t="n"/>
    </row>
    <row r="2" ht="16" customHeight="1" s="70" thickBot="1">
      <c r="B2" s="80" t="n"/>
      <c r="C2" s="80" t="n"/>
      <c r="D2" s="80" t="n"/>
      <c r="E2" s="80" t="n"/>
      <c r="F2" s="80" t="n"/>
      <c r="G2" s="80" t="n"/>
      <c r="H2" s="80" t="n"/>
      <c r="I2" s="80" t="n"/>
      <c r="J2" s="80" t="n"/>
    </row>
    <row r="3" ht="16" customHeight="1" s="70" thickBot="1">
      <c r="B3" s="81" t="inlineStr">
        <is>
          <t>Global Consumer Price Index</t>
        </is>
      </c>
      <c r="C3" s="82" t="n"/>
      <c r="D3" s="82" t="n"/>
      <c r="E3" s="82" t="n"/>
      <c r="F3" s="82" t="n"/>
      <c r="G3" s="82" t="n"/>
      <c r="H3" s="82" t="n"/>
      <c r="I3" s="82" t="n"/>
      <c r="J3" s="83" t="n"/>
    </row>
    <row r="5">
      <c r="B5" s="84" t="inlineStr">
        <is>
          <t>Definition</t>
        </is>
      </c>
      <c r="C5" s="85" t="n"/>
      <c r="D5" s="85" t="n"/>
      <c r="E5" s="85" t="n"/>
      <c r="F5" s="85" t="n"/>
      <c r="G5" s="85" t="n"/>
      <c r="H5" s="85" t="n"/>
      <c r="I5" s="85" t="n"/>
      <c r="J5" s="86" t="n"/>
    </row>
    <row r="7" ht="139.5" customHeight="1" s="70">
      <c r="B7" s="87" t="inlineStr">
        <is>
          <t>Inflation measured by consumer price index (CPI) is defined as the change in the prices of a basket of goods and services that are typically purchased by specific groups of households. Inflation is measured in terms of the annual growth rate and in index, 2015 base year with a breakdown for food, energy and total excluding food and energy. Inflation measures the erosion of living standards. A consumer price index is estimated as a series of summary measures of the period-to-period proportional change in the prices of a fixed set of consumer goods and services of constant quantity and characteristics, acquired, used or paid for by the reference population. Each summary measure is constructed as a weighted average of a large number of elementary aggregate indices. Each of the elementary aggregate indices is estimated using a sample of prices for a defined set of goods and services obtained in, or by residents of, a specific region from a given set of outlets or other sources of consumption goods and services.</t>
        </is>
      </c>
    </row>
    <row r="8" ht="33.75" customHeight="1" s="70">
      <c r="B8" s="88" t="inlineStr">
        <is>
          <t>https://data.oecd.org/price/inflation-cpi.htm#indicator-chart</t>
        </is>
      </c>
    </row>
    <row r="9">
      <c r="B9" s="66" t="n"/>
      <c r="C9" s="66" t="n"/>
      <c r="D9" s="66" t="n"/>
      <c r="E9" s="66" t="n"/>
    </row>
    <row r="10">
      <c r="B10" s="84" t="inlineStr">
        <is>
          <t>Process / TO DO LIST</t>
        </is>
      </c>
      <c r="C10" s="85" t="n"/>
      <c r="D10" s="85" t="n"/>
      <c r="E10" s="85" t="n"/>
      <c r="F10" s="85" t="n"/>
      <c r="G10" s="85" t="n"/>
      <c r="H10" s="85" t="n"/>
      <c r="I10" s="85" t="n"/>
      <c r="J10" s="86" t="n"/>
    </row>
    <row r="12">
      <c r="B12" s="84" t="inlineStr">
        <is>
          <t>TO DO LIST</t>
        </is>
      </c>
      <c r="C12" s="85" t="n"/>
      <c r="D12" s="85" t="n"/>
      <c r="E12" s="85" t="n"/>
      <c r="F12" s="86" t="n"/>
      <c r="G12" s="84" t="inlineStr">
        <is>
          <t>Comments</t>
        </is>
      </c>
      <c r="H12" s="85" t="n"/>
      <c r="I12" s="85" t="n"/>
      <c r="J12" s="86" t="n"/>
      <c r="O12" s="84" t="inlineStr">
        <is>
          <t xml:space="preserve">Ticker </t>
        </is>
      </c>
      <c r="P12" s="84" t="inlineStr">
        <is>
          <t>Country</t>
        </is>
      </c>
    </row>
    <row r="13">
      <c r="O13" s="69" t="inlineStr">
        <is>
          <t>ABW</t>
        </is>
      </c>
      <c r="P13" s="69" t="inlineStr">
        <is>
          <t>Aruba</t>
        </is>
      </c>
    </row>
    <row r="14">
      <c r="B14" s="88" t="inlineStr">
        <is>
          <t>https://data.oecd.org/price/inflation-cpi.htm#indicator-chart</t>
        </is>
      </c>
      <c r="G14" s="78" t="inlineStr">
        <is>
          <t>CPI yoy</t>
        </is>
      </c>
      <c r="O14" s="69" t="inlineStr">
        <is>
          <t>AFG</t>
        </is>
      </c>
      <c r="P14" s="69" t="inlineStr">
        <is>
          <t>Afghanistan</t>
        </is>
      </c>
    </row>
    <row r="15">
      <c r="B15" s="78" t="inlineStr">
        <is>
          <t>Total</t>
        </is>
      </c>
      <c r="G15" s="78" t="inlineStr">
        <is>
          <t>In Data</t>
        </is>
      </c>
      <c r="O15" s="69" t="inlineStr">
        <is>
          <t>AFRI</t>
        </is>
      </c>
      <c r="P15" s="69" t="inlineStr">
        <is>
          <t>Africa</t>
        </is>
      </c>
    </row>
    <row r="16" ht="15.75" customHeight="1" s="70">
      <c r="B16" s="78" t="inlineStr">
        <is>
          <t>Select 2015 =100</t>
        </is>
      </c>
      <c r="G16" s="77" t="inlineStr">
        <is>
          <t>Manually or create macro</t>
        </is>
      </c>
      <c r="O16" s="69" t="inlineStr">
        <is>
          <t>AGO</t>
        </is>
      </c>
      <c r="P16" s="69" t="inlineStr">
        <is>
          <t>Angola</t>
        </is>
      </c>
    </row>
    <row r="17" ht="15.75" customHeight="1" s="70">
      <c r="B17" s="78" t="inlineStr">
        <is>
          <t>Countries</t>
        </is>
      </c>
      <c r="G17" s="77" t="n"/>
      <c r="O17" s="69" t="inlineStr">
        <is>
          <t>AIA</t>
        </is>
      </c>
      <c r="P17" s="69" t="inlineStr">
        <is>
          <t>Anguilla</t>
        </is>
      </c>
    </row>
    <row r="18" ht="15.75" customHeight="1" s="70">
      <c r="B18" s="78" t="inlineStr">
        <is>
          <t>Download</t>
        </is>
      </c>
      <c r="G18" s="90" t="n"/>
      <c r="O18" s="69" t="inlineStr">
        <is>
          <t>ALB</t>
        </is>
      </c>
      <c r="P18" s="69" t="inlineStr">
        <is>
          <t>Albania</t>
        </is>
      </c>
    </row>
    <row r="19" ht="15.75" customHeight="1" s="70">
      <c r="B19" s="78" t="inlineStr">
        <is>
          <t>Start Jan 1949</t>
        </is>
      </c>
      <c r="G19" s="77" t="n"/>
      <c r="O19" s="69" t="inlineStr">
        <is>
          <t>AND</t>
        </is>
      </c>
      <c r="P19" s="69" t="inlineStr">
        <is>
          <t>Andorra</t>
        </is>
      </c>
    </row>
    <row r="20" ht="15.75" customHeight="1" s="70">
      <c r="G20" s="77" t="n"/>
      <c r="O20" s="69" t="inlineStr">
        <is>
          <t>ANT</t>
        </is>
      </c>
      <c r="P20" s="69" t="inlineStr">
        <is>
          <t>Netherlands Antilles</t>
        </is>
      </c>
    </row>
    <row r="21" ht="15.75" customHeight="1" s="70">
      <c r="B21" s="88" t="inlineStr">
        <is>
          <t>https://data.oecd.org/price/inflation-cpi.htm#indicator-chart</t>
        </is>
      </c>
      <c r="G21" s="77" t="inlineStr">
        <is>
          <t>Core CPI</t>
        </is>
      </c>
      <c r="O21" s="69" t="inlineStr">
        <is>
          <t>ARE</t>
        </is>
      </c>
      <c r="P21" s="69" t="inlineStr">
        <is>
          <t>United Arab Emirates</t>
        </is>
      </c>
    </row>
    <row r="22" ht="15.75" customHeight="1" s="70">
      <c r="B22" s="78" t="inlineStr">
        <is>
          <t>Total less food, less energy</t>
        </is>
      </c>
      <c r="G22" s="77" t="inlineStr">
        <is>
          <t>In Data Core CPI</t>
        </is>
      </c>
      <c r="O22" s="69" t="inlineStr">
        <is>
          <t>ARG</t>
        </is>
      </c>
      <c r="P22" s="69" t="inlineStr">
        <is>
          <t>Argentina</t>
        </is>
      </c>
    </row>
    <row r="23" ht="15.75" customHeight="1" s="70">
      <c r="B23" s="78" t="inlineStr">
        <is>
          <t>Select 2015 =100</t>
        </is>
      </c>
      <c r="G23" s="77" t="inlineStr">
        <is>
          <t>Manually or create macro</t>
        </is>
      </c>
      <c r="O23" s="69" t="inlineStr">
        <is>
          <t>ASIA</t>
        </is>
      </c>
      <c r="P23" s="69" t="inlineStr">
        <is>
          <t>Asia</t>
        </is>
      </c>
    </row>
    <row r="24" ht="15.75" customHeight="1" s="70">
      <c r="B24" s="78" t="inlineStr">
        <is>
          <t>Countries</t>
        </is>
      </c>
      <c r="G24" s="77" t="n"/>
      <c r="O24" s="69" t="inlineStr">
        <is>
          <t>ASM</t>
        </is>
      </c>
      <c r="P24" s="69" t="inlineStr">
        <is>
          <t>American Samoa</t>
        </is>
      </c>
    </row>
    <row r="25" ht="15.75" customHeight="1" s="70">
      <c r="B25" s="78" t="inlineStr">
        <is>
          <t>Download</t>
        </is>
      </c>
      <c r="G25" s="77" t="n"/>
      <c r="O25" s="69" t="inlineStr">
        <is>
          <t>ATG</t>
        </is>
      </c>
      <c r="P25" s="69" t="inlineStr">
        <is>
          <t>Antigua and Barbuda</t>
        </is>
      </c>
    </row>
    <row r="26" ht="15.75" customHeight="1" s="70">
      <c r="B26" s="78" t="inlineStr">
        <is>
          <t>Start Janv 1955</t>
        </is>
      </c>
      <c r="G26" s="77" t="n"/>
      <c r="O26" s="69" t="inlineStr">
        <is>
          <t>AUS</t>
        </is>
      </c>
      <c r="P26" s="69" t="inlineStr">
        <is>
          <t>Australia</t>
        </is>
      </c>
    </row>
    <row r="27" ht="15.75" customHeight="1" s="70">
      <c r="B27" s="78" t="n"/>
      <c r="G27" s="77" t="n"/>
      <c r="O27" s="69" t="inlineStr">
        <is>
          <t>AUT</t>
        </is>
      </c>
      <c r="P27" s="69" t="inlineStr">
        <is>
          <t>Austria</t>
        </is>
      </c>
    </row>
    <row r="28">
      <c r="O28" s="69" t="inlineStr">
        <is>
          <t>BDI</t>
        </is>
      </c>
      <c r="P28" s="69" t="inlineStr">
        <is>
          <t>Burundi</t>
        </is>
      </c>
    </row>
    <row r="29">
      <c r="O29" s="69" t="inlineStr">
        <is>
          <t>BEL</t>
        </is>
      </c>
      <c r="P29" s="69" t="inlineStr">
        <is>
          <t>Belgium</t>
        </is>
      </c>
    </row>
    <row r="30">
      <c r="B30" s="67" t="n"/>
      <c r="O30" s="69" t="inlineStr">
        <is>
          <t>BEN</t>
        </is>
      </c>
      <c r="P30" s="69" t="inlineStr">
        <is>
          <t>Benin</t>
        </is>
      </c>
    </row>
    <row r="31" ht="33.75" customHeight="1" s="70">
      <c r="B31" s="89" t="n"/>
      <c r="O31" s="69" t="inlineStr">
        <is>
          <t>BFA</t>
        </is>
      </c>
      <c r="P31" s="69" t="inlineStr">
        <is>
          <t>Burkina Faso</t>
        </is>
      </c>
    </row>
    <row r="32">
      <c r="B32" s="68" t="n"/>
      <c r="O32" s="69" t="inlineStr">
        <is>
          <t>BGD</t>
        </is>
      </c>
      <c r="P32" s="69" t="inlineStr">
        <is>
          <t>Bangladesh</t>
        </is>
      </c>
    </row>
    <row r="33">
      <c r="O33" s="69" t="inlineStr">
        <is>
          <t>BGR</t>
        </is>
      </c>
      <c r="P33" s="69" t="inlineStr">
        <is>
          <t>Bulgaria</t>
        </is>
      </c>
    </row>
    <row r="34">
      <c r="O34" s="69" t="inlineStr">
        <is>
          <t>BHR</t>
        </is>
      </c>
      <c r="P34" s="69" t="inlineStr">
        <is>
          <t>Bahrain</t>
        </is>
      </c>
    </row>
    <row r="35">
      <c r="O35" s="69" t="inlineStr">
        <is>
          <t>BHS</t>
        </is>
      </c>
      <c r="P35" s="69" t="inlineStr">
        <is>
          <t>Bahamas</t>
        </is>
      </c>
    </row>
    <row r="36">
      <c r="O36" s="69" t="inlineStr">
        <is>
          <t>BLZ</t>
        </is>
      </c>
      <c r="P36" s="69" t="inlineStr">
        <is>
          <t>Belize</t>
        </is>
      </c>
    </row>
    <row r="37">
      <c r="O37" s="69" t="inlineStr">
        <is>
          <t>BMU</t>
        </is>
      </c>
      <c r="P37" s="69" t="inlineStr">
        <is>
          <t>Bermuda</t>
        </is>
      </c>
    </row>
    <row r="38">
      <c r="O38" s="69" t="inlineStr">
        <is>
          <t>BOL</t>
        </is>
      </c>
      <c r="P38" s="69" t="inlineStr">
        <is>
          <t>Bolivia</t>
        </is>
      </c>
    </row>
    <row r="39">
      <c r="O39" s="69" t="inlineStr">
        <is>
          <t>BRA</t>
        </is>
      </c>
      <c r="P39" s="69" t="inlineStr">
        <is>
          <t>Brazil</t>
        </is>
      </c>
    </row>
    <row r="40">
      <c r="O40" s="69" t="inlineStr">
        <is>
          <t>BRB</t>
        </is>
      </c>
      <c r="P40" s="69" t="inlineStr">
        <is>
          <t>Barbados</t>
        </is>
      </c>
    </row>
    <row r="41">
      <c r="O41" s="69" t="inlineStr">
        <is>
          <t>BRN</t>
        </is>
      </c>
      <c r="P41" s="69" t="inlineStr">
        <is>
          <t>Brunei Darussalam</t>
        </is>
      </c>
    </row>
    <row r="42">
      <c r="O42" s="69" t="inlineStr">
        <is>
          <t>BTN</t>
        </is>
      </c>
      <c r="P42" s="69" t="inlineStr">
        <is>
          <t>Bhutan</t>
        </is>
      </c>
    </row>
    <row r="43">
      <c r="O43" s="69" t="inlineStr">
        <is>
          <t>BWA</t>
        </is>
      </c>
      <c r="P43" s="69" t="inlineStr">
        <is>
          <t>Botswana</t>
        </is>
      </c>
    </row>
    <row r="44">
      <c r="O44" s="69" t="inlineStr">
        <is>
          <t>CAF</t>
        </is>
      </c>
      <c r="P44" s="69" t="inlineStr">
        <is>
          <t>Central African Republic</t>
        </is>
      </c>
    </row>
    <row r="45">
      <c r="O45" s="69" t="inlineStr">
        <is>
          <t>CAN</t>
        </is>
      </c>
      <c r="P45" s="69" t="inlineStr">
        <is>
          <t>Canada</t>
        </is>
      </c>
    </row>
    <row r="46">
      <c r="O46" s="69" t="inlineStr">
        <is>
          <t>CCK</t>
        </is>
      </c>
      <c r="P46" s="69" t="inlineStr">
        <is>
          <t>Cocos (Keeling) Islands</t>
        </is>
      </c>
    </row>
    <row r="47">
      <c r="O47" s="69" t="inlineStr">
        <is>
          <t>CHE</t>
        </is>
      </c>
      <c r="P47" s="69" t="inlineStr">
        <is>
          <t>Switzerland</t>
        </is>
      </c>
    </row>
    <row r="48">
      <c r="O48" s="69" t="inlineStr">
        <is>
          <t>CHL</t>
        </is>
      </c>
      <c r="P48" s="69" t="inlineStr">
        <is>
          <t>Chile</t>
        </is>
      </c>
    </row>
    <row r="49">
      <c r="O49" s="69" t="inlineStr">
        <is>
          <t>CHN</t>
        </is>
      </c>
      <c r="P49" s="69" t="inlineStr">
        <is>
          <t>China</t>
        </is>
      </c>
    </row>
    <row r="50">
      <c r="O50" s="69" t="inlineStr">
        <is>
          <t>CIV</t>
        </is>
      </c>
      <c r="P50" s="69" t="inlineStr">
        <is>
          <t>Côte d'Ivoire</t>
        </is>
      </c>
    </row>
    <row r="51">
      <c r="O51" s="69" t="inlineStr">
        <is>
          <t>CMR</t>
        </is>
      </c>
      <c r="P51" s="69" t="inlineStr">
        <is>
          <t>Cameroon</t>
        </is>
      </c>
    </row>
    <row r="52">
      <c r="O52" s="69" t="inlineStr">
        <is>
          <t>COD</t>
        </is>
      </c>
      <c r="P52" s="69" t="inlineStr">
        <is>
          <t>Congo, Dem. Rep. Of</t>
        </is>
      </c>
    </row>
    <row r="53">
      <c r="O53" s="69" t="inlineStr">
        <is>
          <t>COG</t>
        </is>
      </c>
      <c r="P53" s="69" t="inlineStr">
        <is>
          <t>Congo</t>
        </is>
      </c>
    </row>
    <row r="54">
      <c r="O54" s="69" t="inlineStr">
        <is>
          <t>COK</t>
        </is>
      </c>
      <c r="P54" s="69" t="inlineStr">
        <is>
          <t>Cook Islands</t>
        </is>
      </c>
    </row>
    <row r="55">
      <c r="O55" s="69" t="inlineStr">
        <is>
          <t>COL</t>
        </is>
      </c>
      <c r="P55" s="69" t="inlineStr">
        <is>
          <t>Colombia</t>
        </is>
      </c>
    </row>
    <row r="56">
      <c r="O56" s="69" t="inlineStr">
        <is>
          <t>COM</t>
        </is>
      </c>
      <c r="P56" s="69" t="inlineStr">
        <is>
          <t>Comoros</t>
        </is>
      </c>
    </row>
    <row r="57">
      <c r="O57" s="69" t="inlineStr">
        <is>
          <t>CPV</t>
        </is>
      </c>
      <c r="P57" s="69" t="inlineStr">
        <is>
          <t>Cape Verde</t>
        </is>
      </c>
    </row>
    <row r="58">
      <c r="O58" s="69" t="inlineStr">
        <is>
          <t>CRI</t>
        </is>
      </c>
      <c r="P58" s="69" t="inlineStr">
        <is>
          <t>Costa Rica</t>
        </is>
      </c>
    </row>
    <row r="59">
      <c r="O59" s="69" t="inlineStr">
        <is>
          <t>CSFR</t>
        </is>
      </c>
      <c r="P59" s="69" t="inlineStr">
        <is>
          <t>Former Czechoslovakia</t>
        </is>
      </c>
    </row>
    <row r="60">
      <c r="O60" s="69" t="inlineStr">
        <is>
          <t>CSFR-CZE</t>
        </is>
      </c>
      <c r="P60" s="69" t="inlineStr">
        <is>
          <t>Czech Republic</t>
        </is>
      </c>
    </row>
    <row r="61">
      <c r="O61" s="69" t="inlineStr">
        <is>
          <t>CSFR-SVK</t>
        </is>
      </c>
      <c r="P61" s="69" t="inlineStr">
        <is>
          <t>Slovak Republic</t>
        </is>
      </c>
    </row>
    <row r="62">
      <c r="O62" s="69" t="inlineStr">
        <is>
          <t>CUB</t>
        </is>
      </c>
      <c r="P62" s="69" t="inlineStr">
        <is>
          <t>Cuba</t>
        </is>
      </c>
    </row>
    <row r="63">
      <c r="O63" s="69" t="inlineStr">
        <is>
          <t>CYM</t>
        </is>
      </c>
      <c r="P63" s="69" t="inlineStr">
        <is>
          <t>Cayman Islands</t>
        </is>
      </c>
    </row>
    <row r="64">
      <c r="O64" s="69" t="inlineStr">
        <is>
          <t>CYP</t>
        </is>
      </c>
      <c r="P64" s="69" t="inlineStr">
        <is>
          <t>Cyprus</t>
        </is>
      </c>
    </row>
    <row r="65">
      <c r="O65" s="69" t="inlineStr">
        <is>
          <t>DEU</t>
        </is>
      </c>
      <c r="P65" s="69" t="inlineStr">
        <is>
          <t>Germany</t>
        </is>
      </c>
    </row>
    <row r="66">
      <c r="O66" s="69" t="inlineStr">
        <is>
          <t>DJI</t>
        </is>
      </c>
      <c r="P66" s="69" t="inlineStr">
        <is>
          <t>Djibouti</t>
        </is>
      </c>
    </row>
    <row r="67">
      <c r="O67" s="69" t="inlineStr">
        <is>
          <t>DMA</t>
        </is>
      </c>
      <c r="P67" s="69" t="inlineStr">
        <is>
          <t>Dominica</t>
        </is>
      </c>
    </row>
    <row r="68">
      <c r="O68" s="69" t="inlineStr">
        <is>
          <t>DNK</t>
        </is>
      </c>
      <c r="P68" s="69" t="inlineStr">
        <is>
          <t>Denmark</t>
        </is>
      </c>
    </row>
    <row r="69">
      <c r="O69" s="69" t="inlineStr">
        <is>
          <t>DOM</t>
        </is>
      </c>
      <c r="P69" s="69" t="inlineStr">
        <is>
          <t>Dominican Republic</t>
        </is>
      </c>
    </row>
    <row r="70">
      <c r="O70" s="69" t="inlineStr">
        <is>
          <t>DZA</t>
        </is>
      </c>
      <c r="P70" s="69" t="inlineStr">
        <is>
          <t>Algeria</t>
        </is>
      </c>
    </row>
    <row r="71">
      <c r="O71" s="69" t="inlineStr">
        <is>
          <t>ECU</t>
        </is>
      </c>
      <c r="P71" s="69" t="inlineStr">
        <is>
          <t>Ecuador</t>
        </is>
      </c>
    </row>
    <row r="72">
      <c r="O72" s="69" t="inlineStr">
        <is>
          <t>EGY</t>
        </is>
      </c>
      <c r="P72" s="69" t="inlineStr">
        <is>
          <t>Egypt</t>
        </is>
      </c>
    </row>
    <row r="73">
      <c r="O73" s="69" t="inlineStr">
        <is>
          <t>ERI</t>
        </is>
      </c>
      <c r="P73" s="69" t="inlineStr">
        <is>
          <t>Eritrea</t>
        </is>
      </c>
    </row>
    <row r="74">
      <c r="O74" s="69" t="inlineStr">
        <is>
          <t>ESH</t>
        </is>
      </c>
      <c r="P74" s="69" t="inlineStr">
        <is>
          <t>Western Sahara</t>
        </is>
      </c>
    </row>
    <row r="75">
      <c r="O75" s="69" t="inlineStr">
        <is>
          <t>ESP</t>
        </is>
      </c>
      <c r="P75" s="69" t="inlineStr">
        <is>
          <t>Spain</t>
        </is>
      </c>
    </row>
    <row r="76">
      <c r="O76" s="69" t="inlineStr">
        <is>
          <t>ETH</t>
        </is>
      </c>
      <c r="P76" s="69" t="inlineStr">
        <is>
          <t>Ethiopia</t>
        </is>
      </c>
    </row>
    <row r="77">
      <c r="O77" s="69" t="inlineStr">
        <is>
          <t>EURO</t>
        </is>
      </c>
      <c r="P77" s="69" t="inlineStr">
        <is>
          <t>Europe</t>
        </is>
      </c>
    </row>
    <row r="78">
      <c r="O78" s="69" t="inlineStr">
        <is>
          <t>FIN</t>
        </is>
      </c>
      <c r="P78" s="69" t="inlineStr">
        <is>
          <t>Finland</t>
        </is>
      </c>
    </row>
    <row r="79">
      <c r="O79" s="69" t="inlineStr">
        <is>
          <t>FJI</t>
        </is>
      </c>
      <c r="P79" s="69" t="inlineStr">
        <is>
          <t>Fiji</t>
        </is>
      </c>
    </row>
    <row r="80">
      <c r="O80" s="69" t="inlineStr">
        <is>
          <t>FLK</t>
        </is>
      </c>
      <c r="P80" s="69" t="inlineStr">
        <is>
          <t>Falkland Islands</t>
        </is>
      </c>
    </row>
    <row r="81">
      <c r="O81" s="69" t="inlineStr">
        <is>
          <t>FRA</t>
        </is>
      </c>
      <c r="P81" s="69" t="inlineStr">
        <is>
          <t>France</t>
        </is>
      </c>
    </row>
    <row r="82">
      <c r="O82" s="69" t="inlineStr">
        <is>
          <t>FSM</t>
        </is>
      </c>
      <c r="P82" s="69" t="inlineStr">
        <is>
          <t>Micronesia, Federated states of</t>
        </is>
      </c>
    </row>
    <row r="83">
      <c r="O83" s="69" t="inlineStr">
        <is>
          <t>FYUG</t>
        </is>
      </c>
      <c r="P83" s="69" t="inlineStr">
        <is>
          <t>Former Yugoslavia</t>
        </is>
      </c>
    </row>
    <row r="84">
      <c r="O84" s="69" t="inlineStr">
        <is>
          <t>FYUG-BIH</t>
        </is>
      </c>
      <c r="P84" s="69" t="inlineStr">
        <is>
          <t>Bosnia-Herzegovina</t>
        </is>
      </c>
    </row>
    <row r="85">
      <c r="O85" s="69" t="inlineStr">
        <is>
          <t>FYUG-HRV</t>
        </is>
      </c>
      <c r="P85" s="69" t="inlineStr">
        <is>
          <t>Croatia</t>
        </is>
      </c>
    </row>
    <row r="86">
      <c r="O86" s="69" t="inlineStr">
        <is>
          <t>FYUG-MKD</t>
        </is>
      </c>
      <c r="P86" s="69" t="inlineStr">
        <is>
          <t>Macedonia</t>
        </is>
      </c>
    </row>
    <row r="87">
      <c r="O87" s="69" t="inlineStr">
        <is>
          <t>FYUG-SVN</t>
        </is>
      </c>
      <c r="P87" s="69" t="inlineStr">
        <is>
          <t>Slovenia</t>
        </is>
      </c>
    </row>
    <row r="88">
      <c r="O88" s="69" t="inlineStr">
        <is>
          <t>FYUG-YUG</t>
        </is>
      </c>
      <c r="P88" s="69" t="inlineStr">
        <is>
          <t>Serbia and Montenegro</t>
        </is>
      </c>
    </row>
    <row r="89">
      <c r="O89" s="69" t="inlineStr">
        <is>
          <t>GAB</t>
        </is>
      </c>
      <c r="P89" s="69" t="inlineStr">
        <is>
          <t>Gabon</t>
        </is>
      </c>
    </row>
    <row r="90">
      <c r="O90" s="69" t="inlineStr">
        <is>
          <t>GBR</t>
        </is>
      </c>
      <c r="P90" s="69" t="inlineStr">
        <is>
          <t>United Kingdom</t>
        </is>
      </c>
    </row>
    <row r="91">
      <c r="O91" s="69" t="inlineStr">
        <is>
          <t>GHA</t>
        </is>
      </c>
      <c r="P91" s="69" t="inlineStr">
        <is>
          <t>Ghana</t>
        </is>
      </c>
    </row>
    <row r="92">
      <c r="O92" s="69" t="inlineStr">
        <is>
          <t>GIB</t>
        </is>
      </c>
      <c r="P92" s="69" t="inlineStr">
        <is>
          <t>Gibraltar</t>
        </is>
      </c>
    </row>
    <row r="93">
      <c r="O93" s="69" t="inlineStr">
        <is>
          <t>GIN</t>
        </is>
      </c>
      <c r="P93" s="69" t="inlineStr">
        <is>
          <t>Guinea</t>
        </is>
      </c>
    </row>
    <row r="94">
      <c r="O94" s="69" t="inlineStr">
        <is>
          <t>GMB</t>
        </is>
      </c>
      <c r="P94" s="69" t="inlineStr">
        <is>
          <t>Gambia</t>
        </is>
      </c>
    </row>
    <row r="95">
      <c r="O95" s="69" t="inlineStr">
        <is>
          <t>GNB</t>
        </is>
      </c>
      <c r="P95" s="69" t="inlineStr">
        <is>
          <t>Guinea-Bissau</t>
        </is>
      </c>
    </row>
    <row r="96">
      <c r="O96" s="69" t="inlineStr">
        <is>
          <t>GNQ</t>
        </is>
      </c>
      <c r="P96" s="69" t="inlineStr">
        <is>
          <t>Equatorial Guinea</t>
        </is>
      </c>
    </row>
    <row r="97">
      <c r="O97" s="69" t="inlineStr">
        <is>
          <t>GRC</t>
        </is>
      </c>
      <c r="P97" s="69" t="inlineStr">
        <is>
          <t>Greece</t>
        </is>
      </c>
    </row>
    <row r="98">
      <c r="O98" s="69" t="inlineStr">
        <is>
          <t>GRD</t>
        </is>
      </c>
      <c r="P98" s="69" t="inlineStr">
        <is>
          <t>Grenada</t>
        </is>
      </c>
    </row>
    <row r="99">
      <c r="O99" s="69" t="inlineStr">
        <is>
          <t>GTM</t>
        </is>
      </c>
      <c r="P99" s="69" t="inlineStr">
        <is>
          <t>Guatemala</t>
        </is>
      </c>
    </row>
    <row r="100">
      <c r="O100" s="69" t="inlineStr">
        <is>
          <t>GUM</t>
        </is>
      </c>
      <c r="P100" s="69" t="inlineStr">
        <is>
          <t>Guam</t>
        </is>
      </c>
    </row>
    <row r="101">
      <c r="O101" s="69" t="inlineStr">
        <is>
          <t>GUY</t>
        </is>
      </c>
      <c r="P101" s="69" t="inlineStr">
        <is>
          <t>Guyana</t>
        </is>
      </c>
    </row>
    <row r="102">
      <c r="O102" s="69" t="inlineStr">
        <is>
          <t>HKG</t>
        </is>
      </c>
      <c r="P102" s="69" t="inlineStr">
        <is>
          <t>Hong Kong</t>
        </is>
      </c>
    </row>
    <row r="103">
      <c r="O103" s="69" t="inlineStr">
        <is>
          <t>HND</t>
        </is>
      </c>
      <c r="P103" s="69" t="inlineStr">
        <is>
          <t>Honduras</t>
        </is>
      </c>
    </row>
    <row r="104">
      <c r="O104" s="69" t="inlineStr">
        <is>
          <t>HTI</t>
        </is>
      </c>
      <c r="P104" s="69" t="inlineStr">
        <is>
          <t>Haiti</t>
        </is>
      </c>
    </row>
    <row r="105">
      <c r="O105" s="69" t="inlineStr">
        <is>
          <t>HUN</t>
        </is>
      </c>
      <c r="P105" s="69" t="inlineStr">
        <is>
          <t>Hungary</t>
        </is>
      </c>
    </row>
    <row r="106">
      <c r="O106" s="69" t="inlineStr">
        <is>
          <t>IDN</t>
        </is>
      </c>
      <c r="P106" s="69" t="inlineStr">
        <is>
          <t>Indonesia</t>
        </is>
      </c>
    </row>
    <row r="107">
      <c r="O107" s="69" t="inlineStr">
        <is>
          <t>IND</t>
        </is>
      </c>
      <c r="P107" s="69" t="inlineStr">
        <is>
          <t>India</t>
        </is>
      </c>
    </row>
    <row r="108">
      <c r="O108" s="69" t="inlineStr">
        <is>
          <t>IOT</t>
        </is>
      </c>
      <c r="P108" s="69" t="inlineStr">
        <is>
          <t>British Indian Ocean Territory</t>
        </is>
      </c>
    </row>
    <row r="109">
      <c r="O109" s="69" t="inlineStr">
        <is>
          <t>IRL</t>
        </is>
      </c>
      <c r="P109" s="69" t="inlineStr">
        <is>
          <t>Ireland</t>
        </is>
      </c>
    </row>
    <row r="110">
      <c r="O110" s="69" t="inlineStr">
        <is>
          <t>IRN</t>
        </is>
      </c>
      <c r="P110" s="69" t="inlineStr">
        <is>
          <t>Iran</t>
        </is>
      </c>
    </row>
    <row r="111">
      <c r="O111" s="69" t="inlineStr">
        <is>
          <t>IRQ</t>
        </is>
      </c>
      <c r="P111" s="69" t="inlineStr">
        <is>
          <t>Iraq</t>
        </is>
      </c>
    </row>
    <row r="112">
      <c r="O112" s="69" t="inlineStr">
        <is>
          <t>ISL</t>
        </is>
      </c>
      <c r="P112" s="69" t="inlineStr">
        <is>
          <t>Iceland</t>
        </is>
      </c>
    </row>
    <row r="113">
      <c r="O113" s="69" t="inlineStr">
        <is>
          <t>ISR</t>
        </is>
      </c>
      <c r="P113" s="69" t="inlineStr">
        <is>
          <t>Israel</t>
        </is>
      </c>
    </row>
    <row r="114">
      <c r="O114" s="69" t="inlineStr">
        <is>
          <t>ITA</t>
        </is>
      </c>
      <c r="P114" s="69" t="inlineStr">
        <is>
          <t>Italy</t>
        </is>
      </c>
    </row>
    <row r="115">
      <c r="O115" s="69" t="inlineStr">
        <is>
          <t>JAM</t>
        </is>
      </c>
      <c r="P115" s="69" t="inlineStr">
        <is>
          <t>Jamaica</t>
        </is>
      </c>
    </row>
    <row r="116">
      <c r="O116" s="69" t="inlineStr">
        <is>
          <t>JOR</t>
        </is>
      </c>
      <c r="P116" s="69" t="inlineStr">
        <is>
          <t>Jordan</t>
        </is>
      </c>
    </row>
    <row r="117">
      <c r="O117" s="69" t="inlineStr">
        <is>
          <t>JPN</t>
        </is>
      </c>
      <c r="P117" s="69" t="inlineStr">
        <is>
          <t>Japan</t>
        </is>
      </c>
    </row>
    <row r="118">
      <c r="O118" s="69" t="inlineStr">
        <is>
          <t>KEN</t>
        </is>
      </c>
      <c r="P118" s="69" t="inlineStr">
        <is>
          <t>Kenya</t>
        </is>
      </c>
    </row>
    <row r="119">
      <c r="O119" s="69" t="inlineStr">
        <is>
          <t>KHM</t>
        </is>
      </c>
      <c r="P119" s="69" t="inlineStr">
        <is>
          <t>Cambodia</t>
        </is>
      </c>
    </row>
    <row r="120">
      <c r="O120" s="69" t="inlineStr">
        <is>
          <t>KIR</t>
        </is>
      </c>
      <c r="P120" s="69" t="inlineStr">
        <is>
          <t>Kiribati</t>
        </is>
      </c>
    </row>
    <row r="121">
      <c r="O121" s="69" t="inlineStr">
        <is>
          <t>KNA</t>
        </is>
      </c>
      <c r="P121" s="69" t="inlineStr">
        <is>
          <t>Saint Kitts and Nevis</t>
        </is>
      </c>
    </row>
    <row r="122">
      <c r="O122" s="69" t="inlineStr">
        <is>
          <t>KOREA-NO</t>
        </is>
      </c>
      <c r="P122" s="69" t="inlineStr">
        <is>
          <t>North Korea</t>
        </is>
      </c>
    </row>
    <row r="123">
      <c r="O123" s="69" t="inlineStr">
        <is>
          <t>KOREA-NS</t>
        </is>
      </c>
      <c r="P123" s="69" t="inlineStr">
        <is>
          <t>South Korea</t>
        </is>
      </c>
    </row>
    <row r="124">
      <c r="O124" s="69" t="inlineStr">
        <is>
          <t>KOREA-SO</t>
        </is>
      </c>
      <c r="P124" s="69" t="inlineStr">
        <is>
          <t>North and South Korea</t>
        </is>
      </c>
    </row>
    <row r="125">
      <c r="O125" s="69" t="inlineStr">
        <is>
          <t>KWT</t>
        </is>
      </c>
      <c r="P125" s="69" t="inlineStr">
        <is>
          <t>Kuwait</t>
        </is>
      </c>
    </row>
    <row r="126">
      <c r="O126" s="69" t="inlineStr">
        <is>
          <t>LAO</t>
        </is>
      </c>
      <c r="P126" s="69" t="inlineStr">
        <is>
          <t>Laos</t>
        </is>
      </c>
    </row>
    <row r="127">
      <c r="O127" s="69" t="inlineStr">
        <is>
          <t>LBN</t>
        </is>
      </c>
      <c r="P127" s="69" t="inlineStr">
        <is>
          <t>Lebanon</t>
        </is>
      </c>
    </row>
    <row r="128">
      <c r="O128" s="69" t="inlineStr">
        <is>
          <t>LBR</t>
        </is>
      </c>
      <c r="P128" s="69" t="inlineStr">
        <is>
          <t>Liberia</t>
        </is>
      </c>
    </row>
    <row r="129">
      <c r="O129" s="69" t="inlineStr">
        <is>
          <t>LBY</t>
        </is>
      </c>
      <c r="P129" s="69" t="inlineStr">
        <is>
          <t>Libya</t>
        </is>
      </c>
    </row>
    <row r="130">
      <c r="O130" s="69" t="inlineStr">
        <is>
          <t>LCA</t>
        </is>
      </c>
      <c r="P130" s="69" t="inlineStr">
        <is>
          <t>Saint Lucia</t>
        </is>
      </c>
    </row>
    <row r="131">
      <c r="O131" s="69" t="inlineStr">
        <is>
          <t>LIE</t>
        </is>
      </c>
      <c r="P131" s="69" t="inlineStr">
        <is>
          <t>Liechtenstein</t>
        </is>
      </c>
    </row>
    <row r="132">
      <c r="O132" s="69" t="inlineStr">
        <is>
          <t>LKA</t>
        </is>
      </c>
      <c r="P132" s="69" t="inlineStr">
        <is>
          <t>Sri Lanka</t>
        </is>
      </c>
    </row>
    <row r="133">
      <c r="O133" s="69" t="inlineStr">
        <is>
          <t>LSO</t>
        </is>
      </c>
      <c r="P133" s="69" t="inlineStr">
        <is>
          <t>Lesotho</t>
        </is>
      </c>
    </row>
    <row r="134">
      <c r="O134" s="69" t="inlineStr">
        <is>
          <t>LUX</t>
        </is>
      </c>
      <c r="P134" s="69" t="inlineStr">
        <is>
          <t>Luxembourg</t>
        </is>
      </c>
    </row>
    <row r="135">
      <c r="O135" s="69" t="inlineStr">
        <is>
          <t>MAC</t>
        </is>
      </c>
      <c r="P135" s="69" t="inlineStr">
        <is>
          <t>Macau</t>
        </is>
      </c>
    </row>
    <row r="136">
      <c r="O136" s="69" t="inlineStr">
        <is>
          <t>MAR</t>
        </is>
      </c>
      <c r="P136" s="69" t="inlineStr">
        <is>
          <t>Morocco</t>
        </is>
      </c>
    </row>
    <row r="137">
      <c r="O137" s="69" t="inlineStr">
        <is>
          <t>MCO</t>
        </is>
      </c>
      <c r="P137" s="69" t="inlineStr">
        <is>
          <t>Monaco</t>
        </is>
      </c>
    </row>
    <row r="138">
      <c r="O138" s="69" t="inlineStr">
        <is>
          <t>MDG</t>
        </is>
      </c>
      <c r="P138" s="69" t="inlineStr">
        <is>
          <t>Madagascar</t>
        </is>
      </c>
    </row>
    <row r="139">
      <c r="O139" s="69" t="inlineStr">
        <is>
          <t>MDV</t>
        </is>
      </c>
      <c r="P139" s="69" t="inlineStr">
        <is>
          <t>Maldives</t>
        </is>
      </c>
    </row>
    <row r="140">
      <c r="O140" s="69" t="inlineStr">
        <is>
          <t>MEX</t>
        </is>
      </c>
      <c r="P140" s="69" t="inlineStr">
        <is>
          <t>Mexico</t>
        </is>
      </c>
    </row>
    <row r="141">
      <c r="O141" s="69" t="inlineStr">
        <is>
          <t>MHL</t>
        </is>
      </c>
      <c r="P141" s="69" t="inlineStr">
        <is>
          <t>Marshall Islands</t>
        </is>
      </c>
    </row>
    <row r="142">
      <c r="O142" s="69" t="inlineStr">
        <is>
          <t>MLI</t>
        </is>
      </c>
      <c r="P142" s="69" t="inlineStr">
        <is>
          <t>Mali</t>
        </is>
      </c>
    </row>
    <row r="143">
      <c r="O143" s="69" t="inlineStr">
        <is>
          <t>MLT</t>
        </is>
      </c>
      <c r="P143" s="69" t="inlineStr">
        <is>
          <t>Malta</t>
        </is>
      </c>
    </row>
    <row r="144">
      <c r="O144" s="69" t="inlineStr">
        <is>
          <t>MMR</t>
        </is>
      </c>
      <c r="P144" s="69" t="inlineStr">
        <is>
          <t>Myanmar</t>
        </is>
      </c>
    </row>
    <row r="145">
      <c r="O145" s="69" t="inlineStr">
        <is>
          <t>MNG</t>
        </is>
      </c>
      <c r="P145" s="69" t="inlineStr">
        <is>
          <t>Mongolia</t>
        </is>
      </c>
    </row>
    <row r="146">
      <c r="O146" s="69" t="inlineStr">
        <is>
          <t>MNP</t>
        </is>
      </c>
      <c r="P146" s="69" t="inlineStr">
        <is>
          <t>Northern Mariana Islands</t>
        </is>
      </c>
    </row>
    <row r="147">
      <c r="O147" s="69" t="inlineStr">
        <is>
          <t>MOZ</t>
        </is>
      </c>
      <c r="P147" s="69" t="inlineStr">
        <is>
          <t>Mozambique</t>
        </is>
      </c>
    </row>
    <row r="148">
      <c r="O148" s="69" t="inlineStr">
        <is>
          <t>MRT</t>
        </is>
      </c>
      <c r="P148" s="69" t="inlineStr">
        <is>
          <t>Mauritania</t>
        </is>
      </c>
    </row>
    <row r="149">
      <c r="O149" s="69" t="inlineStr">
        <is>
          <t>MSR</t>
        </is>
      </c>
      <c r="P149" s="69" t="inlineStr">
        <is>
          <t>Montserrat</t>
        </is>
      </c>
    </row>
    <row r="150">
      <c r="O150" s="69" t="inlineStr">
        <is>
          <t>MUS</t>
        </is>
      </c>
      <c r="P150" s="69" t="inlineStr">
        <is>
          <t>Mauritius</t>
        </is>
      </c>
    </row>
    <row r="151">
      <c r="O151" s="69" t="inlineStr">
        <is>
          <t>MWI</t>
        </is>
      </c>
      <c r="P151" s="69" t="inlineStr">
        <is>
          <t>Malawi</t>
        </is>
      </c>
    </row>
    <row r="152">
      <c r="O152" s="69" t="inlineStr">
        <is>
          <t>MYS</t>
        </is>
      </c>
      <c r="P152" s="69" t="inlineStr">
        <is>
          <t>Malaysia</t>
        </is>
      </c>
    </row>
    <row r="153">
      <c r="O153" s="69" t="inlineStr">
        <is>
          <t>NAM</t>
        </is>
      </c>
      <c r="P153" s="69" t="inlineStr">
        <is>
          <t>Namibia</t>
        </is>
      </c>
    </row>
    <row r="154">
      <c r="O154" s="69" t="inlineStr">
        <is>
          <t>NER</t>
        </is>
      </c>
      <c r="P154" s="69" t="inlineStr">
        <is>
          <t>Niger</t>
        </is>
      </c>
    </row>
    <row r="155">
      <c r="O155" s="69" t="inlineStr">
        <is>
          <t>NFK</t>
        </is>
      </c>
      <c r="P155" s="69" t="inlineStr">
        <is>
          <t>Norfolk Islands</t>
        </is>
      </c>
    </row>
    <row r="156">
      <c r="O156" s="69" t="inlineStr">
        <is>
          <t>NGA</t>
        </is>
      </c>
      <c r="P156" s="69" t="inlineStr">
        <is>
          <t>Nigeria</t>
        </is>
      </c>
    </row>
    <row r="157">
      <c r="O157" s="69" t="inlineStr">
        <is>
          <t>NIC</t>
        </is>
      </c>
      <c r="P157" s="69" t="inlineStr">
        <is>
          <t>Nicaragua</t>
        </is>
      </c>
    </row>
    <row r="158">
      <c r="O158" s="69" t="inlineStr">
        <is>
          <t>NIU</t>
        </is>
      </c>
      <c r="P158" s="69" t="inlineStr">
        <is>
          <t>Niue</t>
        </is>
      </c>
    </row>
    <row r="159">
      <c r="O159" s="69" t="inlineStr">
        <is>
          <t>NLD</t>
        </is>
      </c>
      <c r="P159" s="69" t="inlineStr">
        <is>
          <t>Netherlands</t>
        </is>
      </c>
    </row>
    <row r="160">
      <c r="O160" s="69" t="inlineStr">
        <is>
          <t>NOAM</t>
        </is>
      </c>
      <c r="P160" s="69" t="inlineStr">
        <is>
          <t>North America</t>
        </is>
      </c>
    </row>
    <row r="161">
      <c r="O161" s="69" t="inlineStr">
        <is>
          <t>NOR</t>
        </is>
      </c>
      <c r="P161" s="69" t="inlineStr">
        <is>
          <t>Norway</t>
        </is>
      </c>
    </row>
    <row r="162">
      <c r="O162" s="69" t="inlineStr">
        <is>
          <t>NPL</t>
        </is>
      </c>
      <c r="P162" s="69" t="inlineStr">
        <is>
          <t>Nepal</t>
        </is>
      </c>
    </row>
    <row r="163">
      <c r="O163" s="69" t="inlineStr">
        <is>
          <t>NRU</t>
        </is>
      </c>
      <c r="P163" s="69" t="inlineStr">
        <is>
          <t>Nauru</t>
        </is>
      </c>
    </row>
    <row r="164">
      <c r="O164" s="69" t="inlineStr">
        <is>
          <t>NZL</t>
        </is>
      </c>
      <c r="P164" s="69" t="inlineStr">
        <is>
          <t>New Zealand</t>
        </is>
      </c>
    </row>
    <row r="165">
      <c r="O165" s="69" t="inlineStr">
        <is>
          <t>OCEA</t>
        </is>
      </c>
      <c r="P165" s="69" t="inlineStr">
        <is>
          <t>Oceania</t>
        </is>
      </c>
    </row>
    <row r="166">
      <c r="O166" s="69" t="inlineStr">
        <is>
          <t>OMN</t>
        </is>
      </c>
      <c r="P166" s="69" t="inlineStr">
        <is>
          <t>Oman</t>
        </is>
      </c>
    </row>
    <row r="167">
      <c r="O167" s="69" t="inlineStr">
        <is>
          <t>OTH</t>
        </is>
      </c>
      <c r="P167" s="69" t="inlineStr">
        <is>
          <t>Other</t>
        </is>
      </c>
    </row>
    <row r="168">
      <c r="O168" s="69" t="inlineStr">
        <is>
          <t>PAK</t>
        </is>
      </c>
      <c r="P168" s="69" t="inlineStr">
        <is>
          <t>Pakistan</t>
        </is>
      </c>
    </row>
    <row r="169">
      <c r="O169" s="69" t="inlineStr">
        <is>
          <t>PAN</t>
        </is>
      </c>
      <c r="P169" s="69" t="inlineStr">
        <is>
          <t>Panama</t>
        </is>
      </c>
    </row>
    <row r="170">
      <c r="O170" s="69" t="inlineStr">
        <is>
          <t>PCN</t>
        </is>
      </c>
      <c r="P170" s="69" t="inlineStr">
        <is>
          <t>Pitcairn</t>
        </is>
      </c>
    </row>
    <row r="171">
      <c r="O171" s="69" t="inlineStr">
        <is>
          <t>PER</t>
        </is>
      </c>
      <c r="P171" s="69" t="inlineStr">
        <is>
          <t>Peru</t>
        </is>
      </c>
    </row>
    <row r="172">
      <c r="O172" s="69" t="inlineStr">
        <is>
          <t>PHL</t>
        </is>
      </c>
      <c r="P172" s="69" t="inlineStr">
        <is>
          <t>Philippines</t>
        </is>
      </c>
    </row>
    <row r="173">
      <c r="O173" s="69" t="inlineStr">
        <is>
          <t>PLW</t>
        </is>
      </c>
      <c r="P173" s="69" t="inlineStr">
        <is>
          <t>Pacific Islands (Palau)</t>
        </is>
      </c>
    </row>
    <row r="174">
      <c r="O174" s="69" t="inlineStr">
        <is>
          <t>PNG</t>
        </is>
      </c>
      <c r="P174" s="69" t="inlineStr">
        <is>
          <t>Papua New Guinea</t>
        </is>
      </c>
    </row>
    <row r="175">
      <c r="O175" s="69" t="inlineStr">
        <is>
          <t>POL</t>
        </is>
      </c>
      <c r="P175" s="69" t="inlineStr">
        <is>
          <t>Poland</t>
        </is>
      </c>
    </row>
    <row r="176">
      <c r="O176" s="69" t="inlineStr">
        <is>
          <t>PRI</t>
        </is>
      </c>
      <c r="P176" s="69" t="inlineStr">
        <is>
          <t>Puerto Rico</t>
        </is>
      </c>
    </row>
    <row r="177">
      <c r="O177" s="69" t="inlineStr">
        <is>
          <t>PRT</t>
        </is>
      </c>
      <c r="P177" s="69" t="inlineStr">
        <is>
          <t>Portugal</t>
        </is>
      </c>
    </row>
    <row r="178">
      <c r="O178" s="69" t="inlineStr">
        <is>
          <t>PRY</t>
        </is>
      </c>
      <c r="P178" s="69" t="inlineStr">
        <is>
          <t>Paraguay</t>
        </is>
      </c>
    </row>
    <row r="179">
      <c r="O179" s="69" t="inlineStr">
        <is>
          <t>PSE</t>
        </is>
      </c>
      <c r="P179" s="69" t="inlineStr">
        <is>
          <t>Occupied Palestinian Territory</t>
        </is>
      </c>
    </row>
    <row r="180">
      <c r="O180" s="69" t="inlineStr">
        <is>
          <t>QAT</t>
        </is>
      </c>
      <c r="P180" s="69" t="inlineStr">
        <is>
          <t>Qatar</t>
        </is>
      </c>
    </row>
    <row r="181">
      <c r="O181" s="69" t="inlineStr">
        <is>
          <t>ROU</t>
        </is>
      </c>
      <c r="P181" s="69" t="inlineStr">
        <is>
          <t>Romania</t>
        </is>
      </c>
    </row>
    <row r="182">
      <c r="O182" s="69" t="inlineStr">
        <is>
          <t>RWA</t>
        </is>
      </c>
      <c r="P182" s="69" t="inlineStr">
        <is>
          <t>Rwanda</t>
        </is>
      </c>
    </row>
    <row r="183">
      <c r="O183" s="69" t="inlineStr">
        <is>
          <t>SAU</t>
        </is>
      </c>
      <c r="P183" s="69" t="inlineStr">
        <is>
          <t>Saudi Arabia</t>
        </is>
      </c>
    </row>
    <row r="184">
      <c r="O184" s="69" t="inlineStr">
        <is>
          <t>SCAC</t>
        </is>
      </c>
      <c r="P184" s="69" t="inlineStr">
        <is>
          <t>South and Central America</t>
        </is>
      </c>
    </row>
    <row r="185">
      <c r="O185" s="69" t="inlineStr">
        <is>
          <t>SDN</t>
        </is>
      </c>
      <c r="P185" s="69" t="inlineStr">
        <is>
          <t>Sudan</t>
        </is>
      </c>
    </row>
    <row r="186">
      <c r="O186" s="69" t="inlineStr">
        <is>
          <t>SEN</t>
        </is>
      </c>
      <c r="P186" s="69" t="inlineStr">
        <is>
          <t>Senegal</t>
        </is>
      </c>
    </row>
    <row r="187">
      <c r="O187" s="69" t="inlineStr">
        <is>
          <t>SGP</t>
        </is>
      </c>
      <c r="P187" s="69" t="inlineStr">
        <is>
          <t>Singapore</t>
        </is>
      </c>
    </row>
    <row r="188">
      <c r="O188" s="69" t="inlineStr">
        <is>
          <t>SHN</t>
        </is>
      </c>
      <c r="P188" s="69" t="inlineStr">
        <is>
          <t>Saint Helena</t>
        </is>
      </c>
    </row>
    <row r="189">
      <c r="O189" s="69" t="inlineStr">
        <is>
          <t>SJM</t>
        </is>
      </c>
      <c r="P189" s="69" t="inlineStr">
        <is>
          <t>Svalbard and Jan Mayen Islands</t>
        </is>
      </c>
    </row>
    <row r="190">
      <c r="O190" s="69" t="inlineStr">
        <is>
          <t>SLB</t>
        </is>
      </c>
      <c r="P190" s="69" t="inlineStr">
        <is>
          <t>Solomon Islands</t>
        </is>
      </c>
    </row>
    <row r="191">
      <c r="O191" s="69" t="inlineStr">
        <is>
          <t>SLE</t>
        </is>
      </c>
      <c r="P191" s="69" t="inlineStr">
        <is>
          <t>Sierra Leone</t>
        </is>
      </c>
    </row>
    <row r="192">
      <c r="O192" s="69" t="inlineStr">
        <is>
          <t>SLV</t>
        </is>
      </c>
      <c r="P192" s="69" t="inlineStr">
        <is>
          <t>El Salvador</t>
        </is>
      </c>
    </row>
    <row r="193">
      <c r="O193" s="69" t="inlineStr">
        <is>
          <t>SMR</t>
        </is>
      </c>
      <c r="P193" s="69" t="inlineStr">
        <is>
          <t>San Marino</t>
        </is>
      </c>
    </row>
    <row r="194">
      <c r="O194" s="69" t="inlineStr">
        <is>
          <t>SOM</t>
        </is>
      </c>
      <c r="P194" s="69" t="inlineStr">
        <is>
          <t>Somalia</t>
        </is>
      </c>
    </row>
    <row r="195">
      <c r="O195" s="69" t="inlineStr">
        <is>
          <t>STP</t>
        </is>
      </c>
      <c r="P195" s="69" t="inlineStr">
        <is>
          <t>Sao Tome and Principe</t>
        </is>
      </c>
    </row>
    <row r="196">
      <c r="O196" s="69" t="inlineStr">
        <is>
          <t>SUR</t>
        </is>
      </c>
      <c r="P196" s="69" t="inlineStr">
        <is>
          <t>Suriname</t>
        </is>
      </c>
    </row>
    <row r="197">
      <c r="O197" s="69" t="inlineStr">
        <is>
          <t>SWE</t>
        </is>
      </c>
      <c r="P197" s="69" t="inlineStr">
        <is>
          <t>Sweden</t>
        </is>
      </c>
    </row>
    <row r="198">
      <c r="O198" s="69" t="inlineStr">
        <is>
          <t>SWZ</t>
        </is>
      </c>
      <c r="P198" s="69" t="inlineStr">
        <is>
          <t>Swaziland</t>
        </is>
      </c>
    </row>
    <row r="199">
      <c r="O199" s="69" t="inlineStr">
        <is>
          <t>SYC</t>
        </is>
      </c>
      <c r="P199" s="69" t="inlineStr">
        <is>
          <t>Seychelles</t>
        </is>
      </c>
    </row>
    <row r="200">
      <c r="O200" s="69" t="inlineStr">
        <is>
          <t>SYR</t>
        </is>
      </c>
      <c r="P200" s="69" t="inlineStr">
        <is>
          <t>Syria</t>
        </is>
      </c>
    </row>
    <row r="201">
      <c r="O201" s="69" t="inlineStr">
        <is>
          <t>TCA</t>
        </is>
      </c>
      <c r="P201" s="69" t="inlineStr">
        <is>
          <t>Turks and Caicos Islands</t>
        </is>
      </c>
    </row>
    <row r="202">
      <c r="O202" s="69" t="inlineStr">
        <is>
          <t>TCD</t>
        </is>
      </c>
      <c r="P202" s="69" t="inlineStr">
        <is>
          <t>Chad</t>
        </is>
      </c>
    </row>
    <row r="203">
      <c r="O203" s="69" t="inlineStr">
        <is>
          <t>TGO</t>
        </is>
      </c>
      <c r="P203" s="69" t="inlineStr">
        <is>
          <t>Togo</t>
        </is>
      </c>
    </row>
    <row r="204">
      <c r="O204" s="69" t="inlineStr">
        <is>
          <t>THA</t>
        </is>
      </c>
      <c r="P204" s="69" t="inlineStr">
        <is>
          <t>Thailand</t>
        </is>
      </c>
    </row>
    <row r="205">
      <c r="O205" s="69" t="inlineStr">
        <is>
          <t>TKL</t>
        </is>
      </c>
      <c r="P205" s="69" t="inlineStr">
        <is>
          <t>Tokelau</t>
        </is>
      </c>
    </row>
    <row r="206">
      <c r="O206" s="69" t="inlineStr">
        <is>
          <t>TLS</t>
        </is>
      </c>
      <c r="P206" s="69" t="inlineStr">
        <is>
          <t>Timor-Leste</t>
        </is>
      </c>
    </row>
    <row r="207">
      <c r="O207" s="69" t="inlineStr">
        <is>
          <t>TMP</t>
        </is>
      </c>
      <c r="P207" s="69" t="inlineStr">
        <is>
          <t>East Timor</t>
        </is>
      </c>
    </row>
    <row r="208">
      <c r="O208" s="69" t="inlineStr">
        <is>
          <t>TON</t>
        </is>
      </c>
      <c r="P208" s="69" t="inlineStr">
        <is>
          <t>Tonga</t>
        </is>
      </c>
    </row>
    <row r="209">
      <c r="O209" s="69" t="inlineStr">
        <is>
          <t>TTO</t>
        </is>
      </c>
      <c r="P209" s="69" t="inlineStr">
        <is>
          <t>Trinidad and Tobago</t>
        </is>
      </c>
    </row>
    <row r="210">
      <c r="O210" s="69" t="inlineStr">
        <is>
          <t>TUN</t>
        </is>
      </c>
      <c r="P210" s="69" t="inlineStr">
        <is>
          <t>Tunisia</t>
        </is>
      </c>
    </row>
    <row r="211">
      <c r="O211" s="69" t="inlineStr">
        <is>
          <t>TUR</t>
        </is>
      </c>
      <c r="P211" s="69" t="inlineStr">
        <is>
          <t>Turkey</t>
        </is>
      </c>
    </row>
    <row r="212">
      <c r="O212" s="69" t="inlineStr">
        <is>
          <t>TUV</t>
        </is>
      </c>
      <c r="P212" s="69" t="inlineStr">
        <is>
          <t>Tuvalu</t>
        </is>
      </c>
    </row>
    <row r="213">
      <c r="O213" s="69" t="inlineStr">
        <is>
          <t>TWN</t>
        </is>
      </c>
      <c r="P213" s="69" t="inlineStr">
        <is>
          <t>Chinese Taipei</t>
        </is>
      </c>
    </row>
    <row r="214">
      <c r="O214" s="69" t="inlineStr">
        <is>
          <t>TZA</t>
        </is>
      </c>
      <c r="P214" s="69" t="inlineStr">
        <is>
          <t>United Republic of Tanzania</t>
        </is>
      </c>
    </row>
    <row r="215">
      <c r="O215" s="69" t="inlineStr">
        <is>
          <t>UGA</t>
        </is>
      </c>
      <c r="P215" s="69" t="inlineStr">
        <is>
          <t>Unknown</t>
        </is>
      </c>
    </row>
    <row r="216">
      <c r="O216" s="69" t="inlineStr">
        <is>
          <t>UNK</t>
        </is>
      </c>
      <c r="P216" s="69" t="inlineStr">
        <is>
          <t>Unknown</t>
        </is>
      </c>
    </row>
    <row r="217">
      <c r="O217" s="69" t="inlineStr">
        <is>
          <t>URY</t>
        </is>
      </c>
      <c r="P217" s="69" t="inlineStr">
        <is>
          <t>Uruguay</t>
        </is>
      </c>
    </row>
    <row r="218">
      <c r="O218" s="69" t="inlineStr">
        <is>
          <t>USA</t>
        </is>
      </c>
      <c r="P218" s="69" t="inlineStr">
        <is>
          <t>United States</t>
        </is>
      </c>
    </row>
    <row r="219">
      <c r="O219" s="69" t="inlineStr">
        <is>
          <t>USSR</t>
        </is>
      </c>
      <c r="P219" s="69" t="inlineStr">
        <is>
          <t>Former USSR</t>
        </is>
      </c>
    </row>
    <row r="220">
      <c r="O220" s="69" t="inlineStr">
        <is>
          <t>USSR-ARM</t>
        </is>
      </c>
      <c r="P220" s="69" t="inlineStr">
        <is>
          <t>Armenia</t>
        </is>
      </c>
    </row>
    <row r="221">
      <c r="O221" s="69" t="inlineStr">
        <is>
          <t>USSR-AZE</t>
        </is>
      </c>
      <c r="P221" s="69" t="inlineStr">
        <is>
          <t>Azerbaidjan</t>
        </is>
      </c>
    </row>
    <row r="222">
      <c r="O222" s="69" t="inlineStr">
        <is>
          <t>USSR-BLR</t>
        </is>
      </c>
      <c r="P222" s="69" t="inlineStr">
        <is>
          <t>Belarus</t>
        </is>
      </c>
    </row>
    <row r="223">
      <c r="O223" s="69" t="inlineStr">
        <is>
          <t>USSR-EST</t>
        </is>
      </c>
      <c r="P223" s="69" t="inlineStr">
        <is>
          <t>Estonia</t>
        </is>
      </c>
    </row>
    <row r="224">
      <c r="O224" s="69" t="inlineStr">
        <is>
          <t>USSR-GEO</t>
        </is>
      </c>
      <c r="P224" s="69" t="inlineStr">
        <is>
          <t>Georgia</t>
        </is>
      </c>
    </row>
    <row r="225">
      <c r="O225" s="69" t="inlineStr">
        <is>
          <t>USSR-KAZ</t>
        </is>
      </c>
      <c r="P225" s="69" t="inlineStr">
        <is>
          <t>Kazakhstan</t>
        </is>
      </c>
    </row>
    <row r="226">
      <c r="O226" s="69" t="inlineStr">
        <is>
          <t>USSR-KGZ</t>
        </is>
      </c>
      <c r="P226" s="69" t="inlineStr">
        <is>
          <t>Kirghizistan</t>
        </is>
      </c>
    </row>
    <row r="227">
      <c r="O227" s="69" t="inlineStr">
        <is>
          <t>USSR-LTU</t>
        </is>
      </c>
      <c r="P227" s="69" t="inlineStr">
        <is>
          <t>Lithuania</t>
        </is>
      </c>
    </row>
    <row r="228">
      <c r="O228" s="69" t="inlineStr">
        <is>
          <t>USSR-LVA</t>
        </is>
      </c>
      <c r="P228" s="69" t="inlineStr">
        <is>
          <t>Latvia</t>
        </is>
      </c>
    </row>
    <row r="229">
      <c r="O229" s="69" t="inlineStr">
        <is>
          <t>USSR-MDA</t>
        </is>
      </c>
      <c r="P229" s="69" t="inlineStr">
        <is>
          <t>Moldova</t>
        </is>
      </c>
    </row>
    <row r="230">
      <c r="O230" s="69" t="inlineStr">
        <is>
          <t>USSR-RUS</t>
        </is>
      </c>
      <c r="P230" s="69" t="inlineStr">
        <is>
          <t>Russia</t>
        </is>
      </c>
    </row>
    <row r="231">
      <c r="O231" s="69" t="inlineStr">
        <is>
          <t>USSR-TJK</t>
        </is>
      </c>
      <c r="P231" s="69" t="inlineStr">
        <is>
          <t>Tadjikistan</t>
        </is>
      </c>
    </row>
    <row r="232">
      <c r="O232" s="69" t="inlineStr">
        <is>
          <t>USSR-TKM</t>
        </is>
      </c>
      <c r="P232" s="69" t="inlineStr">
        <is>
          <t>Turkménistan</t>
        </is>
      </c>
    </row>
    <row r="233">
      <c r="O233" s="69" t="inlineStr">
        <is>
          <t>USSR-UKR</t>
        </is>
      </c>
      <c r="P233" s="69" t="inlineStr">
        <is>
          <t>Ukraine</t>
        </is>
      </c>
    </row>
    <row r="234">
      <c r="O234" s="69" t="inlineStr">
        <is>
          <t>USSR-UZB</t>
        </is>
      </c>
      <c r="P234" s="69" t="inlineStr">
        <is>
          <t>Uzbekistan</t>
        </is>
      </c>
    </row>
    <row r="235">
      <c r="O235" s="69" t="inlineStr">
        <is>
          <t>VAT</t>
        </is>
      </c>
      <c r="P235" s="69" t="inlineStr">
        <is>
          <t>Holy See</t>
        </is>
      </c>
    </row>
    <row r="236">
      <c r="O236" s="69" t="inlineStr">
        <is>
          <t>VCT</t>
        </is>
      </c>
      <c r="P236" s="69" t="inlineStr">
        <is>
          <t>Saint Vincent and the Grenadines</t>
        </is>
      </c>
    </row>
    <row r="237">
      <c r="O237" s="69" t="inlineStr">
        <is>
          <t>VEN</t>
        </is>
      </c>
      <c r="P237" s="69" t="inlineStr">
        <is>
          <t>Venezuela</t>
        </is>
      </c>
    </row>
    <row r="238">
      <c r="O238" s="69" t="inlineStr">
        <is>
          <t>VGB</t>
        </is>
      </c>
      <c r="P238" s="69" t="inlineStr">
        <is>
          <t>British Virgin Islands</t>
        </is>
      </c>
    </row>
    <row r="239">
      <c r="O239" s="69" t="inlineStr">
        <is>
          <t>VIR</t>
        </is>
      </c>
      <c r="P239" s="69" t="inlineStr">
        <is>
          <t>United States Virgin Islands</t>
        </is>
      </c>
    </row>
    <row r="240">
      <c r="O240" s="69" t="inlineStr">
        <is>
          <t>VNM</t>
        </is>
      </c>
      <c r="P240" s="69" t="inlineStr">
        <is>
          <t>Vietnam</t>
        </is>
      </c>
    </row>
    <row r="241">
      <c r="O241" s="69" t="inlineStr">
        <is>
          <t>VUT</t>
        </is>
      </c>
      <c r="P241" s="69" t="inlineStr">
        <is>
          <t>Vanuatu</t>
        </is>
      </c>
    </row>
    <row r="242">
      <c r="O242" s="69" t="inlineStr">
        <is>
          <t>WSM</t>
        </is>
      </c>
      <c r="P242" s="69" t="inlineStr">
        <is>
          <t>Samoa</t>
        </is>
      </c>
    </row>
    <row r="243">
      <c r="O243" s="69" t="inlineStr">
        <is>
          <t>YEM</t>
        </is>
      </c>
      <c r="P243" s="69" t="inlineStr">
        <is>
          <t>Yemen</t>
        </is>
      </c>
    </row>
    <row r="244">
      <c r="O244" s="69" t="inlineStr">
        <is>
          <t>ZAF</t>
        </is>
      </c>
      <c r="P244" s="69" t="inlineStr">
        <is>
          <t>South Africa</t>
        </is>
      </c>
    </row>
    <row r="245">
      <c r="O245" s="69" t="inlineStr">
        <is>
          <t>ZMB</t>
        </is>
      </c>
      <c r="P245" s="69" t="inlineStr">
        <is>
          <t>Zambia</t>
        </is>
      </c>
    </row>
    <row r="246">
      <c r="O246" s="69" t="inlineStr">
        <is>
          <t>ZWE</t>
        </is>
      </c>
      <c r="P246" s="69" t="inlineStr">
        <is>
          <t>Zimbabwe</t>
        </is>
      </c>
    </row>
  </sheetData>
  <autoFilter ref="O12:P12"/>
  <mergeCells count="24">
    <mergeCell ref="B27:F27"/>
    <mergeCell ref="G27:J27"/>
    <mergeCell ref="B31:J31"/>
    <mergeCell ref="G18:J18"/>
    <mergeCell ref="G19:J19"/>
    <mergeCell ref="G20:J20"/>
    <mergeCell ref="G21:J21"/>
    <mergeCell ref="G22:J22"/>
    <mergeCell ref="G23:J23"/>
    <mergeCell ref="G24:J24"/>
    <mergeCell ref="G25:J25"/>
    <mergeCell ref="G26:J26"/>
    <mergeCell ref="G17:J17"/>
    <mergeCell ref="B1:J2"/>
    <mergeCell ref="B3:J3"/>
    <mergeCell ref="B5:J5"/>
    <mergeCell ref="B7:J7"/>
    <mergeCell ref="B8:J8"/>
    <mergeCell ref="B10:J10"/>
    <mergeCell ref="B12:F12"/>
    <mergeCell ref="G12:J12"/>
    <mergeCell ref="G14:J14"/>
    <mergeCell ref="G15:J15"/>
    <mergeCell ref="G16:J16"/>
  </mergeCells>
  <hyperlinks>
    <hyperlink xmlns:r="http://schemas.openxmlformats.org/officeDocument/2006/relationships" ref="B8" location="indicator-chart" r:id="rId1"/>
    <hyperlink xmlns:r="http://schemas.openxmlformats.org/officeDocument/2006/relationships" ref="B14" location="indicator-chart" r:id="rId2"/>
    <hyperlink xmlns:r="http://schemas.openxmlformats.org/officeDocument/2006/relationships" ref="B21" location="indicator-chart" r:id="rId3"/>
  </hyperlinks>
  <pageMargins left="0.7" right="0.7" top="0.75" bottom="0.75" header="0.3" footer="0.3"/>
</worksheet>
</file>

<file path=xl/worksheets/sheet2.xml><?xml version="1.0" encoding="utf-8"?>
<worksheet xmlns="http://schemas.openxmlformats.org/spreadsheetml/2006/main">
  <sheetPr codeName="Sheet5">
    <tabColor theme="1" tint="0.499984740745262"/>
    <outlinePr summaryBelow="1" summaryRight="1"/>
    <pageSetUpPr/>
  </sheetPr>
  <dimension ref="A1:AX890"/>
  <sheetViews>
    <sheetView workbookViewId="0">
      <pane xSplit="1" ySplit="1" topLeftCell="B863" activePane="bottomRight" state="frozen"/>
      <selection activeCell="A1" sqref="A1:XFD1048576"/>
      <selection pane="topRight" activeCell="A1" sqref="A1:XFD1048576"/>
      <selection pane="bottomLeft" activeCell="A1" sqref="A1:XFD1048576"/>
      <selection pane="bottomRight" activeCell="A9" sqref="A9"/>
    </sheetView>
  </sheetViews>
  <sheetFormatPr baseColWidth="10" defaultColWidth="9.1640625" defaultRowHeight="15"/>
  <cols>
    <col width="11.1640625" customWidth="1" style="78" min="1" max="1"/>
    <col width="9.1640625" customWidth="1" style="78" min="2" max="4"/>
    <col width="10.6640625" bestFit="1" customWidth="1" style="78" min="5" max="5"/>
    <col width="9.1640625" customWidth="1" style="78" min="6" max="15"/>
    <col width="9.1640625" customWidth="1" style="78" min="16" max="16384"/>
  </cols>
  <sheetData>
    <row r="1">
      <c r="A1" t="inlineStr">
        <is>
          <t>DATE</t>
        </is>
      </c>
      <c r="B1" t="inlineStr">
        <is>
          <t>AUT</t>
        </is>
      </c>
      <c r="C1" t="inlineStr">
        <is>
          <t>BEL</t>
        </is>
      </c>
      <c r="D1" t="inlineStr">
        <is>
          <t>BRA</t>
        </is>
      </c>
      <c r="E1" t="inlineStr">
        <is>
          <t>CAN</t>
        </is>
      </c>
      <c r="F1" t="inlineStr">
        <is>
          <t>CHE</t>
        </is>
      </c>
      <c r="G1" t="inlineStr">
        <is>
          <t>CHL</t>
        </is>
      </c>
      <c r="H1" t="inlineStr">
        <is>
          <t>CHN</t>
        </is>
      </c>
      <c r="I1" t="inlineStr">
        <is>
          <t>COL</t>
        </is>
      </c>
      <c r="J1" t="inlineStr">
        <is>
          <t>CRI</t>
        </is>
      </c>
      <c r="K1" t="inlineStr">
        <is>
          <t>CZE</t>
        </is>
      </c>
      <c r="L1" t="inlineStr">
        <is>
          <t>DEU</t>
        </is>
      </c>
      <c r="M1" t="inlineStr">
        <is>
          <t>DNK</t>
        </is>
      </c>
      <c r="N1" t="inlineStr">
        <is>
          <t>EA19</t>
        </is>
      </c>
      <c r="O1" t="inlineStr">
        <is>
          <t>ESP</t>
        </is>
      </c>
      <c r="P1" t="inlineStr">
        <is>
          <t>EST</t>
        </is>
      </c>
      <c r="Q1" t="inlineStr">
        <is>
          <t>EU27_2020</t>
        </is>
      </c>
      <c r="R1" t="inlineStr">
        <is>
          <t>FIN</t>
        </is>
      </c>
      <c r="S1" t="inlineStr">
        <is>
          <t>FRA</t>
        </is>
      </c>
      <c r="T1" t="inlineStr">
        <is>
          <t>G-20</t>
        </is>
      </c>
      <c r="U1" t="inlineStr">
        <is>
          <t>G-7</t>
        </is>
      </c>
      <c r="V1" t="inlineStr">
        <is>
          <t>GBR</t>
        </is>
      </c>
      <c r="W1" t="inlineStr">
        <is>
          <t>GRC</t>
        </is>
      </c>
      <c r="X1" t="inlineStr">
        <is>
          <t>HUN</t>
        </is>
      </c>
      <c r="Y1" t="inlineStr">
        <is>
          <t>IDN</t>
        </is>
      </c>
      <c r="Z1" t="inlineStr">
        <is>
          <t>IND</t>
        </is>
      </c>
      <c r="AA1" t="inlineStr">
        <is>
          <t>IRL</t>
        </is>
      </c>
      <c r="AB1" t="inlineStr">
        <is>
          <t>ISL</t>
        </is>
      </c>
      <c r="AC1" t="inlineStr">
        <is>
          <t>ISR</t>
        </is>
      </c>
      <c r="AD1" t="inlineStr">
        <is>
          <t>ITA</t>
        </is>
      </c>
      <c r="AE1" t="inlineStr">
        <is>
          <t>JPN</t>
        </is>
      </c>
      <c r="AF1" t="inlineStr">
        <is>
          <t>KOR</t>
        </is>
      </c>
      <c r="AG1" t="inlineStr">
        <is>
          <t>LTU</t>
        </is>
      </c>
      <c r="AH1" t="inlineStr">
        <is>
          <t>LUX</t>
        </is>
      </c>
      <c r="AI1" t="inlineStr">
        <is>
          <t>LVA</t>
        </is>
      </c>
      <c r="AJ1" t="inlineStr">
        <is>
          <t>MEX</t>
        </is>
      </c>
      <c r="AK1" t="inlineStr">
        <is>
          <t>NLD</t>
        </is>
      </c>
      <c r="AL1" t="inlineStr">
        <is>
          <t>NOR</t>
        </is>
      </c>
      <c r="AM1" t="inlineStr">
        <is>
          <t>OECD</t>
        </is>
      </c>
      <c r="AN1" t="inlineStr">
        <is>
          <t>OECDE</t>
        </is>
      </c>
      <c r="AO1" t="inlineStr">
        <is>
          <t>POL</t>
        </is>
      </c>
      <c r="AP1" t="inlineStr">
        <is>
          <t>PRT</t>
        </is>
      </c>
      <c r="AQ1" t="inlineStr">
        <is>
          <t>RUS</t>
        </is>
      </c>
      <c r="AR1" t="inlineStr">
        <is>
          <t>SAU</t>
        </is>
      </c>
      <c r="AS1" t="inlineStr">
        <is>
          <t>SVK</t>
        </is>
      </c>
      <c r="AT1" t="inlineStr">
        <is>
          <t>SVN</t>
        </is>
      </c>
      <c r="AU1" t="inlineStr">
        <is>
          <t>SWE</t>
        </is>
      </c>
      <c r="AV1" t="inlineStr">
        <is>
          <t>TUR</t>
        </is>
      </c>
      <c r="AW1" t="inlineStr">
        <is>
          <t>USA</t>
        </is>
      </c>
      <c r="AX1" t="inlineStr">
        <is>
          <t>ZAF</t>
        </is>
      </c>
    </row>
    <row r="2">
      <c r="A2" s="92" t="n">
        <v>17899</v>
      </c>
      <c r="E2" t="n">
        <v>9.560179</v>
      </c>
    </row>
    <row r="3">
      <c r="A3" s="92" t="n">
        <v>17930</v>
      </c>
      <c r="E3" t="n">
        <v>9.560179</v>
      </c>
    </row>
    <row r="4">
      <c r="A4" s="92" t="n">
        <v>17958</v>
      </c>
      <c r="E4" t="n">
        <v>9.560179</v>
      </c>
    </row>
    <row r="5">
      <c r="A5" s="92" t="n">
        <v>17989</v>
      </c>
      <c r="E5" t="n">
        <v>9.560179</v>
      </c>
    </row>
    <row r="6">
      <c r="A6" s="92" t="n">
        <v>18019</v>
      </c>
      <c r="E6" t="n">
        <v>9.560179</v>
      </c>
    </row>
    <row r="7">
      <c r="A7" s="92" t="n">
        <v>18050</v>
      </c>
      <c r="E7" t="n">
        <v>9.560179</v>
      </c>
    </row>
    <row r="8">
      <c r="A8" s="92" t="n">
        <v>18080</v>
      </c>
      <c r="E8" t="n">
        <v>9.560179</v>
      </c>
    </row>
    <row r="9">
      <c r="A9" s="92" t="n">
        <v>18111</v>
      </c>
      <c r="E9" t="n">
        <v>9.639189</v>
      </c>
    </row>
    <row r="10">
      <c r="A10" s="92" t="n">
        <v>18142</v>
      </c>
      <c r="E10" t="n">
        <v>9.639189</v>
      </c>
    </row>
    <row r="11">
      <c r="A11" s="92" t="n">
        <v>18172</v>
      </c>
      <c r="E11" t="n">
        <v>9.718199</v>
      </c>
    </row>
    <row r="12">
      <c r="A12" s="92" t="n">
        <v>18203</v>
      </c>
      <c r="E12" t="n">
        <v>9.718199</v>
      </c>
    </row>
    <row r="13">
      <c r="A13" s="92" t="n">
        <v>18233</v>
      </c>
      <c r="E13" t="n">
        <v>9.639189</v>
      </c>
    </row>
    <row r="14">
      <c r="A14" s="92" t="n">
        <v>18264</v>
      </c>
      <c r="E14" t="n">
        <v>9.560179</v>
      </c>
    </row>
    <row r="15">
      <c r="A15" s="92" t="n">
        <v>18295</v>
      </c>
      <c r="E15" t="n">
        <v>9.639189</v>
      </c>
    </row>
    <row r="16">
      <c r="A16" s="92" t="n">
        <v>18323</v>
      </c>
      <c r="E16" t="n">
        <v>9.718199</v>
      </c>
    </row>
    <row r="17">
      <c r="A17" s="92" t="n">
        <v>18354</v>
      </c>
      <c r="E17" t="n">
        <v>9.718199</v>
      </c>
    </row>
    <row r="18">
      <c r="A18" s="92" t="n">
        <v>18384</v>
      </c>
      <c r="E18" t="n">
        <v>9.718199</v>
      </c>
    </row>
    <row r="19">
      <c r="A19" s="92" t="n">
        <v>18415</v>
      </c>
      <c r="E19" t="n">
        <v>9.718199</v>
      </c>
    </row>
    <row r="20">
      <c r="A20" s="92" t="n">
        <v>18445</v>
      </c>
      <c r="E20" t="n">
        <v>9.797209000000001</v>
      </c>
    </row>
    <row r="21">
      <c r="A21" s="92" t="n">
        <v>18476</v>
      </c>
      <c r="E21" t="n">
        <v>9.876218</v>
      </c>
    </row>
    <row r="22">
      <c r="A22" s="92" t="n">
        <v>18507</v>
      </c>
      <c r="E22" t="n">
        <v>10.03424</v>
      </c>
    </row>
    <row r="23">
      <c r="A23" s="92" t="n">
        <v>18537</v>
      </c>
      <c r="E23" t="n">
        <v>10.19226</v>
      </c>
    </row>
    <row r="24">
      <c r="A24" s="92" t="n">
        <v>18568</v>
      </c>
      <c r="E24" t="n">
        <v>10.19226</v>
      </c>
    </row>
    <row r="25">
      <c r="A25" s="92" t="n">
        <v>18598</v>
      </c>
      <c r="E25" t="n">
        <v>10.19226</v>
      </c>
    </row>
    <row r="26">
      <c r="A26" s="92" t="n">
        <v>18629</v>
      </c>
      <c r="E26" t="n">
        <v>10.27127</v>
      </c>
    </row>
    <row r="27">
      <c r="A27" s="92" t="n">
        <v>18660</v>
      </c>
      <c r="E27" t="n">
        <v>10.5083</v>
      </c>
    </row>
    <row r="28">
      <c r="A28" s="92" t="n">
        <v>18688</v>
      </c>
      <c r="E28" t="n">
        <v>10.58731</v>
      </c>
    </row>
    <row r="29">
      <c r="A29" s="92" t="n">
        <v>18719</v>
      </c>
      <c r="E29" t="n">
        <v>10.74533</v>
      </c>
    </row>
    <row r="30">
      <c r="A30" s="92" t="n">
        <v>18749</v>
      </c>
      <c r="E30" t="n">
        <v>10.74533</v>
      </c>
    </row>
    <row r="31">
      <c r="A31" s="92" t="n">
        <v>18780</v>
      </c>
      <c r="E31" t="n">
        <v>10.98235</v>
      </c>
    </row>
    <row r="32">
      <c r="A32" s="92" t="n">
        <v>18810</v>
      </c>
      <c r="E32" t="n">
        <v>10.98235</v>
      </c>
    </row>
    <row r="33">
      <c r="A33" s="92" t="n">
        <v>18841</v>
      </c>
      <c r="E33" t="n">
        <v>11.06136</v>
      </c>
      <c r="AF33" t="n">
        <v>0.1346827</v>
      </c>
    </row>
    <row r="34">
      <c r="A34" s="92" t="n">
        <v>18872</v>
      </c>
      <c r="E34" t="n">
        <v>11.14037</v>
      </c>
      <c r="AF34" t="n">
        <v>0.1333313</v>
      </c>
    </row>
    <row r="35">
      <c r="A35" s="92" t="n">
        <v>18902</v>
      </c>
      <c r="E35" t="n">
        <v>11.21938</v>
      </c>
      <c r="AF35" t="n">
        <v>0.1158228</v>
      </c>
    </row>
    <row r="36">
      <c r="A36" s="92" t="n">
        <v>18933</v>
      </c>
      <c r="E36" t="n">
        <v>11.29839</v>
      </c>
      <c r="AF36" t="n">
        <v>0.1171742</v>
      </c>
    </row>
    <row r="37">
      <c r="A37" s="92" t="n">
        <v>18963</v>
      </c>
      <c r="E37" t="n">
        <v>11.29839</v>
      </c>
      <c r="AF37" t="n">
        <v>0.1279456</v>
      </c>
    </row>
    <row r="38">
      <c r="A38" s="92" t="n">
        <v>18994</v>
      </c>
      <c r="E38" t="n">
        <v>11.3774</v>
      </c>
      <c r="AF38" t="n">
        <v>0.142758</v>
      </c>
    </row>
    <row r="39">
      <c r="A39" s="92" t="n">
        <v>19025</v>
      </c>
      <c r="E39" t="n">
        <v>11.29839</v>
      </c>
      <c r="AF39" t="n">
        <v>0.1710446</v>
      </c>
    </row>
    <row r="40">
      <c r="A40" s="92" t="n">
        <v>19054</v>
      </c>
      <c r="E40" t="n">
        <v>11.21938</v>
      </c>
      <c r="AF40" t="n">
        <v>0.2087513</v>
      </c>
    </row>
    <row r="41">
      <c r="A41" s="92" t="n">
        <v>19085</v>
      </c>
      <c r="E41" t="n">
        <v>11.21938</v>
      </c>
      <c r="AF41" t="n">
        <v>0.219536</v>
      </c>
    </row>
    <row r="42">
      <c r="A42" s="92" t="n">
        <v>19115</v>
      </c>
      <c r="E42" t="n">
        <v>11.14037</v>
      </c>
      <c r="AF42" t="n">
        <v>0.2370379</v>
      </c>
    </row>
    <row r="43">
      <c r="A43" s="92" t="n">
        <v>19146</v>
      </c>
      <c r="E43" t="n">
        <v>11.14037</v>
      </c>
      <c r="AF43" t="n">
        <v>0.2410788</v>
      </c>
    </row>
    <row r="44">
      <c r="A44" s="92" t="n">
        <v>19176</v>
      </c>
      <c r="E44" t="n">
        <v>11.14037</v>
      </c>
      <c r="AF44" t="n">
        <v>0.2532017</v>
      </c>
    </row>
    <row r="45">
      <c r="A45" s="92" t="n">
        <v>19207</v>
      </c>
      <c r="E45" t="n">
        <v>11.14037</v>
      </c>
      <c r="AF45" t="n">
        <v>0.2747445</v>
      </c>
    </row>
    <row r="46">
      <c r="A46" s="92" t="n">
        <v>19238</v>
      </c>
      <c r="E46" t="n">
        <v>11.14037</v>
      </c>
      <c r="AF46" t="n">
        <v>0.2949559</v>
      </c>
    </row>
    <row r="47">
      <c r="A47" s="92" t="n">
        <v>19268</v>
      </c>
      <c r="E47" t="n">
        <v>11.14037</v>
      </c>
      <c r="AF47" t="n">
        <v>0.2572426</v>
      </c>
    </row>
    <row r="48">
      <c r="A48" s="92" t="n">
        <v>19299</v>
      </c>
      <c r="E48" t="n">
        <v>11.14037</v>
      </c>
      <c r="AF48" t="n">
        <v>0.2478093</v>
      </c>
    </row>
    <row r="49">
      <c r="A49" s="92" t="n">
        <v>19329</v>
      </c>
      <c r="E49" t="n">
        <v>11.14037</v>
      </c>
      <c r="AF49" t="n">
        <v>0.2680141</v>
      </c>
    </row>
    <row r="50">
      <c r="A50" s="92" t="n">
        <v>19360</v>
      </c>
      <c r="E50" t="n">
        <v>11.14037</v>
      </c>
      <c r="AF50" t="n">
        <v>0.2895636</v>
      </c>
    </row>
    <row r="51">
      <c r="A51" s="92" t="n">
        <v>19391</v>
      </c>
      <c r="E51" t="n">
        <v>11.06136</v>
      </c>
      <c r="AF51" t="n">
        <v>0.3313178</v>
      </c>
    </row>
    <row r="52">
      <c r="A52" s="92" t="n">
        <v>19419</v>
      </c>
      <c r="E52" t="n">
        <v>10.98235</v>
      </c>
      <c r="AF52" t="n">
        <v>0.3326626</v>
      </c>
    </row>
    <row r="53">
      <c r="A53" s="92" t="n">
        <v>19450</v>
      </c>
      <c r="E53" t="n">
        <v>10.98235</v>
      </c>
      <c r="AF53" t="n">
        <v>0.3501711</v>
      </c>
    </row>
    <row r="54">
      <c r="A54" s="92" t="n">
        <v>19480</v>
      </c>
      <c r="E54" t="n">
        <v>10.98235</v>
      </c>
      <c r="AF54" t="n">
        <v>0.3259321</v>
      </c>
    </row>
    <row r="55">
      <c r="A55" s="92" t="n">
        <v>19511</v>
      </c>
      <c r="E55" t="n">
        <v>10.98235</v>
      </c>
      <c r="AF55" t="n">
        <v>0.3313178</v>
      </c>
    </row>
    <row r="56">
      <c r="A56" s="92" t="n">
        <v>19541</v>
      </c>
      <c r="E56" t="n">
        <v>10.98235</v>
      </c>
      <c r="AF56" t="n">
        <v>0.358253</v>
      </c>
    </row>
    <row r="57">
      <c r="A57" s="92" t="n">
        <v>19572</v>
      </c>
      <c r="E57" t="n">
        <v>11.14037</v>
      </c>
      <c r="AF57" t="n">
        <v>0.3811473</v>
      </c>
    </row>
    <row r="58">
      <c r="A58" s="92" t="n">
        <v>19603</v>
      </c>
      <c r="E58" t="n">
        <v>11.14037</v>
      </c>
      <c r="AF58" t="n">
        <v>0.3919254</v>
      </c>
    </row>
    <row r="59">
      <c r="A59" s="92" t="n">
        <v>19633</v>
      </c>
      <c r="E59" t="n">
        <v>11.21938</v>
      </c>
      <c r="AF59" t="n">
        <v>0.3717206</v>
      </c>
    </row>
    <row r="60">
      <c r="A60" s="92" t="n">
        <v>19664</v>
      </c>
      <c r="E60" t="n">
        <v>11.14037</v>
      </c>
      <c r="AF60" t="n">
        <v>0.3905806</v>
      </c>
    </row>
    <row r="61">
      <c r="A61" s="92" t="n">
        <v>19694</v>
      </c>
      <c r="E61" t="n">
        <v>11.14037</v>
      </c>
      <c r="AF61" t="n">
        <v>0.4404101</v>
      </c>
    </row>
    <row r="62">
      <c r="A62" s="92" t="n">
        <v>19725</v>
      </c>
      <c r="E62" t="n">
        <v>11.14037</v>
      </c>
      <c r="AF62" t="n">
        <v>0.4188606</v>
      </c>
    </row>
    <row r="63">
      <c r="A63" s="92" t="n">
        <v>19756</v>
      </c>
      <c r="E63" t="n">
        <v>11.14037</v>
      </c>
      <c r="AF63" t="n">
        <v>0.4094273</v>
      </c>
    </row>
    <row r="64">
      <c r="A64" s="92" t="n">
        <v>19784</v>
      </c>
      <c r="E64" t="n">
        <v>11.06136</v>
      </c>
      <c r="O64" t="n">
        <v>1.78591</v>
      </c>
      <c r="AF64" t="n">
        <v>0.4363692</v>
      </c>
    </row>
    <row r="65">
      <c r="A65" s="92" t="n">
        <v>19815</v>
      </c>
      <c r="E65" t="n">
        <v>11.06136</v>
      </c>
      <c r="O65" t="n">
        <v>1.789719</v>
      </c>
      <c r="AF65" t="n">
        <v>0.4336796</v>
      </c>
    </row>
    <row r="66">
      <c r="A66" s="92" t="n">
        <v>19845</v>
      </c>
      <c r="E66" t="n">
        <v>11.06136</v>
      </c>
      <c r="O66" t="n">
        <v>1.789719</v>
      </c>
      <c r="AF66" t="n">
        <v>0.401352</v>
      </c>
    </row>
    <row r="67">
      <c r="A67" s="92" t="n">
        <v>19876</v>
      </c>
      <c r="E67" t="n">
        <v>11.14037</v>
      </c>
      <c r="O67" t="n">
        <v>1.78319</v>
      </c>
      <c r="AF67" t="n">
        <v>0.401352</v>
      </c>
    </row>
    <row r="68">
      <c r="A68" s="92" t="n">
        <v>19906</v>
      </c>
      <c r="E68" t="n">
        <v>11.14037</v>
      </c>
      <c r="O68" t="n">
        <v>1.784822</v>
      </c>
      <c r="AF68" t="n">
        <v>0.4431063</v>
      </c>
    </row>
    <row r="69">
      <c r="A69" s="92" t="n">
        <v>19937</v>
      </c>
      <c r="E69" t="n">
        <v>11.21938</v>
      </c>
      <c r="O69" t="n">
        <v>1.777748</v>
      </c>
      <c r="AF69" t="n">
        <v>0.476772</v>
      </c>
    </row>
    <row r="70">
      <c r="A70" s="92" t="n">
        <v>19968</v>
      </c>
      <c r="E70" t="n">
        <v>11.21938</v>
      </c>
      <c r="O70" t="n">
        <v>1.778836</v>
      </c>
      <c r="AF70" t="n">
        <v>0.5481510000000001</v>
      </c>
    </row>
    <row r="71">
      <c r="A71" s="92" t="n">
        <v>19998</v>
      </c>
      <c r="E71" t="n">
        <v>11.21938</v>
      </c>
      <c r="O71" t="n">
        <v>1.788087</v>
      </c>
      <c r="AF71" t="n">
        <v>0.6101033</v>
      </c>
    </row>
    <row r="72">
      <c r="A72" s="92" t="n">
        <v>20029</v>
      </c>
      <c r="E72" t="n">
        <v>11.21938</v>
      </c>
      <c r="O72" t="n">
        <v>1.803323</v>
      </c>
      <c r="AF72" t="n">
        <v>0.6585947</v>
      </c>
    </row>
    <row r="73">
      <c r="A73" s="92" t="n">
        <v>20059</v>
      </c>
      <c r="E73" t="n">
        <v>11.14037</v>
      </c>
      <c r="O73" t="n">
        <v>1.819647</v>
      </c>
      <c r="AF73" t="n">
        <v>0.6518576</v>
      </c>
    </row>
    <row r="74">
      <c r="A74" s="92" t="n">
        <v>20090</v>
      </c>
      <c r="C74" t="n">
        <v>13.14666</v>
      </c>
      <c r="E74" t="n">
        <v>11.14037</v>
      </c>
      <c r="F74" t="n">
        <v>23.0275</v>
      </c>
      <c r="L74" t="n">
        <v>20.94136</v>
      </c>
      <c r="O74" t="n">
        <v>1.831075</v>
      </c>
      <c r="R74" t="n">
        <v>5.345512</v>
      </c>
      <c r="S74" t="n">
        <v>7.427382</v>
      </c>
      <c r="V74" t="n">
        <v>4.859513</v>
      </c>
      <c r="W74" t="n">
        <v>0.964898</v>
      </c>
      <c r="AB74" t="n">
        <v>0.0274817</v>
      </c>
      <c r="AD74" t="n">
        <v>3.506081</v>
      </c>
      <c r="AE74" t="n">
        <v>17.09859</v>
      </c>
      <c r="AF74" t="n">
        <v>0.7191956</v>
      </c>
      <c r="AH74" t="n">
        <v>14.76643</v>
      </c>
      <c r="AL74" t="n">
        <v>7.23881</v>
      </c>
      <c r="AP74" t="n">
        <v>0.9983417999999999</v>
      </c>
      <c r="AU74" t="n">
        <v>7.219212</v>
      </c>
      <c r="AV74" t="n">
        <v>1.8266e-05</v>
      </c>
      <c r="AW74" t="n">
        <v>11.26501</v>
      </c>
    </row>
    <row r="75">
      <c r="A75" s="92" t="n">
        <v>20121</v>
      </c>
      <c r="C75" t="n">
        <v>13.08139</v>
      </c>
      <c r="E75" t="n">
        <v>11.14037</v>
      </c>
      <c r="F75" t="n">
        <v>22.94759</v>
      </c>
      <c r="L75" t="n">
        <v>20.81088</v>
      </c>
      <c r="O75" t="n">
        <v>1.83706</v>
      </c>
      <c r="R75" t="n">
        <v>5.345512</v>
      </c>
      <c r="S75" t="n">
        <v>7.412047</v>
      </c>
      <c r="V75" t="n">
        <v>4.859513</v>
      </c>
      <c r="W75" t="n">
        <v>0.9581504</v>
      </c>
      <c r="AA75" t="n">
        <v>4.204363</v>
      </c>
      <c r="AB75" t="n">
        <v>0.0274817</v>
      </c>
      <c r="AD75" t="n">
        <v>3.496054</v>
      </c>
      <c r="AE75" t="n">
        <v>17.09859</v>
      </c>
      <c r="AF75" t="n">
        <v>0.7474822</v>
      </c>
      <c r="AH75" t="n">
        <v>14.69866</v>
      </c>
      <c r="AL75" t="n">
        <v>7.167139</v>
      </c>
      <c r="AP75" t="n">
        <v>0.9943919</v>
      </c>
      <c r="AU75" t="n">
        <v>7.231506</v>
      </c>
      <c r="AV75" t="n">
        <v>1.8266e-05</v>
      </c>
      <c r="AW75" t="n">
        <v>11.26501</v>
      </c>
    </row>
    <row r="76">
      <c r="A76" s="92" t="n">
        <v>20149</v>
      </c>
      <c r="C76" t="n">
        <v>13.05528</v>
      </c>
      <c r="E76" t="n">
        <v>11.14037</v>
      </c>
      <c r="F76" t="n">
        <v>22.92037</v>
      </c>
      <c r="L76" t="n">
        <v>20.81088</v>
      </c>
      <c r="O76" t="n">
        <v>1.844134</v>
      </c>
      <c r="R76" t="n">
        <v>5.345512</v>
      </c>
      <c r="S76" t="n">
        <v>7.406935</v>
      </c>
      <c r="V76" t="n">
        <v>4.859513</v>
      </c>
      <c r="W76" t="n">
        <v>0.9798926</v>
      </c>
      <c r="AB76" t="n">
        <v>0.0274817</v>
      </c>
      <c r="AD76" t="n">
        <v>3.496054</v>
      </c>
      <c r="AE76" t="n">
        <v>16.98852</v>
      </c>
      <c r="AF76" t="n">
        <v>0.7555575</v>
      </c>
      <c r="AH76" t="n">
        <v>14.55837</v>
      </c>
      <c r="AL76" t="n">
        <v>7.167139</v>
      </c>
      <c r="AP76" t="n">
        <v>1.001304</v>
      </c>
      <c r="AU76" t="n">
        <v>7.245477</v>
      </c>
      <c r="AV76" t="n">
        <v>1.8105e-05</v>
      </c>
      <c r="AW76" t="n">
        <v>11.26501</v>
      </c>
    </row>
    <row r="77">
      <c r="A77" s="92" t="n">
        <v>20180</v>
      </c>
      <c r="C77" t="n">
        <v>13.00306</v>
      </c>
      <c r="E77" t="n">
        <v>11.14037</v>
      </c>
      <c r="F77" t="n">
        <v>22.93442</v>
      </c>
      <c r="L77" t="n">
        <v>20.81088</v>
      </c>
      <c r="O77" t="n">
        <v>1.854473</v>
      </c>
      <c r="R77" t="n">
        <v>5.400059</v>
      </c>
      <c r="S77" t="n">
        <v>7.401824</v>
      </c>
      <c r="V77" t="n">
        <v>4.885972</v>
      </c>
      <c r="W77" t="n">
        <v>0.9768936</v>
      </c>
      <c r="AB77" t="n">
        <v>0.0274817</v>
      </c>
      <c r="AD77" t="n">
        <v>3.502739</v>
      </c>
      <c r="AE77" t="n">
        <v>17.13528</v>
      </c>
      <c r="AF77" t="n">
        <v>0.7663422</v>
      </c>
      <c r="AH77" t="n">
        <v>14.5227</v>
      </c>
      <c r="AL77" t="n">
        <v>7.167139</v>
      </c>
      <c r="AP77" t="n">
        <v>0.9914294</v>
      </c>
      <c r="AU77" t="n">
        <v>7.306392</v>
      </c>
      <c r="AV77" t="n">
        <v>1.8105e-05</v>
      </c>
      <c r="AW77" t="n">
        <v>11.26501</v>
      </c>
    </row>
    <row r="78">
      <c r="A78" s="92" t="n">
        <v>20210</v>
      </c>
      <c r="C78" t="n">
        <v>12.95084</v>
      </c>
      <c r="E78" t="n">
        <v>11.14037</v>
      </c>
      <c r="F78" t="n">
        <v>23.01432</v>
      </c>
      <c r="L78" t="n">
        <v>20.74564</v>
      </c>
      <c r="O78" t="n">
        <v>1.855562</v>
      </c>
      <c r="R78" t="n">
        <v>5.400059</v>
      </c>
      <c r="S78" t="n">
        <v>7.442718</v>
      </c>
      <c r="V78" t="n">
        <v>4.877152</v>
      </c>
      <c r="W78" t="n">
        <v>0.9911384</v>
      </c>
      <c r="AA78" t="n">
        <v>4.237599</v>
      </c>
      <c r="AB78" t="n">
        <v>0.0274817</v>
      </c>
      <c r="AD78" t="n">
        <v>3.506081</v>
      </c>
      <c r="AE78" t="n">
        <v>16.97017</v>
      </c>
      <c r="AF78" t="n">
        <v>0.8000079</v>
      </c>
      <c r="AH78" t="n">
        <v>14.50605</v>
      </c>
      <c r="AL78" t="n">
        <v>7.23881</v>
      </c>
      <c r="AP78" t="n">
        <v>0.9845171</v>
      </c>
      <c r="AU78" t="n">
        <v>7.327628</v>
      </c>
      <c r="AV78" t="n">
        <v>1.8266e-05</v>
      </c>
      <c r="AW78" t="n">
        <v>11.26501</v>
      </c>
    </row>
    <row r="79">
      <c r="A79" s="92" t="n">
        <v>20241</v>
      </c>
      <c r="C79" t="n">
        <v>13.02917</v>
      </c>
      <c r="E79" t="n">
        <v>11.14037</v>
      </c>
      <c r="F79" t="n">
        <v>23.01432</v>
      </c>
      <c r="L79" t="n">
        <v>20.81088</v>
      </c>
      <c r="O79" t="n">
        <v>1.850664</v>
      </c>
      <c r="R79" t="n">
        <v>5.400059</v>
      </c>
      <c r="S79" t="n">
        <v>7.396712</v>
      </c>
      <c r="V79" t="n">
        <v>4.978576</v>
      </c>
      <c r="W79" t="n">
        <v>1.004634</v>
      </c>
      <c r="AB79" t="n">
        <v>0.02782522</v>
      </c>
      <c r="AD79" t="n">
        <v>3.509423</v>
      </c>
      <c r="AE79" t="n">
        <v>16.98852</v>
      </c>
      <c r="AF79" t="n">
        <v>0.8484926</v>
      </c>
      <c r="AH79" t="n">
        <v>14.52983</v>
      </c>
      <c r="AL79" t="n">
        <v>7.23881</v>
      </c>
      <c r="AP79" t="n">
        <v>0.9756298</v>
      </c>
      <c r="AU79" t="n">
        <v>7.342158</v>
      </c>
      <c r="AV79" t="n">
        <v>1.8913e-05</v>
      </c>
      <c r="AW79" t="n">
        <v>11.26501</v>
      </c>
    </row>
    <row r="80">
      <c r="A80" s="92" t="n">
        <v>20271</v>
      </c>
      <c r="C80" t="n">
        <v>13.17278</v>
      </c>
      <c r="E80" t="n">
        <v>11.14037</v>
      </c>
      <c r="F80" t="n">
        <v>23.0275</v>
      </c>
      <c r="L80" t="n">
        <v>21.07183</v>
      </c>
      <c r="O80" t="n">
        <v>1.850664</v>
      </c>
      <c r="R80" t="n">
        <v>5.400059</v>
      </c>
      <c r="S80" t="n">
        <v>7.314924</v>
      </c>
      <c r="V80" t="n">
        <v>4.996214</v>
      </c>
      <c r="W80" t="n">
        <v>0.9993854</v>
      </c>
      <c r="AB80" t="n">
        <v>0.02816874</v>
      </c>
      <c r="AD80" t="n">
        <v>3.509423</v>
      </c>
      <c r="AE80" t="n">
        <v>16.91513</v>
      </c>
      <c r="AF80" t="n">
        <v>0.8794688000000001</v>
      </c>
      <c r="AH80" t="n">
        <v>14.65467</v>
      </c>
      <c r="AL80" t="n">
        <v>7.23881</v>
      </c>
      <c r="AP80" t="n">
        <v>0.9805672</v>
      </c>
      <c r="AU80" t="n">
        <v>7.435486</v>
      </c>
      <c r="AV80" t="n">
        <v>1.9398e-05</v>
      </c>
      <c r="AW80" t="n">
        <v>11.30721</v>
      </c>
    </row>
    <row r="81">
      <c r="A81" s="92" t="n">
        <v>20302</v>
      </c>
      <c r="C81" t="n">
        <v>13.23805</v>
      </c>
      <c r="E81" t="n">
        <v>11.14037</v>
      </c>
      <c r="F81" t="n">
        <v>23.08106</v>
      </c>
      <c r="L81" t="n">
        <v>20.94136</v>
      </c>
      <c r="O81" t="n">
        <v>1.854473</v>
      </c>
      <c r="R81" t="n">
        <v>5.454605</v>
      </c>
      <c r="S81" t="n">
        <v>7.309812</v>
      </c>
      <c r="V81" t="n">
        <v>4.960937</v>
      </c>
      <c r="W81" t="n">
        <v>1.001635</v>
      </c>
      <c r="AA81" t="n">
        <v>4.266681</v>
      </c>
      <c r="AB81" t="n">
        <v>0.02816874</v>
      </c>
      <c r="AD81" t="n">
        <v>3.516108</v>
      </c>
      <c r="AE81" t="n">
        <v>17.02521</v>
      </c>
      <c r="AF81" t="n">
        <v>0.9104449</v>
      </c>
      <c r="AH81" t="n">
        <v>14.67607</v>
      </c>
      <c r="AL81" t="n">
        <v>7.23881</v>
      </c>
      <c r="AP81" t="n">
        <v>0.9855046</v>
      </c>
      <c r="AU81" t="n">
        <v>7.454487</v>
      </c>
      <c r="AV81" t="n">
        <v>1.9721e-05</v>
      </c>
      <c r="AW81" t="n">
        <v>11.30721</v>
      </c>
    </row>
    <row r="82">
      <c r="A82" s="92" t="n">
        <v>20333</v>
      </c>
      <c r="C82" t="n">
        <v>13.29027</v>
      </c>
      <c r="E82" t="n">
        <v>11.21938</v>
      </c>
      <c r="F82" t="n">
        <v>23.12057</v>
      </c>
      <c r="L82" t="n">
        <v>20.94136</v>
      </c>
      <c r="O82" t="n">
        <v>1.866989</v>
      </c>
      <c r="R82" t="n">
        <v>5.454605</v>
      </c>
      <c r="S82" t="n">
        <v>7.386488</v>
      </c>
      <c r="V82" t="n">
        <v>4.991805</v>
      </c>
      <c r="W82" t="n">
        <v>1.009132</v>
      </c>
      <c r="AB82" t="n">
        <v>0.02816874</v>
      </c>
      <c r="AD82" t="n">
        <v>3.516108</v>
      </c>
      <c r="AE82" t="n">
        <v>17.09859</v>
      </c>
      <c r="AF82" t="n">
        <v>0.9575849</v>
      </c>
      <c r="AH82" t="n">
        <v>14.72719</v>
      </c>
      <c r="AL82" t="n">
        <v>7.23881</v>
      </c>
      <c r="AP82" t="n">
        <v>1.000317</v>
      </c>
      <c r="AU82" t="n">
        <v>7.494724</v>
      </c>
      <c r="AV82" t="n">
        <v>1.9721e-05</v>
      </c>
      <c r="AW82" t="n">
        <v>11.3494</v>
      </c>
    </row>
    <row r="83">
      <c r="A83" s="92" t="n">
        <v>20363</v>
      </c>
      <c r="C83" t="n">
        <v>13.29027</v>
      </c>
      <c r="E83" t="n">
        <v>11.21938</v>
      </c>
      <c r="F83" t="n">
        <v>23.16096</v>
      </c>
      <c r="L83" t="n">
        <v>21.20231</v>
      </c>
      <c r="O83" t="n">
        <v>1.882226</v>
      </c>
      <c r="R83" t="n">
        <v>5.509151</v>
      </c>
      <c r="S83" t="n">
        <v>7.463165</v>
      </c>
      <c r="V83" t="n">
        <v>5.044722</v>
      </c>
      <c r="W83" t="n">
        <v>1.01363</v>
      </c>
      <c r="AB83" t="n">
        <v>0.02919931</v>
      </c>
      <c r="AD83" t="n">
        <v>3.529477</v>
      </c>
      <c r="AE83" t="n">
        <v>17.20867</v>
      </c>
      <c r="AF83" t="n">
        <v>0.8915916</v>
      </c>
      <c r="AH83" t="n">
        <v>14.71531</v>
      </c>
      <c r="AL83" t="n">
        <v>7.23881</v>
      </c>
      <c r="AP83" t="n">
        <v>1.012167</v>
      </c>
      <c r="AU83" t="n">
        <v>7.570727</v>
      </c>
      <c r="AV83" t="n">
        <v>2.0044e-05</v>
      </c>
      <c r="AW83" t="n">
        <v>11.3494</v>
      </c>
    </row>
    <row r="84">
      <c r="A84" s="92" t="n">
        <v>20394</v>
      </c>
      <c r="C84" t="n">
        <v>13.32944</v>
      </c>
      <c r="E84" t="n">
        <v>11.21938</v>
      </c>
      <c r="F84" t="n">
        <v>23.18731</v>
      </c>
      <c r="L84" t="n">
        <v>21.26755</v>
      </c>
      <c r="O84" t="n">
        <v>1.890388</v>
      </c>
      <c r="R84" t="n">
        <v>5.509151</v>
      </c>
      <c r="S84" t="n">
        <v>7.468277</v>
      </c>
      <c r="V84" t="n">
        <v>5.124096</v>
      </c>
      <c r="W84" t="n">
        <v>1.01438</v>
      </c>
      <c r="AA84" t="n">
        <v>4.362235</v>
      </c>
      <c r="AB84" t="n">
        <v>0.02954283</v>
      </c>
      <c r="AD84" t="n">
        <v>3.539504</v>
      </c>
      <c r="AE84" t="n">
        <v>16.80506</v>
      </c>
      <c r="AF84" t="n">
        <v>0.8094344999999999</v>
      </c>
      <c r="AH84" t="n">
        <v>14.7379</v>
      </c>
      <c r="AL84" t="n">
        <v>7.23881</v>
      </c>
      <c r="AP84" t="n">
        <v>1.022041</v>
      </c>
      <c r="AU84" t="n">
        <v>7.634995</v>
      </c>
      <c r="AV84" t="n">
        <v>2.0691e-05</v>
      </c>
      <c r="AW84" t="n">
        <v>11.3494</v>
      </c>
    </row>
    <row r="85">
      <c r="A85" s="92" t="n">
        <v>20424</v>
      </c>
      <c r="C85" t="n">
        <v>13.34249</v>
      </c>
      <c r="E85" t="n">
        <v>11.21938</v>
      </c>
      <c r="F85" t="n">
        <v>23.18731</v>
      </c>
      <c r="L85" t="n">
        <v>21.33278</v>
      </c>
      <c r="O85" t="n">
        <v>1.896373</v>
      </c>
      <c r="R85" t="n">
        <v>5.509151</v>
      </c>
      <c r="S85" t="n">
        <v>7.4785</v>
      </c>
      <c r="V85" t="n">
        <v>5.124096</v>
      </c>
      <c r="W85" t="n">
        <v>1.020378</v>
      </c>
      <c r="AB85" t="n">
        <v>0.02954283</v>
      </c>
      <c r="AD85" t="n">
        <v>3.5629</v>
      </c>
      <c r="AE85" t="n">
        <v>16.73167</v>
      </c>
      <c r="AF85" t="n">
        <v>0.8269431</v>
      </c>
      <c r="AH85" t="n">
        <v>14.74384</v>
      </c>
      <c r="AL85" t="n">
        <v>7.23881</v>
      </c>
      <c r="AP85" t="n">
        <v>1.028954</v>
      </c>
      <c r="AU85" t="n">
        <v>7.667967</v>
      </c>
      <c r="AV85" t="n">
        <v>2.1014e-05</v>
      </c>
      <c r="AW85" t="n">
        <v>11.30721</v>
      </c>
    </row>
    <row r="86">
      <c r="A86" s="92" t="n">
        <v>20455</v>
      </c>
      <c r="C86" t="n">
        <v>13.34249</v>
      </c>
      <c r="E86" t="n">
        <v>11.21938</v>
      </c>
      <c r="F86" t="n">
        <v>23.05384</v>
      </c>
      <c r="L86" t="n">
        <v>21.20231</v>
      </c>
      <c r="O86" t="n">
        <v>1.89855</v>
      </c>
      <c r="R86" t="n">
        <v>5.672789</v>
      </c>
      <c r="S86" t="n">
        <v>7.504059</v>
      </c>
      <c r="V86" t="n">
        <v>5.106458</v>
      </c>
      <c r="W86" t="n">
        <v>1.022627</v>
      </c>
      <c r="AB86" t="n">
        <v>0.02988635</v>
      </c>
      <c r="AD86" t="n">
        <v>3.569585</v>
      </c>
      <c r="AE86" t="n">
        <v>16.8234</v>
      </c>
      <c r="AF86" t="n">
        <v>0.8484926</v>
      </c>
      <c r="AH86" t="n">
        <v>14.73195</v>
      </c>
      <c r="AL86" t="n">
        <v>7.23881</v>
      </c>
      <c r="AP86" t="n">
        <v>1.025991</v>
      </c>
      <c r="AU86" t="n">
        <v>7.667408</v>
      </c>
      <c r="AV86" t="n">
        <v>2.1499e-05</v>
      </c>
      <c r="AW86" t="n">
        <v>11.30721</v>
      </c>
    </row>
    <row r="87">
      <c r="A87" s="92" t="n">
        <v>20486</v>
      </c>
      <c r="C87" t="n">
        <v>13.3686</v>
      </c>
      <c r="E87" t="n">
        <v>11.14037</v>
      </c>
      <c r="F87" t="n">
        <v>23.1074</v>
      </c>
      <c r="L87" t="n">
        <v>21.26755</v>
      </c>
      <c r="O87" t="n">
        <v>1.921948</v>
      </c>
      <c r="R87" t="n">
        <v>5.836427</v>
      </c>
      <c r="S87" t="n">
        <v>7.560288</v>
      </c>
      <c r="V87" t="n">
        <v>5.106458</v>
      </c>
      <c r="W87" t="n">
        <v>1.028625</v>
      </c>
      <c r="AA87" t="n">
        <v>4.383007</v>
      </c>
      <c r="AB87" t="n">
        <v>0.02988635</v>
      </c>
      <c r="AD87" t="n">
        <v>3.60635</v>
      </c>
      <c r="AE87" t="n">
        <v>16.97017</v>
      </c>
      <c r="AF87" t="n">
        <v>0.8808135</v>
      </c>
      <c r="AH87" t="n">
        <v>14.62138</v>
      </c>
      <c r="AL87" t="n">
        <v>7.310482</v>
      </c>
      <c r="AP87" t="n">
        <v>1.039816</v>
      </c>
      <c r="AU87" t="n">
        <v>7.680262</v>
      </c>
      <c r="AV87" t="n">
        <v>2.2307e-05</v>
      </c>
      <c r="AW87" t="n">
        <v>11.30721</v>
      </c>
    </row>
    <row r="88">
      <c r="A88" s="92" t="n">
        <v>20515</v>
      </c>
      <c r="C88" t="n">
        <v>13.43388</v>
      </c>
      <c r="E88" t="n">
        <v>11.14037</v>
      </c>
      <c r="F88" t="n">
        <v>23.17413</v>
      </c>
      <c r="L88" t="n">
        <v>21.59374</v>
      </c>
      <c r="O88" t="n">
        <v>1.940449</v>
      </c>
      <c r="R88" t="n">
        <v>5.890973</v>
      </c>
      <c r="S88" t="n">
        <v>7.570511</v>
      </c>
      <c r="V88" t="n">
        <v>5.172842</v>
      </c>
      <c r="W88" t="n">
        <v>1.033123</v>
      </c>
      <c r="AB88" t="n">
        <v>0.03022987</v>
      </c>
      <c r="AD88" t="n">
        <v>3.629746</v>
      </c>
      <c r="AE88" t="n">
        <v>17.00686</v>
      </c>
      <c r="AF88" t="n">
        <v>0.8983287</v>
      </c>
      <c r="AH88" t="n">
        <v>14.74146</v>
      </c>
      <c r="AL88" t="n">
        <v>7.310482</v>
      </c>
      <c r="AP88" t="n">
        <v>1.043766</v>
      </c>
      <c r="AU88" t="n">
        <v>7.729441</v>
      </c>
      <c r="AV88" t="n">
        <v>2.2146e-05</v>
      </c>
      <c r="AW88" t="n">
        <v>11.30721</v>
      </c>
    </row>
    <row r="89">
      <c r="A89" s="92" t="n">
        <v>20546</v>
      </c>
      <c r="C89" t="n">
        <v>13.43388</v>
      </c>
      <c r="E89" t="n">
        <v>11.14037</v>
      </c>
      <c r="F89" t="n">
        <v>23.13462</v>
      </c>
      <c r="L89" t="n">
        <v>21.59374</v>
      </c>
      <c r="O89" t="n">
        <v>1.961127</v>
      </c>
      <c r="R89" t="n">
        <v>5.890973</v>
      </c>
      <c r="S89" t="n">
        <v>7.539841</v>
      </c>
      <c r="V89" t="n">
        <v>5.244332</v>
      </c>
      <c r="W89" t="n">
        <v>1.037621</v>
      </c>
      <c r="AB89" t="n">
        <v>0.03057339</v>
      </c>
      <c r="AD89" t="n">
        <v>3.643116</v>
      </c>
      <c r="AE89" t="n">
        <v>17.04355</v>
      </c>
      <c r="AF89" t="n">
        <v>0.9441173</v>
      </c>
      <c r="AH89" t="n">
        <v>14.59879</v>
      </c>
      <c r="AL89" t="n">
        <v>7.453825</v>
      </c>
      <c r="AP89" t="n">
        <v>1.040803</v>
      </c>
      <c r="AU89" t="n">
        <v>7.737823</v>
      </c>
      <c r="AV89" t="n">
        <v>2.2307e-05</v>
      </c>
      <c r="AW89" t="n">
        <v>11.3494</v>
      </c>
    </row>
    <row r="90">
      <c r="A90" s="92" t="n">
        <v>20576</v>
      </c>
      <c r="C90" t="n">
        <v>13.4861</v>
      </c>
      <c r="E90" t="n">
        <v>11.14037</v>
      </c>
      <c r="F90" t="n">
        <v>23.37521</v>
      </c>
      <c r="L90" t="n">
        <v>21.5285</v>
      </c>
      <c r="O90" t="n">
        <v>1.970378</v>
      </c>
      <c r="R90" t="n">
        <v>6.000065</v>
      </c>
      <c r="S90" t="n">
        <v>7.590959</v>
      </c>
      <c r="V90" t="n">
        <v>5.234119</v>
      </c>
      <c r="W90" t="n">
        <v>1.023377</v>
      </c>
      <c r="AA90" t="n">
        <v>4.466097</v>
      </c>
      <c r="AB90" t="n">
        <v>0.03091691</v>
      </c>
      <c r="AD90" t="n">
        <v>3.6498</v>
      </c>
      <c r="AE90" t="n">
        <v>16.97017</v>
      </c>
      <c r="AF90" t="n">
        <v>1.033011</v>
      </c>
      <c r="AH90" t="n">
        <v>14.5334</v>
      </c>
      <c r="AL90" t="n">
        <v>7.597167</v>
      </c>
      <c r="AP90" t="n">
        <v>1.021054</v>
      </c>
      <c r="AU90" t="n">
        <v>7.776943</v>
      </c>
      <c r="AV90" t="n">
        <v>2.2307e-05</v>
      </c>
      <c r="AW90" t="n">
        <v>11.39159</v>
      </c>
    </row>
    <row r="91">
      <c r="A91" s="92" t="n">
        <v>20607</v>
      </c>
      <c r="C91" t="n">
        <v>13.52266</v>
      </c>
      <c r="E91" t="n">
        <v>11.29839</v>
      </c>
      <c r="F91" t="n">
        <v>23.4279</v>
      </c>
      <c r="L91" t="n">
        <v>21.5285</v>
      </c>
      <c r="O91" t="n">
        <v>1.963848</v>
      </c>
      <c r="R91" t="n">
        <v>6.000065</v>
      </c>
      <c r="S91" t="n">
        <v>7.519394</v>
      </c>
      <c r="V91" t="n">
        <v>5.229012</v>
      </c>
      <c r="W91" t="n">
        <v>1.031624</v>
      </c>
      <c r="AB91" t="n">
        <v>0.03091691</v>
      </c>
      <c r="AD91" t="n">
        <v>3.636431</v>
      </c>
      <c r="AE91" t="n">
        <v>17.31875</v>
      </c>
      <c r="AF91" t="n">
        <v>1.042431</v>
      </c>
      <c r="AH91" t="n">
        <v>14.66656</v>
      </c>
      <c r="AL91" t="n">
        <v>7.597167</v>
      </c>
      <c r="AP91" t="n">
        <v>1.022041</v>
      </c>
      <c r="AU91" t="n">
        <v>7.785884</v>
      </c>
      <c r="AV91" t="n">
        <v>2.2307e-05</v>
      </c>
      <c r="AW91" t="n">
        <v>11.47597</v>
      </c>
    </row>
    <row r="92">
      <c r="A92" s="92" t="n">
        <v>20637</v>
      </c>
      <c r="C92" t="n">
        <v>13.54093</v>
      </c>
      <c r="E92" t="n">
        <v>11.3774</v>
      </c>
      <c r="F92" t="n">
        <v>23.45512</v>
      </c>
      <c r="L92" t="n">
        <v>21.59374</v>
      </c>
      <c r="O92" t="n">
        <v>1.957862</v>
      </c>
      <c r="R92" t="n">
        <v>6.054611</v>
      </c>
      <c r="S92" t="n">
        <v>7.498947</v>
      </c>
      <c r="V92" t="n">
        <v>5.208587</v>
      </c>
      <c r="W92" t="n">
        <v>1.036872</v>
      </c>
      <c r="AB92" t="n">
        <v>0.03160396</v>
      </c>
      <c r="AD92" t="n">
        <v>3.636431</v>
      </c>
      <c r="AE92" t="n">
        <v>16.97017</v>
      </c>
      <c r="AF92" t="n">
        <v>1.046479</v>
      </c>
      <c r="AH92" t="n">
        <v>14.6832</v>
      </c>
      <c r="AL92" t="n">
        <v>7.668839</v>
      </c>
      <c r="AP92" t="n">
        <v>1.011179</v>
      </c>
      <c r="AU92" t="n">
        <v>7.771354</v>
      </c>
      <c r="AV92" t="n">
        <v>2.2307e-05</v>
      </c>
      <c r="AW92" t="n">
        <v>11.56035</v>
      </c>
    </row>
    <row r="93">
      <c r="A93" s="92" t="n">
        <v>20668</v>
      </c>
      <c r="C93" t="n">
        <v>13.5566</v>
      </c>
      <c r="E93" t="n">
        <v>11.45641</v>
      </c>
      <c r="F93" t="n">
        <v>23.53502</v>
      </c>
      <c r="L93" t="n">
        <v>21.46326</v>
      </c>
      <c r="O93" t="n">
        <v>1.961127</v>
      </c>
      <c r="R93" t="n">
        <v>6.109157</v>
      </c>
      <c r="S93" t="n">
        <v>7.519394</v>
      </c>
      <c r="V93" t="n">
        <v>5.223906</v>
      </c>
      <c r="W93" t="n">
        <v>1.033123</v>
      </c>
      <c r="AA93" t="n">
        <v>4.47856</v>
      </c>
      <c r="AB93" t="n">
        <v>0.03160396</v>
      </c>
      <c r="AD93" t="n">
        <v>3.639773</v>
      </c>
      <c r="AE93" t="n">
        <v>17.0619</v>
      </c>
      <c r="AF93" t="n">
        <v>1.085537</v>
      </c>
      <c r="AH93" t="n">
        <v>14.67369</v>
      </c>
      <c r="AL93" t="n">
        <v>7.597167</v>
      </c>
      <c r="AP93" t="n">
        <v>1.006242</v>
      </c>
      <c r="AU93" t="n">
        <v>7.801532</v>
      </c>
      <c r="AV93" t="n">
        <v>2.1338e-05</v>
      </c>
      <c r="AW93" t="n">
        <v>11.51816</v>
      </c>
    </row>
    <row r="94">
      <c r="A94" s="92" t="n">
        <v>20699</v>
      </c>
      <c r="C94" t="n">
        <v>13.59446</v>
      </c>
      <c r="E94" t="n">
        <v>11.3774</v>
      </c>
      <c r="F94" t="n">
        <v>23.57541</v>
      </c>
      <c r="L94" t="n">
        <v>21.5285</v>
      </c>
      <c r="O94" t="n">
        <v>1.975275</v>
      </c>
      <c r="R94" t="n">
        <v>6.163703</v>
      </c>
      <c r="S94" t="n">
        <v>7.580735</v>
      </c>
      <c r="V94" t="n">
        <v>5.213693</v>
      </c>
      <c r="W94" t="n">
        <v>1.030124</v>
      </c>
      <c r="AB94" t="n">
        <v>0.03160396</v>
      </c>
      <c r="AD94" t="n">
        <v>3.646458</v>
      </c>
      <c r="AE94" t="n">
        <v>17.20867</v>
      </c>
      <c r="AF94" t="n">
        <v>1.112472</v>
      </c>
      <c r="AH94" t="n">
        <v>14.72957</v>
      </c>
      <c r="AL94" t="n">
        <v>7.525496</v>
      </c>
      <c r="AP94" t="n">
        <v>1.025004</v>
      </c>
      <c r="AU94" t="n">
        <v>7.770236</v>
      </c>
      <c r="AV94" t="n">
        <v>2.1338e-05</v>
      </c>
      <c r="AW94" t="n">
        <v>11.56035</v>
      </c>
    </row>
    <row r="95">
      <c r="A95" s="92" t="n">
        <v>20729</v>
      </c>
      <c r="C95" t="n">
        <v>13.65713</v>
      </c>
      <c r="E95" t="n">
        <v>11.45641</v>
      </c>
      <c r="F95" t="n">
        <v>23.60176</v>
      </c>
      <c r="L95" t="n">
        <v>21.59374</v>
      </c>
      <c r="O95" t="n">
        <v>1.992688</v>
      </c>
      <c r="R95" t="n">
        <v>6.163703</v>
      </c>
      <c r="S95" t="n">
        <v>7.5654</v>
      </c>
      <c r="V95" t="n">
        <v>5.244332</v>
      </c>
      <c r="W95" t="n">
        <v>1.027125</v>
      </c>
      <c r="AB95" t="n">
        <v>0.03160396</v>
      </c>
      <c r="AD95" t="n">
        <v>3.639773</v>
      </c>
      <c r="AE95" t="n">
        <v>17.3004</v>
      </c>
      <c r="AF95" t="n">
        <v>1.065326</v>
      </c>
      <c r="AH95" t="n">
        <v>14.75692</v>
      </c>
      <c r="AL95" t="n">
        <v>7.525496</v>
      </c>
      <c r="AP95" t="n">
        <v>1.029941</v>
      </c>
      <c r="AU95" t="n">
        <v>7.778619</v>
      </c>
      <c r="AV95" t="n">
        <v>2.1499e-05</v>
      </c>
      <c r="AW95" t="n">
        <v>11.60254</v>
      </c>
    </row>
    <row r="96">
      <c r="A96" s="92" t="n">
        <v>20760</v>
      </c>
      <c r="C96" t="n">
        <v>13.67801</v>
      </c>
      <c r="E96" t="n">
        <v>11.53542</v>
      </c>
      <c r="F96" t="n">
        <v>23.66849</v>
      </c>
      <c r="L96" t="n">
        <v>21.65897</v>
      </c>
      <c r="O96" t="n">
        <v>2.02044</v>
      </c>
      <c r="R96" t="n">
        <v>6.436433</v>
      </c>
      <c r="S96" t="n">
        <v>7.575624</v>
      </c>
      <c r="V96" t="n">
        <v>5.264758</v>
      </c>
      <c r="W96" t="n">
        <v>1.030124</v>
      </c>
      <c r="AA96" t="n">
        <v>4.466097</v>
      </c>
      <c r="AB96" t="n">
        <v>0.03160396</v>
      </c>
      <c r="AD96" t="n">
        <v>3.6498</v>
      </c>
      <c r="AE96" t="n">
        <v>17.00686</v>
      </c>
      <c r="AF96" t="n">
        <v>1.073414</v>
      </c>
      <c r="AH96" t="n">
        <v>15.02086</v>
      </c>
      <c r="AL96" t="n">
        <v>7.525496</v>
      </c>
      <c r="AP96" t="n">
        <v>1.046728</v>
      </c>
      <c r="AU96" t="n">
        <v>7.883124</v>
      </c>
      <c r="AV96" t="n">
        <v>2.2146e-05</v>
      </c>
      <c r="AW96" t="n">
        <v>11.60254</v>
      </c>
    </row>
    <row r="97">
      <c r="A97" s="92" t="n">
        <v>20790</v>
      </c>
      <c r="C97" t="n">
        <v>13.76679</v>
      </c>
      <c r="E97" t="n">
        <v>11.53542</v>
      </c>
      <c r="F97" t="n">
        <v>23.69483</v>
      </c>
      <c r="L97" t="n">
        <v>21.72421</v>
      </c>
      <c r="O97" t="n">
        <v>2.056354</v>
      </c>
      <c r="R97" t="n">
        <v>6.436433</v>
      </c>
      <c r="S97" t="n">
        <v>7.570511</v>
      </c>
      <c r="V97" t="n">
        <v>5.280077</v>
      </c>
      <c r="W97" t="n">
        <v>1.033123</v>
      </c>
      <c r="AB97" t="n">
        <v>0.03160396</v>
      </c>
      <c r="AD97" t="n">
        <v>3.669854</v>
      </c>
      <c r="AE97" t="n">
        <v>17.19032</v>
      </c>
      <c r="AF97" t="n">
        <v>1.16095</v>
      </c>
      <c r="AH97" t="n">
        <v>15.09101</v>
      </c>
      <c r="AL97" t="n">
        <v>7.597167</v>
      </c>
      <c r="AP97" t="n">
        <v>1.045741</v>
      </c>
      <c r="AU97" t="n">
        <v>7.942921</v>
      </c>
      <c r="AV97" t="n">
        <v>2.2469e-05</v>
      </c>
      <c r="AW97" t="n">
        <v>11.64473</v>
      </c>
    </row>
    <row r="98">
      <c r="A98" s="92" t="n">
        <v>20821</v>
      </c>
      <c r="C98" t="n">
        <v>13.82293</v>
      </c>
      <c r="E98" t="n">
        <v>11.53542</v>
      </c>
      <c r="F98" t="n">
        <v>23.65532</v>
      </c>
      <c r="L98" t="n">
        <v>21.78945</v>
      </c>
      <c r="O98" t="n">
        <v>2.0939</v>
      </c>
      <c r="R98" t="n">
        <v>6.545526</v>
      </c>
      <c r="S98" t="n">
        <v>7.590959</v>
      </c>
      <c r="V98" t="n">
        <v>5.331142</v>
      </c>
      <c r="W98" t="n">
        <v>1.039871</v>
      </c>
      <c r="Z98" t="n">
        <v>1.471388</v>
      </c>
      <c r="AB98" t="n">
        <v>0.03160396</v>
      </c>
      <c r="AD98" t="n">
        <v>3.683223</v>
      </c>
      <c r="AE98" t="n">
        <v>17.37379</v>
      </c>
      <c r="AF98" t="n">
        <v>1.23637</v>
      </c>
      <c r="AH98" t="n">
        <v>15.14213</v>
      </c>
      <c r="AL98" t="n">
        <v>7.597167</v>
      </c>
      <c r="AP98" t="n">
        <v>1.044753</v>
      </c>
      <c r="AU98" t="n">
        <v>8.023396</v>
      </c>
      <c r="AV98" t="n">
        <v>2.2631e-05</v>
      </c>
      <c r="AW98" t="n">
        <v>11.64473</v>
      </c>
      <c r="AX98" t="n">
        <v>1.25993</v>
      </c>
    </row>
    <row r="99">
      <c r="A99" s="92" t="n">
        <v>20852</v>
      </c>
      <c r="C99" t="n">
        <v>13.85426</v>
      </c>
      <c r="E99" t="n">
        <v>11.53542</v>
      </c>
      <c r="F99" t="n">
        <v>23.61493</v>
      </c>
      <c r="L99" t="n">
        <v>21.78945</v>
      </c>
      <c r="O99" t="n">
        <v>2.105328</v>
      </c>
      <c r="R99" t="n">
        <v>6.545526</v>
      </c>
      <c r="S99" t="n">
        <v>7.60602</v>
      </c>
      <c r="V99" t="n">
        <v>5.326035</v>
      </c>
      <c r="W99" t="n">
        <v>1.035372</v>
      </c>
      <c r="Z99" t="n">
        <v>1.471388</v>
      </c>
      <c r="AA99" t="n">
        <v>4.474406</v>
      </c>
      <c r="AB99" t="n">
        <v>0.03160396</v>
      </c>
      <c r="AD99" t="n">
        <v>3.669854</v>
      </c>
      <c r="AE99" t="n">
        <v>17.33709</v>
      </c>
      <c r="AF99" t="n">
        <v>1.259271</v>
      </c>
      <c r="AH99" t="n">
        <v>15.22535</v>
      </c>
      <c r="AL99" t="n">
        <v>7.597167</v>
      </c>
      <c r="AP99" t="n">
        <v>1.049691</v>
      </c>
      <c r="AU99" t="n">
        <v>8.037366</v>
      </c>
      <c r="AV99" t="n">
        <v>2.3116e-05</v>
      </c>
      <c r="AW99" t="n">
        <v>11.68692</v>
      </c>
      <c r="AX99" t="n">
        <v>1.25993</v>
      </c>
    </row>
    <row r="100">
      <c r="A100" s="92" t="n">
        <v>20880</v>
      </c>
      <c r="C100" t="n">
        <v>13.82815</v>
      </c>
      <c r="E100" t="n">
        <v>11.53542</v>
      </c>
      <c r="F100" t="n">
        <v>23.54819</v>
      </c>
      <c r="L100" t="n">
        <v>21.65897</v>
      </c>
      <c r="O100" t="n">
        <v>2.116211</v>
      </c>
      <c r="R100" t="n">
        <v>6.545526</v>
      </c>
      <c r="S100" t="n">
        <v>7.560836</v>
      </c>
      <c r="V100" t="n">
        <v>5.315823</v>
      </c>
      <c r="W100" t="n">
        <v>1.04287</v>
      </c>
      <c r="Z100" t="n">
        <v>1.471388</v>
      </c>
      <c r="AB100" t="n">
        <v>0.03194748</v>
      </c>
      <c r="AD100" t="n">
        <v>3.659827</v>
      </c>
      <c r="AE100" t="n">
        <v>17.39213</v>
      </c>
      <c r="AF100" t="n">
        <v>1.296985</v>
      </c>
      <c r="AH100" t="n">
        <v>15.18017</v>
      </c>
      <c r="AL100" t="n">
        <v>7.668839</v>
      </c>
      <c r="AP100" t="n">
        <v>1.046728</v>
      </c>
      <c r="AU100" t="n">
        <v>8.017806999999999</v>
      </c>
      <c r="AV100" t="n">
        <v>2.3277e-05</v>
      </c>
      <c r="AW100" t="n">
        <v>11.72912</v>
      </c>
      <c r="AX100" t="n">
        <v>1.264446</v>
      </c>
    </row>
    <row r="101">
      <c r="A101" s="92" t="n">
        <v>20911</v>
      </c>
      <c r="C101" t="n">
        <v>13.85557</v>
      </c>
      <c r="E101" t="n">
        <v>11.61443</v>
      </c>
      <c r="F101" t="n">
        <v>23.6281</v>
      </c>
      <c r="L101" t="n">
        <v>21.78945</v>
      </c>
      <c r="O101" t="n">
        <v>2.125462</v>
      </c>
      <c r="R101" t="n">
        <v>6.600071</v>
      </c>
      <c r="S101" t="n">
        <v>7.553305</v>
      </c>
      <c r="V101" t="n">
        <v>5.336248</v>
      </c>
      <c r="W101" t="n">
        <v>1.049617</v>
      </c>
      <c r="Z101" t="n">
        <v>1.500524</v>
      </c>
      <c r="AB101" t="n">
        <v>0.032291</v>
      </c>
      <c r="AD101" t="n">
        <v>3.653142</v>
      </c>
      <c r="AE101" t="n">
        <v>17.50221</v>
      </c>
      <c r="AF101" t="n">
        <v>1.371053</v>
      </c>
      <c r="AH101" t="n">
        <v>15.21941</v>
      </c>
      <c r="AL101" t="n">
        <v>7.74051</v>
      </c>
      <c r="AP101" t="n">
        <v>1.038828</v>
      </c>
      <c r="AU101" t="n">
        <v>8.021718999999999</v>
      </c>
      <c r="AV101" t="n">
        <v>2.3762e-05</v>
      </c>
      <c r="AW101" t="n">
        <v>11.77131</v>
      </c>
      <c r="AX101" t="n">
        <v>1.264446</v>
      </c>
    </row>
    <row r="102">
      <c r="A102" s="92" t="n">
        <v>20941</v>
      </c>
      <c r="C102" t="n">
        <v>13.87515</v>
      </c>
      <c r="E102" t="n">
        <v>11.61443</v>
      </c>
      <c r="F102" t="n">
        <v>23.77562</v>
      </c>
      <c r="L102" t="n">
        <v>21.85469</v>
      </c>
      <c r="O102" t="n">
        <v>2.130903</v>
      </c>
      <c r="R102" t="n">
        <v>6.654618</v>
      </c>
      <c r="S102" t="n">
        <v>7.538244</v>
      </c>
      <c r="V102" t="n">
        <v>5.341355</v>
      </c>
      <c r="W102" t="n">
        <v>1.047368</v>
      </c>
      <c r="Z102" t="n">
        <v>1.51145</v>
      </c>
      <c r="AA102" t="n">
        <v>4.586578</v>
      </c>
      <c r="AB102" t="n">
        <v>0.032291</v>
      </c>
      <c r="AD102" t="n">
        <v>3.653142</v>
      </c>
      <c r="AE102" t="n">
        <v>17.64898</v>
      </c>
      <c r="AF102" t="n">
        <v>1.338732</v>
      </c>
      <c r="AH102" t="n">
        <v>15.23368</v>
      </c>
      <c r="AL102" t="n">
        <v>7.74051</v>
      </c>
      <c r="AP102" t="n">
        <v>1.021054</v>
      </c>
      <c r="AU102" t="n">
        <v>8.050777999999999</v>
      </c>
      <c r="AV102" t="n">
        <v>2.4086e-05</v>
      </c>
      <c r="AW102" t="n">
        <v>11.8135</v>
      </c>
      <c r="AX102" t="n">
        <v>1.268962</v>
      </c>
    </row>
    <row r="103">
      <c r="A103" s="92" t="n">
        <v>20972</v>
      </c>
      <c r="C103" t="n">
        <v>13.89865</v>
      </c>
      <c r="E103" t="n">
        <v>11.69344</v>
      </c>
      <c r="F103" t="n">
        <v>23.78879</v>
      </c>
      <c r="L103" t="n">
        <v>21.98516</v>
      </c>
      <c r="O103" t="n">
        <v>2.125462</v>
      </c>
      <c r="R103" t="n">
        <v>6.654618</v>
      </c>
      <c r="S103" t="n">
        <v>7.583428</v>
      </c>
      <c r="V103" t="n">
        <v>5.397526</v>
      </c>
      <c r="W103" t="n">
        <v>1.054115</v>
      </c>
      <c r="Z103" t="n">
        <v>1.540586</v>
      </c>
      <c r="AB103" t="n">
        <v>0.032291</v>
      </c>
      <c r="AD103" t="n">
        <v>3.653142</v>
      </c>
      <c r="AE103" t="n">
        <v>17.59394</v>
      </c>
      <c r="AF103" t="n">
        <v>1.286206</v>
      </c>
      <c r="AH103" t="n">
        <v>15.36446</v>
      </c>
      <c r="AL103" t="n">
        <v>7.74051</v>
      </c>
      <c r="AP103" t="n">
        <v>1.021054</v>
      </c>
      <c r="AU103" t="n">
        <v>8.082074</v>
      </c>
      <c r="AV103" t="n">
        <v>2.457e-05</v>
      </c>
      <c r="AW103" t="n">
        <v>11.85569</v>
      </c>
      <c r="AX103" t="n">
        <v>1.273478</v>
      </c>
    </row>
    <row r="104">
      <c r="A104" s="92" t="n">
        <v>21002</v>
      </c>
      <c r="C104" t="n">
        <v>14.01092</v>
      </c>
      <c r="E104" t="n">
        <v>11.69344</v>
      </c>
      <c r="F104" t="n">
        <v>23.84235</v>
      </c>
      <c r="L104" t="n">
        <v>22.18088</v>
      </c>
      <c r="O104" t="n">
        <v>2.158655</v>
      </c>
      <c r="R104" t="n">
        <v>6.76371</v>
      </c>
      <c r="S104" t="n">
        <v>7.696389</v>
      </c>
      <c r="V104" t="n">
        <v>5.443484</v>
      </c>
      <c r="W104" t="n">
        <v>1.063112</v>
      </c>
      <c r="Z104" t="n">
        <v>1.540586</v>
      </c>
      <c r="AB104" t="n">
        <v>0.03263452</v>
      </c>
      <c r="AD104" t="n">
        <v>3.673196</v>
      </c>
      <c r="AE104" t="n">
        <v>17.79575</v>
      </c>
      <c r="AF104" t="n">
        <v>1.264657</v>
      </c>
      <c r="AH104" t="n">
        <v>15.47265</v>
      </c>
      <c r="AL104" t="n">
        <v>7.74051</v>
      </c>
      <c r="AP104" t="n">
        <v>1.026979</v>
      </c>
      <c r="AU104" t="n">
        <v>8.137959</v>
      </c>
      <c r="AV104" t="n">
        <v>2.5055e-05</v>
      </c>
      <c r="AW104" t="n">
        <v>11.94007</v>
      </c>
      <c r="AX104" t="n">
        <v>1.277994</v>
      </c>
    </row>
    <row r="105">
      <c r="A105" s="92" t="n">
        <v>21033</v>
      </c>
      <c r="C105" t="n">
        <v>13.97437</v>
      </c>
      <c r="E105" t="n">
        <v>11.77245</v>
      </c>
      <c r="F105" t="n">
        <v>23.97582</v>
      </c>
      <c r="L105" t="n">
        <v>22.11564</v>
      </c>
      <c r="O105" t="n">
        <v>2.189127</v>
      </c>
      <c r="R105" t="n">
        <v>6.818256</v>
      </c>
      <c r="S105" t="n">
        <v>7.786757</v>
      </c>
      <c r="V105" t="n">
        <v>5.433271</v>
      </c>
      <c r="W105" t="n">
        <v>1.057114</v>
      </c>
      <c r="Z105" t="n">
        <v>1.555155</v>
      </c>
      <c r="AA105" t="n">
        <v>4.740295</v>
      </c>
      <c r="AB105" t="n">
        <v>0.03263452</v>
      </c>
      <c r="AD105" t="n">
        <v>3.676539</v>
      </c>
      <c r="AE105" t="n">
        <v>17.92417</v>
      </c>
      <c r="AF105" t="n">
        <v>1.283517</v>
      </c>
      <c r="AH105" t="n">
        <v>15.6712</v>
      </c>
      <c r="AL105" t="n">
        <v>7.74051</v>
      </c>
      <c r="AP105" t="n">
        <v>1.042778</v>
      </c>
      <c r="AU105" t="n">
        <v>8.114488</v>
      </c>
      <c r="AV105" t="n">
        <v>2.5379e-05</v>
      </c>
      <c r="AW105" t="n">
        <v>11.94007</v>
      </c>
      <c r="AX105" t="n">
        <v>1.300573</v>
      </c>
    </row>
    <row r="106">
      <c r="A106" s="92" t="n">
        <v>21064</v>
      </c>
      <c r="C106" t="n">
        <v>14.03965</v>
      </c>
      <c r="E106" t="n">
        <v>11.85146</v>
      </c>
      <c r="F106" t="n">
        <v>24.02938</v>
      </c>
      <c r="L106" t="n">
        <v>22.0504</v>
      </c>
      <c r="O106" t="n">
        <v>2.220144</v>
      </c>
      <c r="R106" t="n">
        <v>6.872802</v>
      </c>
      <c r="S106" t="n">
        <v>7.884656</v>
      </c>
      <c r="V106" t="n">
        <v>5.417952</v>
      </c>
      <c r="W106" t="n">
        <v>1.066111</v>
      </c>
      <c r="Z106" t="n">
        <v>1.566081</v>
      </c>
      <c r="AB106" t="n">
        <v>0.03263452</v>
      </c>
      <c r="AD106" t="n">
        <v>3.686566</v>
      </c>
      <c r="AE106" t="n">
        <v>17.83244</v>
      </c>
      <c r="AF106" t="n">
        <v>1.22695</v>
      </c>
      <c r="AH106" t="n">
        <v>15.64267</v>
      </c>
      <c r="AL106" t="n">
        <v>7.74051</v>
      </c>
      <c r="AP106" t="n">
        <v>1.050678</v>
      </c>
      <c r="AU106" t="n">
        <v>8.165901</v>
      </c>
      <c r="AV106" t="n">
        <v>2.5702e-05</v>
      </c>
      <c r="AW106" t="n">
        <v>11.94007</v>
      </c>
      <c r="AX106" t="n">
        <v>1.309605</v>
      </c>
    </row>
    <row r="107">
      <c r="A107" s="92" t="n">
        <v>21094</v>
      </c>
      <c r="C107" t="n">
        <v>14.05401</v>
      </c>
      <c r="E107" t="n">
        <v>11.85146</v>
      </c>
      <c r="F107" t="n">
        <v>24.10928</v>
      </c>
      <c r="L107" t="n">
        <v>22.11564</v>
      </c>
      <c r="O107" t="n">
        <v>2.266941</v>
      </c>
      <c r="R107" t="n">
        <v>6.927348</v>
      </c>
      <c r="S107" t="n">
        <v>8.005148</v>
      </c>
      <c r="V107" t="n">
        <v>5.469016</v>
      </c>
      <c r="W107" t="n">
        <v>1.063862</v>
      </c>
      <c r="Z107" t="n">
        <v>1.555155</v>
      </c>
      <c r="AB107" t="n">
        <v>0.03263452</v>
      </c>
      <c r="AD107" t="n">
        <v>3.70662</v>
      </c>
      <c r="AE107" t="n">
        <v>17.7774</v>
      </c>
      <c r="AF107" t="n">
        <v>1.170377</v>
      </c>
      <c r="AH107" t="n">
        <v>15.59392</v>
      </c>
      <c r="AL107" t="n">
        <v>7.74051</v>
      </c>
      <c r="AP107" t="n">
        <v>1.056603</v>
      </c>
      <c r="AU107" t="n">
        <v>8.227933999999999</v>
      </c>
      <c r="AV107" t="n">
        <v>2.5864e-05</v>
      </c>
      <c r="AW107" t="n">
        <v>11.94007</v>
      </c>
      <c r="AX107" t="n">
        <v>1.309605</v>
      </c>
    </row>
    <row r="108">
      <c r="A108" s="92" t="n">
        <v>21125</v>
      </c>
      <c r="C108" t="n">
        <v>14.14017</v>
      </c>
      <c r="E108" t="n">
        <v>11.85146</v>
      </c>
      <c r="F108" t="n">
        <v>24.17602</v>
      </c>
      <c r="L108" t="n">
        <v>22.18088</v>
      </c>
      <c r="O108" t="n">
        <v>2.303944</v>
      </c>
      <c r="R108" t="n">
        <v>6.927348</v>
      </c>
      <c r="S108" t="n">
        <v>8.193415999999999</v>
      </c>
      <c r="V108" t="n">
        <v>5.499655</v>
      </c>
      <c r="W108" t="n">
        <v>1.064612</v>
      </c>
      <c r="Z108" t="n">
        <v>1.566081</v>
      </c>
      <c r="AA108" t="n">
        <v>4.727831</v>
      </c>
      <c r="AB108" t="n">
        <v>0.03263452</v>
      </c>
      <c r="AD108" t="n">
        <v>3.726673</v>
      </c>
      <c r="AE108" t="n">
        <v>17.5389</v>
      </c>
      <c r="AF108" t="n">
        <v>1.139408</v>
      </c>
      <c r="AH108" t="n">
        <v>15.62959</v>
      </c>
      <c r="AL108" t="n">
        <v>7.74051</v>
      </c>
      <c r="AP108" t="n">
        <v>1.074378</v>
      </c>
      <c r="AU108" t="n">
        <v>8.229609999999999</v>
      </c>
      <c r="AV108" t="n">
        <v>2.5702e-05</v>
      </c>
      <c r="AW108" t="n">
        <v>11.98226</v>
      </c>
      <c r="AX108" t="n">
        <v>1.300573</v>
      </c>
    </row>
    <row r="109">
      <c r="A109" s="92" t="n">
        <v>21155</v>
      </c>
      <c r="C109" t="n">
        <v>14.1715</v>
      </c>
      <c r="E109" t="n">
        <v>11.77245</v>
      </c>
      <c r="F109" t="n">
        <v>24.17602</v>
      </c>
      <c r="L109" t="n">
        <v>22.18088</v>
      </c>
      <c r="O109" t="n">
        <v>2.32843</v>
      </c>
      <c r="R109" t="n">
        <v>6.981894</v>
      </c>
      <c r="S109" t="n">
        <v>8.366622</v>
      </c>
      <c r="V109" t="n">
        <v>5.525187</v>
      </c>
      <c r="W109" t="n">
        <v>1.063862</v>
      </c>
      <c r="Z109" t="n">
        <v>1.555155</v>
      </c>
      <c r="AB109" t="n">
        <v>0.03263452</v>
      </c>
      <c r="AD109" t="n">
        <v>3.750069</v>
      </c>
      <c r="AE109" t="n">
        <v>17.50221</v>
      </c>
      <c r="AF109" t="n">
        <v>1.135367</v>
      </c>
      <c r="AH109" t="n">
        <v>15.6498</v>
      </c>
      <c r="AL109" t="n">
        <v>7.74051</v>
      </c>
      <c r="AP109" t="n">
        <v>1.060553</v>
      </c>
      <c r="AU109" t="n">
        <v>8.248611</v>
      </c>
      <c r="AV109" t="n">
        <v>2.554e-05</v>
      </c>
      <c r="AW109" t="n">
        <v>11.98226</v>
      </c>
      <c r="AX109" t="n">
        <v>1.300573</v>
      </c>
    </row>
    <row r="110">
      <c r="A110" s="92" t="n">
        <v>21186</v>
      </c>
      <c r="B110" t="n">
        <v>15.56513</v>
      </c>
      <c r="C110" t="n">
        <v>14.18978</v>
      </c>
      <c r="E110" t="n">
        <v>11.85146</v>
      </c>
      <c r="F110" t="n">
        <v>24.10928</v>
      </c>
      <c r="L110" t="n">
        <v>22.37659</v>
      </c>
      <c r="O110" t="n">
        <v>2.344756</v>
      </c>
      <c r="R110" t="n">
        <v>7.03644</v>
      </c>
      <c r="S110" t="n">
        <v>8.652789</v>
      </c>
      <c r="V110" t="n">
        <v>5.520081</v>
      </c>
      <c r="W110" t="n">
        <v>1.066861</v>
      </c>
      <c r="Z110" t="n">
        <v>1.526018</v>
      </c>
      <c r="AB110" t="n">
        <v>0.03263452</v>
      </c>
      <c r="AD110" t="n">
        <v>3.760096</v>
      </c>
      <c r="AE110" t="n">
        <v>17.5389</v>
      </c>
      <c r="AF110" t="n">
        <v>1.15422</v>
      </c>
      <c r="AH110" t="n">
        <v>15.58916</v>
      </c>
      <c r="AL110" t="n">
        <v>7.812181</v>
      </c>
      <c r="AP110" t="n">
        <v>1.049691</v>
      </c>
      <c r="AU110" t="n">
        <v>8.345292000000001</v>
      </c>
      <c r="AV110" t="n">
        <v>2.5379e-05</v>
      </c>
      <c r="AW110" t="n">
        <v>12.06664</v>
      </c>
      <c r="AX110" t="n">
        <v>1.309605</v>
      </c>
    </row>
    <row r="111">
      <c r="A111" s="92" t="n">
        <v>21217</v>
      </c>
      <c r="B111" t="n">
        <v>15.59639</v>
      </c>
      <c r="C111" t="n">
        <v>14.14017</v>
      </c>
      <c r="E111" t="n">
        <v>11.85146</v>
      </c>
      <c r="F111" t="n">
        <v>24.10928</v>
      </c>
      <c r="L111" t="n">
        <v>22.44183</v>
      </c>
      <c r="O111" t="n">
        <v>2.346932</v>
      </c>
      <c r="R111" t="n">
        <v>7.03644</v>
      </c>
      <c r="S111" t="n">
        <v>8.750688999999999</v>
      </c>
      <c r="V111" t="n">
        <v>5.494548</v>
      </c>
      <c r="W111" t="n">
        <v>1.059363</v>
      </c>
      <c r="Z111" t="n">
        <v>1.51145</v>
      </c>
      <c r="AA111" t="n">
        <v>4.794303</v>
      </c>
      <c r="AB111" t="n">
        <v>0.03263452</v>
      </c>
      <c r="AD111" t="n">
        <v>3.753412</v>
      </c>
      <c r="AE111" t="n">
        <v>17.39213</v>
      </c>
      <c r="AF111" t="n">
        <v>1.186541</v>
      </c>
      <c r="AH111" t="n">
        <v>15.50475</v>
      </c>
      <c r="AL111" t="n">
        <v>7.812181</v>
      </c>
      <c r="AP111" t="n">
        <v>1.053641</v>
      </c>
      <c r="AU111" t="n">
        <v>8.440296</v>
      </c>
      <c r="AV111" t="n">
        <v>2.5864e-05</v>
      </c>
      <c r="AW111" t="n">
        <v>12.06664</v>
      </c>
      <c r="AX111" t="n">
        <v>1.309605</v>
      </c>
    </row>
    <row r="112">
      <c r="A112" s="92" t="n">
        <v>21245</v>
      </c>
      <c r="B112" t="n">
        <v>15.58076</v>
      </c>
      <c r="C112" t="n">
        <v>14.0997</v>
      </c>
      <c r="E112" t="n">
        <v>11.93047</v>
      </c>
      <c r="F112" t="n">
        <v>24.10928</v>
      </c>
      <c r="L112" t="n">
        <v>22.44183</v>
      </c>
      <c r="O112" t="n">
        <v>2.392641</v>
      </c>
      <c r="R112" t="n">
        <v>7.03644</v>
      </c>
      <c r="S112" t="n">
        <v>8.863649000000001</v>
      </c>
      <c r="V112" t="n">
        <v>5.5354</v>
      </c>
      <c r="W112" t="n">
        <v>1.063112</v>
      </c>
      <c r="Z112" t="n">
        <v>1.51145</v>
      </c>
      <c r="AB112" t="n">
        <v>0.03263452</v>
      </c>
      <c r="AD112" t="n">
        <v>3.756754</v>
      </c>
      <c r="AE112" t="n">
        <v>17.31875</v>
      </c>
      <c r="AF112" t="n">
        <v>1.171728</v>
      </c>
      <c r="AH112" t="n">
        <v>15.38348</v>
      </c>
      <c r="AL112" t="n">
        <v>7.883852</v>
      </c>
      <c r="AP112" t="n">
        <v>1.068453</v>
      </c>
      <c r="AU112" t="n">
        <v>8.455944000000001</v>
      </c>
      <c r="AV112" t="n">
        <v>2.5864e-05</v>
      </c>
      <c r="AW112" t="n">
        <v>12.15103</v>
      </c>
      <c r="AX112" t="n">
        <v>1.314121</v>
      </c>
    </row>
    <row r="113">
      <c r="A113" s="92" t="n">
        <v>21276</v>
      </c>
      <c r="B113" t="n">
        <v>15.8308</v>
      </c>
      <c r="C113" t="n">
        <v>14.14017</v>
      </c>
      <c r="E113" t="n">
        <v>11.93047</v>
      </c>
      <c r="F113" t="n">
        <v>24.1365</v>
      </c>
      <c r="L113" t="n">
        <v>22.44183</v>
      </c>
      <c r="O113" t="n">
        <v>2.443791</v>
      </c>
      <c r="R113" t="n">
        <v>7.105424</v>
      </c>
      <c r="S113" t="n">
        <v>8.938955999999999</v>
      </c>
      <c r="V113" t="n">
        <v>5.596677</v>
      </c>
      <c r="W113" t="n">
        <v>1.060113</v>
      </c>
      <c r="Z113" t="n">
        <v>1.526018</v>
      </c>
      <c r="AB113" t="n">
        <v>0.03263452</v>
      </c>
      <c r="AD113" t="n">
        <v>3.790177</v>
      </c>
      <c r="AE113" t="n">
        <v>17.39213</v>
      </c>
      <c r="AF113" t="n">
        <v>1.206746</v>
      </c>
      <c r="AH113" t="n">
        <v>15.42747</v>
      </c>
      <c r="AL113" t="n">
        <v>8.027196</v>
      </c>
      <c r="AP113" t="n">
        <v>1.066478</v>
      </c>
      <c r="AU113" t="n">
        <v>8.504564</v>
      </c>
      <c r="AV113" t="n">
        <v>2.5864e-05</v>
      </c>
      <c r="AW113" t="n">
        <v>12.19322</v>
      </c>
      <c r="AX113" t="n">
        <v>1.323152</v>
      </c>
    </row>
    <row r="114">
      <c r="A114" s="92" t="n">
        <v>21306</v>
      </c>
      <c r="B114" t="n">
        <v>16.03396</v>
      </c>
      <c r="C114" t="n">
        <v>14.14539</v>
      </c>
      <c r="E114" t="n">
        <v>11.93047</v>
      </c>
      <c r="F114" t="n">
        <v>24.34549</v>
      </c>
      <c r="L114" t="n">
        <v>22.63754</v>
      </c>
      <c r="O114" t="n">
        <v>2.459572</v>
      </c>
      <c r="R114" t="n">
        <v>7.174409</v>
      </c>
      <c r="S114" t="n">
        <v>8.954018</v>
      </c>
      <c r="V114" t="n">
        <v>5.576252</v>
      </c>
      <c r="W114" t="n">
        <v>1.06911</v>
      </c>
      <c r="Z114" t="n">
        <v>1.555155</v>
      </c>
      <c r="AA114" t="n">
        <v>4.844158</v>
      </c>
      <c r="AB114" t="n">
        <v>0.03263452</v>
      </c>
      <c r="AD114" t="n">
        <v>3.813573</v>
      </c>
      <c r="AE114" t="n">
        <v>17.37379</v>
      </c>
      <c r="AF114" t="n">
        <v>1.235032</v>
      </c>
      <c r="AH114" t="n">
        <v>15.43579</v>
      </c>
      <c r="AL114" t="n">
        <v>8.098865999999999</v>
      </c>
      <c r="AP114" t="n">
        <v>1.046728</v>
      </c>
      <c r="AU114" t="n">
        <v>8.471591999999999</v>
      </c>
      <c r="AV114" t="n">
        <v>2.6025e-05</v>
      </c>
      <c r="AW114" t="n">
        <v>12.19322</v>
      </c>
      <c r="AX114" t="n">
        <v>1.323152</v>
      </c>
    </row>
    <row r="115">
      <c r="A115" s="92" t="n">
        <v>21337</v>
      </c>
      <c r="B115" t="n">
        <v>16.03396</v>
      </c>
      <c r="C115" t="n">
        <v>14.16628</v>
      </c>
      <c r="E115" t="n">
        <v>11.93047</v>
      </c>
      <c r="F115" t="n">
        <v>24.36305</v>
      </c>
      <c r="L115" t="n">
        <v>22.70278</v>
      </c>
      <c r="O115" t="n">
        <v>2.456307</v>
      </c>
      <c r="R115" t="n">
        <v>7.174409</v>
      </c>
      <c r="S115" t="n">
        <v>8.991671999999999</v>
      </c>
      <c r="V115" t="n">
        <v>5.627316</v>
      </c>
      <c r="W115" t="n">
        <v>1.073608</v>
      </c>
      <c r="Z115" t="n">
        <v>1.595217</v>
      </c>
      <c r="AB115" t="n">
        <v>0.03297804</v>
      </c>
      <c r="AD115" t="n">
        <v>3.8236</v>
      </c>
      <c r="AE115" t="n">
        <v>17.57559</v>
      </c>
      <c r="AF115" t="n">
        <v>1.22964</v>
      </c>
      <c r="AH115" t="n">
        <v>15.50118</v>
      </c>
      <c r="AL115" t="n">
        <v>8.098865999999999</v>
      </c>
      <c r="AP115" t="n">
        <v>1.049691</v>
      </c>
      <c r="AU115" t="n">
        <v>8.477180000000001</v>
      </c>
      <c r="AV115" t="n">
        <v>2.6672e-05</v>
      </c>
      <c r="AW115" t="n">
        <v>12.19322</v>
      </c>
      <c r="AX115" t="n">
        <v>1.323152</v>
      </c>
    </row>
    <row r="116">
      <c r="A116" s="92" t="n">
        <v>21367</v>
      </c>
      <c r="B116" t="n">
        <v>15.70578</v>
      </c>
      <c r="C116" t="n">
        <v>14.11014</v>
      </c>
      <c r="E116" t="n">
        <v>11.93047</v>
      </c>
      <c r="F116" t="n">
        <v>24.36305</v>
      </c>
      <c r="L116" t="n">
        <v>22.57231</v>
      </c>
      <c r="O116" t="n">
        <v>2.472631</v>
      </c>
      <c r="R116" t="n">
        <v>7.105424</v>
      </c>
      <c r="S116" t="n">
        <v>9.021794</v>
      </c>
      <c r="V116" t="n">
        <v>5.540506</v>
      </c>
      <c r="W116" t="n">
        <v>1.06986</v>
      </c>
      <c r="Z116" t="n">
        <v>1.63528</v>
      </c>
      <c r="AB116" t="n">
        <v>0.03400861</v>
      </c>
      <c r="AD116" t="n">
        <v>3.816916</v>
      </c>
      <c r="AE116" t="n">
        <v>17.50221</v>
      </c>
      <c r="AF116" t="n">
        <v>1.224254</v>
      </c>
      <c r="AH116" t="n">
        <v>15.50594</v>
      </c>
      <c r="AL116" t="n">
        <v>8.170538000000001</v>
      </c>
      <c r="AP116" t="n">
        <v>1.053641</v>
      </c>
      <c r="AU116" t="n">
        <v>8.516299999999999</v>
      </c>
      <c r="AV116" t="n">
        <v>2.7157e-05</v>
      </c>
      <c r="AW116" t="n">
        <v>12.23541</v>
      </c>
      <c r="AX116" t="n">
        <v>1.332184</v>
      </c>
    </row>
    <row r="117">
      <c r="A117" s="92" t="n">
        <v>21398</v>
      </c>
      <c r="B117" t="n">
        <v>15.51825</v>
      </c>
      <c r="C117" t="n">
        <v>14.10884</v>
      </c>
      <c r="E117" t="n">
        <v>11.93047</v>
      </c>
      <c r="F117" t="n">
        <v>24.39027</v>
      </c>
      <c r="L117" t="n">
        <v>22.31135</v>
      </c>
      <c r="O117" t="n">
        <v>2.488956</v>
      </c>
      <c r="R117" t="n">
        <v>7.174409</v>
      </c>
      <c r="S117" t="n">
        <v>9.044385999999999</v>
      </c>
      <c r="V117" t="n">
        <v>5.530293</v>
      </c>
      <c r="W117" t="n">
        <v>1.072859</v>
      </c>
      <c r="Z117" t="n">
        <v>1.649848</v>
      </c>
      <c r="AA117" t="n">
        <v>4.856621</v>
      </c>
      <c r="AB117" t="n">
        <v>0.03435213</v>
      </c>
      <c r="AD117" t="n">
        <v>3.813573</v>
      </c>
      <c r="AE117" t="n">
        <v>17.68567</v>
      </c>
      <c r="AF117" t="n">
        <v>1.217524</v>
      </c>
      <c r="AH117" t="n">
        <v>15.54755</v>
      </c>
      <c r="AL117" t="n">
        <v>8.242209000000001</v>
      </c>
      <c r="AP117" t="n">
        <v>1.057591</v>
      </c>
      <c r="AU117" t="n">
        <v>8.481650999999999</v>
      </c>
      <c r="AV117" t="n">
        <v>2.7965e-05</v>
      </c>
      <c r="AW117" t="n">
        <v>12.19322</v>
      </c>
      <c r="AX117" t="n">
        <v>1.3367</v>
      </c>
    </row>
    <row r="118">
      <c r="A118" s="92" t="n">
        <v>21429</v>
      </c>
      <c r="B118" t="n">
        <v>15.3776</v>
      </c>
      <c r="C118" t="n">
        <v>14.11014</v>
      </c>
      <c r="E118" t="n">
        <v>12.08849</v>
      </c>
      <c r="F118" t="n">
        <v>24.42978</v>
      </c>
      <c r="L118" t="n">
        <v>22.18088</v>
      </c>
      <c r="O118" t="n">
        <v>2.528135</v>
      </c>
      <c r="R118" t="n">
        <v>7.174409</v>
      </c>
      <c r="S118" t="n">
        <v>9.082039999999999</v>
      </c>
      <c r="V118" t="n">
        <v>5.5354</v>
      </c>
      <c r="W118" t="n">
        <v>1.073608</v>
      </c>
      <c r="Z118" t="n">
        <v>1.664416</v>
      </c>
      <c r="AB118" t="n">
        <v>0.03469565</v>
      </c>
      <c r="AD118" t="n">
        <v>3.803546</v>
      </c>
      <c r="AE118" t="n">
        <v>17.59394</v>
      </c>
      <c r="AF118" t="n">
        <v>1.244459</v>
      </c>
      <c r="AH118" t="n">
        <v>15.62245</v>
      </c>
      <c r="AL118" t="n">
        <v>8.313881</v>
      </c>
      <c r="AP118" t="n">
        <v>1.06154</v>
      </c>
      <c r="AU118" t="n">
        <v>8.468239000000001</v>
      </c>
      <c r="AV118" t="n">
        <v>2.8935e-05</v>
      </c>
      <c r="AW118" t="n">
        <v>12.19322</v>
      </c>
      <c r="AX118" t="n">
        <v>1.3367</v>
      </c>
    </row>
    <row r="119">
      <c r="A119" s="92" t="n">
        <v>21459</v>
      </c>
      <c r="B119" t="n">
        <v>15.39323</v>
      </c>
      <c r="C119" t="n">
        <v>14.13103</v>
      </c>
      <c r="E119" t="n">
        <v>12.08849</v>
      </c>
      <c r="F119" t="n">
        <v>24.41661</v>
      </c>
      <c r="L119" t="n">
        <v>22.31135</v>
      </c>
      <c r="O119" t="n">
        <v>2.551533</v>
      </c>
      <c r="R119" t="n">
        <v>7.174409</v>
      </c>
      <c r="S119" t="n">
        <v>9.112163000000001</v>
      </c>
      <c r="V119" t="n">
        <v>5.586464</v>
      </c>
      <c r="W119" t="n">
        <v>1.06986</v>
      </c>
      <c r="Z119" t="n">
        <v>1.68991</v>
      </c>
      <c r="AB119" t="n">
        <v>0.03675678</v>
      </c>
      <c r="AD119" t="n">
        <v>3.78015</v>
      </c>
      <c r="AE119" t="n">
        <v>17.74071</v>
      </c>
      <c r="AF119" t="n">
        <v>1.247155</v>
      </c>
      <c r="AH119" t="n">
        <v>15.55825</v>
      </c>
      <c r="AL119" t="n">
        <v>8.242209000000001</v>
      </c>
      <c r="AP119" t="n">
        <v>1.06944</v>
      </c>
      <c r="AU119" t="n">
        <v>8.476622000000001</v>
      </c>
      <c r="AV119" t="n">
        <v>2.9097e-05</v>
      </c>
      <c r="AW119" t="n">
        <v>12.19322</v>
      </c>
      <c r="AX119" t="n">
        <v>1.3367</v>
      </c>
    </row>
    <row r="120">
      <c r="A120" s="92" t="n">
        <v>21490</v>
      </c>
      <c r="B120" t="n">
        <v>15.45574</v>
      </c>
      <c r="C120" t="n">
        <v>14.14409</v>
      </c>
      <c r="E120" t="n">
        <v>12.08849</v>
      </c>
      <c r="F120" t="n">
        <v>24.42978</v>
      </c>
      <c r="L120" t="n">
        <v>22.44183</v>
      </c>
      <c r="O120" t="n">
        <v>2.574932</v>
      </c>
      <c r="R120" t="n">
        <v>7.174409</v>
      </c>
      <c r="S120" t="n">
        <v>9.08957</v>
      </c>
      <c r="V120" t="n">
        <v>5.606891</v>
      </c>
      <c r="W120" t="n">
        <v>1.070609</v>
      </c>
      <c r="Z120" t="n">
        <v>1.678984</v>
      </c>
      <c r="AA120" t="n">
        <v>4.856621</v>
      </c>
      <c r="AB120" t="n">
        <v>0.0371003</v>
      </c>
      <c r="AD120" t="n">
        <v>3.776808</v>
      </c>
      <c r="AE120" t="n">
        <v>17.55725</v>
      </c>
      <c r="AF120" t="n">
        <v>1.194629</v>
      </c>
      <c r="AH120" t="n">
        <v>15.5749</v>
      </c>
      <c r="AL120" t="n">
        <v>8.242209000000001</v>
      </c>
      <c r="AP120" t="n">
        <v>1.080303</v>
      </c>
      <c r="AU120" t="n">
        <v>8.486681000000001</v>
      </c>
      <c r="AV120" t="n">
        <v>3.039e-05</v>
      </c>
      <c r="AW120" t="n">
        <v>12.23541</v>
      </c>
      <c r="AX120" t="n">
        <v>1.3367</v>
      </c>
    </row>
    <row r="121">
      <c r="A121" s="92" t="n">
        <v>21520</v>
      </c>
      <c r="B121" t="n">
        <v>15.44011</v>
      </c>
      <c r="C121" t="n">
        <v>14.19892</v>
      </c>
      <c r="E121" t="n">
        <v>12.08849</v>
      </c>
      <c r="F121" t="n">
        <v>24.39027</v>
      </c>
      <c r="L121" t="n">
        <v>22.44183</v>
      </c>
      <c r="O121" t="n">
        <v>2.60486</v>
      </c>
      <c r="R121" t="n">
        <v>7.174409</v>
      </c>
      <c r="S121" t="n">
        <v>9.112163000000001</v>
      </c>
      <c r="V121" t="n">
        <v>5.627316</v>
      </c>
      <c r="W121" t="n">
        <v>1.075108</v>
      </c>
      <c r="Z121" t="n">
        <v>1.63528</v>
      </c>
      <c r="AB121" t="n">
        <v>0.03744382</v>
      </c>
      <c r="AD121" t="n">
        <v>3.766781</v>
      </c>
      <c r="AE121" t="n">
        <v>17.5389</v>
      </c>
      <c r="AF121" t="n">
        <v>1.174425</v>
      </c>
      <c r="AH121" t="n">
        <v>15.57965</v>
      </c>
      <c r="AL121" t="n">
        <v>8.242209000000001</v>
      </c>
      <c r="AP121" t="n">
        <v>1.07734</v>
      </c>
      <c r="AU121" t="n">
        <v>8.510712</v>
      </c>
      <c r="AV121" t="n">
        <v>3.2006e-05</v>
      </c>
      <c r="AW121" t="n">
        <v>12.19322</v>
      </c>
      <c r="AX121" t="n">
        <v>1.341216</v>
      </c>
    </row>
    <row r="122">
      <c r="A122" s="92" t="n">
        <v>21551</v>
      </c>
      <c r="B122" t="n">
        <v>15.50262</v>
      </c>
      <c r="C122" t="n">
        <v>14.195</v>
      </c>
      <c r="E122" t="n">
        <v>12.08849</v>
      </c>
      <c r="F122" t="n">
        <v>24.24275</v>
      </c>
      <c r="L122" t="n">
        <v>22.44183</v>
      </c>
      <c r="O122" t="n">
        <v>2.608669</v>
      </c>
      <c r="R122" t="n">
        <v>7.174409</v>
      </c>
      <c r="S122" t="n">
        <v>9.338084</v>
      </c>
      <c r="V122" t="n">
        <v>5.637529</v>
      </c>
      <c r="W122" t="n">
        <v>1.080356</v>
      </c>
      <c r="Z122" t="n">
        <v>1.609785</v>
      </c>
      <c r="AB122" t="n">
        <v>0.03606973</v>
      </c>
      <c r="AD122" t="n">
        <v>3.760096</v>
      </c>
      <c r="AE122" t="n">
        <v>17.55725</v>
      </c>
      <c r="AF122" t="n">
        <v>1.195968</v>
      </c>
      <c r="AH122" t="n">
        <v>15.58916</v>
      </c>
      <c r="AL122" t="n">
        <v>8.313881</v>
      </c>
      <c r="AP122" t="n">
        <v>1.078328</v>
      </c>
      <c r="AU122" t="n">
        <v>8.521330000000001</v>
      </c>
      <c r="AV122" t="n">
        <v>3.2168e-05</v>
      </c>
      <c r="AW122" t="n">
        <v>12.23541</v>
      </c>
      <c r="AX122" t="n">
        <v>1.341216</v>
      </c>
    </row>
    <row r="123">
      <c r="A123" s="92" t="n">
        <v>21582</v>
      </c>
      <c r="B123" t="n">
        <v>15.51825</v>
      </c>
      <c r="C123" t="n">
        <v>14.22373</v>
      </c>
      <c r="E123" t="n">
        <v>12.08849</v>
      </c>
      <c r="F123" t="n">
        <v>24.16197</v>
      </c>
      <c r="L123" t="n">
        <v>22.44183</v>
      </c>
      <c r="O123" t="n">
        <v>2.621185</v>
      </c>
      <c r="R123" t="n">
        <v>7.174409</v>
      </c>
      <c r="S123" t="n">
        <v>9.466106</v>
      </c>
      <c r="V123" t="n">
        <v>5.632423</v>
      </c>
      <c r="W123" t="n">
        <v>1.080356</v>
      </c>
      <c r="Z123" t="n">
        <v>1.624354</v>
      </c>
      <c r="AA123" t="n">
        <v>4.889857</v>
      </c>
      <c r="AB123" t="n">
        <v>0.03503917</v>
      </c>
      <c r="AD123" t="n">
        <v>3.756754</v>
      </c>
      <c r="AE123" t="n">
        <v>17.48386</v>
      </c>
      <c r="AF123" t="n">
        <v>1.209435</v>
      </c>
      <c r="AH123" t="n">
        <v>15.52853</v>
      </c>
      <c r="AL123" t="n">
        <v>8.313881</v>
      </c>
      <c r="AP123" t="n">
        <v>1.072403</v>
      </c>
      <c r="AU123" t="n">
        <v>8.521330000000001</v>
      </c>
      <c r="AV123" t="n">
        <v>3.3138e-05</v>
      </c>
      <c r="AW123" t="n">
        <v>12.19322</v>
      </c>
      <c r="AX123" t="n">
        <v>1.3367</v>
      </c>
    </row>
    <row r="124">
      <c r="A124" s="92" t="n">
        <v>21610</v>
      </c>
      <c r="B124" t="n">
        <v>15.51825</v>
      </c>
      <c r="C124" t="n">
        <v>14.20414</v>
      </c>
      <c r="E124" t="n">
        <v>12.00948</v>
      </c>
      <c r="F124" t="n">
        <v>24.12245</v>
      </c>
      <c r="L124" t="n">
        <v>22.44183</v>
      </c>
      <c r="O124" t="n">
        <v>2.635333</v>
      </c>
      <c r="R124" t="n">
        <v>7.174409</v>
      </c>
      <c r="S124" t="n">
        <v>9.443514</v>
      </c>
      <c r="V124" t="n">
        <v>5.632423</v>
      </c>
      <c r="W124" t="n">
        <v>1.080356</v>
      </c>
      <c r="Z124" t="n">
        <v>1.609785</v>
      </c>
      <c r="AB124" t="n">
        <v>0.03435213</v>
      </c>
      <c r="AD124" t="n">
        <v>3.746727</v>
      </c>
      <c r="AE124" t="n">
        <v>17.5389</v>
      </c>
      <c r="AF124" t="n">
        <v>1.217524</v>
      </c>
      <c r="AH124" t="n">
        <v>15.46076</v>
      </c>
      <c r="AL124" t="n">
        <v>8.170538000000001</v>
      </c>
      <c r="AP124" t="n">
        <v>1.083265</v>
      </c>
      <c r="AU124" t="n">
        <v>8.513506</v>
      </c>
      <c r="AV124" t="n">
        <v>3.3461e-05</v>
      </c>
      <c r="AW124" t="n">
        <v>12.19322</v>
      </c>
      <c r="AX124" t="n">
        <v>1.341216</v>
      </c>
    </row>
    <row r="125">
      <c r="A125" s="92" t="n">
        <v>21641</v>
      </c>
      <c r="B125" t="n">
        <v>15.62764</v>
      </c>
      <c r="C125" t="n">
        <v>14.22111</v>
      </c>
      <c r="E125" t="n">
        <v>12.00948</v>
      </c>
      <c r="F125" t="n">
        <v>24.02938</v>
      </c>
      <c r="L125" t="n">
        <v>22.44183</v>
      </c>
      <c r="O125" t="n">
        <v>2.651657</v>
      </c>
      <c r="R125" t="n">
        <v>7.174409</v>
      </c>
      <c r="S125" t="n">
        <v>9.443514</v>
      </c>
      <c r="V125" t="n">
        <v>5.591571</v>
      </c>
      <c r="W125" t="n">
        <v>1.101963</v>
      </c>
      <c r="Z125" t="n">
        <v>1.609785</v>
      </c>
      <c r="AB125" t="n">
        <v>0.03435213</v>
      </c>
      <c r="AD125" t="n">
        <v>3.740042</v>
      </c>
      <c r="AE125" t="n">
        <v>17.63063</v>
      </c>
      <c r="AF125" t="n">
        <v>1.243108</v>
      </c>
      <c r="AH125" t="n">
        <v>15.4453</v>
      </c>
      <c r="AL125" t="n">
        <v>8.242209000000001</v>
      </c>
      <c r="AP125" t="n">
        <v>1.057591</v>
      </c>
      <c r="AU125" t="n">
        <v>8.490034</v>
      </c>
      <c r="AV125" t="n">
        <v>3.3461e-05</v>
      </c>
      <c r="AW125" t="n">
        <v>12.23541</v>
      </c>
      <c r="AX125" t="n">
        <v>1.341216</v>
      </c>
    </row>
    <row r="126">
      <c r="A126" s="92" t="n">
        <v>21671</v>
      </c>
      <c r="B126" t="n">
        <v>15.73704</v>
      </c>
      <c r="C126" t="n">
        <v>14.25898</v>
      </c>
      <c r="E126" t="n">
        <v>12.08849</v>
      </c>
      <c r="F126" t="n">
        <v>24.05572</v>
      </c>
      <c r="L126" t="n">
        <v>22.44183</v>
      </c>
      <c r="O126" t="n">
        <v>2.65982</v>
      </c>
      <c r="R126" t="n">
        <v>7.174409</v>
      </c>
      <c r="S126" t="n">
        <v>9.383267999999999</v>
      </c>
      <c r="V126" t="n">
        <v>5.571145</v>
      </c>
      <c r="W126" t="n">
        <v>1.101963</v>
      </c>
      <c r="Z126" t="n">
        <v>1.63528</v>
      </c>
      <c r="AA126" t="n">
        <v>4.885703</v>
      </c>
      <c r="AB126" t="n">
        <v>0.03435213</v>
      </c>
      <c r="AD126" t="n">
        <v>3.756754</v>
      </c>
      <c r="AE126" t="n">
        <v>17.50221</v>
      </c>
      <c r="AF126" t="n">
        <v>1.257927</v>
      </c>
      <c r="AH126" t="n">
        <v>15.39418</v>
      </c>
      <c r="AL126" t="n">
        <v>8.242209000000001</v>
      </c>
      <c r="AP126" t="n">
        <v>1.048703</v>
      </c>
      <c r="AU126" t="n">
        <v>8.504564</v>
      </c>
      <c r="AV126" t="n">
        <v>3.3461e-05</v>
      </c>
      <c r="AW126" t="n">
        <v>12.23541</v>
      </c>
      <c r="AX126" t="n">
        <v>1.341216</v>
      </c>
    </row>
    <row r="127">
      <c r="A127" s="92" t="n">
        <v>21702</v>
      </c>
      <c r="B127" t="n">
        <v>16.14336</v>
      </c>
      <c r="C127" t="n">
        <v>14.30728</v>
      </c>
      <c r="E127" t="n">
        <v>11.93047</v>
      </c>
      <c r="F127" t="n">
        <v>24.02938</v>
      </c>
      <c r="L127" t="n">
        <v>22.63754</v>
      </c>
      <c r="O127" t="n">
        <v>2.644584</v>
      </c>
      <c r="R127" t="n">
        <v>7.174409</v>
      </c>
      <c r="S127" t="n">
        <v>9.405860000000001</v>
      </c>
      <c r="V127" t="n">
        <v>5.581358</v>
      </c>
      <c r="W127" t="n">
        <v>1.101963</v>
      </c>
      <c r="Z127" t="n">
        <v>1.664416</v>
      </c>
      <c r="AB127" t="n">
        <v>0.03435213</v>
      </c>
      <c r="AD127" t="n">
        <v>3.753412</v>
      </c>
      <c r="AE127" t="n">
        <v>17.63063</v>
      </c>
      <c r="AF127" t="n">
        <v>1.23637</v>
      </c>
      <c r="AH127" t="n">
        <v>15.54161</v>
      </c>
      <c r="AL127" t="n">
        <v>8.242209000000001</v>
      </c>
      <c r="AP127" t="n">
        <v>1.040803</v>
      </c>
      <c r="AU127" t="n">
        <v>8.481650999999999</v>
      </c>
      <c r="AV127" t="n">
        <v>3.4754e-05</v>
      </c>
      <c r="AW127" t="n">
        <v>12.2776</v>
      </c>
      <c r="AX127" t="n">
        <v>1.345732</v>
      </c>
    </row>
    <row r="128">
      <c r="A128" s="92" t="n">
        <v>21732</v>
      </c>
      <c r="B128" t="n">
        <v>16.01834</v>
      </c>
      <c r="C128" t="n">
        <v>14.30858</v>
      </c>
      <c r="E128" t="n">
        <v>12.08849</v>
      </c>
      <c r="F128" t="n">
        <v>24.02938</v>
      </c>
      <c r="L128" t="n">
        <v>22.70278</v>
      </c>
      <c r="O128" t="n">
        <v>2.644584</v>
      </c>
      <c r="R128" t="n">
        <v>7.174409</v>
      </c>
      <c r="S128" t="n">
        <v>9.435983999999999</v>
      </c>
      <c r="V128" t="n">
        <v>5.566039</v>
      </c>
      <c r="W128" t="n">
        <v>1.101963</v>
      </c>
      <c r="Z128" t="n">
        <v>1.704479</v>
      </c>
      <c r="AB128" t="n">
        <v>0.03435213</v>
      </c>
      <c r="AD128" t="n">
        <v>3.740042</v>
      </c>
      <c r="AE128" t="n">
        <v>17.64898</v>
      </c>
      <c r="AF128" t="n">
        <v>1.228295</v>
      </c>
      <c r="AH128" t="n">
        <v>15.58798</v>
      </c>
      <c r="AL128" t="n">
        <v>8.313881</v>
      </c>
      <c r="AP128" t="n">
        <v>1.059566</v>
      </c>
      <c r="AU128" t="n">
        <v>8.493387</v>
      </c>
      <c r="AV128" t="n">
        <v>3.5886e-05</v>
      </c>
      <c r="AW128" t="n">
        <v>12.31979</v>
      </c>
      <c r="AX128" t="n">
        <v>1.341216</v>
      </c>
    </row>
    <row r="129">
      <c r="A129" s="92" t="n">
        <v>21763</v>
      </c>
      <c r="B129" t="n">
        <v>15.86206</v>
      </c>
      <c r="C129" t="n">
        <v>14.37908</v>
      </c>
      <c r="E129" t="n">
        <v>12.08849</v>
      </c>
      <c r="F129" t="n">
        <v>24.10928</v>
      </c>
      <c r="L129" t="n">
        <v>22.76802</v>
      </c>
      <c r="O129" t="n">
        <v>2.648937</v>
      </c>
      <c r="R129" t="n">
        <v>7.174409</v>
      </c>
      <c r="S129" t="n">
        <v>9.481168</v>
      </c>
      <c r="V129" t="n">
        <v>5.581358</v>
      </c>
      <c r="W129" t="n">
        <v>1.101963</v>
      </c>
      <c r="Z129" t="n">
        <v>1.719047</v>
      </c>
      <c r="AA129" t="n">
        <v>4.802612</v>
      </c>
      <c r="AB129" t="n">
        <v>0.03435213</v>
      </c>
      <c r="AD129" t="n">
        <v>3.750069</v>
      </c>
      <c r="AE129" t="n">
        <v>17.92417</v>
      </c>
      <c r="AF129" t="n">
        <v>1.23637</v>
      </c>
      <c r="AH129" t="n">
        <v>15.76631</v>
      </c>
      <c r="AL129" t="n">
        <v>8.313881</v>
      </c>
      <c r="AP129" t="n">
        <v>1.06549</v>
      </c>
      <c r="AU129" t="n">
        <v>8.524124</v>
      </c>
      <c r="AV129" t="n">
        <v>3.5886e-05</v>
      </c>
      <c r="AW129" t="n">
        <v>12.31979</v>
      </c>
      <c r="AX129" t="n">
        <v>1.341216</v>
      </c>
    </row>
    <row r="130">
      <c r="A130" s="92" t="n">
        <v>21794</v>
      </c>
      <c r="B130" t="n">
        <v>15.8308</v>
      </c>
      <c r="C130" t="n">
        <v>14.39083</v>
      </c>
      <c r="E130" t="n">
        <v>12.24651</v>
      </c>
      <c r="F130" t="n">
        <v>24.19007</v>
      </c>
      <c r="L130" t="n">
        <v>22.70278</v>
      </c>
      <c r="O130" t="n">
        <v>2.663085</v>
      </c>
      <c r="R130" t="n">
        <v>7.243394</v>
      </c>
      <c r="S130" t="n">
        <v>9.526351999999999</v>
      </c>
      <c r="V130" t="n">
        <v>5.550719</v>
      </c>
      <c r="W130" t="n">
        <v>1.101963</v>
      </c>
      <c r="Z130" t="n">
        <v>1.704479</v>
      </c>
      <c r="AB130" t="n">
        <v>0.03435213</v>
      </c>
      <c r="AD130" t="n">
        <v>3.763439</v>
      </c>
      <c r="AE130" t="n">
        <v>17.75905</v>
      </c>
      <c r="AF130" t="n">
        <v>1.303715</v>
      </c>
      <c r="AH130" t="n">
        <v>15.73065</v>
      </c>
      <c r="AL130" t="n">
        <v>8.313881</v>
      </c>
      <c r="AP130" t="n">
        <v>1.07339</v>
      </c>
      <c r="AU130" t="n">
        <v>8.585038000000001</v>
      </c>
      <c r="AV130" t="n">
        <v>3.5724e-05</v>
      </c>
      <c r="AW130" t="n">
        <v>12.36198</v>
      </c>
      <c r="AX130" t="n">
        <v>1.341216</v>
      </c>
    </row>
    <row r="131">
      <c r="A131" s="92" t="n">
        <v>21824</v>
      </c>
      <c r="B131" t="n">
        <v>15.8308</v>
      </c>
      <c r="C131" t="n">
        <v>14.41042</v>
      </c>
      <c r="E131" t="n">
        <v>12.24651</v>
      </c>
      <c r="F131" t="n">
        <v>24.22958</v>
      </c>
      <c r="L131" t="n">
        <v>22.76802</v>
      </c>
      <c r="O131" t="n">
        <v>2.671247</v>
      </c>
      <c r="R131" t="n">
        <v>7.381363</v>
      </c>
      <c r="S131" t="n">
        <v>9.60919</v>
      </c>
      <c r="V131" t="n">
        <v>5.576252</v>
      </c>
      <c r="W131" t="n">
        <v>1.101963</v>
      </c>
      <c r="Z131" t="n">
        <v>1.733615</v>
      </c>
      <c r="AB131" t="n">
        <v>0.03435213</v>
      </c>
      <c r="AD131" t="n">
        <v>3.803546</v>
      </c>
      <c r="AE131" t="n">
        <v>17.99755</v>
      </c>
      <c r="AF131" t="n">
        <v>1.299681</v>
      </c>
      <c r="AH131" t="n">
        <v>15.61889</v>
      </c>
      <c r="AL131" t="n">
        <v>8.313881</v>
      </c>
      <c r="AP131" t="n">
        <v>1.087215</v>
      </c>
      <c r="AU131" t="n">
        <v>8.590627</v>
      </c>
      <c r="AV131" t="n">
        <v>3.6694e-05</v>
      </c>
      <c r="AW131" t="n">
        <v>12.40417</v>
      </c>
      <c r="AX131" t="n">
        <v>1.345732</v>
      </c>
    </row>
    <row r="132">
      <c r="A132" s="92" t="n">
        <v>21855</v>
      </c>
      <c r="B132" t="n">
        <v>16.00271</v>
      </c>
      <c r="C132" t="n">
        <v>14.44175</v>
      </c>
      <c r="E132" t="n">
        <v>12.24651</v>
      </c>
      <c r="F132" t="n">
        <v>24.25592</v>
      </c>
      <c r="L132" t="n">
        <v>22.96373</v>
      </c>
      <c r="O132" t="n">
        <v>2.680497</v>
      </c>
      <c r="R132" t="n">
        <v>7.381363</v>
      </c>
      <c r="S132" t="n">
        <v>9.669435999999999</v>
      </c>
      <c r="V132" t="n">
        <v>5.617104</v>
      </c>
      <c r="W132" t="n">
        <v>1.101963</v>
      </c>
      <c r="Z132" t="n">
        <v>1.733615</v>
      </c>
      <c r="AA132" t="n">
        <v>4.773531</v>
      </c>
      <c r="AB132" t="n">
        <v>0.03435213</v>
      </c>
      <c r="AD132" t="n">
        <v>3.820258</v>
      </c>
      <c r="AE132" t="n">
        <v>17.90582</v>
      </c>
      <c r="AF132" t="n">
        <v>1.249838</v>
      </c>
      <c r="AH132" t="n">
        <v>15.63315</v>
      </c>
      <c r="AL132" t="n">
        <v>8.313881</v>
      </c>
      <c r="AP132" t="n">
        <v>1.09709</v>
      </c>
      <c r="AU132" t="n">
        <v>8.602921</v>
      </c>
      <c r="AV132" t="n">
        <v>3.7341e-05</v>
      </c>
      <c r="AW132" t="n">
        <v>12.40417</v>
      </c>
      <c r="AX132" t="n">
        <v>1.350248</v>
      </c>
    </row>
    <row r="133">
      <c r="A133" s="92" t="n">
        <v>21885</v>
      </c>
      <c r="B133" t="n">
        <v>15.95582</v>
      </c>
      <c r="C133" t="n">
        <v>14.43</v>
      </c>
      <c r="E133" t="n">
        <v>12.24651</v>
      </c>
      <c r="F133" t="n">
        <v>24.24275</v>
      </c>
      <c r="L133" t="n">
        <v>22.96373</v>
      </c>
      <c r="O133" t="n">
        <v>2.703896</v>
      </c>
      <c r="R133" t="n">
        <v>7.381363</v>
      </c>
      <c r="S133" t="n">
        <v>9.669435999999999</v>
      </c>
      <c r="V133" t="n">
        <v>5.627316</v>
      </c>
      <c r="W133" t="n">
        <v>1.101963</v>
      </c>
      <c r="Z133" t="n">
        <v>1.704479</v>
      </c>
      <c r="AB133" t="n">
        <v>0.03435213</v>
      </c>
      <c r="AD133" t="n">
        <v>3.833627</v>
      </c>
      <c r="AE133" t="n">
        <v>17.90582</v>
      </c>
      <c r="AF133" t="n">
        <v>1.268698</v>
      </c>
      <c r="AH133" t="n">
        <v>15.65456</v>
      </c>
      <c r="AL133" t="n">
        <v>8.313881</v>
      </c>
      <c r="AP133" t="n">
        <v>1.104002</v>
      </c>
      <c r="AU133" t="n">
        <v>8.623599</v>
      </c>
      <c r="AV133" t="n">
        <v>3.7502e-05</v>
      </c>
      <c r="AW133" t="n">
        <v>12.40417</v>
      </c>
      <c r="AX133" t="n">
        <v>1.350248</v>
      </c>
    </row>
    <row r="134">
      <c r="A134" s="92" t="n">
        <v>21916</v>
      </c>
      <c r="B134" t="n">
        <v>15.95582</v>
      </c>
      <c r="C134" t="n">
        <v>14.39736</v>
      </c>
      <c r="E134" t="n">
        <v>12.24651</v>
      </c>
      <c r="F134" t="n">
        <v>24.17602</v>
      </c>
      <c r="L134" t="n">
        <v>22.96373</v>
      </c>
      <c r="O134" t="n">
        <v>2.682674</v>
      </c>
      <c r="R134" t="n">
        <v>7.381363</v>
      </c>
      <c r="S134" t="n">
        <v>9.797458000000001</v>
      </c>
      <c r="V134" t="n">
        <v>5.611997</v>
      </c>
      <c r="W134" t="n">
        <v>1.101963</v>
      </c>
      <c r="Z134" t="n">
        <v>1.678984</v>
      </c>
      <c r="AB134" t="n">
        <v>0.03435213</v>
      </c>
      <c r="AD134" t="n">
        <v>3.853681</v>
      </c>
      <c r="AE134" t="n">
        <v>18.12598</v>
      </c>
      <c r="AF134" t="n">
        <v>1.280821</v>
      </c>
      <c r="AH134" t="n">
        <v>15.62721</v>
      </c>
      <c r="AL134" t="n">
        <v>8.313881</v>
      </c>
      <c r="AP134" t="n">
        <v>1.10499</v>
      </c>
      <c r="AU134" t="n">
        <v>8.859432999999999</v>
      </c>
      <c r="AV134" t="n">
        <v>3.7502e-05</v>
      </c>
      <c r="AW134" t="n">
        <v>12.36198</v>
      </c>
      <c r="AX134" t="n">
        <v>1.345732</v>
      </c>
    </row>
    <row r="135">
      <c r="A135" s="92" t="n">
        <v>21947</v>
      </c>
      <c r="B135" t="n">
        <v>15.97145</v>
      </c>
      <c r="C135" t="n">
        <v>14.383</v>
      </c>
      <c r="E135" t="n">
        <v>12.24651</v>
      </c>
      <c r="F135" t="n">
        <v>24.29631</v>
      </c>
      <c r="L135" t="n">
        <v>22.83326</v>
      </c>
      <c r="O135" t="n">
        <v>2.680497</v>
      </c>
      <c r="R135" t="n">
        <v>7.381363</v>
      </c>
      <c r="S135" t="n">
        <v>9.820048999999999</v>
      </c>
      <c r="V135" t="n">
        <v>5.611997</v>
      </c>
      <c r="W135" t="n">
        <v>1.101963</v>
      </c>
      <c r="Z135" t="n">
        <v>1.678984</v>
      </c>
      <c r="AA135" t="n">
        <v>4.794303</v>
      </c>
      <c r="AB135" t="n">
        <v>0.03435213</v>
      </c>
      <c r="AD135" t="n">
        <v>3.846996</v>
      </c>
      <c r="AE135" t="n">
        <v>18.14432</v>
      </c>
      <c r="AF135" t="n">
        <v>1.309101</v>
      </c>
      <c r="AH135" t="n">
        <v>15.5749</v>
      </c>
      <c r="AL135" t="n">
        <v>8.313881</v>
      </c>
      <c r="AP135" t="n">
        <v>1.111902</v>
      </c>
      <c r="AU135" t="n">
        <v>8.865581000000001</v>
      </c>
      <c r="AV135" t="n">
        <v>3.7664e-05</v>
      </c>
      <c r="AW135" t="n">
        <v>12.40417</v>
      </c>
      <c r="AX135" t="n">
        <v>1.345732</v>
      </c>
    </row>
    <row r="136">
      <c r="A136" s="92" t="n">
        <v>21976</v>
      </c>
      <c r="B136" t="n">
        <v>16.00271</v>
      </c>
      <c r="C136" t="n">
        <v>14.34645</v>
      </c>
      <c r="E136" t="n">
        <v>12.1675</v>
      </c>
      <c r="F136" t="n">
        <v>24.29631</v>
      </c>
      <c r="L136" t="n">
        <v>22.83326</v>
      </c>
      <c r="O136" t="n">
        <v>2.677233</v>
      </c>
      <c r="R136" t="n">
        <v>7.450348</v>
      </c>
      <c r="S136" t="n">
        <v>9.820048999999999</v>
      </c>
      <c r="V136" t="n">
        <v>5.601784</v>
      </c>
      <c r="W136" t="n">
        <v>1.101963</v>
      </c>
      <c r="Z136" t="n">
        <v>1.664416</v>
      </c>
      <c r="AB136" t="n">
        <v>0.03469565</v>
      </c>
      <c r="AD136" t="n">
        <v>3.840312</v>
      </c>
      <c r="AE136" t="n">
        <v>18.08928</v>
      </c>
      <c r="AF136" t="n">
        <v>1.32392</v>
      </c>
      <c r="AH136" t="n">
        <v>15.52853</v>
      </c>
      <c r="AL136" t="n">
        <v>8.313881</v>
      </c>
      <c r="AP136" t="n">
        <v>1.122764</v>
      </c>
      <c r="AU136" t="n">
        <v>8.86111</v>
      </c>
      <c r="AV136" t="n">
        <v>3.7502e-05</v>
      </c>
      <c r="AW136" t="n">
        <v>12.40417</v>
      </c>
      <c r="AX136" t="n">
        <v>1.350248</v>
      </c>
    </row>
    <row r="137">
      <c r="A137" s="92" t="n">
        <v>22007</v>
      </c>
      <c r="B137" t="n">
        <v>16.08085</v>
      </c>
      <c r="C137" t="n">
        <v>14.33339</v>
      </c>
      <c r="E137" t="n">
        <v>12.24651</v>
      </c>
      <c r="F137" t="n">
        <v>24.3367</v>
      </c>
      <c r="L137" t="n">
        <v>22.96373</v>
      </c>
      <c r="O137" t="n">
        <v>2.67941</v>
      </c>
      <c r="R137" t="n">
        <v>7.450348</v>
      </c>
      <c r="S137" t="n">
        <v>9.835110999999999</v>
      </c>
      <c r="V137" t="n">
        <v>5.632423</v>
      </c>
      <c r="W137" t="n">
        <v>1.101963</v>
      </c>
      <c r="Z137" t="n">
        <v>1.678984</v>
      </c>
      <c r="AB137" t="n">
        <v>0.03572621</v>
      </c>
      <c r="AD137" t="n">
        <v>3.836969</v>
      </c>
      <c r="AE137" t="n">
        <v>18.19936</v>
      </c>
      <c r="AF137" t="n">
        <v>1.362978</v>
      </c>
      <c r="AH137" t="n">
        <v>15.55944</v>
      </c>
      <c r="AK137" t="n">
        <v>15.80548</v>
      </c>
      <c r="AL137" t="n">
        <v>8.313881</v>
      </c>
      <c r="AP137" t="n">
        <v>1.100052</v>
      </c>
      <c r="AU137" t="n">
        <v>8.855521</v>
      </c>
      <c r="AV137" t="n">
        <v>3.7502e-05</v>
      </c>
      <c r="AW137" t="n">
        <v>12.44636</v>
      </c>
      <c r="AX137" t="n">
        <v>1.354764</v>
      </c>
    </row>
    <row r="138">
      <c r="A138" s="92" t="n">
        <v>22037</v>
      </c>
      <c r="B138" t="n">
        <v>16.20587</v>
      </c>
      <c r="C138" t="n">
        <v>14.32947</v>
      </c>
      <c r="E138" t="n">
        <v>12.24651</v>
      </c>
      <c r="F138" t="n">
        <v>24.44295</v>
      </c>
      <c r="L138" t="n">
        <v>23.02897</v>
      </c>
      <c r="O138" t="n">
        <v>2.671247</v>
      </c>
      <c r="R138" t="n">
        <v>7.450348</v>
      </c>
      <c r="S138" t="n">
        <v>9.812519</v>
      </c>
      <c r="V138" t="n">
        <v>5.632423</v>
      </c>
      <c r="W138" t="n">
        <v>1.101963</v>
      </c>
      <c r="Z138" t="n">
        <v>1.68991</v>
      </c>
      <c r="AA138" t="n">
        <v>4.869084</v>
      </c>
      <c r="AB138" t="n">
        <v>0.03606973</v>
      </c>
      <c r="AD138" t="n">
        <v>3.843654</v>
      </c>
      <c r="AE138" t="n">
        <v>18.36448</v>
      </c>
      <c r="AF138" t="n">
        <v>1.358937</v>
      </c>
      <c r="AH138" t="n">
        <v>15.54161</v>
      </c>
      <c r="AK138" t="n">
        <v>15.6535</v>
      </c>
      <c r="AL138" t="n">
        <v>8.313881</v>
      </c>
      <c r="AP138" t="n">
        <v>1.08919</v>
      </c>
      <c r="AU138" t="n">
        <v>8.877875</v>
      </c>
      <c r="AV138" t="n">
        <v>3.7341e-05</v>
      </c>
      <c r="AW138" t="n">
        <v>12.44636</v>
      </c>
      <c r="AX138" t="n">
        <v>1.359279</v>
      </c>
    </row>
    <row r="139">
      <c r="A139" s="92" t="n">
        <v>22068</v>
      </c>
      <c r="B139" t="n">
        <v>16.31526</v>
      </c>
      <c r="C139" t="n">
        <v>14.35558</v>
      </c>
      <c r="E139" t="n">
        <v>12.24651</v>
      </c>
      <c r="F139" t="n">
        <v>24.47017</v>
      </c>
      <c r="L139" t="n">
        <v>23.02897</v>
      </c>
      <c r="O139" t="n">
        <v>2.66907</v>
      </c>
      <c r="R139" t="n">
        <v>7.450348</v>
      </c>
      <c r="S139" t="n">
        <v>9.804988</v>
      </c>
      <c r="V139" t="n">
        <v>5.663062</v>
      </c>
      <c r="W139" t="n">
        <v>1.12357</v>
      </c>
      <c r="Z139" t="n">
        <v>1.704479</v>
      </c>
      <c r="AB139" t="n">
        <v>0.03606973</v>
      </c>
      <c r="AD139" t="n">
        <v>3.843654</v>
      </c>
      <c r="AE139" t="n">
        <v>18.29109</v>
      </c>
      <c r="AF139" t="n">
        <v>1.357586</v>
      </c>
      <c r="AH139" t="n">
        <v>15.68666</v>
      </c>
      <c r="AK139" t="n">
        <v>15.50152</v>
      </c>
      <c r="AL139" t="n">
        <v>8.313881</v>
      </c>
      <c r="AP139" t="n">
        <v>1.096102</v>
      </c>
      <c r="AU139" t="n">
        <v>8.908053000000001</v>
      </c>
      <c r="AV139" t="n">
        <v>3.7017e-05</v>
      </c>
      <c r="AW139" t="n">
        <v>12.48856</v>
      </c>
      <c r="AX139" t="n">
        <v>1.363795</v>
      </c>
    </row>
    <row r="140">
      <c r="A140" s="92" t="n">
        <v>22098</v>
      </c>
      <c r="B140" t="n">
        <v>16.29963</v>
      </c>
      <c r="C140" t="n">
        <v>14.31772</v>
      </c>
      <c r="E140" t="n">
        <v>12.24651</v>
      </c>
      <c r="F140" t="n">
        <v>24.53691</v>
      </c>
      <c r="L140" t="n">
        <v>23.02897</v>
      </c>
      <c r="O140" t="n">
        <v>2.667982</v>
      </c>
      <c r="R140" t="n">
        <v>7.519333</v>
      </c>
      <c r="S140" t="n">
        <v>9.842642</v>
      </c>
      <c r="V140" t="n">
        <v>5.673275</v>
      </c>
      <c r="W140" t="n">
        <v>1.101963</v>
      </c>
      <c r="Z140" t="n">
        <v>1.733615</v>
      </c>
      <c r="AB140" t="n">
        <v>0.03538269</v>
      </c>
      <c r="AD140" t="n">
        <v>3.860366</v>
      </c>
      <c r="AE140" t="n">
        <v>18.27275</v>
      </c>
      <c r="AF140" t="n">
        <v>1.368364</v>
      </c>
      <c r="AH140" t="n">
        <v>15.63434</v>
      </c>
      <c r="AK140" t="n">
        <v>15.50152</v>
      </c>
      <c r="AL140" t="n">
        <v>8.313881</v>
      </c>
      <c r="AP140" t="n">
        <v>1.091165</v>
      </c>
      <c r="AU140" t="n">
        <v>8.902464999999999</v>
      </c>
      <c r="AV140" t="n">
        <v>3.6694e-05</v>
      </c>
      <c r="AW140" t="n">
        <v>12.48856</v>
      </c>
      <c r="AX140" t="n">
        <v>1.363795</v>
      </c>
    </row>
    <row r="141">
      <c r="A141" s="92" t="n">
        <v>22129</v>
      </c>
      <c r="B141" t="n">
        <v>16.20587</v>
      </c>
      <c r="C141" t="n">
        <v>14.30336</v>
      </c>
      <c r="E141" t="n">
        <v>12.24651</v>
      </c>
      <c r="F141" t="n">
        <v>24.59047</v>
      </c>
      <c r="L141" t="n">
        <v>23.02897</v>
      </c>
      <c r="O141" t="n">
        <v>2.673424</v>
      </c>
      <c r="R141" t="n">
        <v>7.519333</v>
      </c>
      <c r="S141" t="n">
        <v>9.933009999999999</v>
      </c>
      <c r="V141" t="n">
        <v>5.637529</v>
      </c>
      <c r="W141" t="n">
        <v>1.101963</v>
      </c>
      <c r="Z141" t="n">
        <v>1.733615</v>
      </c>
      <c r="AA141" t="n">
        <v>4.869084</v>
      </c>
      <c r="AB141" t="n">
        <v>0.03572621</v>
      </c>
      <c r="AD141" t="n">
        <v>3.86705</v>
      </c>
      <c r="AE141" t="n">
        <v>18.41951</v>
      </c>
      <c r="AF141" t="n">
        <v>1.379142</v>
      </c>
      <c r="AH141" t="n">
        <v>15.63553</v>
      </c>
      <c r="AK141" t="n">
        <v>15.34955</v>
      </c>
      <c r="AL141" t="n">
        <v>8.313881</v>
      </c>
      <c r="AP141" t="n">
        <v>1.098077</v>
      </c>
      <c r="AU141" t="n">
        <v>8.889052</v>
      </c>
      <c r="AV141" t="n">
        <v>3.6532e-05</v>
      </c>
      <c r="AW141" t="n">
        <v>12.48856</v>
      </c>
      <c r="AX141" t="n">
        <v>1.368311</v>
      </c>
    </row>
    <row r="142">
      <c r="A142" s="92" t="n">
        <v>22160</v>
      </c>
      <c r="B142" t="n">
        <v>16.04959</v>
      </c>
      <c r="C142" t="n">
        <v>14.32947</v>
      </c>
      <c r="E142" t="n">
        <v>12.24651</v>
      </c>
      <c r="F142" t="n">
        <v>24.6572</v>
      </c>
      <c r="L142" t="n">
        <v>22.96373</v>
      </c>
      <c r="O142" t="n">
        <v>2.689748</v>
      </c>
      <c r="R142" t="n">
        <v>7.519333</v>
      </c>
      <c r="S142" t="n">
        <v>9.948071000000001</v>
      </c>
      <c r="V142" t="n">
        <v>5.642636</v>
      </c>
      <c r="W142" t="n">
        <v>1.12357</v>
      </c>
      <c r="Z142" t="n">
        <v>1.719047</v>
      </c>
      <c r="AB142" t="n">
        <v>0.03469565</v>
      </c>
      <c r="AD142" t="n">
        <v>3.863708</v>
      </c>
      <c r="AE142" t="n">
        <v>18.56628</v>
      </c>
      <c r="AF142" t="n">
        <v>1.37779</v>
      </c>
      <c r="AH142" t="n">
        <v>15.76988</v>
      </c>
      <c r="AK142" t="n">
        <v>15.50152</v>
      </c>
      <c r="AL142" t="n">
        <v>8.313881</v>
      </c>
      <c r="AP142" t="n">
        <v>1.096102</v>
      </c>
      <c r="AU142" t="n">
        <v>8.895759</v>
      </c>
      <c r="AV142" t="n">
        <v>3.6371e-05</v>
      </c>
      <c r="AW142" t="n">
        <v>12.48856</v>
      </c>
      <c r="AX142" t="n">
        <v>1.368311</v>
      </c>
    </row>
    <row r="143">
      <c r="A143" s="92" t="n">
        <v>22190</v>
      </c>
      <c r="B143" t="n">
        <v>16.00271</v>
      </c>
      <c r="C143" t="n">
        <v>14.37908</v>
      </c>
      <c r="E143" t="n">
        <v>12.40453</v>
      </c>
      <c r="F143" t="n">
        <v>24.69671</v>
      </c>
      <c r="L143" t="n">
        <v>23.02897</v>
      </c>
      <c r="O143" t="n">
        <v>2.696822</v>
      </c>
      <c r="R143" t="n">
        <v>7.519333</v>
      </c>
      <c r="S143" t="n">
        <v>9.963132999999999</v>
      </c>
      <c r="V143" t="n">
        <v>5.688594</v>
      </c>
      <c r="W143" t="n">
        <v>1.12357</v>
      </c>
      <c r="Z143" t="n">
        <v>1.719047</v>
      </c>
      <c r="AB143" t="n">
        <v>0.03503917</v>
      </c>
      <c r="AD143" t="n">
        <v>3.863708</v>
      </c>
      <c r="AE143" t="n">
        <v>18.65801</v>
      </c>
      <c r="AF143" t="n">
        <v>1.362978</v>
      </c>
      <c r="AH143" t="n">
        <v>15.72708</v>
      </c>
      <c r="AK143" t="n">
        <v>15.34955</v>
      </c>
      <c r="AL143" t="n">
        <v>8.313881</v>
      </c>
      <c r="AP143" t="n">
        <v>1.109927</v>
      </c>
      <c r="AU143" t="n">
        <v>8.895200000000001</v>
      </c>
      <c r="AV143" t="n">
        <v>3.6371e-05</v>
      </c>
      <c r="AW143" t="n">
        <v>12.57294</v>
      </c>
      <c r="AX143" t="n">
        <v>1.368311</v>
      </c>
    </row>
    <row r="144">
      <c r="A144" s="92" t="n">
        <v>22221</v>
      </c>
      <c r="B144" t="n">
        <v>16.06522</v>
      </c>
      <c r="C144" t="n">
        <v>14.40519</v>
      </c>
      <c r="E144" t="n">
        <v>12.40453</v>
      </c>
      <c r="F144" t="n">
        <v>24.69671</v>
      </c>
      <c r="L144" t="n">
        <v>23.09421</v>
      </c>
      <c r="O144" t="n">
        <v>2.700087</v>
      </c>
      <c r="R144" t="n">
        <v>7.519333</v>
      </c>
      <c r="S144" t="n">
        <v>9.993256000000001</v>
      </c>
      <c r="V144" t="n">
        <v>5.714126</v>
      </c>
      <c r="W144" t="n">
        <v>1.12357</v>
      </c>
      <c r="Z144" t="n">
        <v>1.704479</v>
      </c>
      <c r="AA144" t="n">
        <v>4.906475</v>
      </c>
      <c r="AB144" t="n">
        <v>0.03538269</v>
      </c>
      <c r="AD144" t="n">
        <v>3.880419</v>
      </c>
      <c r="AE144" t="n">
        <v>18.40117</v>
      </c>
      <c r="AF144" t="n">
        <v>1.326616</v>
      </c>
      <c r="AH144" t="n">
        <v>15.7461</v>
      </c>
      <c r="AK144" t="n">
        <v>15.34955</v>
      </c>
      <c r="AL144" t="n">
        <v>8.313881</v>
      </c>
      <c r="AP144" t="n">
        <v>1.121777</v>
      </c>
      <c r="AU144" t="n">
        <v>8.930965</v>
      </c>
      <c r="AV144" t="n">
        <v>3.6209e-05</v>
      </c>
      <c r="AW144" t="n">
        <v>12.57294</v>
      </c>
      <c r="AX144" t="n">
        <v>1.368311</v>
      </c>
    </row>
    <row r="145">
      <c r="A145" s="92" t="n">
        <v>22251</v>
      </c>
      <c r="B145" t="n">
        <v>16.08085</v>
      </c>
      <c r="C145" t="n">
        <v>14.40519</v>
      </c>
      <c r="E145" t="n">
        <v>12.40453</v>
      </c>
      <c r="F145" t="n">
        <v>24.67037</v>
      </c>
      <c r="L145" t="n">
        <v>23.09421</v>
      </c>
      <c r="O145" t="n">
        <v>2.720221</v>
      </c>
      <c r="R145" t="n">
        <v>7.588317</v>
      </c>
      <c r="S145" t="n">
        <v>10.01585</v>
      </c>
      <c r="V145" t="n">
        <v>5.729445</v>
      </c>
      <c r="W145" t="n">
        <v>1.145177</v>
      </c>
      <c r="Z145" t="n">
        <v>1.704479</v>
      </c>
      <c r="AB145" t="n">
        <v>0.03538269</v>
      </c>
      <c r="AD145" t="n">
        <v>3.887104</v>
      </c>
      <c r="AE145" t="n">
        <v>18.54794</v>
      </c>
      <c r="AF145" t="n">
        <v>1.329306</v>
      </c>
      <c r="AH145" t="n">
        <v>15.76037</v>
      </c>
      <c r="AK145" t="n">
        <v>15.34955</v>
      </c>
      <c r="AL145" t="n">
        <v>8.313881</v>
      </c>
      <c r="AP145" t="n">
        <v>1.117827</v>
      </c>
      <c r="AU145" t="n">
        <v>8.954437</v>
      </c>
      <c r="AV145" t="n">
        <v>3.6532e-05</v>
      </c>
      <c r="AW145" t="n">
        <v>12.57294</v>
      </c>
      <c r="AX145" t="n">
        <v>1.368311</v>
      </c>
    </row>
    <row r="146">
      <c r="A146" s="92" t="n">
        <v>22282</v>
      </c>
      <c r="B146" t="n">
        <v>16.28401</v>
      </c>
      <c r="C146" t="n">
        <v>14.41694</v>
      </c>
      <c r="E146" t="n">
        <v>12.40453</v>
      </c>
      <c r="F146" t="n">
        <v>24.60364</v>
      </c>
      <c r="L146" t="n">
        <v>23.28992</v>
      </c>
      <c r="O146" t="n">
        <v>2.731648</v>
      </c>
      <c r="R146" t="n">
        <v>7.588317</v>
      </c>
      <c r="S146" t="n">
        <v>10.02338</v>
      </c>
      <c r="V146" t="n">
        <v>5.734552</v>
      </c>
      <c r="W146" t="n">
        <v>1.145177</v>
      </c>
      <c r="Z146" t="n">
        <v>1.68991</v>
      </c>
      <c r="AB146" t="n">
        <v>0.03572621</v>
      </c>
      <c r="AD146" t="n">
        <v>3.903816</v>
      </c>
      <c r="AE146" t="n">
        <v>18.80478</v>
      </c>
      <c r="AF146" t="n">
        <v>1.414152</v>
      </c>
      <c r="AH146" t="n">
        <v>15.75324</v>
      </c>
      <c r="AK146" t="n">
        <v>15.50152</v>
      </c>
      <c r="AL146" t="n">
        <v>8.313881</v>
      </c>
      <c r="AP146" t="n">
        <v>1.107952</v>
      </c>
      <c r="AU146" t="n">
        <v>8.984615</v>
      </c>
      <c r="AV146" t="n">
        <v>3.6856e-05</v>
      </c>
      <c r="AW146" t="n">
        <v>12.57294</v>
      </c>
      <c r="AX146" t="n">
        <v>1.372827</v>
      </c>
    </row>
    <row r="147">
      <c r="A147" s="92" t="n">
        <v>22313</v>
      </c>
      <c r="B147" t="n">
        <v>16.36214</v>
      </c>
      <c r="C147" t="n">
        <v>14.42478</v>
      </c>
      <c r="E147" t="n">
        <v>12.40453</v>
      </c>
      <c r="F147" t="n">
        <v>24.61681</v>
      </c>
      <c r="L147" t="n">
        <v>23.28992</v>
      </c>
      <c r="O147" t="n">
        <v>2.709338</v>
      </c>
      <c r="R147" t="n">
        <v>7.588317</v>
      </c>
      <c r="S147" t="n">
        <v>10.03091</v>
      </c>
      <c r="V147" t="n">
        <v>5.734552</v>
      </c>
      <c r="W147" t="n">
        <v>1.145177</v>
      </c>
      <c r="Z147" t="n">
        <v>1.68991</v>
      </c>
      <c r="AA147" t="n">
        <v>4.939711</v>
      </c>
      <c r="AB147" t="n">
        <v>0.03572621</v>
      </c>
      <c r="AD147" t="n">
        <v>3.903816</v>
      </c>
      <c r="AE147" t="n">
        <v>18.89651</v>
      </c>
      <c r="AF147" t="n">
        <v>1.447831</v>
      </c>
      <c r="AH147" t="n">
        <v>15.69736</v>
      </c>
      <c r="AK147" t="n">
        <v>15.50152</v>
      </c>
      <c r="AL147" t="n">
        <v>8.313881</v>
      </c>
      <c r="AP147" t="n">
        <v>1.112889</v>
      </c>
      <c r="AU147" t="n">
        <v>9.009764000000001</v>
      </c>
      <c r="AV147" t="n">
        <v>3.7341e-05</v>
      </c>
      <c r="AW147" t="n">
        <v>12.57294</v>
      </c>
      <c r="AX147" t="n">
        <v>1.377343</v>
      </c>
    </row>
    <row r="148">
      <c r="A148" s="92" t="n">
        <v>22341</v>
      </c>
      <c r="B148" t="n">
        <v>16.37777</v>
      </c>
      <c r="C148" t="n">
        <v>14.43</v>
      </c>
      <c r="E148" t="n">
        <v>12.40453</v>
      </c>
      <c r="F148" t="n">
        <v>24.61681</v>
      </c>
      <c r="L148" t="n">
        <v>23.28992</v>
      </c>
      <c r="O148" t="n">
        <v>2.697366</v>
      </c>
      <c r="R148" t="n">
        <v>7.588317</v>
      </c>
      <c r="S148" t="n">
        <v>10.02338</v>
      </c>
      <c r="V148" t="n">
        <v>5.754978</v>
      </c>
      <c r="W148" t="n">
        <v>1.145177</v>
      </c>
      <c r="Z148" t="n">
        <v>1.704479</v>
      </c>
      <c r="AB148" t="n">
        <v>0.03572621</v>
      </c>
      <c r="AD148" t="n">
        <v>3.907158</v>
      </c>
      <c r="AE148" t="n">
        <v>18.85982</v>
      </c>
      <c r="AF148" t="n">
        <v>1.465333</v>
      </c>
      <c r="AH148" t="n">
        <v>15.60105</v>
      </c>
      <c r="AK148" t="n">
        <v>15.34955</v>
      </c>
      <c r="AL148" t="n">
        <v>8.385552000000001</v>
      </c>
      <c r="AP148" t="n">
        <v>1.111902</v>
      </c>
      <c r="AU148" t="n">
        <v>9.044971</v>
      </c>
      <c r="AV148" t="n">
        <v>3.8311e-05</v>
      </c>
      <c r="AW148" t="n">
        <v>12.57294</v>
      </c>
      <c r="AX148" t="n">
        <v>1.377343</v>
      </c>
    </row>
    <row r="149">
      <c r="A149" s="92" t="n">
        <v>22372</v>
      </c>
      <c r="B149" t="n">
        <v>16.47154</v>
      </c>
      <c r="C149" t="n">
        <v>14.43261</v>
      </c>
      <c r="E149" t="n">
        <v>12.40453</v>
      </c>
      <c r="F149" t="n">
        <v>24.61681</v>
      </c>
      <c r="L149" t="n">
        <v>23.28992</v>
      </c>
      <c r="O149" t="n">
        <v>2.704441</v>
      </c>
      <c r="R149" t="n">
        <v>7.588317</v>
      </c>
      <c r="S149" t="n">
        <v>10.01585</v>
      </c>
      <c r="V149" t="n">
        <v>5.785616</v>
      </c>
      <c r="W149" t="n">
        <v>1.145177</v>
      </c>
      <c r="Z149" t="n">
        <v>1.704479</v>
      </c>
      <c r="AB149" t="n">
        <v>0.03572621</v>
      </c>
      <c r="AD149" t="n">
        <v>3.913843</v>
      </c>
      <c r="AE149" t="n">
        <v>19.04328</v>
      </c>
      <c r="AF149" t="n">
        <v>1.474766</v>
      </c>
      <c r="AH149" t="n">
        <v>15.607</v>
      </c>
      <c r="AK149" t="n">
        <v>15.6535</v>
      </c>
      <c r="AL149" t="n">
        <v>8.385552000000001</v>
      </c>
      <c r="AP149" t="n">
        <v>1.107952</v>
      </c>
      <c r="AU149" t="n">
        <v>9.053913</v>
      </c>
      <c r="AV149" t="n">
        <v>3.7664e-05</v>
      </c>
      <c r="AW149" t="n">
        <v>12.57294</v>
      </c>
      <c r="AX149" t="n">
        <v>1.381859</v>
      </c>
    </row>
    <row r="150">
      <c r="A150" s="92" t="n">
        <v>22402</v>
      </c>
      <c r="B150" t="n">
        <v>16.5653</v>
      </c>
      <c r="C150" t="n">
        <v>14.46916</v>
      </c>
      <c r="E150" t="n">
        <v>12.40453</v>
      </c>
      <c r="F150" t="n">
        <v>24.80384</v>
      </c>
      <c r="L150" t="n">
        <v>23.48564</v>
      </c>
      <c r="O150" t="n">
        <v>2.697366</v>
      </c>
      <c r="R150" t="n">
        <v>7.588317</v>
      </c>
      <c r="S150" t="n">
        <v>9.993256000000001</v>
      </c>
      <c r="V150" t="n">
        <v>5.800936</v>
      </c>
      <c r="W150" t="n">
        <v>1.145177</v>
      </c>
      <c r="Z150" t="n">
        <v>1.704479</v>
      </c>
      <c r="AA150" t="n">
        <v>4.997874</v>
      </c>
      <c r="AB150" t="n">
        <v>0.03572621</v>
      </c>
      <c r="AD150" t="n">
        <v>3.92387</v>
      </c>
      <c r="AE150" t="n">
        <v>18.95155</v>
      </c>
      <c r="AF150" t="n">
        <v>1.500357</v>
      </c>
      <c r="AH150" t="n">
        <v>15.61532</v>
      </c>
      <c r="AK150" t="n">
        <v>15.80548</v>
      </c>
      <c r="AL150" t="n">
        <v>8.457224</v>
      </c>
      <c r="AP150" t="n">
        <v>1.106965</v>
      </c>
      <c r="AU150" t="n">
        <v>9.078502</v>
      </c>
      <c r="AV150" t="n">
        <v>3.8311e-05</v>
      </c>
      <c r="AW150" t="n">
        <v>12.57294</v>
      </c>
      <c r="AX150" t="n">
        <v>1.390891</v>
      </c>
    </row>
    <row r="151">
      <c r="A151" s="92" t="n">
        <v>22433</v>
      </c>
      <c r="B151" t="n">
        <v>16.92474</v>
      </c>
      <c r="C151" t="n">
        <v>14.49919</v>
      </c>
      <c r="E151" t="n">
        <v>12.40453</v>
      </c>
      <c r="F151" t="n">
        <v>24.84423</v>
      </c>
      <c r="L151" t="n">
        <v>23.61611</v>
      </c>
      <c r="O151" t="n">
        <v>2.682674</v>
      </c>
      <c r="R151" t="n">
        <v>7.588317</v>
      </c>
      <c r="S151" t="n">
        <v>9.970663999999999</v>
      </c>
      <c r="V151" t="n">
        <v>5.852</v>
      </c>
      <c r="W151" t="n">
        <v>1.145177</v>
      </c>
      <c r="Z151" t="n">
        <v>1.719047</v>
      </c>
      <c r="AB151" t="n">
        <v>0.03572621</v>
      </c>
      <c r="AD151" t="n">
        <v>3.92387</v>
      </c>
      <c r="AE151" t="n">
        <v>18.95155</v>
      </c>
      <c r="AF151" t="n">
        <v>1.433012</v>
      </c>
      <c r="AH151" t="n">
        <v>15.7247</v>
      </c>
      <c r="AK151" t="n">
        <v>15.80548</v>
      </c>
      <c r="AL151" t="n">
        <v>8.457224</v>
      </c>
      <c r="AP151" t="n">
        <v>1.104002</v>
      </c>
      <c r="AU151" t="n">
        <v>9.10365</v>
      </c>
      <c r="AV151" t="n">
        <v>3.8149e-05</v>
      </c>
      <c r="AW151" t="n">
        <v>12.57294</v>
      </c>
      <c r="AX151" t="n">
        <v>1.390891</v>
      </c>
    </row>
    <row r="152">
      <c r="A152" s="92" t="n">
        <v>22463</v>
      </c>
      <c r="B152" t="n">
        <v>16.89348</v>
      </c>
      <c r="C152" t="n">
        <v>14.55011</v>
      </c>
      <c r="E152" t="n">
        <v>12.40453</v>
      </c>
      <c r="F152" t="n">
        <v>24.89779</v>
      </c>
      <c r="L152" t="n">
        <v>23.61611</v>
      </c>
      <c r="O152" t="n">
        <v>2.682674</v>
      </c>
      <c r="R152" t="n">
        <v>7.588317</v>
      </c>
      <c r="S152" t="n">
        <v>10.04597</v>
      </c>
      <c r="V152" t="n">
        <v>5.852</v>
      </c>
      <c r="W152" t="n">
        <v>1.12357</v>
      </c>
      <c r="Z152" t="n">
        <v>1.748183</v>
      </c>
      <c r="AB152" t="n">
        <v>0.03606973</v>
      </c>
      <c r="AD152" t="n">
        <v>3.933896</v>
      </c>
      <c r="AE152" t="n">
        <v>19.26344</v>
      </c>
      <c r="AF152" t="n">
        <v>1.466678</v>
      </c>
      <c r="AH152" t="n">
        <v>15.71757</v>
      </c>
      <c r="AK152" t="n">
        <v>15.6535</v>
      </c>
      <c r="AL152" t="n">
        <v>8.457224</v>
      </c>
      <c r="AP152" t="n">
        <v>1.110914</v>
      </c>
      <c r="AU152" t="n">
        <v>9.085767000000001</v>
      </c>
      <c r="AV152" t="n">
        <v>3.8472e-05</v>
      </c>
      <c r="AW152" t="n">
        <v>12.65732</v>
      </c>
      <c r="AX152" t="n">
        <v>1.390891</v>
      </c>
    </row>
    <row r="153">
      <c r="A153" s="92" t="n">
        <v>22494</v>
      </c>
      <c r="B153" t="n">
        <v>16.81535</v>
      </c>
      <c r="C153" t="n">
        <v>14.58013</v>
      </c>
      <c r="E153" t="n">
        <v>12.40453</v>
      </c>
      <c r="F153" t="n">
        <v>25.01721</v>
      </c>
      <c r="L153" t="n">
        <v>23.61611</v>
      </c>
      <c r="O153" t="n">
        <v>2.687028</v>
      </c>
      <c r="R153" t="n">
        <v>7.588317</v>
      </c>
      <c r="S153" t="n">
        <v>10.10622</v>
      </c>
      <c r="V153" t="n">
        <v>5.908172</v>
      </c>
      <c r="W153" t="n">
        <v>1.12357</v>
      </c>
      <c r="Z153" t="n">
        <v>1.759109</v>
      </c>
      <c r="AA153" t="n">
        <v>5.006183</v>
      </c>
      <c r="AB153" t="n">
        <v>0.03641326</v>
      </c>
      <c r="AD153" t="n">
        <v>3.940581</v>
      </c>
      <c r="AE153" t="n">
        <v>19.41021</v>
      </c>
      <c r="AF153" t="n">
        <v>1.488234</v>
      </c>
      <c r="AH153" t="n">
        <v>15.81744</v>
      </c>
      <c r="AK153" t="n">
        <v>15.6535</v>
      </c>
      <c r="AL153" t="n">
        <v>8.528895</v>
      </c>
      <c r="AP153" t="n">
        <v>1.130664</v>
      </c>
      <c r="AU153" t="n">
        <v>9.097503</v>
      </c>
      <c r="AV153" t="n">
        <v>3.7987e-05</v>
      </c>
      <c r="AW153" t="n">
        <v>12.61513</v>
      </c>
      <c r="AX153" t="n">
        <v>1.395406</v>
      </c>
    </row>
    <row r="154">
      <c r="A154" s="92" t="n">
        <v>22525</v>
      </c>
      <c r="B154" t="n">
        <v>16.75283</v>
      </c>
      <c r="C154" t="n">
        <v>14.55402</v>
      </c>
      <c r="E154" t="n">
        <v>12.40453</v>
      </c>
      <c r="F154" t="n">
        <v>25.0576</v>
      </c>
      <c r="L154" t="n">
        <v>23.61611</v>
      </c>
      <c r="O154" t="n">
        <v>2.689204</v>
      </c>
      <c r="R154" t="n">
        <v>7.588317</v>
      </c>
      <c r="S154" t="n">
        <v>10.15893</v>
      </c>
      <c r="V154" t="n">
        <v>5.897959</v>
      </c>
      <c r="W154" t="n">
        <v>1.12357</v>
      </c>
      <c r="Z154" t="n">
        <v>1.759109</v>
      </c>
      <c r="AB154" t="n">
        <v>0.03778734</v>
      </c>
      <c r="AD154" t="n">
        <v>3.947266</v>
      </c>
      <c r="AE154" t="n">
        <v>19.52028</v>
      </c>
      <c r="AF154" t="n">
        <v>1.482842</v>
      </c>
      <c r="AH154" t="n">
        <v>15.79723</v>
      </c>
      <c r="AK154" t="n">
        <v>15.6535</v>
      </c>
      <c r="AL154" t="n">
        <v>8.600567</v>
      </c>
      <c r="AP154" t="n">
        <v>1.138564</v>
      </c>
      <c r="AU154" t="n">
        <v>9.103090999999999</v>
      </c>
      <c r="AV154" t="n">
        <v>3.7987e-05</v>
      </c>
      <c r="AW154" t="n">
        <v>12.65732</v>
      </c>
      <c r="AX154" t="n">
        <v>1.395406</v>
      </c>
    </row>
    <row r="155">
      <c r="A155" s="92" t="n">
        <v>22555</v>
      </c>
      <c r="B155" t="n">
        <v>16.76846</v>
      </c>
      <c r="C155" t="n">
        <v>14.53314</v>
      </c>
      <c r="E155" t="n">
        <v>12.40453</v>
      </c>
      <c r="F155" t="n">
        <v>25.16473</v>
      </c>
      <c r="L155" t="n">
        <v>23.61611</v>
      </c>
      <c r="O155" t="n">
        <v>2.699543</v>
      </c>
      <c r="R155" t="n">
        <v>7.657302</v>
      </c>
      <c r="S155" t="n">
        <v>10.27189</v>
      </c>
      <c r="V155" t="n">
        <v>5.908172</v>
      </c>
      <c r="W155" t="n">
        <v>1.12357</v>
      </c>
      <c r="Z155" t="n">
        <v>1.759109</v>
      </c>
      <c r="AB155" t="n">
        <v>0.03916143</v>
      </c>
      <c r="AD155" t="n">
        <v>3.957293</v>
      </c>
      <c r="AE155" t="n">
        <v>19.94224</v>
      </c>
      <c r="AF155" t="n">
        <v>1.486883</v>
      </c>
      <c r="AH155" t="n">
        <v>15.7568</v>
      </c>
      <c r="AK155" t="n">
        <v>15.6535</v>
      </c>
      <c r="AL155" t="n">
        <v>8.672238</v>
      </c>
      <c r="AP155" t="n">
        <v>1.145476</v>
      </c>
      <c r="AU155" t="n">
        <v>9.125444999999999</v>
      </c>
      <c r="AV155" t="n">
        <v>3.8957e-05</v>
      </c>
      <c r="AW155" t="n">
        <v>12.65732</v>
      </c>
      <c r="AX155" t="n">
        <v>1.395406</v>
      </c>
    </row>
    <row r="156">
      <c r="A156" s="92" t="n">
        <v>22586</v>
      </c>
      <c r="B156" t="n">
        <v>16.92474</v>
      </c>
      <c r="C156" t="n">
        <v>14.55533</v>
      </c>
      <c r="E156" t="n">
        <v>12.40453</v>
      </c>
      <c r="F156" t="n">
        <v>25.51157</v>
      </c>
      <c r="L156" t="n">
        <v>23.74659</v>
      </c>
      <c r="O156" t="n">
        <v>2.741443</v>
      </c>
      <c r="R156" t="n">
        <v>7.657302</v>
      </c>
      <c r="S156" t="n">
        <v>10.37732</v>
      </c>
      <c r="V156" t="n">
        <v>5.969449</v>
      </c>
      <c r="W156" t="n">
        <v>1.12357</v>
      </c>
      <c r="Z156" t="n">
        <v>1.759109</v>
      </c>
      <c r="AA156" t="n">
        <v>5.03111</v>
      </c>
      <c r="AB156" t="n">
        <v>0.03950495</v>
      </c>
      <c r="AD156" t="n">
        <v>3.984031</v>
      </c>
      <c r="AE156" t="n">
        <v>20.03397</v>
      </c>
      <c r="AF156" t="n">
        <v>1.414152</v>
      </c>
      <c r="AH156" t="n">
        <v>15.78653</v>
      </c>
      <c r="AK156" t="n">
        <v>15.6535</v>
      </c>
      <c r="AL156" t="n">
        <v>8.672238</v>
      </c>
      <c r="AP156" t="n">
        <v>1.150414</v>
      </c>
      <c r="AU156" t="n">
        <v>9.15227</v>
      </c>
      <c r="AV156" t="n">
        <v>3.8472e-05</v>
      </c>
      <c r="AW156" t="n">
        <v>12.65732</v>
      </c>
      <c r="AX156" t="n">
        <v>1.404438</v>
      </c>
    </row>
    <row r="157">
      <c r="A157" s="92" t="n">
        <v>22616</v>
      </c>
      <c r="B157" t="n">
        <v>16.94037</v>
      </c>
      <c r="C157" t="n">
        <v>14.55011</v>
      </c>
      <c r="E157" t="n">
        <v>12.40453</v>
      </c>
      <c r="F157" t="n">
        <v>25.53879</v>
      </c>
      <c r="L157" t="n">
        <v>23.74659</v>
      </c>
      <c r="O157" t="n">
        <v>2.74634</v>
      </c>
      <c r="R157" t="n">
        <v>7.657302</v>
      </c>
      <c r="S157" t="n">
        <v>10.41498</v>
      </c>
      <c r="V157" t="n">
        <v>5.979662</v>
      </c>
      <c r="W157" t="n">
        <v>1.145177</v>
      </c>
      <c r="Z157" t="n">
        <v>1.759109</v>
      </c>
      <c r="AB157" t="n">
        <v>0.03950495</v>
      </c>
      <c r="AD157" t="n">
        <v>3.9974</v>
      </c>
      <c r="AE157" t="n">
        <v>20.21744</v>
      </c>
      <c r="AF157" t="n">
        <v>1.385872</v>
      </c>
      <c r="AH157" t="n">
        <v>15.82338</v>
      </c>
      <c r="AK157" t="n">
        <v>15.6535</v>
      </c>
      <c r="AL157" t="n">
        <v>8.672238</v>
      </c>
      <c r="AP157" t="n">
        <v>1.137576</v>
      </c>
      <c r="AU157" t="n">
        <v>9.158417999999999</v>
      </c>
      <c r="AV157" t="n">
        <v>3.8795e-05</v>
      </c>
      <c r="AW157" t="n">
        <v>12.65732</v>
      </c>
      <c r="AX157" t="n">
        <v>1.395406</v>
      </c>
    </row>
    <row r="158">
      <c r="A158" s="92" t="n">
        <v>22647</v>
      </c>
      <c r="B158" t="n">
        <v>17.08101</v>
      </c>
      <c r="C158" t="n">
        <v>14.55794</v>
      </c>
      <c r="E158" t="n">
        <v>12.40453</v>
      </c>
      <c r="F158" t="n">
        <v>25.56513</v>
      </c>
      <c r="L158" t="n">
        <v>24.00754</v>
      </c>
      <c r="O158" t="n">
        <v>2.741443</v>
      </c>
      <c r="R158" t="n">
        <v>7.726287</v>
      </c>
      <c r="S158" t="n">
        <v>10.48275</v>
      </c>
      <c r="V158" t="n">
        <v>6.000088</v>
      </c>
      <c r="W158" t="n">
        <v>1.12357</v>
      </c>
      <c r="Z158" t="n">
        <v>1.748183</v>
      </c>
      <c r="AB158" t="n">
        <v>0.03984847</v>
      </c>
      <c r="AD158" t="n">
        <v>4.014112</v>
      </c>
      <c r="AE158" t="n">
        <v>20.34586</v>
      </c>
      <c r="AF158" t="n">
        <v>1.407422</v>
      </c>
      <c r="AH158" t="n">
        <v>15.86381</v>
      </c>
      <c r="AK158" t="n">
        <v>15.6535</v>
      </c>
      <c r="AL158" t="n">
        <v>8.743909</v>
      </c>
      <c r="AP158" t="n">
        <v>1.135602</v>
      </c>
      <c r="AU158" t="n">
        <v>9.352338</v>
      </c>
      <c r="AV158" t="n">
        <v>3.8795e-05</v>
      </c>
      <c r="AW158" t="n">
        <v>12.65732</v>
      </c>
      <c r="AX158" t="n">
        <v>1.395406</v>
      </c>
    </row>
    <row r="159">
      <c r="A159" s="92" t="n">
        <v>22678</v>
      </c>
      <c r="B159" t="n">
        <v>17.09664</v>
      </c>
      <c r="C159" t="n">
        <v>14.55533</v>
      </c>
      <c r="E159" t="n">
        <v>12.40453</v>
      </c>
      <c r="F159" t="n">
        <v>25.63274</v>
      </c>
      <c r="L159" t="n">
        <v>24.07278</v>
      </c>
      <c r="O159" t="n">
        <v>2.753958</v>
      </c>
      <c r="R159" t="n">
        <v>7.726287</v>
      </c>
      <c r="S159" t="n">
        <v>10.49343</v>
      </c>
      <c r="V159" t="n">
        <v>6.006088</v>
      </c>
      <c r="W159" t="n">
        <v>1.12357</v>
      </c>
      <c r="Z159" t="n">
        <v>1.748183</v>
      </c>
      <c r="AA159" t="n">
        <v>5.122509</v>
      </c>
      <c r="AB159" t="n">
        <v>0.03984847</v>
      </c>
      <c r="AD159" t="n">
        <v>4.037508</v>
      </c>
      <c r="AE159" t="n">
        <v>20.27247</v>
      </c>
      <c r="AF159" t="n">
        <v>1.461299</v>
      </c>
      <c r="AH159" t="n">
        <v>15.79128</v>
      </c>
      <c r="AK159" t="n">
        <v>15.6535</v>
      </c>
      <c r="AL159" t="n">
        <v>8.743909</v>
      </c>
      <c r="AP159" t="n">
        <v>1.141526</v>
      </c>
      <c r="AU159" t="n">
        <v>9.359044000000001</v>
      </c>
      <c r="AV159" t="n">
        <v>3.9765e-05</v>
      </c>
      <c r="AW159" t="n">
        <v>12.69951</v>
      </c>
      <c r="AX159" t="n">
        <v>1.395406</v>
      </c>
    </row>
    <row r="160">
      <c r="A160" s="92" t="n">
        <v>22706</v>
      </c>
      <c r="B160" t="n">
        <v>17.19041</v>
      </c>
      <c r="C160" t="n">
        <v>14.57883</v>
      </c>
      <c r="E160" t="n">
        <v>12.40453</v>
      </c>
      <c r="F160" t="n">
        <v>25.67225</v>
      </c>
      <c r="L160" t="n">
        <v>24.13801</v>
      </c>
      <c r="O160" t="n">
        <v>2.777901</v>
      </c>
      <c r="R160" t="n">
        <v>7.795272</v>
      </c>
      <c r="S160" t="n">
        <v>10.55748</v>
      </c>
      <c r="V160" t="n">
        <v>6.030088</v>
      </c>
      <c r="W160" t="n">
        <v>1.12357</v>
      </c>
      <c r="Z160" t="n">
        <v>1.748183</v>
      </c>
      <c r="AB160" t="n">
        <v>0.03984847</v>
      </c>
      <c r="AD160" t="n">
        <v>4.060904</v>
      </c>
      <c r="AE160" t="n">
        <v>20.30917</v>
      </c>
      <c r="AF160" t="n">
        <v>1.50304</v>
      </c>
      <c r="AH160" t="n">
        <v>15.74254</v>
      </c>
      <c r="AK160" t="n">
        <v>15.80548</v>
      </c>
      <c r="AL160" t="n">
        <v>8.815580000000001</v>
      </c>
      <c r="AP160" t="n">
        <v>1.155351</v>
      </c>
      <c r="AU160" t="n">
        <v>9.382516000000001</v>
      </c>
      <c r="AV160" t="n">
        <v>3.9927e-05</v>
      </c>
      <c r="AW160" t="n">
        <v>12.69951</v>
      </c>
      <c r="AX160" t="n">
        <v>1.399922</v>
      </c>
    </row>
    <row r="161">
      <c r="A161" s="92" t="n">
        <v>22737</v>
      </c>
      <c r="B161" t="n">
        <v>17.45608</v>
      </c>
      <c r="C161" t="n">
        <v>14.65063</v>
      </c>
      <c r="E161" t="n">
        <v>12.48354</v>
      </c>
      <c r="F161" t="n">
        <v>25.79255</v>
      </c>
      <c r="L161" t="n">
        <v>24.20325</v>
      </c>
      <c r="O161" t="n">
        <v>2.81708</v>
      </c>
      <c r="R161" t="n">
        <v>7.864256</v>
      </c>
      <c r="S161" t="n">
        <v>10.57883</v>
      </c>
      <c r="V161" t="n">
        <v>6.114089</v>
      </c>
      <c r="W161" t="n">
        <v>1.145177</v>
      </c>
      <c r="Z161" t="n">
        <v>1.759109</v>
      </c>
      <c r="AB161" t="n">
        <v>0.03984847</v>
      </c>
      <c r="AD161" t="n">
        <v>4.094327</v>
      </c>
      <c r="AE161" t="n">
        <v>20.52932</v>
      </c>
      <c r="AF161" t="n">
        <v>1.531326</v>
      </c>
      <c r="AH161" t="n">
        <v>15.75324</v>
      </c>
      <c r="AK161" t="n">
        <v>16.41338</v>
      </c>
      <c r="AL161" t="n">
        <v>8.887252</v>
      </c>
      <c r="AP161" t="n">
        <v>1.152389</v>
      </c>
      <c r="AU161" t="n">
        <v>9.455724999999999</v>
      </c>
      <c r="AV161" t="n">
        <v>3.928e-05</v>
      </c>
      <c r="AW161" t="n">
        <v>12.7417</v>
      </c>
      <c r="AX161" t="n">
        <v>1.404438</v>
      </c>
    </row>
    <row r="162">
      <c r="A162" s="92" t="n">
        <v>22767</v>
      </c>
      <c r="B162" t="n">
        <v>17.64361</v>
      </c>
      <c r="C162" t="n">
        <v>14.8321</v>
      </c>
      <c r="E162" t="n">
        <v>12.48354</v>
      </c>
      <c r="F162" t="n">
        <v>25.99275</v>
      </c>
      <c r="L162" t="n">
        <v>24.20325</v>
      </c>
      <c r="O162" t="n">
        <v>2.852994</v>
      </c>
      <c r="R162" t="n">
        <v>7.864256</v>
      </c>
      <c r="S162" t="n">
        <v>10.61085</v>
      </c>
      <c r="V162" t="n">
        <v>6.13209</v>
      </c>
      <c r="W162" t="n">
        <v>1.12357</v>
      </c>
      <c r="Z162" t="n">
        <v>1.773678</v>
      </c>
      <c r="AA162" t="n">
        <v>5.255454</v>
      </c>
      <c r="AB162" t="n">
        <v>0.03984847</v>
      </c>
      <c r="AD162" t="n">
        <v>4.094327</v>
      </c>
      <c r="AE162" t="n">
        <v>20.6394</v>
      </c>
      <c r="AF162" t="n">
        <v>1.560958</v>
      </c>
      <c r="AH162" t="n">
        <v>15.76275</v>
      </c>
      <c r="AK162" t="n">
        <v>16.10943</v>
      </c>
      <c r="AL162" t="n">
        <v>8.887252</v>
      </c>
      <c r="AP162" t="n">
        <v>1.137576</v>
      </c>
      <c r="AU162" t="n">
        <v>9.530052</v>
      </c>
      <c r="AV162" t="n">
        <v>3.928e-05</v>
      </c>
      <c r="AW162" t="n">
        <v>12.7417</v>
      </c>
      <c r="AX162" t="n">
        <v>1.408954</v>
      </c>
    </row>
    <row r="163">
      <c r="A163" s="92" t="n">
        <v>22798</v>
      </c>
      <c r="B163" t="n">
        <v>17.98742</v>
      </c>
      <c r="C163" t="n">
        <v>14.91696</v>
      </c>
      <c r="E163" t="n">
        <v>12.56255</v>
      </c>
      <c r="F163" t="n">
        <v>26.05949</v>
      </c>
      <c r="L163" t="n">
        <v>24.20325</v>
      </c>
      <c r="O163" t="n">
        <v>2.867687</v>
      </c>
      <c r="R163" t="n">
        <v>7.933241</v>
      </c>
      <c r="S163" t="n">
        <v>10.65355</v>
      </c>
      <c r="V163" t="n">
        <v>6.17409</v>
      </c>
      <c r="W163" t="n">
        <v>1.12357</v>
      </c>
      <c r="Z163" t="n">
        <v>1.788246</v>
      </c>
      <c r="AB163" t="n">
        <v>0.03984847</v>
      </c>
      <c r="AD163" t="n">
        <v>4.107697</v>
      </c>
      <c r="AE163" t="n">
        <v>20.56601</v>
      </c>
      <c r="AF163" t="n">
        <v>1.552876</v>
      </c>
      <c r="AH163" t="n">
        <v>15.92087</v>
      </c>
      <c r="AK163" t="n">
        <v>16.41338</v>
      </c>
      <c r="AL163" t="n">
        <v>8.887252</v>
      </c>
      <c r="AP163" t="n">
        <v>1.138564</v>
      </c>
      <c r="AU163" t="n">
        <v>9.574201</v>
      </c>
      <c r="AV163" t="n">
        <v>3.9442e-05</v>
      </c>
      <c r="AW163" t="n">
        <v>12.7417</v>
      </c>
      <c r="AX163" t="n">
        <v>1.408954</v>
      </c>
    </row>
    <row r="164">
      <c r="A164" s="92" t="n">
        <v>22828</v>
      </c>
      <c r="B164" t="n">
        <v>17.67487</v>
      </c>
      <c r="C164" t="n">
        <v>14.83863</v>
      </c>
      <c r="E164" t="n">
        <v>12.56255</v>
      </c>
      <c r="F164" t="n">
        <v>26.13939</v>
      </c>
      <c r="L164" t="n">
        <v>24.26849</v>
      </c>
      <c r="O164" t="n">
        <v>2.867687</v>
      </c>
      <c r="R164" t="n">
        <v>8.002226</v>
      </c>
      <c r="S164" t="n">
        <v>10.69625</v>
      </c>
      <c r="V164" t="n">
        <v>6.15009</v>
      </c>
      <c r="W164" t="n">
        <v>1.12357</v>
      </c>
      <c r="Z164" t="n">
        <v>1.81374</v>
      </c>
      <c r="AB164" t="n">
        <v>0.04019199</v>
      </c>
      <c r="AD164" t="n">
        <v>4.134435</v>
      </c>
      <c r="AE164" t="n">
        <v>20.76782</v>
      </c>
      <c r="AF164" t="n">
        <v>1.567695</v>
      </c>
      <c r="AH164" t="n">
        <v>15.90898</v>
      </c>
      <c r="AK164" t="n">
        <v>15.95745</v>
      </c>
      <c r="AL164" t="n">
        <v>9.030595</v>
      </c>
      <c r="AP164" t="n">
        <v>1.146464</v>
      </c>
      <c r="AU164" t="n">
        <v>9.585936999999999</v>
      </c>
      <c r="AV164" t="n">
        <v>3.928e-05</v>
      </c>
      <c r="AW164" t="n">
        <v>12.78389</v>
      </c>
      <c r="AX164" t="n">
        <v>1.408954</v>
      </c>
    </row>
    <row r="165">
      <c r="A165" s="92" t="n">
        <v>22859</v>
      </c>
      <c r="B165" t="n">
        <v>17.37794</v>
      </c>
      <c r="C165" t="n">
        <v>14.65455</v>
      </c>
      <c r="E165" t="n">
        <v>12.64156</v>
      </c>
      <c r="F165" t="n">
        <v>26.24652</v>
      </c>
      <c r="L165" t="n">
        <v>24.13801</v>
      </c>
      <c r="O165" t="n">
        <v>2.860612</v>
      </c>
      <c r="R165" t="n">
        <v>8.002226</v>
      </c>
      <c r="S165" t="n">
        <v>10.68558</v>
      </c>
      <c r="V165" t="n">
        <v>6.096089</v>
      </c>
      <c r="W165" t="n">
        <v>1.12357</v>
      </c>
      <c r="Z165" t="n">
        <v>1.828308</v>
      </c>
      <c r="AA165" t="n">
        <v>5.230527</v>
      </c>
      <c r="AB165" t="n">
        <v>0.04122255</v>
      </c>
      <c r="AD165" t="n">
        <v>4.137777</v>
      </c>
      <c r="AE165" t="n">
        <v>20.76782</v>
      </c>
      <c r="AF165" t="n">
        <v>1.613483</v>
      </c>
      <c r="AH165" t="n">
        <v>15.90898</v>
      </c>
      <c r="AK165" t="n">
        <v>15.95745</v>
      </c>
      <c r="AL165" t="n">
        <v>9.030595</v>
      </c>
      <c r="AP165" t="n">
        <v>1.148439</v>
      </c>
      <c r="AU165" t="n">
        <v>9.608290999999999</v>
      </c>
      <c r="AV165" t="n">
        <v>3.928e-05</v>
      </c>
      <c r="AW165" t="n">
        <v>12.78389</v>
      </c>
      <c r="AX165" t="n">
        <v>1.408954</v>
      </c>
    </row>
    <row r="166">
      <c r="A166" s="92" t="n">
        <v>22890</v>
      </c>
      <c r="B166" t="n">
        <v>17.4092</v>
      </c>
      <c r="C166" t="n">
        <v>14.67544</v>
      </c>
      <c r="E166" t="n">
        <v>12.56255</v>
      </c>
      <c r="F166" t="n">
        <v>26.23247</v>
      </c>
      <c r="L166" t="n">
        <v>24.13801</v>
      </c>
      <c r="O166" t="n">
        <v>2.878025</v>
      </c>
      <c r="R166" t="n">
        <v>8.002226</v>
      </c>
      <c r="S166" t="n">
        <v>10.72828</v>
      </c>
      <c r="V166" t="n">
        <v>6.090089</v>
      </c>
      <c r="W166" t="n">
        <v>1.12357</v>
      </c>
      <c r="Z166" t="n">
        <v>1.828308</v>
      </c>
      <c r="AB166" t="n">
        <v>0.04190959</v>
      </c>
      <c r="AD166" t="n">
        <v>4.151146</v>
      </c>
      <c r="AE166" t="n">
        <v>20.69444</v>
      </c>
      <c r="AF166" t="n">
        <v>1.593285</v>
      </c>
      <c r="AH166" t="n">
        <v>15.99934</v>
      </c>
      <c r="AK166" t="n">
        <v>16.10943</v>
      </c>
      <c r="AL166" t="n">
        <v>9.102266</v>
      </c>
      <c r="AP166" t="n">
        <v>1.153376</v>
      </c>
      <c r="AU166" t="n">
        <v>9.582583</v>
      </c>
      <c r="AV166" t="n">
        <v>3.928e-05</v>
      </c>
      <c r="AW166" t="n">
        <v>12.82608</v>
      </c>
      <c r="AX166" t="n">
        <v>1.408954</v>
      </c>
    </row>
    <row r="167">
      <c r="A167" s="92" t="n">
        <v>22920</v>
      </c>
      <c r="B167" t="n">
        <v>17.2998</v>
      </c>
      <c r="C167" t="n">
        <v>14.71852</v>
      </c>
      <c r="E167" t="n">
        <v>12.64156</v>
      </c>
      <c r="F167" t="n">
        <v>26.19383</v>
      </c>
      <c r="L167" t="n">
        <v>24.20325</v>
      </c>
      <c r="O167" t="n">
        <v>2.905777</v>
      </c>
      <c r="R167" t="n">
        <v>8.071211</v>
      </c>
      <c r="S167" t="n">
        <v>10.74963</v>
      </c>
      <c r="V167" t="n">
        <v>6.084089</v>
      </c>
      <c r="W167" t="n">
        <v>1.145177</v>
      </c>
      <c r="Z167" t="n">
        <v>1.842876</v>
      </c>
      <c r="AB167" t="n">
        <v>0.04294016</v>
      </c>
      <c r="AD167" t="n">
        <v>4.167858</v>
      </c>
      <c r="AE167" t="n">
        <v>20.85955</v>
      </c>
      <c r="AF167" t="n">
        <v>1.602712</v>
      </c>
      <c r="AH167" t="n">
        <v>15.87094</v>
      </c>
      <c r="AK167" t="n">
        <v>15.95745</v>
      </c>
      <c r="AL167" t="n">
        <v>9.030595</v>
      </c>
      <c r="AP167" t="n">
        <v>1.169176</v>
      </c>
      <c r="AU167" t="n">
        <v>9.555759</v>
      </c>
      <c r="AV167" t="n">
        <v>3.9765e-05</v>
      </c>
      <c r="AW167" t="n">
        <v>12.82608</v>
      </c>
      <c r="AX167" t="n">
        <v>1.408954</v>
      </c>
    </row>
    <row r="168">
      <c r="A168" s="92" t="n">
        <v>22951</v>
      </c>
      <c r="B168" t="n">
        <v>17.2998</v>
      </c>
      <c r="C168" t="n">
        <v>14.74202</v>
      </c>
      <c r="E168" t="n">
        <v>12.64156</v>
      </c>
      <c r="F168" t="n">
        <v>26.31325</v>
      </c>
      <c r="L168" t="n">
        <v>24.26849</v>
      </c>
      <c r="O168" t="n">
        <v>2.980326</v>
      </c>
      <c r="R168" t="n">
        <v>8.140195</v>
      </c>
      <c r="S168" t="n">
        <v>10.81367</v>
      </c>
      <c r="V168" t="n">
        <v>6.108089</v>
      </c>
      <c r="W168" t="n">
        <v>1.145177</v>
      </c>
      <c r="Z168" t="n">
        <v>1.828308</v>
      </c>
      <c r="AA168" t="n">
        <v>5.218063</v>
      </c>
      <c r="AB168" t="n">
        <v>0.04294016</v>
      </c>
      <c r="AD168" t="n">
        <v>4.194596</v>
      </c>
      <c r="AE168" t="n">
        <v>20.78617</v>
      </c>
      <c r="AF168" t="n">
        <v>1.601361</v>
      </c>
      <c r="AH168" t="n">
        <v>15.91136</v>
      </c>
      <c r="AK168" t="n">
        <v>15.95745</v>
      </c>
      <c r="AL168" t="n">
        <v>9.030595</v>
      </c>
      <c r="AP168" t="n">
        <v>1.181026</v>
      </c>
      <c r="AU168" t="n">
        <v>9.585378</v>
      </c>
      <c r="AV168" t="n">
        <v>4.025e-05</v>
      </c>
      <c r="AW168" t="n">
        <v>12.82608</v>
      </c>
      <c r="AX168" t="n">
        <v>1.408954</v>
      </c>
    </row>
    <row r="169">
      <c r="A169" s="92" t="n">
        <v>22981</v>
      </c>
      <c r="B169" t="n">
        <v>17.33106</v>
      </c>
      <c r="C169" t="n">
        <v>14.71852</v>
      </c>
      <c r="E169" t="n">
        <v>12.64156</v>
      </c>
      <c r="F169" t="n">
        <v>26.36681</v>
      </c>
      <c r="L169" t="n">
        <v>24.39897</v>
      </c>
      <c r="O169" t="n">
        <v>3.018416</v>
      </c>
      <c r="R169" t="n">
        <v>8.140195</v>
      </c>
      <c r="S169" t="n">
        <v>10.85637</v>
      </c>
      <c r="V169" t="n">
        <v>6.13809</v>
      </c>
      <c r="W169" t="n">
        <v>1.145177</v>
      </c>
      <c r="Z169" t="n">
        <v>1.802814</v>
      </c>
      <c r="AB169" t="n">
        <v>0.04328368</v>
      </c>
      <c r="AD169" t="n">
        <v>4.258101</v>
      </c>
      <c r="AE169" t="n">
        <v>21.20813</v>
      </c>
      <c r="AF169" t="n">
        <v>1.620221</v>
      </c>
      <c r="AH169" t="n">
        <v>15.95416</v>
      </c>
      <c r="AK169" t="n">
        <v>16.10943</v>
      </c>
      <c r="AL169" t="n">
        <v>9.102266</v>
      </c>
      <c r="AP169" t="n">
        <v>1.164238</v>
      </c>
      <c r="AU169" t="n">
        <v>9.621143999999999</v>
      </c>
      <c r="AV169" t="n">
        <v>4.0735e-05</v>
      </c>
      <c r="AW169" t="n">
        <v>12.82608</v>
      </c>
      <c r="AX169" t="n">
        <v>1.417986</v>
      </c>
    </row>
    <row r="170">
      <c r="A170" s="92" t="n">
        <v>23012</v>
      </c>
      <c r="B170" t="n">
        <v>17.50296</v>
      </c>
      <c r="C170" t="n">
        <v>14.77727</v>
      </c>
      <c r="E170" t="n">
        <v>12.64156</v>
      </c>
      <c r="F170" t="n">
        <v>26.4476</v>
      </c>
      <c r="L170" t="n">
        <v>24.72515</v>
      </c>
      <c r="O170" t="n">
        <v>3.025491</v>
      </c>
      <c r="R170" t="n">
        <v>8.140195</v>
      </c>
      <c r="S170" t="n">
        <v>10.94177</v>
      </c>
      <c r="V170" t="n">
        <v>6.16209</v>
      </c>
      <c r="W170" t="n">
        <v>1.166784</v>
      </c>
      <c r="Z170" t="n">
        <v>1.788246</v>
      </c>
      <c r="AB170" t="n">
        <v>0.04397072</v>
      </c>
      <c r="AD170" t="n">
        <v>4.304893</v>
      </c>
      <c r="AE170" t="n">
        <v>21.5567</v>
      </c>
      <c r="AF170" t="n">
        <v>1.661975</v>
      </c>
      <c r="AH170" t="n">
        <v>15.97794</v>
      </c>
      <c r="AK170" t="n">
        <v>16.2614</v>
      </c>
      <c r="AL170" t="n">
        <v>9.102266</v>
      </c>
      <c r="AP170" t="n">
        <v>1.162263</v>
      </c>
      <c r="AU170" t="n">
        <v>9.646293</v>
      </c>
      <c r="AV170" t="n">
        <v>4.122e-05</v>
      </c>
      <c r="AW170" t="n">
        <v>12.82608</v>
      </c>
      <c r="AX170" t="n">
        <v>1.422502</v>
      </c>
    </row>
    <row r="171">
      <c r="A171" s="92" t="n">
        <v>23043</v>
      </c>
      <c r="B171" t="n">
        <v>17.72175</v>
      </c>
      <c r="C171" t="n">
        <v>14.95874</v>
      </c>
      <c r="E171" t="n">
        <v>12.64156</v>
      </c>
      <c r="F171" t="n">
        <v>26.6074</v>
      </c>
      <c r="L171" t="n">
        <v>24.92087</v>
      </c>
      <c r="O171" t="n">
        <v>3.049433</v>
      </c>
      <c r="R171" t="n">
        <v>8.140195</v>
      </c>
      <c r="S171" t="n">
        <v>11.00582</v>
      </c>
      <c r="V171" t="n">
        <v>6.216091</v>
      </c>
      <c r="W171" t="n">
        <v>1.166784</v>
      </c>
      <c r="Z171" t="n">
        <v>1.773678</v>
      </c>
      <c r="AA171" t="n">
        <v>5.305308</v>
      </c>
      <c r="AB171" t="n">
        <v>0.04397072</v>
      </c>
      <c r="AD171" t="n">
        <v>4.365054</v>
      </c>
      <c r="AE171" t="n">
        <v>21.65424</v>
      </c>
      <c r="AF171" t="n">
        <v>1.698337</v>
      </c>
      <c r="AH171" t="n">
        <v>16.04452</v>
      </c>
      <c r="AK171" t="n">
        <v>16.56535</v>
      </c>
      <c r="AL171" t="n">
        <v>9.173938</v>
      </c>
      <c r="AP171" t="n">
        <v>1.178063</v>
      </c>
      <c r="AU171" t="n">
        <v>9.683177000000001</v>
      </c>
      <c r="AV171" t="n">
        <v>4.2028e-05</v>
      </c>
      <c r="AW171" t="n">
        <v>12.82608</v>
      </c>
      <c r="AX171" t="n">
        <v>1.417986</v>
      </c>
    </row>
    <row r="172">
      <c r="A172" s="92" t="n">
        <v>23071</v>
      </c>
      <c r="B172" t="n">
        <v>17.76863</v>
      </c>
      <c r="C172" t="n">
        <v>14.96527</v>
      </c>
      <c r="E172" t="n">
        <v>12.64156</v>
      </c>
      <c r="F172" t="n">
        <v>26.6074</v>
      </c>
      <c r="L172" t="n">
        <v>24.92087</v>
      </c>
      <c r="O172" t="n">
        <v>3.108746</v>
      </c>
      <c r="R172" t="n">
        <v>8.20918</v>
      </c>
      <c r="S172" t="n">
        <v>11.03785</v>
      </c>
      <c r="V172" t="n">
        <v>6.222091</v>
      </c>
      <c r="W172" t="n">
        <v>1.166784</v>
      </c>
      <c r="Z172" t="n">
        <v>1.788246</v>
      </c>
      <c r="AB172" t="n">
        <v>0.04431424</v>
      </c>
      <c r="AD172" t="n">
        <v>4.378423</v>
      </c>
      <c r="AE172" t="n">
        <v>21.75179</v>
      </c>
      <c r="AF172" t="n">
        <v>1.707763</v>
      </c>
      <c r="AH172" t="n">
        <v>16.04333</v>
      </c>
      <c r="AK172" t="n">
        <v>16.56535</v>
      </c>
      <c r="AL172" t="n">
        <v>9.245609</v>
      </c>
      <c r="AP172" t="n">
        <v>1.195838</v>
      </c>
      <c r="AU172" t="n">
        <v>9.719500999999999</v>
      </c>
      <c r="AV172" t="n">
        <v>4.2352e-05</v>
      </c>
      <c r="AW172" t="n">
        <v>12.86828</v>
      </c>
      <c r="AX172" t="n">
        <v>1.417986</v>
      </c>
    </row>
    <row r="173">
      <c r="A173" s="92" t="n">
        <v>23102</v>
      </c>
      <c r="B173" t="n">
        <v>17.84677</v>
      </c>
      <c r="C173" t="n">
        <v>14.93785</v>
      </c>
      <c r="E173" t="n">
        <v>12.64156</v>
      </c>
      <c r="F173" t="n">
        <v>26.64779</v>
      </c>
      <c r="L173" t="n">
        <v>24.98611</v>
      </c>
      <c r="O173" t="n">
        <v>3.10657</v>
      </c>
      <c r="R173" t="n">
        <v>8.278165</v>
      </c>
      <c r="S173" t="n">
        <v>11.0592</v>
      </c>
      <c r="V173" t="n">
        <v>6.240091</v>
      </c>
      <c r="W173" t="n">
        <v>1.166784</v>
      </c>
      <c r="Z173" t="n">
        <v>1.802814</v>
      </c>
      <c r="AB173" t="n">
        <v>0.04465776</v>
      </c>
      <c r="AD173" t="n">
        <v>4.405162</v>
      </c>
      <c r="AE173" t="n">
        <v>21.84933</v>
      </c>
      <c r="AF173" t="n">
        <v>1.765675</v>
      </c>
      <c r="AH173" t="n">
        <v>16.0148</v>
      </c>
      <c r="AK173" t="n">
        <v>16.71733</v>
      </c>
      <c r="AL173" t="n">
        <v>9.245609</v>
      </c>
      <c r="AP173" t="n">
        <v>1.183</v>
      </c>
      <c r="AU173" t="n">
        <v>9.757504000000001</v>
      </c>
      <c r="AV173" t="n">
        <v>4.2028e-05</v>
      </c>
      <c r="AW173" t="n">
        <v>12.86828</v>
      </c>
      <c r="AX173" t="n">
        <v>1.417986</v>
      </c>
    </row>
    <row r="174">
      <c r="A174" s="92" t="n">
        <v>23132</v>
      </c>
      <c r="B174" t="n">
        <v>17.94054</v>
      </c>
      <c r="C174" t="n">
        <v>14.89607</v>
      </c>
      <c r="E174" t="n">
        <v>12.64156</v>
      </c>
      <c r="F174" t="n">
        <v>26.80761</v>
      </c>
      <c r="L174" t="n">
        <v>24.92087</v>
      </c>
      <c r="O174" t="n">
        <v>3.123982</v>
      </c>
      <c r="R174" t="n">
        <v>8.278165</v>
      </c>
      <c r="S174" t="n">
        <v>11.1019</v>
      </c>
      <c r="V174" t="n">
        <v>6.234091</v>
      </c>
      <c r="W174" t="n">
        <v>1.166784</v>
      </c>
      <c r="Z174" t="n">
        <v>1.81374</v>
      </c>
      <c r="AA174" t="n">
        <v>5.292844</v>
      </c>
      <c r="AB174" t="n">
        <v>0.04500129</v>
      </c>
      <c r="AD174" t="n">
        <v>4.405162</v>
      </c>
      <c r="AE174" t="n">
        <v>22.02003</v>
      </c>
      <c r="AF174" t="n">
        <v>1.74547</v>
      </c>
      <c r="AH174" t="n">
        <v>16.3156</v>
      </c>
      <c r="AK174" t="n">
        <v>16.56535</v>
      </c>
      <c r="AL174" t="n">
        <v>9.102266</v>
      </c>
      <c r="AP174" t="n">
        <v>1.165226</v>
      </c>
      <c r="AU174" t="n">
        <v>9.768122</v>
      </c>
      <c r="AV174" t="n">
        <v>4.219e-05</v>
      </c>
      <c r="AW174" t="n">
        <v>12.86828</v>
      </c>
      <c r="AX174" t="n">
        <v>1.417986</v>
      </c>
    </row>
    <row r="175">
      <c r="A175" s="92" t="n">
        <v>23163</v>
      </c>
      <c r="B175" t="n">
        <v>18.23746</v>
      </c>
      <c r="C175" t="n">
        <v>14.91827</v>
      </c>
      <c r="E175" t="n">
        <v>12.64156</v>
      </c>
      <c r="F175" t="n">
        <v>26.87434</v>
      </c>
      <c r="L175" t="n">
        <v>24.79039</v>
      </c>
      <c r="O175" t="n">
        <v>3.066302</v>
      </c>
      <c r="R175" t="n">
        <v>8.278165</v>
      </c>
      <c r="S175" t="n">
        <v>11.17662</v>
      </c>
      <c r="V175" t="n">
        <v>6.234091</v>
      </c>
      <c r="W175" t="n">
        <v>1.166784</v>
      </c>
      <c r="Z175" t="n">
        <v>1.842876</v>
      </c>
      <c r="AB175" t="n">
        <v>0.04500129</v>
      </c>
      <c r="AD175" t="n">
        <v>4.411847</v>
      </c>
      <c r="AE175" t="n">
        <v>22.19072</v>
      </c>
      <c r="AF175" t="n">
        <v>1.79261</v>
      </c>
      <c r="AH175" t="n">
        <v>16.41665</v>
      </c>
      <c r="AK175" t="n">
        <v>16.71733</v>
      </c>
      <c r="AL175" t="n">
        <v>9.102266</v>
      </c>
      <c r="AP175" t="n">
        <v>1.157326</v>
      </c>
      <c r="AU175" t="n">
        <v>9.804447</v>
      </c>
      <c r="AV175" t="n">
        <v>4.2352e-05</v>
      </c>
      <c r="AW175" t="n">
        <v>12.91047</v>
      </c>
      <c r="AX175" t="n">
        <v>1.422502</v>
      </c>
    </row>
    <row r="176">
      <c r="A176" s="92" t="n">
        <v>23193</v>
      </c>
      <c r="B176" t="n">
        <v>17.98742</v>
      </c>
      <c r="C176" t="n">
        <v>15.00182</v>
      </c>
      <c r="E176" t="n">
        <v>12.79958</v>
      </c>
      <c r="F176" t="n">
        <v>26.9279</v>
      </c>
      <c r="L176" t="n">
        <v>24.79039</v>
      </c>
      <c r="O176" t="n">
        <v>3.098952</v>
      </c>
      <c r="R176" t="n">
        <v>8.278165</v>
      </c>
      <c r="S176" t="n">
        <v>11.21932</v>
      </c>
      <c r="V176" t="n">
        <v>6.198091</v>
      </c>
      <c r="W176" t="n">
        <v>1.166784</v>
      </c>
      <c r="Z176" t="n">
        <v>1.857445</v>
      </c>
      <c r="AB176" t="n">
        <v>0.04534481</v>
      </c>
      <c r="AD176" t="n">
        <v>4.408504</v>
      </c>
      <c r="AE176" t="n">
        <v>22.04441</v>
      </c>
      <c r="AF176" t="n">
        <v>2.014835</v>
      </c>
      <c r="AH176" t="n">
        <v>16.40952</v>
      </c>
      <c r="AK176" t="n">
        <v>16.2614</v>
      </c>
      <c r="AL176" t="n">
        <v>9.245609</v>
      </c>
      <c r="AP176" t="n">
        <v>1.138564</v>
      </c>
      <c r="AU176" t="n">
        <v>9.799417</v>
      </c>
      <c r="AV176" t="n">
        <v>4.2028e-05</v>
      </c>
      <c r="AW176" t="n">
        <v>12.95266</v>
      </c>
      <c r="AX176" t="n">
        <v>1.427018</v>
      </c>
    </row>
    <row r="177">
      <c r="A177" s="92" t="n">
        <v>23224</v>
      </c>
      <c r="B177" t="n">
        <v>17.70612</v>
      </c>
      <c r="C177" t="n">
        <v>14.98354</v>
      </c>
      <c r="E177" t="n">
        <v>12.87859</v>
      </c>
      <c r="F177" t="n">
        <v>27.00781</v>
      </c>
      <c r="L177" t="n">
        <v>24.72515</v>
      </c>
      <c r="O177" t="n">
        <v>3.131056</v>
      </c>
      <c r="R177" t="n">
        <v>8.347149</v>
      </c>
      <c r="S177" t="n">
        <v>11.26202</v>
      </c>
      <c r="V177" t="n">
        <v>6.18009</v>
      </c>
      <c r="W177" t="n">
        <v>1.166784</v>
      </c>
      <c r="Z177" t="n">
        <v>1.872013</v>
      </c>
      <c r="AA177" t="n">
        <v>5.28869</v>
      </c>
      <c r="AB177" t="n">
        <v>0.04568833</v>
      </c>
      <c r="AD177" t="n">
        <v>4.425216</v>
      </c>
      <c r="AE177" t="n">
        <v>21.97125</v>
      </c>
      <c r="AF177" t="n">
        <v>2.048508</v>
      </c>
      <c r="AH177" t="n">
        <v>16.45708</v>
      </c>
      <c r="AK177" t="n">
        <v>16.2614</v>
      </c>
      <c r="AL177" t="n">
        <v>9.102266</v>
      </c>
      <c r="AP177" t="n">
        <v>1.166213</v>
      </c>
      <c r="AU177" t="n">
        <v>9.813948</v>
      </c>
      <c r="AV177" t="n">
        <v>4.1705e-05</v>
      </c>
      <c r="AW177" t="n">
        <v>12.95266</v>
      </c>
      <c r="AX177" t="n">
        <v>1.431533</v>
      </c>
    </row>
    <row r="178">
      <c r="A178" s="92" t="n">
        <v>23255</v>
      </c>
      <c r="B178" t="n">
        <v>17.90928</v>
      </c>
      <c r="C178" t="n">
        <v>15.08407</v>
      </c>
      <c r="E178" t="n">
        <v>12.79958</v>
      </c>
      <c r="F178" t="n">
        <v>27.08771</v>
      </c>
      <c r="L178" t="n">
        <v>24.79039</v>
      </c>
      <c r="O178" t="n">
        <v>3.123982</v>
      </c>
      <c r="R178" t="n">
        <v>8.416134</v>
      </c>
      <c r="S178" t="n">
        <v>11.33674</v>
      </c>
      <c r="V178" t="n">
        <v>6.198091</v>
      </c>
      <c r="W178" t="n">
        <v>1.166784</v>
      </c>
      <c r="Z178" t="n">
        <v>1.882939</v>
      </c>
      <c r="AB178" t="n">
        <v>0.04740594</v>
      </c>
      <c r="AD178" t="n">
        <v>4.455297</v>
      </c>
      <c r="AE178" t="n">
        <v>22.41019</v>
      </c>
      <c r="AF178" t="n">
        <v>2.020221</v>
      </c>
      <c r="AH178" t="n">
        <v>16.57359</v>
      </c>
      <c r="AK178" t="n">
        <v>16.56535</v>
      </c>
      <c r="AL178" t="n">
        <v>9.102266</v>
      </c>
      <c r="AP178" t="n">
        <v>1.165226</v>
      </c>
      <c r="AU178" t="n">
        <v>9.822889</v>
      </c>
      <c r="AV178" t="n">
        <v>4.1867e-05</v>
      </c>
      <c r="AW178" t="n">
        <v>12.95266</v>
      </c>
      <c r="AX178" t="n">
        <v>1.431533</v>
      </c>
    </row>
    <row r="179">
      <c r="A179" s="92" t="n">
        <v>23285</v>
      </c>
      <c r="B179" t="n">
        <v>17.79989</v>
      </c>
      <c r="C179" t="n">
        <v>15.14673</v>
      </c>
      <c r="E179" t="n">
        <v>12.79958</v>
      </c>
      <c r="F179" t="n">
        <v>27.19484</v>
      </c>
      <c r="L179" t="n">
        <v>24.98611</v>
      </c>
      <c r="O179" t="n">
        <v>3.132689</v>
      </c>
      <c r="R179" t="n">
        <v>8.554104000000001</v>
      </c>
      <c r="S179" t="n">
        <v>11.35809</v>
      </c>
      <c r="V179" t="n">
        <v>6.222091</v>
      </c>
      <c r="W179" t="n">
        <v>1.166784</v>
      </c>
      <c r="Z179" t="n">
        <v>1.897507</v>
      </c>
      <c r="AB179" t="n">
        <v>0.04946706</v>
      </c>
      <c r="AD179" t="n">
        <v>4.505431</v>
      </c>
      <c r="AE179" t="n">
        <v>22.33704</v>
      </c>
      <c r="AF179" t="n">
        <v>1.94345</v>
      </c>
      <c r="AH179" t="n">
        <v>16.49275</v>
      </c>
      <c r="AK179" t="n">
        <v>16.56535</v>
      </c>
      <c r="AL179" t="n">
        <v>9.102266</v>
      </c>
      <c r="AP179" t="n">
        <v>1.182013</v>
      </c>
      <c r="AU179" t="n">
        <v>9.852508</v>
      </c>
      <c r="AV179" t="n">
        <v>4.2513e-05</v>
      </c>
      <c r="AW179" t="n">
        <v>12.99485</v>
      </c>
      <c r="AX179" t="n">
        <v>1.431533</v>
      </c>
    </row>
    <row r="180">
      <c r="A180" s="92" t="n">
        <v>23316</v>
      </c>
      <c r="B180" t="n">
        <v>18.01867</v>
      </c>
      <c r="C180" t="n">
        <v>15.21854</v>
      </c>
      <c r="E180" t="n">
        <v>12.87859</v>
      </c>
      <c r="F180" t="n">
        <v>27.35552</v>
      </c>
      <c r="L180" t="n">
        <v>25.05134</v>
      </c>
      <c r="O180" t="n">
        <v>3.171868</v>
      </c>
      <c r="R180" t="n">
        <v>8.554104000000001</v>
      </c>
      <c r="S180" t="n">
        <v>11.39012</v>
      </c>
      <c r="V180" t="n">
        <v>6.240091</v>
      </c>
      <c r="W180" t="n">
        <v>1.166784</v>
      </c>
      <c r="Z180" t="n">
        <v>1.897507</v>
      </c>
      <c r="AA180" t="n">
        <v>5.450716</v>
      </c>
      <c r="AB180" t="n">
        <v>0.0501541</v>
      </c>
      <c r="AD180" t="n">
        <v>4.522142</v>
      </c>
      <c r="AE180" t="n">
        <v>22.23949</v>
      </c>
      <c r="AF180" t="n">
        <v>1.986549</v>
      </c>
      <c r="AH180" t="n">
        <v>16.53911</v>
      </c>
      <c r="AK180" t="n">
        <v>16.56535</v>
      </c>
      <c r="AL180" t="n">
        <v>9.173938</v>
      </c>
      <c r="AP180" t="n">
        <v>1.209662</v>
      </c>
      <c r="AU180" t="n">
        <v>9.884361999999999</v>
      </c>
      <c r="AV180" t="n">
        <v>4.2513e-05</v>
      </c>
      <c r="AW180" t="n">
        <v>12.99485</v>
      </c>
      <c r="AX180" t="n">
        <v>1.431533</v>
      </c>
    </row>
    <row r="181">
      <c r="A181" s="92" t="n">
        <v>23346</v>
      </c>
      <c r="B181" t="n">
        <v>18.06556</v>
      </c>
      <c r="C181" t="n">
        <v>15.34126</v>
      </c>
      <c r="E181" t="n">
        <v>12.87859</v>
      </c>
      <c r="F181" t="n">
        <v>27.38187</v>
      </c>
      <c r="L181" t="n">
        <v>25.24706</v>
      </c>
      <c r="O181" t="n">
        <v>3.183839</v>
      </c>
      <c r="R181" t="n">
        <v>8.554104000000001</v>
      </c>
      <c r="S181" t="n">
        <v>11.41147</v>
      </c>
      <c r="V181" t="n">
        <v>6.252091</v>
      </c>
      <c r="W181" t="n">
        <v>1.166784</v>
      </c>
      <c r="Z181" t="n">
        <v>1.926644</v>
      </c>
      <c r="AB181" t="n">
        <v>0.0501541</v>
      </c>
      <c r="AD181" t="n">
        <v>4.552223</v>
      </c>
      <c r="AE181" t="n">
        <v>22.33704</v>
      </c>
      <c r="AF181" t="n">
        <v>2.082173</v>
      </c>
      <c r="AH181" t="n">
        <v>16.57954</v>
      </c>
      <c r="AK181" t="n">
        <v>16.71733</v>
      </c>
      <c r="AL181" t="n">
        <v>9.245609</v>
      </c>
      <c r="AP181" t="n">
        <v>1.199788</v>
      </c>
      <c r="AU181" t="n">
        <v>9.920128999999999</v>
      </c>
      <c r="AV181" t="n">
        <v>4.2513e-05</v>
      </c>
      <c r="AW181" t="n">
        <v>13.03704</v>
      </c>
      <c r="AX181" t="n">
        <v>1.431533</v>
      </c>
    </row>
    <row r="182">
      <c r="A182" s="92" t="n">
        <v>23377</v>
      </c>
      <c r="B182" t="n">
        <v>18.25309</v>
      </c>
      <c r="C182" t="n">
        <v>15.41959</v>
      </c>
      <c r="E182" t="n">
        <v>12.87859</v>
      </c>
      <c r="F182" t="n">
        <v>27.40821</v>
      </c>
      <c r="L182" t="n">
        <v>25.37753</v>
      </c>
      <c r="O182" t="n">
        <v>3.178942</v>
      </c>
      <c r="R182" t="n">
        <v>8.899027</v>
      </c>
      <c r="S182" t="n">
        <v>11.45417</v>
      </c>
      <c r="V182" t="n">
        <v>6.282092</v>
      </c>
      <c r="W182" t="n">
        <v>1.166784</v>
      </c>
      <c r="Z182" t="n">
        <v>1.926644</v>
      </c>
      <c r="AB182" t="n">
        <v>0.05118467</v>
      </c>
      <c r="AD182" t="n">
        <v>4.585647</v>
      </c>
      <c r="AE182" t="n">
        <v>22.36142</v>
      </c>
      <c r="AF182" t="n">
        <v>2.196651</v>
      </c>
      <c r="AH182" t="n">
        <v>16.57478</v>
      </c>
      <c r="AK182" t="n">
        <v>17.02128</v>
      </c>
      <c r="AL182" t="n">
        <v>9.460623</v>
      </c>
      <c r="AP182" t="n">
        <v>1.188925</v>
      </c>
      <c r="AU182" t="n">
        <v>9.959248000000001</v>
      </c>
      <c r="AV182" t="n">
        <v>4.2998e-05</v>
      </c>
      <c r="AW182" t="n">
        <v>13.03704</v>
      </c>
      <c r="AX182" t="n">
        <v>1.431533</v>
      </c>
    </row>
    <row r="183">
      <c r="A183" s="92" t="n">
        <v>23408</v>
      </c>
      <c r="B183" t="n">
        <v>18.29997</v>
      </c>
      <c r="C183" t="n">
        <v>15.40262</v>
      </c>
      <c r="E183" t="n">
        <v>12.87859</v>
      </c>
      <c r="F183" t="n">
        <v>27.4486</v>
      </c>
      <c r="L183" t="n">
        <v>25.44277</v>
      </c>
      <c r="O183" t="n">
        <v>3.181118</v>
      </c>
      <c r="R183" t="n">
        <v>8.968012</v>
      </c>
      <c r="S183" t="n">
        <v>11.46484</v>
      </c>
      <c r="V183" t="n">
        <v>6.288092</v>
      </c>
      <c r="W183" t="n">
        <v>1.166784</v>
      </c>
      <c r="Z183" t="n">
        <v>1.952138</v>
      </c>
      <c r="AA183" t="n">
        <v>5.479797</v>
      </c>
      <c r="AB183" t="n">
        <v>0.05255875</v>
      </c>
      <c r="AD183" t="n">
        <v>4.592331</v>
      </c>
      <c r="AE183" t="n">
        <v>22.33704</v>
      </c>
      <c r="AF183" t="n">
        <v>2.348843</v>
      </c>
      <c r="AH183" t="n">
        <v>16.70319</v>
      </c>
      <c r="AK183" t="n">
        <v>17.02128</v>
      </c>
      <c r="AL183" t="n">
        <v>9.532294</v>
      </c>
      <c r="AP183" t="n">
        <v>1.197813</v>
      </c>
      <c r="AU183" t="n">
        <v>9.972101</v>
      </c>
      <c r="AV183" t="n">
        <v>4.2837e-05</v>
      </c>
      <c r="AW183" t="n">
        <v>13.03704</v>
      </c>
      <c r="AX183" t="n">
        <v>1.431533</v>
      </c>
    </row>
    <row r="184">
      <c r="A184" s="92" t="n">
        <v>23437</v>
      </c>
      <c r="B184" t="n">
        <v>18.28434</v>
      </c>
      <c r="C184" t="n">
        <v>15.35431</v>
      </c>
      <c r="E184" t="n">
        <v>12.87859</v>
      </c>
      <c r="F184" t="n">
        <v>27.46177</v>
      </c>
      <c r="L184" t="n">
        <v>25.44277</v>
      </c>
      <c r="O184" t="n">
        <v>3.190913</v>
      </c>
      <c r="R184" t="n">
        <v>9.036996</v>
      </c>
      <c r="S184" t="n">
        <v>11.47552</v>
      </c>
      <c r="V184" t="n">
        <v>6.312092</v>
      </c>
      <c r="W184" t="n">
        <v>1.166784</v>
      </c>
      <c r="Z184" t="n">
        <v>1.966706</v>
      </c>
      <c r="AB184" t="n">
        <v>0.05427636</v>
      </c>
      <c r="AD184" t="n">
        <v>4.6057</v>
      </c>
      <c r="AE184" t="n">
        <v>22.43458</v>
      </c>
      <c r="AF184" t="n">
        <v>2.398672</v>
      </c>
      <c r="AH184" t="n">
        <v>16.63898</v>
      </c>
      <c r="AK184" t="n">
        <v>17.17326</v>
      </c>
      <c r="AL184" t="n">
        <v>9.532294</v>
      </c>
      <c r="AP184" t="n">
        <v>1.219537</v>
      </c>
      <c r="AU184" t="n">
        <v>10.02519</v>
      </c>
      <c r="AV184" t="n">
        <v>4.2352e-05</v>
      </c>
      <c r="AW184" t="n">
        <v>13.03704</v>
      </c>
      <c r="AX184" t="n">
        <v>1.445081</v>
      </c>
    </row>
    <row r="185">
      <c r="A185" s="92" t="n">
        <v>23468</v>
      </c>
      <c r="B185" t="n">
        <v>18.39374</v>
      </c>
      <c r="C185" t="n">
        <v>15.43264</v>
      </c>
      <c r="E185" t="n">
        <v>12.9576</v>
      </c>
      <c r="F185" t="n">
        <v>27.63563</v>
      </c>
      <c r="L185" t="n">
        <v>25.44277</v>
      </c>
      <c r="O185" t="n">
        <v>3.202884</v>
      </c>
      <c r="R185" t="n">
        <v>9.105981</v>
      </c>
      <c r="S185" t="n">
        <v>11.48619</v>
      </c>
      <c r="V185" t="n">
        <v>6.366093</v>
      </c>
      <c r="W185" t="n">
        <v>1.188391</v>
      </c>
      <c r="Z185" t="n">
        <v>1.981274</v>
      </c>
      <c r="AB185" t="n">
        <v>0.05530692</v>
      </c>
      <c r="AD185" t="n">
        <v>4.612385</v>
      </c>
      <c r="AE185" t="n">
        <v>22.70282</v>
      </c>
      <c r="AF185" t="n">
        <v>2.447164</v>
      </c>
      <c r="AH185" t="n">
        <v>16.66752</v>
      </c>
      <c r="AK185" t="n">
        <v>17.93314</v>
      </c>
      <c r="AL185" t="n">
        <v>9.603966</v>
      </c>
      <c r="AP185" t="n">
        <v>1.215587</v>
      </c>
      <c r="AU185" t="n">
        <v>10.01904</v>
      </c>
      <c r="AV185" t="n">
        <v>4.2028e-05</v>
      </c>
      <c r="AW185" t="n">
        <v>13.03704</v>
      </c>
      <c r="AX185" t="n">
        <v>1.449597</v>
      </c>
    </row>
    <row r="186">
      <c r="A186" s="92" t="n">
        <v>23498</v>
      </c>
      <c r="B186" t="n">
        <v>18.56564</v>
      </c>
      <c r="C186" t="n">
        <v>15.4705</v>
      </c>
      <c r="E186" t="n">
        <v>12.9576</v>
      </c>
      <c r="F186" t="n">
        <v>27.78227</v>
      </c>
      <c r="L186" t="n">
        <v>25.44277</v>
      </c>
      <c r="O186" t="n">
        <v>3.211046</v>
      </c>
      <c r="R186" t="n">
        <v>9.174966</v>
      </c>
      <c r="S186" t="n">
        <v>11.49687</v>
      </c>
      <c r="V186" t="n">
        <v>6.420094</v>
      </c>
      <c r="W186" t="n">
        <v>1.188391</v>
      </c>
      <c r="Z186" t="n">
        <v>2.021337</v>
      </c>
      <c r="AA186" t="n">
        <v>5.695832</v>
      </c>
      <c r="AB186" t="n">
        <v>0.05599397</v>
      </c>
      <c r="AD186" t="n">
        <v>4.652493</v>
      </c>
      <c r="AE186" t="n">
        <v>22.80036</v>
      </c>
      <c r="AF186" t="n">
        <v>2.561642</v>
      </c>
      <c r="AH186" t="n">
        <v>16.67584</v>
      </c>
      <c r="AK186" t="n">
        <v>17.47721</v>
      </c>
      <c r="AL186" t="n">
        <v>9.603966</v>
      </c>
      <c r="AP186" t="n">
        <v>1.204725</v>
      </c>
      <c r="AU186" t="n">
        <v>10.04978</v>
      </c>
      <c r="AV186" t="n">
        <v>4.2675e-05</v>
      </c>
      <c r="AW186" t="n">
        <v>13.03704</v>
      </c>
      <c r="AX186" t="n">
        <v>1.449597</v>
      </c>
    </row>
    <row r="187">
      <c r="A187" s="92" t="n">
        <v>23529</v>
      </c>
      <c r="B187" t="n">
        <v>18.86257</v>
      </c>
      <c r="C187" t="n">
        <v>15.65067</v>
      </c>
      <c r="E187" t="n">
        <v>12.9576</v>
      </c>
      <c r="F187" t="n">
        <v>27.74275</v>
      </c>
      <c r="L187" t="n">
        <v>25.37753</v>
      </c>
      <c r="O187" t="n">
        <v>3.254035</v>
      </c>
      <c r="R187" t="n">
        <v>9.243950999999999</v>
      </c>
      <c r="S187" t="n">
        <v>11.51822</v>
      </c>
      <c r="V187" t="n">
        <v>6.444094</v>
      </c>
      <c r="W187" t="n">
        <v>1.188391</v>
      </c>
      <c r="Z187" t="n">
        <v>2.061399</v>
      </c>
      <c r="AB187" t="n">
        <v>0.05599397</v>
      </c>
      <c r="AD187" t="n">
        <v>4.682573</v>
      </c>
      <c r="AE187" t="n">
        <v>22.75159</v>
      </c>
      <c r="AF187" t="n">
        <v>2.444468</v>
      </c>
      <c r="AH187" t="n">
        <v>16.81138</v>
      </c>
      <c r="AK187" t="n">
        <v>17.47721</v>
      </c>
      <c r="AL187" t="n">
        <v>9.603966</v>
      </c>
      <c r="AP187" t="n">
        <v>1.208675</v>
      </c>
      <c r="AU187" t="n">
        <v>10.07102</v>
      </c>
      <c r="AV187" t="n">
        <v>4.2675e-05</v>
      </c>
      <c r="AW187" t="n">
        <v>13.07923</v>
      </c>
      <c r="AX187" t="n">
        <v>1.454113</v>
      </c>
    </row>
    <row r="188">
      <c r="A188" s="92" t="n">
        <v>23559</v>
      </c>
      <c r="B188" t="n">
        <v>18.95633</v>
      </c>
      <c r="C188" t="n">
        <v>15.776</v>
      </c>
      <c r="E188" t="n">
        <v>13.03661</v>
      </c>
      <c r="F188" t="n">
        <v>27.75593</v>
      </c>
      <c r="L188" t="n">
        <v>25.44277</v>
      </c>
      <c r="O188" t="n">
        <v>3.324231</v>
      </c>
      <c r="R188" t="n">
        <v>9.243950999999999</v>
      </c>
      <c r="S188" t="n">
        <v>11.55024</v>
      </c>
      <c r="V188" t="n">
        <v>6.444094</v>
      </c>
      <c r="W188" t="n">
        <v>1.166784</v>
      </c>
      <c r="Z188" t="n">
        <v>2.119672</v>
      </c>
      <c r="AB188" t="n">
        <v>0.05599397</v>
      </c>
      <c r="AD188" t="n">
        <v>4.709312</v>
      </c>
      <c r="AE188" t="n">
        <v>22.62966</v>
      </c>
      <c r="AF188" t="n">
        <v>2.379826</v>
      </c>
      <c r="AH188" t="n">
        <v>16.809</v>
      </c>
      <c r="AK188" t="n">
        <v>17.47721</v>
      </c>
      <c r="AL188" t="n">
        <v>9.747309</v>
      </c>
      <c r="AP188" t="n">
        <v>1.208675</v>
      </c>
      <c r="AU188" t="n">
        <v>10.11852</v>
      </c>
      <c r="AV188" t="n">
        <v>4.2028e-05</v>
      </c>
      <c r="AW188" t="n">
        <v>13.12142</v>
      </c>
      <c r="AX188" t="n">
        <v>1.463145</v>
      </c>
    </row>
    <row r="189">
      <c r="A189" s="92" t="n">
        <v>23590</v>
      </c>
      <c r="B189" t="n">
        <v>18.62815</v>
      </c>
      <c r="C189" t="n">
        <v>15.776</v>
      </c>
      <c r="E189" t="n">
        <v>13.03661</v>
      </c>
      <c r="F189" t="n">
        <v>27.82266</v>
      </c>
      <c r="L189" t="n">
        <v>25.44277</v>
      </c>
      <c r="O189" t="n">
        <v>3.376469</v>
      </c>
      <c r="R189" t="n">
        <v>9.243950999999999</v>
      </c>
      <c r="S189" t="n">
        <v>11.57159</v>
      </c>
      <c r="V189" t="n">
        <v>6.468094</v>
      </c>
      <c r="W189" t="n">
        <v>1.166784</v>
      </c>
      <c r="Z189" t="n">
        <v>2.145166</v>
      </c>
      <c r="AA189" t="n">
        <v>5.766459</v>
      </c>
      <c r="AB189" t="n">
        <v>0.05599397</v>
      </c>
      <c r="AD189" t="n">
        <v>4.722681</v>
      </c>
      <c r="AE189" t="n">
        <v>22.87351</v>
      </c>
      <c r="AF189" t="n">
        <v>2.359614</v>
      </c>
      <c r="AH189" t="n">
        <v>16.95286</v>
      </c>
      <c r="AK189" t="n">
        <v>17.62918</v>
      </c>
      <c r="AL189" t="n">
        <v>9.81898</v>
      </c>
      <c r="AP189" t="n">
        <v>1.219537</v>
      </c>
      <c r="AU189" t="n">
        <v>10.18335</v>
      </c>
      <c r="AV189" t="n">
        <v>4.219e-05</v>
      </c>
      <c r="AW189" t="n">
        <v>13.07923</v>
      </c>
      <c r="AX189" t="n">
        <v>1.467661</v>
      </c>
    </row>
    <row r="190">
      <c r="A190" s="92" t="n">
        <v>23621</v>
      </c>
      <c r="B190" t="n">
        <v>18.61252</v>
      </c>
      <c r="C190" t="n">
        <v>15.78775</v>
      </c>
      <c r="E190" t="n">
        <v>13.03661</v>
      </c>
      <c r="F190" t="n">
        <v>27.87622</v>
      </c>
      <c r="L190" t="n">
        <v>25.44277</v>
      </c>
      <c r="O190" t="n">
        <v>3.409662</v>
      </c>
      <c r="R190" t="n">
        <v>9.312935</v>
      </c>
      <c r="S190" t="n">
        <v>11.62497</v>
      </c>
      <c r="V190" t="n">
        <v>6.468094</v>
      </c>
      <c r="W190" t="n">
        <v>1.166784</v>
      </c>
      <c r="Z190" t="n">
        <v>2.185229</v>
      </c>
      <c r="AB190" t="n">
        <v>0.05599397</v>
      </c>
      <c r="AD190" t="n">
        <v>4.742735</v>
      </c>
      <c r="AE190" t="n">
        <v>23.16614</v>
      </c>
      <c r="AF190" t="n">
        <v>2.444468</v>
      </c>
      <c r="AH190" t="n">
        <v>17.12169</v>
      </c>
      <c r="AK190" t="n">
        <v>17.78116</v>
      </c>
      <c r="AL190" t="n">
        <v>9.890651999999999</v>
      </c>
      <c r="AP190" t="n">
        <v>1.219537</v>
      </c>
      <c r="AU190" t="n">
        <v>10.22191</v>
      </c>
      <c r="AV190" t="n">
        <v>4.2352e-05</v>
      </c>
      <c r="AW190" t="n">
        <v>13.12142</v>
      </c>
      <c r="AX190" t="n">
        <v>1.476692</v>
      </c>
    </row>
    <row r="191">
      <c r="A191" s="92" t="n">
        <v>23651</v>
      </c>
      <c r="B191" t="n">
        <v>18.56564</v>
      </c>
      <c r="C191" t="n">
        <v>15.82822</v>
      </c>
      <c r="E191" t="n">
        <v>13.03661</v>
      </c>
      <c r="F191" t="n">
        <v>27.95613</v>
      </c>
      <c r="L191" t="n">
        <v>25.50801</v>
      </c>
      <c r="O191" t="n">
        <v>3.46571</v>
      </c>
      <c r="R191" t="n">
        <v>9.312935</v>
      </c>
      <c r="S191" t="n">
        <v>11.65699</v>
      </c>
      <c r="V191" t="n">
        <v>6.474094</v>
      </c>
      <c r="W191" t="n">
        <v>1.166784</v>
      </c>
      <c r="Z191" t="n">
        <v>2.243502</v>
      </c>
      <c r="AB191" t="n">
        <v>0.05599397</v>
      </c>
      <c r="AD191" t="n">
        <v>4.762789</v>
      </c>
      <c r="AE191" t="n">
        <v>23.58069</v>
      </c>
      <c r="AF191" t="n">
        <v>2.495648</v>
      </c>
      <c r="AH191" t="n">
        <v>16.95761</v>
      </c>
      <c r="AK191" t="n">
        <v>17.62918</v>
      </c>
      <c r="AL191" t="n">
        <v>9.81898</v>
      </c>
      <c r="AP191" t="n">
        <v>1.229412</v>
      </c>
      <c r="AU191" t="n">
        <v>10.24314</v>
      </c>
      <c r="AV191" t="n">
        <v>4.2675e-05</v>
      </c>
      <c r="AW191" t="n">
        <v>13.12142</v>
      </c>
      <c r="AX191" t="n">
        <v>1.481208</v>
      </c>
    </row>
    <row r="192">
      <c r="A192" s="92" t="n">
        <v>23682</v>
      </c>
      <c r="B192" t="n">
        <v>18.69066</v>
      </c>
      <c r="C192" t="n">
        <v>15.89611</v>
      </c>
      <c r="E192" t="n">
        <v>13.03661</v>
      </c>
      <c r="F192" t="n">
        <v>27.98335</v>
      </c>
      <c r="L192" t="n">
        <v>25.63848</v>
      </c>
      <c r="O192" t="n">
        <v>3.545701</v>
      </c>
      <c r="R192" t="n">
        <v>9.381919999999999</v>
      </c>
      <c r="S192" t="n">
        <v>11.65699</v>
      </c>
      <c r="V192" t="n">
        <v>6.528095</v>
      </c>
      <c r="W192" t="n">
        <v>1.166784</v>
      </c>
      <c r="Z192" t="n">
        <v>2.243502</v>
      </c>
      <c r="AA192" t="n">
        <v>5.828776</v>
      </c>
      <c r="AB192" t="n">
        <v>0.05599397</v>
      </c>
      <c r="AD192" t="n">
        <v>4.796212</v>
      </c>
      <c r="AE192" t="n">
        <v>23.38561</v>
      </c>
      <c r="AF192" t="n">
        <v>2.494297</v>
      </c>
      <c r="AH192" t="n">
        <v>16.96475</v>
      </c>
      <c r="AK192" t="n">
        <v>17.62918</v>
      </c>
      <c r="AL192" t="n">
        <v>9.890651999999999</v>
      </c>
      <c r="AP192" t="n">
        <v>1.236324</v>
      </c>
      <c r="AU192" t="n">
        <v>10.2817</v>
      </c>
      <c r="AV192" t="n">
        <v>4.2998e-05</v>
      </c>
      <c r="AW192" t="n">
        <v>13.16361</v>
      </c>
      <c r="AX192" t="n">
        <v>1.49024</v>
      </c>
    </row>
    <row r="193">
      <c r="A193" s="92" t="n">
        <v>23712</v>
      </c>
      <c r="B193" t="n">
        <v>18.69066</v>
      </c>
      <c r="C193" t="n">
        <v>15.94833</v>
      </c>
      <c r="E193" t="n">
        <v>13.11562</v>
      </c>
      <c r="F193" t="n">
        <v>28.02286</v>
      </c>
      <c r="L193" t="n">
        <v>25.8342</v>
      </c>
      <c r="O193" t="n">
        <v>3.587057</v>
      </c>
      <c r="R193" t="n">
        <v>9.381919999999999</v>
      </c>
      <c r="S193" t="n">
        <v>11.65699</v>
      </c>
      <c r="V193" t="n">
        <v>6.552096</v>
      </c>
      <c r="W193" t="n">
        <v>1.188391</v>
      </c>
      <c r="Z193" t="n">
        <v>2.254428</v>
      </c>
      <c r="AB193" t="n">
        <v>0.05668101</v>
      </c>
      <c r="AD193" t="n">
        <v>4.816266</v>
      </c>
      <c r="AE193" t="n">
        <v>23.38561</v>
      </c>
      <c r="AF193" t="n">
        <v>2.515853</v>
      </c>
      <c r="AH193" t="n">
        <v>17.05154</v>
      </c>
      <c r="AK193" t="n">
        <v>17.62918</v>
      </c>
      <c r="AL193" t="n">
        <v>9.890651999999999</v>
      </c>
      <c r="AP193" t="n">
        <v>1.240274</v>
      </c>
      <c r="AU193" t="n">
        <v>10.30685</v>
      </c>
      <c r="AV193" t="n">
        <v>4.316e-05</v>
      </c>
      <c r="AW193" t="n">
        <v>13.16361</v>
      </c>
      <c r="AX193" t="n">
        <v>1.494756</v>
      </c>
    </row>
    <row r="194">
      <c r="A194" s="92" t="n">
        <v>23743</v>
      </c>
      <c r="B194" t="n">
        <v>18.78443</v>
      </c>
      <c r="C194" t="n">
        <v>15.99402</v>
      </c>
      <c r="E194" t="n">
        <v>13.11562</v>
      </c>
      <c r="F194" t="n">
        <v>28.0492</v>
      </c>
      <c r="L194" t="n">
        <v>25.89944</v>
      </c>
      <c r="O194" t="n">
        <v>3.622427</v>
      </c>
      <c r="R194" t="n">
        <v>9.450905000000001</v>
      </c>
      <c r="S194" t="n">
        <v>11.72104</v>
      </c>
      <c r="V194" t="n">
        <v>6.570096</v>
      </c>
      <c r="W194" t="n">
        <v>1.188391</v>
      </c>
      <c r="Z194" t="n">
        <v>2.268996</v>
      </c>
      <c r="AB194" t="n">
        <v>0.05736805</v>
      </c>
      <c r="AD194" t="n">
        <v>4.839662</v>
      </c>
      <c r="AE194" t="n">
        <v>23.8977</v>
      </c>
      <c r="AF194" t="n">
        <v>2.628281</v>
      </c>
      <c r="AH194" t="n">
        <v>17.09434</v>
      </c>
      <c r="AK194" t="n">
        <v>17.72189</v>
      </c>
      <c r="AL194" t="n">
        <v>9.962323</v>
      </c>
      <c r="AP194" t="n">
        <v>1.239287</v>
      </c>
      <c r="AU194" t="n">
        <v>10.33591</v>
      </c>
      <c r="AV194" t="n">
        <v>4.3483e-05</v>
      </c>
      <c r="AW194" t="n">
        <v>13.16361</v>
      </c>
      <c r="AX194" t="n">
        <v>1.499272</v>
      </c>
    </row>
    <row r="195">
      <c r="A195" s="92" t="n">
        <v>23774</v>
      </c>
      <c r="B195" t="n">
        <v>18.73755</v>
      </c>
      <c r="C195" t="n">
        <v>16.03188</v>
      </c>
      <c r="E195" t="n">
        <v>13.11562</v>
      </c>
      <c r="F195" t="n">
        <v>28.14316</v>
      </c>
      <c r="L195" t="n">
        <v>25.89944</v>
      </c>
      <c r="O195" t="n">
        <v>3.68446</v>
      </c>
      <c r="R195" t="n">
        <v>9.450905000000001</v>
      </c>
      <c r="S195" t="n">
        <v>11.73172</v>
      </c>
      <c r="V195" t="n">
        <v>6.570096</v>
      </c>
      <c r="W195" t="n">
        <v>1.188391</v>
      </c>
      <c r="Z195" t="n">
        <v>2.228934</v>
      </c>
      <c r="AA195" t="n">
        <v>5.891094</v>
      </c>
      <c r="AB195" t="n">
        <v>0.05771157</v>
      </c>
      <c r="AD195" t="n">
        <v>4.849689</v>
      </c>
      <c r="AE195" t="n">
        <v>23.84893</v>
      </c>
      <c r="AF195" t="n">
        <v>2.685533</v>
      </c>
      <c r="AH195" t="n">
        <v>17.15022</v>
      </c>
      <c r="AK195" t="n">
        <v>17.7918</v>
      </c>
      <c r="AL195" t="n">
        <v>9.962323</v>
      </c>
      <c r="AP195" t="n">
        <v>1.234349</v>
      </c>
      <c r="AU195" t="n">
        <v>10.34485</v>
      </c>
      <c r="AV195" t="n">
        <v>4.413e-05</v>
      </c>
      <c r="AW195" t="n">
        <v>13.16361</v>
      </c>
      <c r="AX195" t="n">
        <v>1.499272</v>
      </c>
    </row>
    <row r="196">
      <c r="A196" s="92" t="n">
        <v>23802</v>
      </c>
      <c r="B196" t="n">
        <v>18.84694</v>
      </c>
      <c r="C196" t="n">
        <v>16.04624</v>
      </c>
      <c r="E196" t="n">
        <v>13.11562</v>
      </c>
      <c r="F196" t="n">
        <v>28.15721</v>
      </c>
      <c r="L196" t="n">
        <v>26.02991</v>
      </c>
      <c r="O196" t="n">
        <v>3.7133</v>
      </c>
      <c r="R196" t="n">
        <v>9.519888999999999</v>
      </c>
      <c r="S196" t="n">
        <v>11.76374</v>
      </c>
      <c r="V196" t="n">
        <v>6.594096</v>
      </c>
      <c r="W196" t="n">
        <v>1.188391</v>
      </c>
      <c r="Z196" t="n">
        <v>2.185229</v>
      </c>
      <c r="AB196" t="n">
        <v>0.05771157</v>
      </c>
      <c r="AD196" t="n">
        <v>4.859716</v>
      </c>
      <c r="AE196" t="n">
        <v>23.99524</v>
      </c>
      <c r="AF196" t="n">
        <v>2.691525</v>
      </c>
      <c r="AH196" t="n">
        <v>17.11217</v>
      </c>
      <c r="AK196" t="n">
        <v>17.89666</v>
      </c>
      <c r="AL196" t="n">
        <v>10.10567</v>
      </c>
      <c r="AP196" t="n">
        <v>1.254099</v>
      </c>
      <c r="AU196" t="n">
        <v>10.41639</v>
      </c>
      <c r="AV196" t="n">
        <v>4.3645e-05</v>
      </c>
      <c r="AW196" t="n">
        <v>13.2058</v>
      </c>
      <c r="AX196" t="n">
        <v>1.503788</v>
      </c>
    </row>
    <row r="197">
      <c r="A197" s="92" t="n">
        <v>23833</v>
      </c>
      <c r="B197" t="n">
        <v>19.01884</v>
      </c>
      <c r="C197" t="n">
        <v>16.07235</v>
      </c>
      <c r="E197" t="n">
        <v>13.19463</v>
      </c>
      <c r="F197" t="n">
        <v>28.25028</v>
      </c>
      <c r="L197" t="n">
        <v>26.09515</v>
      </c>
      <c r="O197" t="n">
        <v>3.740508</v>
      </c>
      <c r="R197" t="n">
        <v>9.588874000000001</v>
      </c>
      <c r="S197" t="n">
        <v>11.78509</v>
      </c>
      <c r="V197" t="n">
        <v>6.720098</v>
      </c>
      <c r="W197" t="n">
        <v>1.209999</v>
      </c>
      <c r="Z197" t="n">
        <v>2.199797</v>
      </c>
      <c r="AB197" t="n">
        <v>0.0580551</v>
      </c>
      <c r="AD197" t="n">
        <v>4.8664</v>
      </c>
      <c r="AE197" t="n">
        <v>24.50734</v>
      </c>
      <c r="AF197" t="n">
        <v>2.732799</v>
      </c>
      <c r="AH197" t="n">
        <v>17.11099</v>
      </c>
      <c r="AK197" t="n">
        <v>18.03648</v>
      </c>
      <c r="AL197" t="n">
        <v>10.10567</v>
      </c>
      <c r="AP197" t="n">
        <v>1.252124</v>
      </c>
      <c r="AU197" t="n">
        <v>10.45159</v>
      </c>
      <c r="AV197" t="n">
        <v>4.3807e-05</v>
      </c>
      <c r="AW197" t="n">
        <v>13.24799</v>
      </c>
      <c r="AX197" t="n">
        <v>1.512819</v>
      </c>
    </row>
    <row r="198">
      <c r="A198" s="92" t="n">
        <v>23863</v>
      </c>
      <c r="B198" t="n">
        <v>19.51893</v>
      </c>
      <c r="C198" t="n">
        <v>16.26427</v>
      </c>
      <c r="E198" t="n">
        <v>13.19463</v>
      </c>
      <c r="F198" t="n">
        <v>28.55761</v>
      </c>
      <c r="L198" t="n">
        <v>26.16039</v>
      </c>
      <c r="O198" t="n">
        <v>3.755744</v>
      </c>
      <c r="R198" t="n">
        <v>9.588874000000001</v>
      </c>
      <c r="S198" t="n">
        <v>11.81711</v>
      </c>
      <c r="V198" t="n">
        <v>6.744099</v>
      </c>
      <c r="W198" t="n">
        <v>1.209999</v>
      </c>
      <c r="Z198" t="n">
        <v>2.214365</v>
      </c>
      <c r="AA198" t="n">
        <v>5.994956</v>
      </c>
      <c r="AB198" t="n">
        <v>0.05874214</v>
      </c>
      <c r="AD198" t="n">
        <v>4.876427</v>
      </c>
      <c r="AE198" t="n">
        <v>24.36102</v>
      </c>
      <c r="AF198" t="n">
        <v>2.787389</v>
      </c>
      <c r="AH198" t="n">
        <v>17.31667</v>
      </c>
      <c r="AK198" t="n">
        <v>18.10639</v>
      </c>
      <c r="AL198" t="n">
        <v>10.10567</v>
      </c>
      <c r="AP198" t="n">
        <v>1.245212</v>
      </c>
      <c r="AU198" t="n">
        <v>10.46277</v>
      </c>
      <c r="AV198" t="n">
        <v>4.413e-05</v>
      </c>
      <c r="AW198" t="n">
        <v>13.24799</v>
      </c>
      <c r="AX198" t="n">
        <v>1.512819</v>
      </c>
    </row>
    <row r="199">
      <c r="A199" s="92" t="n">
        <v>23894</v>
      </c>
      <c r="B199" t="n">
        <v>20.5191</v>
      </c>
      <c r="C199" t="n">
        <v>16.29951</v>
      </c>
      <c r="E199" t="n">
        <v>13.35265</v>
      </c>
      <c r="F199" t="n">
        <v>28.66385</v>
      </c>
      <c r="L199" t="n">
        <v>26.3561</v>
      </c>
      <c r="O199" t="n">
        <v>3.738875</v>
      </c>
      <c r="R199" t="n">
        <v>9.657859</v>
      </c>
      <c r="S199" t="n">
        <v>12.00926</v>
      </c>
      <c r="V199" t="n">
        <v>6.762099</v>
      </c>
      <c r="W199" t="n">
        <v>1.209999</v>
      </c>
      <c r="Z199" t="n">
        <v>2.243502</v>
      </c>
      <c r="AB199" t="n">
        <v>0.05874214</v>
      </c>
      <c r="AD199" t="n">
        <v>4.889796</v>
      </c>
      <c r="AE199" t="n">
        <v>24.31225</v>
      </c>
      <c r="AF199" t="n">
        <v>2.762757</v>
      </c>
      <c r="AH199" t="n">
        <v>17.42724</v>
      </c>
      <c r="AK199" t="n">
        <v>18.1763</v>
      </c>
      <c r="AL199" t="n">
        <v>10.10567</v>
      </c>
      <c r="AP199" t="n">
        <v>1.248174</v>
      </c>
      <c r="AU199" t="n">
        <v>10.51363</v>
      </c>
      <c r="AV199" t="n">
        <v>4.4453e-05</v>
      </c>
      <c r="AW199" t="n">
        <v>13.33238</v>
      </c>
      <c r="AX199" t="n">
        <v>1.517335</v>
      </c>
    </row>
    <row r="200">
      <c r="A200" s="92" t="n">
        <v>23924</v>
      </c>
      <c r="B200" t="n">
        <v>20.03464</v>
      </c>
      <c r="C200" t="n">
        <v>16.35565</v>
      </c>
      <c r="E200" t="n">
        <v>13.35265</v>
      </c>
      <c r="F200" t="n">
        <v>28.74376</v>
      </c>
      <c r="L200" t="n">
        <v>26.42134</v>
      </c>
      <c r="O200" t="n">
        <v>3.743772</v>
      </c>
      <c r="R200" t="n">
        <v>9.726844</v>
      </c>
      <c r="S200" t="n">
        <v>11.90251</v>
      </c>
      <c r="V200" t="n">
        <v>6.762099</v>
      </c>
      <c r="W200" t="n">
        <v>1.209999</v>
      </c>
      <c r="Z200" t="n">
        <v>2.309059</v>
      </c>
      <c r="AB200" t="n">
        <v>0.05874214</v>
      </c>
      <c r="AD200" t="n">
        <v>4.916535</v>
      </c>
      <c r="AE200" t="n">
        <v>24.19033</v>
      </c>
      <c r="AF200" t="n">
        <v>2.798706</v>
      </c>
      <c r="AH200" t="n">
        <v>17.46647</v>
      </c>
      <c r="AK200" t="n">
        <v>18.15882</v>
      </c>
      <c r="AL200" t="n">
        <v>10.17734</v>
      </c>
      <c r="AP200" t="n">
        <v>1.241262</v>
      </c>
      <c r="AU200" t="n">
        <v>10.79864</v>
      </c>
      <c r="AV200" t="n">
        <v>4.4453e-05</v>
      </c>
      <c r="AW200" t="n">
        <v>13.33238</v>
      </c>
      <c r="AX200" t="n">
        <v>1.521851</v>
      </c>
    </row>
    <row r="201">
      <c r="A201" s="92" t="n">
        <v>23955</v>
      </c>
      <c r="B201" t="n">
        <v>19.73771</v>
      </c>
      <c r="C201" t="n">
        <v>16.35957</v>
      </c>
      <c r="E201" t="n">
        <v>13.35265</v>
      </c>
      <c r="F201" t="n">
        <v>28.90445</v>
      </c>
      <c r="L201" t="n">
        <v>26.42134</v>
      </c>
      <c r="O201" t="n">
        <v>3.762818</v>
      </c>
      <c r="R201" t="n">
        <v>9.726844</v>
      </c>
      <c r="S201" t="n">
        <v>11.87049</v>
      </c>
      <c r="V201" t="n">
        <v>6.774099</v>
      </c>
      <c r="W201" t="n">
        <v>1.209999</v>
      </c>
      <c r="Z201" t="n">
        <v>2.338195</v>
      </c>
      <c r="AA201" t="n">
        <v>6.015729</v>
      </c>
      <c r="AB201" t="n">
        <v>0.05908566</v>
      </c>
      <c r="AD201" t="n">
        <v>4.92322</v>
      </c>
      <c r="AE201" t="n">
        <v>24.31225</v>
      </c>
      <c r="AF201" t="n">
        <v>2.826001</v>
      </c>
      <c r="AH201" t="n">
        <v>17.53424</v>
      </c>
      <c r="AK201" t="n">
        <v>18.31611</v>
      </c>
      <c r="AL201" t="n">
        <v>10.10567</v>
      </c>
      <c r="AP201" t="n">
        <v>1.252124</v>
      </c>
      <c r="AU201" t="n">
        <v>10.78411</v>
      </c>
      <c r="AV201" t="n">
        <v>4.5261e-05</v>
      </c>
      <c r="AW201" t="n">
        <v>13.33238</v>
      </c>
      <c r="AX201" t="n">
        <v>1.530883</v>
      </c>
    </row>
    <row r="202">
      <c r="A202" s="92" t="n">
        <v>23986</v>
      </c>
      <c r="B202" t="n">
        <v>19.64395</v>
      </c>
      <c r="C202" t="n">
        <v>16.41048</v>
      </c>
      <c r="E202" t="n">
        <v>13.35265</v>
      </c>
      <c r="F202" t="n">
        <v>28.98435</v>
      </c>
      <c r="L202" t="n">
        <v>26.42134</v>
      </c>
      <c r="O202" t="n">
        <v>3.798732</v>
      </c>
      <c r="R202" t="n">
        <v>9.657859</v>
      </c>
      <c r="S202" t="n">
        <v>11.90251</v>
      </c>
      <c r="V202" t="n">
        <v>6.780099</v>
      </c>
      <c r="W202" t="n">
        <v>1.209999</v>
      </c>
      <c r="Z202" t="n">
        <v>2.367332</v>
      </c>
      <c r="AB202" t="n">
        <v>0.0597727</v>
      </c>
      <c r="AD202" t="n">
        <v>4.936589</v>
      </c>
      <c r="AE202" t="n">
        <v>24.65365</v>
      </c>
      <c r="AF202" t="n">
        <v>2.812686</v>
      </c>
      <c r="AH202" t="n">
        <v>17.57348</v>
      </c>
      <c r="AK202" t="n">
        <v>18.4035</v>
      </c>
      <c r="AL202" t="n">
        <v>10.17734</v>
      </c>
      <c r="AP202" t="n">
        <v>1.271874</v>
      </c>
      <c r="AU202" t="n">
        <v>10.80926</v>
      </c>
      <c r="AV202" t="n">
        <v>4.51e-05</v>
      </c>
      <c r="AW202" t="n">
        <v>13.33238</v>
      </c>
      <c r="AX202" t="n">
        <v>1.530883</v>
      </c>
    </row>
    <row r="203">
      <c r="A203" s="92" t="n">
        <v>24016</v>
      </c>
      <c r="B203" t="n">
        <v>19.45642</v>
      </c>
      <c r="C203" t="n">
        <v>16.43007</v>
      </c>
      <c r="E203" t="n">
        <v>13.35265</v>
      </c>
      <c r="F203" t="n">
        <v>29.0783</v>
      </c>
      <c r="L203" t="n">
        <v>26.55182</v>
      </c>
      <c r="O203" t="n">
        <v>3.818866</v>
      </c>
      <c r="R203" t="n">
        <v>9.795828</v>
      </c>
      <c r="S203" t="n">
        <v>11.92386</v>
      </c>
      <c r="V203" t="n">
        <v>6.786099</v>
      </c>
      <c r="W203" t="n">
        <v>1.231606</v>
      </c>
      <c r="Z203" t="n">
        <v>2.367332</v>
      </c>
      <c r="AB203" t="n">
        <v>0.06080326</v>
      </c>
      <c r="AD203" t="n">
        <v>4.936589</v>
      </c>
      <c r="AE203" t="n">
        <v>24.97066</v>
      </c>
      <c r="AF203" t="n">
        <v>2.796043</v>
      </c>
      <c r="AH203" t="n">
        <v>17.52592</v>
      </c>
      <c r="AK203" t="n">
        <v>18.4035</v>
      </c>
      <c r="AL203" t="n">
        <v>10.10567</v>
      </c>
      <c r="AP203" t="n">
        <v>1.271874</v>
      </c>
      <c r="AU203" t="n">
        <v>10.8372</v>
      </c>
      <c r="AV203" t="n">
        <v>4.51e-05</v>
      </c>
      <c r="AW203" t="n">
        <v>13.37457</v>
      </c>
      <c r="AX203" t="n">
        <v>1.535399</v>
      </c>
    </row>
    <row r="204">
      <c r="A204" s="92" t="n">
        <v>24047</v>
      </c>
      <c r="B204" t="n">
        <v>19.67521</v>
      </c>
      <c r="C204" t="n">
        <v>16.50709</v>
      </c>
      <c r="E204" t="n">
        <v>13.43166</v>
      </c>
      <c r="F204" t="n">
        <v>29.33207</v>
      </c>
      <c r="L204" t="n">
        <v>26.68229</v>
      </c>
      <c r="O204" t="n">
        <v>3.901032</v>
      </c>
      <c r="R204" t="n">
        <v>9.795828</v>
      </c>
      <c r="S204" t="n">
        <v>11.94521</v>
      </c>
      <c r="V204" t="n">
        <v>6.8161</v>
      </c>
      <c r="W204" t="n">
        <v>1.231606</v>
      </c>
      <c r="Z204" t="n">
        <v>2.378258</v>
      </c>
      <c r="AA204" t="n">
        <v>6.015729</v>
      </c>
      <c r="AB204" t="n">
        <v>0.06183383</v>
      </c>
      <c r="AD204" t="n">
        <v>4.9533</v>
      </c>
      <c r="AE204" t="n">
        <v>24.72681</v>
      </c>
      <c r="AF204" t="n">
        <v>2.748777</v>
      </c>
      <c r="AH204" t="n">
        <v>17.54851</v>
      </c>
      <c r="AK204" t="n">
        <v>18.50836</v>
      </c>
      <c r="AL204" t="n">
        <v>10.17734</v>
      </c>
      <c r="AP204" t="n">
        <v>1.296561</v>
      </c>
      <c r="AU204" t="n">
        <v>10.86291</v>
      </c>
      <c r="AV204" t="n">
        <v>4.51e-05</v>
      </c>
      <c r="AW204" t="n">
        <v>13.37457</v>
      </c>
      <c r="AX204" t="n">
        <v>1.539915</v>
      </c>
    </row>
    <row r="205">
      <c r="A205" s="92" t="n">
        <v>24077</v>
      </c>
      <c r="B205" t="n">
        <v>19.81585</v>
      </c>
      <c r="C205" t="n">
        <v>16.6037</v>
      </c>
      <c r="E205" t="n">
        <v>13.51067</v>
      </c>
      <c r="F205" t="n">
        <v>29.3988</v>
      </c>
      <c r="L205" t="n">
        <v>26.81277</v>
      </c>
      <c r="O205" t="n">
        <v>3.923343</v>
      </c>
      <c r="R205" t="n">
        <v>9.795828</v>
      </c>
      <c r="S205" t="n">
        <v>11.98791</v>
      </c>
      <c r="V205" t="n">
        <v>6.8461</v>
      </c>
      <c r="W205" t="n">
        <v>1.253213</v>
      </c>
      <c r="Z205" t="n">
        <v>2.378258</v>
      </c>
      <c r="AB205" t="n">
        <v>0.06183383</v>
      </c>
      <c r="AD205" t="n">
        <v>4.976696</v>
      </c>
      <c r="AE205" t="n">
        <v>24.8975</v>
      </c>
      <c r="AF205" t="n">
        <v>2.757431</v>
      </c>
      <c r="AH205" t="n">
        <v>17.80056</v>
      </c>
      <c r="AK205" t="n">
        <v>18.56079</v>
      </c>
      <c r="AL205" t="n">
        <v>10.17734</v>
      </c>
      <c r="AP205" t="n">
        <v>1.281748</v>
      </c>
      <c r="AU205" t="n">
        <v>10.9227</v>
      </c>
      <c r="AV205" t="n">
        <v>4.5585e-05</v>
      </c>
      <c r="AW205" t="n">
        <v>13.41676</v>
      </c>
      <c r="AX205" t="n">
        <v>1.54443</v>
      </c>
    </row>
    <row r="206">
      <c r="A206" s="92" t="n">
        <v>24108</v>
      </c>
      <c r="B206" t="n">
        <v>19.72209</v>
      </c>
      <c r="C206" t="n">
        <v>16.66898</v>
      </c>
      <c r="E206" t="n">
        <v>13.51067</v>
      </c>
      <c r="F206" t="n">
        <v>29.55861</v>
      </c>
      <c r="L206" t="n">
        <v>26.94324</v>
      </c>
      <c r="O206" t="n">
        <v>3.916269</v>
      </c>
      <c r="R206" t="n">
        <v>9.795828</v>
      </c>
      <c r="S206" t="n">
        <v>12.03061</v>
      </c>
      <c r="V206" t="n">
        <v>6.8581</v>
      </c>
      <c r="W206" t="n">
        <v>1.253213</v>
      </c>
      <c r="Z206" t="n">
        <v>2.378258</v>
      </c>
      <c r="AB206" t="n">
        <v>0.06252087000000001</v>
      </c>
      <c r="AD206" t="n">
        <v>4.990066</v>
      </c>
      <c r="AE206" t="n">
        <v>25.14136</v>
      </c>
      <c r="AF206" t="n">
        <v>2.823338</v>
      </c>
      <c r="AH206" t="n">
        <v>17.93092</v>
      </c>
      <c r="AK206" t="n">
        <v>18.80548</v>
      </c>
      <c r="AL206" t="n">
        <v>10.24901</v>
      </c>
      <c r="AP206" t="n">
        <v>1.301498</v>
      </c>
      <c r="AU206" t="n">
        <v>11.05515</v>
      </c>
      <c r="AV206" t="n">
        <v>4.704e-05</v>
      </c>
      <c r="AW206" t="n">
        <v>13.41676</v>
      </c>
      <c r="AX206" t="n">
        <v>1.548946</v>
      </c>
    </row>
    <row r="207">
      <c r="A207" s="92" t="n">
        <v>24139</v>
      </c>
      <c r="B207" t="n">
        <v>19.66244</v>
      </c>
      <c r="C207" t="n">
        <v>16.71989</v>
      </c>
      <c r="E207" t="n">
        <v>13.58968</v>
      </c>
      <c r="F207" t="n">
        <v>29.63852</v>
      </c>
      <c r="L207" t="n">
        <v>27.00848</v>
      </c>
      <c r="O207" t="n">
        <v>3.913004</v>
      </c>
      <c r="R207" t="n">
        <v>9.795828</v>
      </c>
      <c r="S207" t="n">
        <v>12.05196</v>
      </c>
      <c r="V207" t="n">
        <v>6.8641</v>
      </c>
      <c r="W207" t="n">
        <v>1.253213</v>
      </c>
      <c r="Z207" t="n">
        <v>2.392826</v>
      </c>
      <c r="AA207" t="n">
        <v>6.019884</v>
      </c>
      <c r="AB207" t="n">
        <v>0.06286439000000001</v>
      </c>
      <c r="AD207" t="n">
        <v>4.990066</v>
      </c>
      <c r="AE207" t="n">
        <v>25.33644</v>
      </c>
      <c r="AF207" t="n">
        <v>2.903225</v>
      </c>
      <c r="AH207" t="n">
        <v>17.9031</v>
      </c>
      <c r="AK207" t="n">
        <v>19.03268</v>
      </c>
      <c r="AL207" t="n">
        <v>10.24901</v>
      </c>
      <c r="AP207" t="n">
        <v>1.322235</v>
      </c>
      <c r="AU207" t="n">
        <v>11.16413</v>
      </c>
      <c r="AV207" t="n">
        <v>4.7848e-05</v>
      </c>
      <c r="AW207" t="n">
        <v>13.50114</v>
      </c>
      <c r="AX207" t="n">
        <v>1.557978</v>
      </c>
    </row>
    <row r="208">
      <c r="A208" s="92" t="n">
        <v>24167</v>
      </c>
      <c r="B208" t="n">
        <v>19.64256</v>
      </c>
      <c r="C208" t="n">
        <v>16.793</v>
      </c>
      <c r="E208" t="n">
        <v>13.66869</v>
      </c>
      <c r="F208" t="n">
        <v>29.67979</v>
      </c>
      <c r="L208" t="n">
        <v>27.07372</v>
      </c>
      <c r="O208" t="n">
        <v>3.913004</v>
      </c>
      <c r="R208" t="n">
        <v>9.864813</v>
      </c>
      <c r="S208" t="n">
        <v>12.07331</v>
      </c>
      <c r="V208" t="n">
        <v>6.876101</v>
      </c>
      <c r="W208" t="n">
        <v>1.253213</v>
      </c>
      <c r="Z208" t="n">
        <v>2.392826</v>
      </c>
      <c r="AB208" t="n">
        <v>0.06320792</v>
      </c>
      <c r="AD208" t="n">
        <v>4.986723</v>
      </c>
      <c r="AE208" t="n">
        <v>25.43398</v>
      </c>
      <c r="AF208" t="n">
        <v>2.949826</v>
      </c>
      <c r="AH208" t="n">
        <v>17.88745</v>
      </c>
      <c r="AK208" t="n">
        <v>19.12007</v>
      </c>
      <c r="AL208" t="n">
        <v>10.32068</v>
      </c>
      <c r="AP208" t="n">
        <v>1.329147</v>
      </c>
      <c r="AU208" t="n">
        <v>11.21163</v>
      </c>
      <c r="AV208" t="n">
        <v>4.9141e-05</v>
      </c>
      <c r="AW208" t="n">
        <v>13.54333</v>
      </c>
      <c r="AX208" t="n">
        <v>1.557978</v>
      </c>
    </row>
    <row r="209">
      <c r="A209" s="92" t="n">
        <v>24198</v>
      </c>
      <c r="B209" t="n">
        <v>19.70221</v>
      </c>
      <c r="C209" t="n">
        <v>16.96272</v>
      </c>
      <c r="E209" t="n">
        <v>13.7477</v>
      </c>
      <c r="F209" t="n">
        <v>29.7193</v>
      </c>
      <c r="L209" t="n">
        <v>27.26943</v>
      </c>
      <c r="O209" t="n">
        <v>3.950551</v>
      </c>
      <c r="R209" t="n">
        <v>9.933797999999999</v>
      </c>
      <c r="S209" t="n">
        <v>12.11601</v>
      </c>
      <c r="V209" t="n">
        <v>6.960102</v>
      </c>
      <c r="W209" t="n">
        <v>1.27482</v>
      </c>
      <c r="Z209" t="n">
        <v>2.407394</v>
      </c>
      <c r="AB209" t="n">
        <v>0.06355143000000001</v>
      </c>
      <c r="AD209" t="n">
        <v>5.000093</v>
      </c>
      <c r="AE209" t="n">
        <v>25.72661</v>
      </c>
      <c r="AF209" t="n">
        <v>2.980449</v>
      </c>
      <c r="AH209" t="n">
        <v>17.97787</v>
      </c>
      <c r="AK209" t="n">
        <v>19.25988</v>
      </c>
      <c r="AL209" t="n">
        <v>10.32068</v>
      </c>
      <c r="AP209" t="n">
        <v>1.319273</v>
      </c>
      <c r="AU209" t="n">
        <v>11.23119</v>
      </c>
      <c r="AV209" t="n">
        <v>4.9464e-05</v>
      </c>
      <c r="AW209" t="n">
        <v>13.62771</v>
      </c>
      <c r="AX209" t="n">
        <v>1.562494</v>
      </c>
    </row>
    <row r="210">
      <c r="A210" s="92" t="n">
        <v>24228</v>
      </c>
      <c r="B210" t="n">
        <v>19.68233</v>
      </c>
      <c r="C210" t="n">
        <v>17.04497</v>
      </c>
      <c r="E210" t="n">
        <v>13.7477</v>
      </c>
      <c r="F210" t="n">
        <v>30.09248</v>
      </c>
      <c r="L210" t="n">
        <v>27.26943</v>
      </c>
      <c r="O210" t="n">
        <v>4.008231</v>
      </c>
      <c r="R210" t="n">
        <v>10.00278</v>
      </c>
      <c r="S210" t="n">
        <v>12.15871</v>
      </c>
      <c r="V210" t="n">
        <v>7.008102</v>
      </c>
      <c r="W210" t="n">
        <v>1.27482</v>
      </c>
      <c r="Z210" t="n">
        <v>2.487519</v>
      </c>
      <c r="AA210" t="n">
        <v>6.132055</v>
      </c>
      <c r="AB210" t="n">
        <v>0.06561256</v>
      </c>
      <c r="AD210" t="n">
        <v>5.006777</v>
      </c>
      <c r="AE210" t="n">
        <v>25.55591</v>
      </c>
      <c r="AF210" t="n">
        <v>3.062999</v>
      </c>
      <c r="AH210" t="n">
        <v>18.05612</v>
      </c>
      <c r="AK210" t="n">
        <v>19.25988</v>
      </c>
      <c r="AL210" t="n">
        <v>10.32068</v>
      </c>
      <c r="AP210" t="n">
        <v>1.309398</v>
      </c>
      <c r="AU210" t="n">
        <v>11.28875</v>
      </c>
      <c r="AV210" t="n">
        <v>4.8818e-05</v>
      </c>
      <c r="AW210" t="n">
        <v>13.62771</v>
      </c>
      <c r="AX210" t="n">
        <v>1.557978</v>
      </c>
    </row>
    <row r="211">
      <c r="A211" s="92" t="n">
        <v>24259</v>
      </c>
      <c r="B211" t="n">
        <v>19.82149</v>
      </c>
      <c r="C211" t="n">
        <v>17.11286</v>
      </c>
      <c r="E211" t="n">
        <v>13.8267</v>
      </c>
      <c r="F211" t="n">
        <v>30.05384</v>
      </c>
      <c r="L211" t="n">
        <v>27.26943</v>
      </c>
      <c r="O211" t="n">
        <v>4.015849</v>
      </c>
      <c r="R211" t="n">
        <v>10.00278</v>
      </c>
      <c r="S211" t="n">
        <v>12.14804</v>
      </c>
      <c r="V211" t="n">
        <v>7.026103</v>
      </c>
      <c r="W211" t="n">
        <v>1.27482</v>
      </c>
      <c r="Z211" t="n">
        <v>2.545792</v>
      </c>
      <c r="AB211" t="n">
        <v>0.06561256</v>
      </c>
      <c r="AD211" t="n">
        <v>5.006777</v>
      </c>
      <c r="AE211" t="n">
        <v>25.60468</v>
      </c>
      <c r="AF211" t="n">
        <v>3.068325</v>
      </c>
      <c r="AH211" t="n">
        <v>17.9031</v>
      </c>
      <c r="AK211" t="n">
        <v>19.32979</v>
      </c>
      <c r="AL211" t="n">
        <v>10.32068</v>
      </c>
      <c r="AP211" t="n">
        <v>1.292611</v>
      </c>
      <c r="AU211" t="n">
        <v>11.31949</v>
      </c>
      <c r="AV211" t="n">
        <v>4.704e-05</v>
      </c>
      <c r="AW211" t="n">
        <v>13.66991</v>
      </c>
      <c r="AX211" t="n">
        <v>1.56701</v>
      </c>
    </row>
    <row r="212">
      <c r="A212" s="92" t="n">
        <v>24289</v>
      </c>
      <c r="B212" t="n">
        <v>19.82149</v>
      </c>
      <c r="C212" t="n">
        <v>16.96403</v>
      </c>
      <c r="E212" t="n">
        <v>13.8267</v>
      </c>
      <c r="F212" t="n">
        <v>30.05384</v>
      </c>
      <c r="L212" t="n">
        <v>27.26943</v>
      </c>
      <c r="O212" t="n">
        <v>4.013672</v>
      </c>
      <c r="R212" t="n">
        <v>10.00278</v>
      </c>
      <c r="S212" t="n">
        <v>12.19074</v>
      </c>
      <c r="V212" t="n">
        <v>6.996102</v>
      </c>
      <c r="W212" t="n">
        <v>1.27482</v>
      </c>
      <c r="Z212" t="n">
        <v>2.585854</v>
      </c>
      <c r="AB212" t="n">
        <v>0.06595608999999999</v>
      </c>
      <c r="AD212" t="n">
        <v>5.010119</v>
      </c>
      <c r="AE212" t="n">
        <v>25.67784</v>
      </c>
      <c r="AF212" t="n">
        <v>3.054344</v>
      </c>
      <c r="AH212" t="n">
        <v>17.94657</v>
      </c>
      <c r="AK212" t="n">
        <v>19.18997</v>
      </c>
      <c r="AL212" t="n">
        <v>10.53569</v>
      </c>
      <c r="AP212" t="n">
        <v>1.297548</v>
      </c>
      <c r="AU212" t="n">
        <v>11.29099</v>
      </c>
      <c r="AV212" t="n">
        <v>4.7201e-05</v>
      </c>
      <c r="AW212" t="n">
        <v>13.7121</v>
      </c>
      <c r="AX212" t="n">
        <v>1.56701</v>
      </c>
    </row>
    <row r="213">
      <c r="A213" s="92" t="n">
        <v>24320</v>
      </c>
      <c r="B213" t="n">
        <v>19.98054</v>
      </c>
      <c r="C213" t="n">
        <v>16.95228</v>
      </c>
      <c r="E213" t="n">
        <v>13.90571</v>
      </c>
      <c r="F213" t="n">
        <v>30.14692</v>
      </c>
      <c r="L213" t="n">
        <v>27.20419</v>
      </c>
      <c r="O213" t="n">
        <v>4.020746</v>
      </c>
      <c r="R213" t="n">
        <v>10.07177</v>
      </c>
      <c r="S213" t="n">
        <v>12.20141</v>
      </c>
      <c r="V213" t="n">
        <v>7.038103</v>
      </c>
      <c r="W213" t="n">
        <v>1.253213</v>
      </c>
      <c r="Z213" t="n">
        <v>2.611349</v>
      </c>
      <c r="AA213" t="n">
        <v>6.231763</v>
      </c>
      <c r="AB213" t="n">
        <v>0.06698664999999999</v>
      </c>
      <c r="AD213" t="n">
        <v>5.016804</v>
      </c>
      <c r="AE213" t="n">
        <v>25.48275</v>
      </c>
      <c r="AF213" t="n">
        <v>3.117588</v>
      </c>
      <c r="AH213" t="n">
        <v>17.91527</v>
      </c>
      <c r="AK213" t="n">
        <v>19.29484</v>
      </c>
      <c r="AL213" t="n">
        <v>10.53569</v>
      </c>
      <c r="AP213" t="n">
        <v>1.305448</v>
      </c>
      <c r="AU213" t="n">
        <v>11.36475</v>
      </c>
      <c r="AV213" t="n">
        <v>4.7524e-05</v>
      </c>
      <c r="AW213" t="n">
        <v>13.79648</v>
      </c>
      <c r="AX213" t="n">
        <v>1.571526</v>
      </c>
    </row>
    <row r="214">
      <c r="A214" s="92" t="n">
        <v>24351</v>
      </c>
      <c r="B214" t="n">
        <v>20.0203</v>
      </c>
      <c r="C214" t="n">
        <v>17.02147</v>
      </c>
      <c r="E214" t="n">
        <v>13.90571</v>
      </c>
      <c r="F214" t="n">
        <v>30.17326</v>
      </c>
      <c r="L214" t="n">
        <v>27.20419</v>
      </c>
      <c r="O214" t="n">
        <v>4.008231</v>
      </c>
      <c r="R214" t="n">
        <v>10.14075</v>
      </c>
      <c r="S214" t="n">
        <v>12.23344</v>
      </c>
      <c r="V214" t="n">
        <v>7.026103</v>
      </c>
      <c r="W214" t="n">
        <v>1.27482</v>
      </c>
      <c r="Z214" t="n">
        <v>2.625917</v>
      </c>
      <c r="AB214" t="n">
        <v>0.06801720999999999</v>
      </c>
      <c r="AD214" t="n">
        <v>5.020146</v>
      </c>
      <c r="AE214" t="n">
        <v>25.77538</v>
      </c>
      <c r="AF214" t="n">
        <v>3.175506</v>
      </c>
      <c r="AH214" t="n">
        <v>17.96744</v>
      </c>
      <c r="AK214" t="n">
        <v>19.32979</v>
      </c>
      <c r="AL214" t="n">
        <v>10.53569</v>
      </c>
      <c r="AP214" t="n">
        <v>1.329147</v>
      </c>
      <c r="AU214" t="n">
        <v>11.39102</v>
      </c>
      <c r="AV214" t="n">
        <v>4.7848e-05</v>
      </c>
      <c r="AW214" t="n">
        <v>13.79648</v>
      </c>
      <c r="AX214" t="n">
        <v>1.594105</v>
      </c>
    </row>
    <row r="215">
      <c r="A215" s="92" t="n">
        <v>24381</v>
      </c>
      <c r="B215" t="n">
        <v>20.11971</v>
      </c>
      <c r="C215" t="n">
        <v>17.0763</v>
      </c>
      <c r="E215" t="n">
        <v>13.90571</v>
      </c>
      <c r="F215" t="n">
        <v>30.24</v>
      </c>
      <c r="L215" t="n">
        <v>27.26943</v>
      </c>
      <c r="O215" t="n">
        <v>4.032718</v>
      </c>
      <c r="R215" t="n">
        <v>10.14075</v>
      </c>
      <c r="S215" t="n">
        <v>12.25479</v>
      </c>
      <c r="V215" t="n">
        <v>7.044103</v>
      </c>
      <c r="W215" t="n">
        <v>1.27482</v>
      </c>
      <c r="Z215" t="n">
        <v>2.640485</v>
      </c>
      <c r="AB215" t="n">
        <v>0.06801720999999999</v>
      </c>
      <c r="AD215" t="n">
        <v>5.026831</v>
      </c>
      <c r="AE215" t="n">
        <v>25.94608</v>
      </c>
      <c r="AF215" t="n">
        <v>3.258056</v>
      </c>
      <c r="AH215" t="n">
        <v>18.01265</v>
      </c>
      <c r="AK215" t="n">
        <v>19.32979</v>
      </c>
      <c r="AL215" t="n">
        <v>10.60737</v>
      </c>
      <c r="AP215" t="n">
        <v>1.353834</v>
      </c>
      <c r="AU215" t="n">
        <v>11.43405</v>
      </c>
      <c r="AV215" t="n">
        <v>4.8009e-05</v>
      </c>
      <c r="AW215" t="n">
        <v>13.88086</v>
      </c>
      <c r="AX215" t="n">
        <v>1.598621</v>
      </c>
    </row>
    <row r="216">
      <c r="A216" s="92" t="n">
        <v>24412</v>
      </c>
      <c r="B216" t="n">
        <v>20.21912</v>
      </c>
      <c r="C216" t="n">
        <v>17.08675</v>
      </c>
      <c r="E216" t="n">
        <v>13.90571</v>
      </c>
      <c r="F216" t="n">
        <v>30.60089</v>
      </c>
      <c r="L216" t="n">
        <v>27.53038</v>
      </c>
      <c r="O216" t="n">
        <v>4.102913</v>
      </c>
      <c r="R216" t="n">
        <v>10.20974</v>
      </c>
      <c r="S216" t="n">
        <v>12.28681</v>
      </c>
      <c r="V216" t="n">
        <v>7.086103</v>
      </c>
      <c r="W216" t="n">
        <v>1.296427</v>
      </c>
      <c r="Z216" t="n">
        <v>2.669621</v>
      </c>
      <c r="AA216" t="n">
        <v>6.248382</v>
      </c>
      <c r="AB216" t="n">
        <v>0.06698664999999999</v>
      </c>
      <c r="AD216" t="n">
        <v>5.056912</v>
      </c>
      <c r="AE216" t="n">
        <v>25.75099</v>
      </c>
      <c r="AF216" t="n">
        <v>3.175506</v>
      </c>
      <c r="AH216" t="n">
        <v>18.03699</v>
      </c>
      <c r="AK216" t="n">
        <v>19.34727</v>
      </c>
      <c r="AL216" t="n">
        <v>10.60737</v>
      </c>
      <c r="AP216" t="n">
        <v>1.350872</v>
      </c>
      <c r="AU216" t="n">
        <v>11.47317</v>
      </c>
      <c r="AV216" t="n">
        <v>4.8979e-05</v>
      </c>
      <c r="AW216" t="n">
        <v>13.88086</v>
      </c>
      <c r="AX216" t="n">
        <v>1.598621</v>
      </c>
    </row>
    <row r="217">
      <c r="A217" s="92" t="n">
        <v>24442</v>
      </c>
      <c r="B217" t="n">
        <v>20.19923</v>
      </c>
      <c r="C217" t="n">
        <v>17.12722</v>
      </c>
      <c r="E217" t="n">
        <v>13.98472</v>
      </c>
      <c r="F217" t="n">
        <v>30.74752</v>
      </c>
      <c r="L217" t="n">
        <v>27.59562</v>
      </c>
      <c r="O217" t="n">
        <v>4.129577</v>
      </c>
      <c r="R217" t="n">
        <v>10.27872</v>
      </c>
      <c r="S217" t="n">
        <v>12.31884</v>
      </c>
      <c r="V217" t="n">
        <v>7.098104</v>
      </c>
      <c r="W217" t="n">
        <v>1.296427</v>
      </c>
      <c r="Z217" t="n">
        <v>2.709684</v>
      </c>
      <c r="AB217" t="n">
        <v>0.06698664999999999</v>
      </c>
      <c r="AD217" t="n">
        <v>5.093677</v>
      </c>
      <c r="AE217" t="n">
        <v>25.99485</v>
      </c>
      <c r="AF217" t="n">
        <v>3.178169</v>
      </c>
      <c r="AH217" t="n">
        <v>18.07524</v>
      </c>
      <c r="AK217" t="n">
        <v>19.34727</v>
      </c>
      <c r="AL217" t="n">
        <v>10.60737</v>
      </c>
      <c r="AP217" t="n">
        <v>1.338035</v>
      </c>
      <c r="AU217" t="n">
        <v>11.48435</v>
      </c>
      <c r="AV217" t="n">
        <v>5.0596e-05</v>
      </c>
      <c r="AW217" t="n">
        <v>13.88086</v>
      </c>
      <c r="AX217" t="n">
        <v>1.603137</v>
      </c>
    </row>
    <row r="218">
      <c r="A218" s="92" t="n">
        <v>24473</v>
      </c>
      <c r="B218" t="n">
        <v>20.53721</v>
      </c>
      <c r="C218" t="n">
        <v>17.15855</v>
      </c>
      <c r="E218" t="n">
        <v>13.98472</v>
      </c>
      <c r="F218" t="n">
        <v>30.84148</v>
      </c>
      <c r="L218" t="n">
        <v>27.66086</v>
      </c>
      <c r="M218" t="n">
        <v>10.87259</v>
      </c>
      <c r="O218" t="n">
        <v>4.131753</v>
      </c>
      <c r="R218" t="n">
        <v>10.34771</v>
      </c>
      <c r="S218" t="n">
        <v>12.37221</v>
      </c>
      <c r="V218" t="n">
        <v>7.110104</v>
      </c>
      <c r="W218" t="n">
        <v>1.318034</v>
      </c>
      <c r="Z218" t="n">
        <v>2.709684</v>
      </c>
      <c r="AB218" t="n">
        <v>0.06698664999999999</v>
      </c>
      <c r="AD218" t="n">
        <v>5.14251</v>
      </c>
      <c r="AE218" t="n">
        <v>26.28747</v>
      </c>
      <c r="AF218" t="n">
        <v>3.194812</v>
      </c>
      <c r="AH218" t="n">
        <v>18.13436</v>
      </c>
      <c r="AK218" t="n">
        <v>19.45213</v>
      </c>
      <c r="AL218" t="n">
        <v>10.67904</v>
      </c>
      <c r="AP218" t="n">
        <v>1.345935</v>
      </c>
      <c r="AU218" t="n">
        <v>11.576</v>
      </c>
      <c r="AV218" t="n">
        <v>5.2697e-05</v>
      </c>
      <c r="AW218" t="n">
        <v>13.88086</v>
      </c>
      <c r="AX218" t="n">
        <v>1.607653</v>
      </c>
    </row>
    <row r="219">
      <c r="A219" s="92" t="n">
        <v>24504</v>
      </c>
      <c r="B219" t="n">
        <v>20.51733</v>
      </c>
      <c r="C219" t="n">
        <v>17.19749</v>
      </c>
      <c r="E219" t="n">
        <v>13.98472</v>
      </c>
      <c r="F219" t="n">
        <v>30.77474</v>
      </c>
      <c r="L219" t="n">
        <v>27.66086</v>
      </c>
      <c r="M219" t="n">
        <v>10.91937</v>
      </c>
      <c r="O219" t="n">
        <v>4.163859</v>
      </c>
      <c r="R219" t="n">
        <v>10.34771</v>
      </c>
      <c r="S219" t="n">
        <v>12.38288</v>
      </c>
      <c r="V219" t="n">
        <v>7.116104</v>
      </c>
      <c r="W219" t="n">
        <v>1.296427</v>
      </c>
      <c r="Z219" t="n">
        <v>2.724252</v>
      </c>
      <c r="AA219" t="n">
        <v>6.256691</v>
      </c>
      <c r="AB219" t="n">
        <v>0.06698664999999999</v>
      </c>
      <c r="AD219" t="n">
        <v>5.157561</v>
      </c>
      <c r="AE219" t="n">
        <v>26.4094</v>
      </c>
      <c r="AF219" t="n">
        <v>3.241413</v>
      </c>
      <c r="AH219" t="n">
        <v>18.12741</v>
      </c>
      <c r="AK219" t="n">
        <v>19.59195</v>
      </c>
      <c r="AL219" t="n">
        <v>10.67904</v>
      </c>
      <c r="AP219" t="n">
        <v>1.362722</v>
      </c>
      <c r="AU219" t="n">
        <v>11.66038</v>
      </c>
      <c r="AV219" t="n">
        <v>5.3667e-05</v>
      </c>
      <c r="AW219" t="n">
        <v>13.88086</v>
      </c>
      <c r="AX219" t="n">
        <v>1.607653</v>
      </c>
    </row>
    <row r="220">
      <c r="A220" s="92" t="n">
        <v>24532</v>
      </c>
      <c r="B220" t="n">
        <v>20.45769</v>
      </c>
      <c r="C220" t="n">
        <v>17.24829</v>
      </c>
      <c r="E220" t="n">
        <v>14.06373</v>
      </c>
      <c r="F220" t="n">
        <v>30.77474</v>
      </c>
      <c r="L220" t="n">
        <v>27.7261</v>
      </c>
      <c r="M220" t="n">
        <v>10.94744</v>
      </c>
      <c r="O220" t="n">
        <v>4.181272</v>
      </c>
      <c r="R220" t="n">
        <v>10.34771</v>
      </c>
      <c r="S220" t="n">
        <v>12.41491</v>
      </c>
      <c r="V220" t="n">
        <v>7.116104</v>
      </c>
      <c r="W220" t="n">
        <v>1.318034</v>
      </c>
      <c r="Z220" t="n">
        <v>2.749747</v>
      </c>
      <c r="AB220" t="n">
        <v>0.06698664999999999</v>
      </c>
      <c r="AD220" t="n">
        <v>5.167595</v>
      </c>
      <c r="AE220" t="n">
        <v>26.45817</v>
      </c>
      <c r="AF220" t="n">
        <v>3.286016</v>
      </c>
      <c r="AH220" t="n">
        <v>18.14828</v>
      </c>
      <c r="AK220" t="n">
        <v>19.67934</v>
      </c>
      <c r="AL220" t="n">
        <v>10.75071</v>
      </c>
      <c r="AP220" t="n">
        <v>1.383459</v>
      </c>
      <c r="AU220" t="n">
        <v>11.73862</v>
      </c>
      <c r="AV220" t="n">
        <v>5.4152e-05</v>
      </c>
      <c r="AW220" t="n">
        <v>13.92305</v>
      </c>
      <c r="AX220" t="n">
        <v>1.616685</v>
      </c>
    </row>
    <row r="221">
      <c r="A221" s="92" t="n">
        <v>24563</v>
      </c>
      <c r="B221" t="n">
        <v>20.47757</v>
      </c>
      <c r="C221" t="n">
        <v>17.30586</v>
      </c>
      <c r="E221" t="n">
        <v>14.14274</v>
      </c>
      <c r="F221" t="n">
        <v>30.80109</v>
      </c>
      <c r="L221" t="n">
        <v>27.7261</v>
      </c>
      <c r="M221" t="n">
        <v>11.00358</v>
      </c>
      <c r="O221" t="n">
        <v>4.239495</v>
      </c>
      <c r="R221" t="n">
        <v>10.34771</v>
      </c>
      <c r="S221" t="n">
        <v>12.42558</v>
      </c>
      <c r="V221" t="n">
        <v>7.170105</v>
      </c>
      <c r="W221" t="n">
        <v>1.318034</v>
      </c>
      <c r="Z221" t="n">
        <v>2.778883</v>
      </c>
      <c r="AB221" t="n">
        <v>0.06698664999999999</v>
      </c>
      <c r="AD221" t="n">
        <v>5.172612</v>
      </c>
      <c r="AE221" t="n">
        <v>26.53133</v>
      </c>
      <c r="AF221" t="n">
        <v>3.373892</v>
      </c>
      <c r="AH221" t="n">
        <v>18.21087</v>
      </c>
      <c r="AK221" t="n">
        <v>19.80168</v>
      </c>
      <c r="AL221" t="n">
        <v>10.75071</v>
      </c>
      <c r="AP221" t="n">
        <v>1.371609</v>
      </c>
      <c r="AU221" t="n">
        <v>11.74421</v>
      </c>
      <c r="AV221" t="n">
        <v>5.4314e-05</v>
      </c>
      <c r="AW221" t="n">
        <v>13.96524</v>
      </c>
      <c r="AX221" t="n">
        <v>1.6212</v>
      </c>
    </row>
    <row r="222">
      <c r="A222" s="92" t="n">
        <v>24593</v>
      </c>
      <c r="B222" t="n">
        <v>20.57698</v>
      </c>
      <c r="C222" t="n">
        <v>17.35835</v>
      </c>
      <c r="E222" t="n">
        <v>14.22175</v>
      </c>
      <c r="F222" t="n">
        <v>31.13563</v>
      </c>
      <c r="L222" t="n">
        <v>27.79133</v>
      </c>
      <c r="M222" t="n">
        <v>11.04101</v>
      </c>
      <c r="O222" t="n">
        <v>4.254188</v>
      </c>
      <c r="R222" t="n">
        <v>10.45329</v>
      </c>
      <c r="S222" t="n">
        <v>12.44693</v>
      </c>
      <c r="V222" t="n">
        <v>7.164105</v>
      </c>
      <c r="W222" t="n">
        <v>1.318034</v>
      </c>
      <c r="Z222" t="n">
        <v>2.833513</v>
      </c>
      <c r="AA222" t="n">
        <v>6.364708</v>
      </c>
      <c r="AB222" t="n">
        <v>0.06698664999999999</v>
      </c>
      <c r="AD222" t="n">
        <v>5.187664</v>
      </c>
      <c r="AE222" t="n">
        <v>26.36063</v>
      </c>
      <c r="AF222" t="n">
        <v>3.406513</v>
      </c>
      <c r="AH222" t="n">
        <v>18.2613</v>
      </c>
      <c r="AK222" t="n">
        <v>19.80168</v>
      </c>
      <c r="AL222" t="n">
        <v>10.82238</v>
      </c>
      <c r="AP222" t="n">
        <v>1.350872</v>
      </c>
      <c r="AU222" t="n">
        <v>11.76936</v>
      </c>
      <c r="AV222" t="n">
        <v>5.5284e-05</v>
      </c>
      <c r="AW222" t="n">
        <v>14.00743</v>
      </c>
      <c r="AX222" t="n">
        <v>1.625716</v>
      </c>
    </row>
    <row r="223">
      <c r="A223" s="92" t="n">
        <v>24624</v>
      </c>
      <c r="B223" t="n">
        <v>20.53721</v>
      </c>
      <c r="C223" t="n">
        <v>17.39052</v>
      </c>
      <c r="E223" t="n">
        <v>14.30076</v>
      </c>
      <c r="F223" t="n">
        <v>31.34813</v>
      </c>
      <c r="L223" t="n">
        <v>27.79133</v>
      </c>
      <c r="M223" t="n">
        <v>11.12522</v>
      </c>
      <c r="O223" t="n">
        <v>4.217185</v>
      </c>
      <c r="R223" t="n">
        <v>10.45329</v>
      </c>
      <c r="S223" t="n">
        <v>12.44693</v>
      </c>
      <c r="V223" t="n">
        <v>7.194105</v>
      </c>
      <c r="W223" t="n">
        <v>1.296427</v>
      </c>
      <c r="Z223" t="n">
        <v>2.902713</v>
      </c>
      <c r="AB223" t="n">
        <v>0.06698664999999999</v>
      </c>
      <c r="AD223" t="n">
        <v>5.202715</v>
      </c>
      <c r="AE223" t="n">
        <v>26.21432</v>
      </c>
      <c r="AF223" t="n">
        <v>3.368566</v>
      </c>
      <c r="AH223" t="n">
        <v>18.22305</v>
      </c>
      <c r="AK223" t="n">
        <v>19.81915</v>
      </c>
      <c r="AL223" t="n">
        <v>10.96572</v>
      </c>
      <c r="AP223" t="n">
        <v>1.355809</v>
      </c>
      <c r="AU223" t="n">
        <v>11.79115</v>
      </c>
      <c r="AV223" t="n">
        <v>5.5445e-05</v>
      </c>
      <c r="AW223" t="n">
        <v>14.04963</v>
      </c>
      <c r="AX223" t="n">
        <v>1.630232</v>
      </c>
    </row>
    <row r="224">
      <c r="A224" s="92" t="n">
        <v>24654</v>
      </c>
      <c r="B224" t="n">
        <v>20.67638</v>
      </c>
      <c r="C224" t="n">
        <v>17.41083</v>
      </c>
      <c r="E224" t="n">
        <v>14.37977</v>
      </c>
      <c r="F224" t="n">
        <v>31.45877</v>
      </c>
      <c r="L224" t="n">
        <v>27.79133</v>
      </c>
      <c r="M224" t="n">
        <v>11.76148</v>
      </c>
      <c r="O224" t="n">
        <v>4.219906</v>
      </c>
      <c r="R224" t="n">
        <v>10.45329</v>
      </c>
      <c r="S224" t="n">
        <v>12.47896</v>
      </c>
      <c r="V224" t="n">
        <v>7.152104</v>
      </c>
      <c r="W224" t="n">
        <v>1.296427</v>
      </c>
      <c r="Z224" t="n">
        <v>2.928207</v>
      </c>
      <c r="AB224" t="n">
        <v>0.06698664999999999</v>
      </c>
      <c r="AD224" t="n">
        <v>5.212749</v>
      </c>
      <c r="AE224" t="n">
        <v>26.18993</v>
      </c>
      <c r="AF224" t="n">
        <v>3.373892</v>
      </c>
      <c r="AH224" t="n">
        <v>18.41953</v>
      </c>
      <c r="AK224" t="n">
        <v>19.88906</v>
      </c>
      <c r="AL224" t="n">
        <v>11.03739</v>
      </c>
      <c r="AP224" t="n">
        <v>1.368647</v>
      </c>
      <c r="AU224" t="n">
        <v>11.84425</v>
      </c>
      <c r="AV224" t="n">
        <v>5.5445e-05</v>
      </c>
      <c r="AW224" t="n">
        <v>14.09182</v>
      </c>
      <c r="AX224" t="n">
        <v>1.639264</v>
      </c>
    </row>
    <row r="225">
      <c r="A225" s="92" t="n">
        <v>24685</v>
      </c>
      <c r="B225" t="n">
        <v>20.71614</v>
      </c>
      <c r="C225" t="n">
        <v>17.47856</v>
      </c>
      <c r="E225" t="n">
        <v>14.45878</v>
      </c>
      <c r="F225" t="n">
        <v>31.57994</v>
      </c>
      <c r="L225" t="n">
        <v>27.66086</v>
      </c>
      <c r="M225" t="n">
        <v>11.79891</v>
      </c>
      <c r="O225" t="n">
        <v>4.281395</v>
      </c>
      <c r="R225" t="n">
        <v>10.55888</v>
      </c>
      <c r="S225" t="n">
        <v>12.52166</v>
      </c>
      <c r="V225" t="n">
        <v>7.134104</v>
      </c>
      <c r="W225" t="n">
        <v>1.27482</v>
      </c>
      <c r="Z225" t="n">
        <v>2.957343</v>
      </c>
      <c r="AA225" t="n">
        <v>6.368862</v>
      </c>
      <c r="AB225" t="n">
        <v>0.06698664999999999</v>
      </c>
      <c r="AD225" t="n">
        <v>5.222783</v>
      </c>
      <c r="AE225" t="n">
        <v>26.4094</v>
      </c>
      <c r="AF225" t="n">
        <v>3.415167</v>
      </c>
      <c r="AH225" t="n">
        <v>18.42475</v>
      </c>
      <c r="AK225" t="n">
        <v>20.04636</v>
      </c>
      <c r="AL225" t="n">
        <v>11.03739</v>
      </c>
      <c r="AP225" t="n">
        <v>1.397284</v>
      </c>
      <c r="AU225" t="n">
        <v>11.86772</v>
      </c>
      <c r="AV225" t="n">
        <v>5.496e-05</v>
      </c>
      <c r="AW225" t="n">
        <v>14.13401</v>
      </c>
      <c r="AX225" t="n">
        <v>1.64378</v>
      </c>
    </row>
    <row r="226">
      <c r="A226" s="92" t="n">
        <v>24716</v>
      </c>
      <c r="B226" t="n">
        <v>20.85531</v>
      </c>
      <c r="C226" t="n">
        <v>17.57507</v>
      </c>
      <c r="E226" t="n">
        <v>14.45878</v>
      </c>
      <c r="F226" t="n">
        <v>31.45877</v>
      </c>
      <c r="L226" t="n">
        <v>27.66086</v>
      </c>
      <c r="M226" t="n">
        <v>11.82698</v>
      </c>
      <c r="O226" t="n">
        <v>4.293367</v>
      </c>
      <c r="R226" t="n">
        <v>10.66447</v>
      </c>
      <c r="S226" t="n">
        <v>12.56436</v>
      </c>
      <c r="V226" t="n">
        <v>7.128104</v>
      </c>
      <c r="W226" t="n">
        <v>1.27482</v>
      </c>
      <c r="Z226" t="n">
        <v>2.942775</v>
      </c>
      <c r="AB226" t="n">
        <v>0.06698664999999999</v>
      </c>
      <c r="AD226" t="n">
        <v>5.247869</v>
      </c>
      <c r="AE226" t="n">
        <v>26.82395</v>
      </c>
      <c r="AF226" t="n">
        <v>3.469757</v>
      </c>
      <c r="AH226" t="n">
        <v>18.54473</v>
      </c>
      <c r="AK226" t="n">
        <v>20.11627</v>
      </c>
      <c r="AL226" t="n">
        <v>11.03739</v>
      </c>
      <c r="AP226" t="n">
        <v>1.42987</v>
      </c>
      <c r="AU226" t="n">
        <v>11.90572</v>
      </c>
      <c r="AV226" t="n">
        <v>5.5122e-05</v>
      </c>
      <c r="AW226" t="n">
        <v>14.1762</v>
      </c>
      <c r="AX226" t="n">
        <v>1.64378</v>
      </c>
    </row>
    <row r="227">
      <c r="A227" s="92" t="n">
        <v>24746</v>
      </c>
      <c r="B227" t="n">
        <v>20.89507</v>
      </c>
      <c r="C227" t="n">
        <v>17.61571</v>
      </c>
      <c r="E227" t="n">
        <v>14.45878</v>
      </c>
      <c r="F227" t="n">
        <v>31.42803</v>
      </c>
      <c r="L227" t="n">
        <v>27.7261</v>
      </c>
      <c r="M227" t="n">
        <v>11.87376</v>
      </c>
      <c r="O227" t="n">
        <v>4.31078</v>
      </c>
      <c r="R227" t="n">
        <v>10.66447</v>
      </c>
      <c r="S227" t="n">
        <v>12.62841</v>
      </c>
      <c r="V227" t="n">
        <v>7.182105</v>
      </c>
      <c r="W227" t="n">
        <v>1.27482</v>
      </c>
      <c r="Z227" t="n">
        <v>2.982838</v>
      </c>
      <c r="AB227" t="n">
        <v>0.06698664999999999</v>
      </c>
      <c r="AD227" t="n">
        <v>5.242851</v>
      </c>
      <c r="AE227" t="n">
        <v>27.28727</v>
      </c>
      <c r="AF227" t="n">
        <v>3.525012</v>
      </c>
      <c r="AH227" t="n">
        <v>18.56212</v>
      </c>
      <c r="AK227" t="n">
        <v>20.15122</v>
      </c>
      <c r="AL227" t="n">
        <v>11.03739</v>
      </c>
      <c r="AP227" t="n">
        <v>1.438758</v>
      </c>
      <c r="AU227" t="n">
        <v>11.89287</v>
      </c>
      <c r="AV227" t="n">
        <v>5.5768e-05</v>
      </c>
      <c r="AW227" t="n">
        <v>14.21839</v>
      </c>
      <c r="AX227" t="n">
        <v>1.639264</v>
      </c>
    </row>
    <row r="228">
      <c r="A228" s="92" t="n">
        <v>24777</v>
      </c>
      <c r="B228" t="n">
        <v>20.89507</v>
      </c>
      <c r="C228" t="n">
        <v>17.66481</v>
      </c>
      <c r="E228" t="n">
        <v>14.45878</v>
      </c>
      <c r="F228" t="n">
        <v>31.73009</v>
      </c>
      <c r="L228" t="n">
        <v>27.79133</v>
      </c>
      <c r="M228" t="n">
        <v>11.95798</v>
      </c>
      <c r="O228" t="n">
        <v>4.400565</v>
      </c>
      <c r="R228" t="n">
        <v>10.98124</v>
      </c>
      <c r="S228" t="n">
        <v>12.72448</v>
      </c>
      <c r="V228" t="n">
        <v>7.224105</v>
      </c>
      <c r="W228" t="n">
        <v>1.27482</v>
      </c>
      <c r="Z228" t="n">
        <v>2.971911</v>
      </c>
      <c r="AA228" t="n">
        <v>6.410408</v>
      </c>
      <c r="AB228" t="n">
        <v>0.07076538</v>
      </c>
      <c r="AD228" t="n">
        <v>5.247869</v>
      </c>
      <c r="AE228" t="n">
        <v>27.26289</v>
      </c>
      <c r="AF228" t="n">
        <v>3.546981</v>
      </c>
      <c r="AH228" t="n">
        <v>18.60037</v>
      </c>
      <c r="AK228" t="n">
        <v>20.13374</v>
      </c>
      <c r="AL228" t="n">
        <v>11.03739</v>
      </c>
      <c r="AP228" t="n">
        <v>1.456532</v>
      </c>
      <c r="AU228" t="n">
        <v>11.86492</v>
      </c>
      <c r="AV228" t="n">
        <v>5.6738e-05</v>
      </c>
      <c r="AW228" t="n">
        <v>14.26058</v>
      </c>
      <c r="AX228" t="n">
        <v>1.639264</v>
      </c>
    </row>
    <row r="229">
      <c r="A229" s="92" t="n">
        <v>24807</v>
      </c>
      <c r="B229" t="n">
        <v>20.93484</v>
      </c>
      <c r="C229" t="n">
        <v>17.68343</v>
      </c>
      <c r="E229" t="n">
        <v>14.53779</v>
      </c>
      <c r="F229" t="n">
        <v>31.82053</v>
      </c>
      <c r="L229" t="n">
        <v>27.79133</v>
      </c>
      <c r="M229" t="n">
        <v>11.97669</v>
      </c>
      <c r="O229" t="n">
        <v>4.400565</v>
      </c>
      <c r="R229" t="n">
        <v>11.08683</v>
      </c>
      <c r="S229" t="n">
        <v>12.73516</v>
      </c>
      <c r="V229" t="n">
        <v>7.272106</v>
      </c>
      <c r="W229" t="n">
        <v>1.27482</v>
      </c>
      <c r="Z229" t="n">
        <v>2.942775</v>
      </c>
      <c r="AB229" t="n">
        <v>0.07179595</v>
      </c>
      <c r="AD229" t="n">
        <v>5.247869</v>
      </c>
      <c r="AE229" t="n">
        <v>27.45797</v>
      </c>
      <c r="AF229" t="n">
        <v>3.544318</v>
      </c>
      <c r="AH229" t="n">
        <v>18.62646</v>
      </c>
      <c r="AK229" t="n">
        <v>20.13374</v>
      </c>
      <c r="AL229" t="n">
        <v>11.10907</v>
      </c>
      <c r="AP229" t="n">
        <v>1.463445</v>
      </c>
      <c r="AU229" t="n">
        <v>11.87442</v>
      </c>
      <c r="AV229" t="n">
        <v>5.69e-05</v>
      </c>
      <c r="AW229" t="n">
        <v>14.30277</v>
      </c>
      <c r="AX229" t="n">
        <v>1.639264</v>
      </c>
    </row>
    <row r="230">
      <c r="A230" s="92" t="n">
        <v>24838</v>
      </c>
      <c r="B230" t="n">
        <v>20.95472</v>
      </c>
      <c r="C230" t="n">
        <v>17.72238</v>
      </c>
      <c r="E230" t="n">
        <v>14.6168</v>
      </c>
      <c r="F230" t="n">
        <v>31.88112</v>
      </c>
      <c r="L230" t="n">
        <v>28.05229</v>
      </c>
      <c r="M230" t="n">
        <v>12.00476</v>
      </c>
      <c r="O230" t="n">
        <v>4.413081</v>
      </c>
      <c r="R230" t="n">
        <v>11.22409</v>
      </c>
      <c r="S230" t="n">
        <v>12.86326</v>
      </c>
      <c r="V230" t="n">
        <v>7.296107</v>
      </c>
      <c r="W230" t="n">
        <v>1.296427</v>
      </c>
      <c r="Y230" t="n">
        <v>0.5623475</v>
      </c>
      <c r="Z230" t="n">
        <v>3.026542</v>
      </c>
      <c r="AB230" t="n">
        <v>0.07435861000000001</v>
      </c>
      <c r="AD230" t="n">
        <v>5.257903</v>
      </c>
      <c r="AE230" t="n">
        <v>27.67744</v>
      </c>
      <c r="AF230" t="n">
        <v>3.612887</v>
      </c>
      <c r="AH230" t="n">
        <v>18.64558</v>
      </c>
      <c r="AK230" t="n">
        <v>20.23861</v>
      </c>
      <c r="AL230" t="n">
        <v>11.18074</v>
      </c>
      <c r="AP230" t="n">
        <v>1.46542</v>
      </c>
      <c r="AU230" t="n">
        <v>11.93031</v>
      </c>
      <c r="AV230" t="n">
        <v>5.7385e-05</v>
      </c>
      <c r="AW230" t="n">
        <v>14.38715</v>
      </c>
      <c r="AX230" t="n">
        <v>1.639264</v>
      </c>
    </row>
    <row r="231">
      <c r="A231" s="92" t="n">
        <v>24869</v>
      </c>
      <c r="B231" t="n">
        <v>21.01436</v>
      </c>
      <c r="C231" t="n">
        <v>17.73254</v>
      </c>
      <c r="E231" t="n">
        <v>14.6168</v>
      </c>
      <c r="F231" t="n">
        <v>31.94171</v>
      </c>
      <c r="L231" t="n">
        <v>28.11753</v>
      </c>
      <c r="M231" t="n">
        <v>12.03283</v>
      </c>
      <c r="O231" t="n">
        <v>4.413081</v>
      </c>
      <c r="R231" t="n">
        <v>11.27689</v>
      </c>
      <c r="S231" t="n">
        <v>12.87393</v>
      </c>
      <c r="V231" t="n">
        <v>7.332107</v>
      </c>
      <c r="W231" t="n">
        <v>1.27482</v>
      </c>
      <c r="Y231" t="n">
        <v>0.6185822</v>
      </c>
      <c r="Z231" t="n">
        <v>2.982838</v>
      </c>
      <c r="AA231" t="n">
        <v>6.543352</v>
      </c>
      <c r="AB231" t="n">
        <v>0.07510219999999999</v>
      </c>
      <c r="AD231" t="n">
        <v>5.257903</v>
      </c>
      <c r="AE231" t="n">
        <v>27.79937</v>
      </c>
      <c r="AF231" t="n">
        <v>3.670805</v>
      </c>
      <c r="AH231" t="n">
        <v>18.74296</v>
      </c>
      <c r="AK231" t="n">
        <v>20.36095</v>
      </c>
      <c r="AL231" t="n">
        <v>11.18074</v>
      </c>
      <c r="AP231" t="n">
        <v>1.470357</v>
      </c>
      <c r="AU231" t="n">
        <v>11.97558</v>
      </c>
      <c r="AV231" t="n">
        <v>5.7512e-05</v>
      </c>
      <c r="AW231" t="n">
        <v>14.42935</v>
      </c>
      <c r="AX231" t="n">
        <v>1.64378</v>
      </c>
    </row>
    <row r="232">
      <c r="A232" s="92" t="n">
        <v>24898</v>
      </c>
      <c r="B232" t="n">
        <v>21.09389</v>
      </c>
      <c r="C232" t="n">
        <v>17.74947</v>
      </c>
      <c r="E232" t="n">
        <v>14.69581</v>
      </c>
      <c r="F232" t="n">
        <v>31.82053</v>
      </c>
      <c r="L232" t="n">
        <v>28.11753</v>
      </c>
      <c r="M232" t="n">
        <v>12.09833</v>
      </c>
      <c r="O232" t="n">
        <v>4.458245</v>
      </c>
      <c r="R232" t="n">
        <v>11.43527</v>
      </c>
      <c r="S232" t="n">
        <v>12.88461</v>
      </c>
      <c r="V232" t="n">
        <v>7.356108</v>
      </c>
      <c r="W232" t="n">
        <v>1.296427</v>
      </c>
      <c r="Y232" t="n">
        <v>0.6373271</v>
      </c>
      <c r="Z232" t="n">
        <v>2.928207</v>
      </c>
      <c r="AB232" t="n">
        <v>0.07658938</v>
      </c>
      <c r="AD232" t="n">
        <v>5.26292</v>
      </c>
      <c r="AE232" t="n">
        <v>27.84814</v>
      </c>
      <c r="AF232" t="n">
        <v>3.706754</v>
      </c>
      <c r="AH232" t="n">
        <v>18.76208</v>
      </c>
      <c r="AK232" t="n">
        <v>20.44833</v>
      </c>
      <c r="AL232" t="n">
        <v>11.18074</v>
      </c>
      <c r="AP232" t="n">
        <v>1.476282</v>
      </c>
      <c r="AU232" t="n">
        <v>11.99066</v>
      </c>
      <c r="AV232" t="n">
        <v>5.7173e-05</v>
      </c>
      <c r="AW232" t="n">
        <v>14.47154</v>
      </c>
      <c r="AX232" t="n">
        <v>1.648296</v>
      </c>
    </row>
    <row r="233">
      <c r="A233" s="92" t="n">
        <v>24929</v>
      </c>
      <c r="B233" t="n">
        <v>21.09389</v>
      </c>
      <c r="C233" t="n">
        <v>17.78672</v>
      </c>
      <c r="E233" t="n">
        <v>14.69581</v>
      </c>
      <c r="F233" t="n">
        <v>31.79068</v>
      </c>
      <c r="L233" t="n">
        <v>28.11753</v>
      </c>
      <c r="M233" t="n">
        <v>12.32289</v>
      </c>
      <c r="O233" t="n">
        <v>4.497424</v>
      </c>
      <c r="R233" t="n">
        <v>11.48806</v>
      </c>
      <c r="S233" t="n">
        <v>12.91663</v>
      </c>
      <c r="V233" t="n">
        <v>7.48811</v>
      </c>
      <c r="W233" t="n">
        <v>1.296427</v>
      </c>
      <c r="Y233" t="n">
        <v>0.5998373</v>
      </c>
      <c r="Z233" t="n">
        <v>2.942775</v>
      </c>
      <c r="AB233" t="n">
        <v>0.07658938</v>
      </c>
      <c r="AD233" t="n">
        <v>5.272954</v>
      </c>
      <c r="AE233" t="n">
        <v>27.9213</v>
      </c>
      <c r="AF233" t="n">
        <v>3.704092</v>
      </c>
      <c r="AH233" t="n">
        <v>18.80208</v>
      </c>
      <c r="AK233" t="n">
        <v>20.53572</v>
      </c>
      <c r="AL233" t="n">
        <v>11.25241</v>
      </c>
      <c r="AP233" t="n">
        <v>1.46937</v>
      </c>
      <c r="AU233" t="n">
        <v>11.99905</v>
      </c>
      <c r="AV233" t="n">
        <v>5.7385e-05</v>
      </c>
      <c r="AW233" t="n">
        <v>14.51373</v>
      </c>
      <c r="AX233" t="n">
        <v>1.652812</v>
      </c>
    </row>
    <row r="234">
      <c r="A234" s="92" t="n">
        <v>24959</v>
      </c>
      <c r="B234" t="n">
        <v>21.03424</v>
      </c>
      <c r="C234" t="n">
        <v>17.80534</v>
      </c>
      <c r="E234" t="n">
        <v>14.69581</v>
      </c>
      <c r="F234" t="n">
        <v>31.88112</v>
      </c>
      <c r="L234" t="n">
        <v>28.11753</v>
      </c>
      <c r="M234" t="n">
        <v>12.41646</v>
      </c>
      <c r="O234" t="n">
        <v>4.482732</v>
      </c>
      <c r="R234" t="n">
        <v>11.49862</v>
      </c>
      <c r="S234" t="n">
        <v>12.95933</v>
      </c>
      <c r="V234" t="n">
        <v>7.49411</v>
      </c>
      <c r="W234" t="n">
        <v>1.296427</v>
      </c>
      <c r="Y234" t="n">
        <v>0.6310788000000001</v>
      </c>
      <c r="Z234" t="n">
        <v>2.917281</v>
      </c>
      <c r="AA234" t="n">
        <v>6.647214</v>
      </c>
      <c r="AB234" t="n">
        <v>0.07658938</v>
      </c>
      <c r="AD234" t="n">
        <v>5.277971</v>
      </c>
      <c r="AE234" t="n">
        <v>27.9213</v>
      </c>
      <c r="AF234" t="n">
        <v>3.71208</v>
      </c>
      <c r="AH234" t="n">
        <v>18.78469</v>
      </c>
      <c r="AK234" t="n">
        <v>20.5532</v>
      </c>
      <c r="AL234" t="n">
        <v>11.18074</v>
      </c>
      <c r="AP234" t="n">
        <v>1.46147</v>
      </c>
      <c r="AU234" t="n">
        <v>11.98619</v>
      </c>
      <c r="AV234" t="n">
        <v>5.7555e-05</v>
      </c>
      <c r="AW234" t="n">
        <v>14.55592</v>
      </c>
      <c r="AX234" t="n">
        <v>1.652812</v>
      </c>
    </row>
    <row r="235">
      <c r="A235" s="92" t="n">
        <v>24990</v>
      </c>
      <c r="B235" t="n">
        <v>21.17341</v>
      </c>
      <c r="C235" t="n">
        <v>17.86968</v>
      </c>
      <c r="E235" t="n">
        <v>14.77482</v>
      </c>
      <c r="F235" t="n">
        <v>31.91097</v>
      </c>
      <c r="L235" t="n">
        <v>28.11753</v>
      </c>
      <c r="M235" t="n">
        <v>12.45389</v>
      </c>
      <c r="O235" t="n">
        <v>4.495248</v>
      </c>
      <c r="R235" t="n">
        <v>11.57254</v>
      </c>
      <c r="S235" t="n">
        <v>13.00203</v>
      </c>
      <c r="V235" t="n">
        <v>7.52411</v>
      </c>
      <c r="W235" t="n">
        <v>1.296427</v>
      </c>
      <c r="Y235" t="n">
        <v>0.6498237</v>
      </c>
      <c r="Z235" t="n">
        <v>2.942775</v>
      </c>
      <c r="AB235" t="n">
        <v>0.07733296000000001</v>
      </c>
      <c r="AD235" t="n">
        <v>5.272954</v>
      </c>
      <c r="AE235" t="n">
        <v>27.67744</v>
      </c>
      <c r="AF235" t="n">
        <v>3.72606</v>
      </c>
      <c r="AH235" t="n">
        <v>18.80208</v>
      </c>
      <c r="AK235" t="n">
        <v>20.58815</v>
      </c>
      <c r="AL235" t="n">
        <v>11.25241</v>
      </c>
      <c r="AP235" t="n">
        <v>1.451595</v>
      </c>
      <c r="AU235" t="n">
        <v>11.99066</v>
      </c>
      <c r="AV235" t="n">
        <v>5.798e-05</v>
      </c>
      <c r="AW235" t="n">
        <v>14.6403</v>
      </c>
      <c r="AX235" t="n">
        <v>1.657327</v>
      </c>
    </row>
    <row r="236">
      <c r="A236" s="92" t="n">
        <v>25020</v>
      </c>
      <c r="B236" t="n">
        <v>21.23305</v>
      </c>
      <c r="C236" t="n">
        <v>17.90355</v>
      </c>
      <c r="E236" t="n">
        <v>14.93284</v>
      </c>
      <c r="F236" t="n">
        <v>31.88112</v>
      </c>
      <c r="L236" t="n">
        <v>28.11753</v>
      </c>
      <c r="M236" t="n">
        <v>12.44453</v>
      </c>
      <c r="O236" t="n">
        <v>4.458245</v>
      </c>
      <c r="R236" t="n">
        <v>11.60421</v>
      </c>
      <c r="S236" t="n">
        <v>13.04473</v>
      </c>
      <c r="V236" t="n">
        <v>7.53011</v>
      </c>
      <c r="W236" t="n">
        <v>1.296427</v>
      </c>
      <c r="Y236" t="n">
        <v>0.6810653</v>
      </c>
      <c r="Z236" t="n">
        <v>2.928207</v>
      </c>
      <c r="AB236" t="n">
        <v>0.07733296000000001</v>
      </c>
      <c r="AD236" t="n">
        <v>5.26292</v>
      </c>
      <c r="AE236" t="n">
        <v>27.67744</v>
      </c>
      <c r="AF236" t="n">
        <v>3.723397</v>
      </c>
      <c r="AH236" t="n">
        <v>18.83685</v>
      </c>
      <c r="AK236" t="n">
        <v>20.51824</v>
      </c>
      <c r="AL236" t="n">
        <v>11.32408</v>
      </c>
      <c r="AP236" t="n">
        <v>1.45357</v>
      </c>
      <c r="AU236" t="n">
        <v>12.05493</v>
      </c>
      <c r="AV236" t="n">
        <v>5.8447e-05</v>
      </c>
      <c r="AW236" t="n">
        <v>14.72468</v>
      </c>
      <c r="AX236" t="n">
        <v>1.666359</v>
      </c>
    </row>
    <row r="237">
      <c r="A237" s="92" t="n">
        <v>25051</v>
      </c>
      <c r="B237" t="n">
        <v>21.33246</v>
      </c>
      <c r="C237" t="n">
        <v>17.92048</v>
      </c>
      <c r="E237" t="n">
        <v>15.01185</v>
      </c>
      <c r="F237" t="n">
        <v>31.97156</v>
      </c>
      <c r="L237" t="n">
        <v>28.05229</v>
      </c>
      <c r="M237" t="n">
        <v>12.42582</v>
      </c>
      <c r="O237" t="n">
        <v>4.460966</v>
      </c>
      <c r="R237" t="n">
        <v>11.61477</v>
      </c>
      <c r="S237" t="n">
        <v>13.10878</v>
      </c>
      <c r="V237" t="n">
        <v>7.54211</v>
      </c>
      <c r="W237" t="n">
        <v>1.296427</v>
      </c>
      <c r="Y237" t="n">
        <v>0.6998101</v>
      </c>
      <c r="Z237" t="n">
        <v>2.993764</v>
      </c>
      <c r="AA237" t="n">
        <v>6.659678</v>
      </c>
      <c r="AB237" t="n">
        <v>0.07807654</v>
      </c>
      <c r="AD237" t="n">
        <v>5.26292</v>
      </c>
      <c r="AE237" t="n">
        <v>27.9213</v>
      </c>
      <c r="AF237" t="n">
        <v>3.748029</v>
      </c>
      <c r="AH237" t="n">
        <v>18.83512</v>
      </c>
      <c r="AK237" t="n">
        <v>20.71049</v>
      </c>
      <c r="AL237" t="n">
        <v>11.32408</v>
      </c>
      <c r="AP237" t="n">
        <v>1.466407</v>
      </c>
      <c r="AU237" t="n">
        <v>12.04208</v>
      </c>
      <c r="AV237" t="n">
        <v>5.8787e-05</v>
      </c>
      <c r="AW237" t="n">
        <v>14.76687</v>
      </c>
      <c r="AX237" t="n">
        <v>1.666359</v>
      </c>
    </row>
    <row r="238">
      <c r="A238" s="92" t="n">
        <v>25082</v>
      </c>
      <c r="B238" t="n">
        <v>21.35234</v>
      </c>
      <c r="C238" t="n">
        <v>17.99159</v>
      </c>
      <c r="E238" t="n">
        <v>15.01185</v>
      </c>
      <c r="F238" t="n">
        <v>32.00142</v>
      </c>
      <c r="L238" t="n">
        <v>28.05229</v>
      </c>
      <c r="M238" t="n">
        <v>12.44453</v>
      </c>
      <c r="O238" t="n">
        <v>4.453892</v>
      </c>
      <c r="R238" t="n">
        <v>11.62533</v>
      </c>
      <c r="S238" t="n">
        <v>13.19418</v>
      </c>
      <c r="V238" t="n">
        <v>7.54811</v>
      </c>
      <c r="W238" t="n">
        <v>1.296427</v>
      </c>
      <c r="Y238" t="n">
        <v>0.6998101</v>
      </c>
      <c r="Z238" t="n">
        <v>3.011974</v>
      </c>
      <c r="AB238" t="n">
        <v>0.07807654</v>
      </c>
      <c r="AD238" t="n">
        <v>5.267937</v>
      </c>
      <c r="AE238" t="n">
        <v>28.55532</v>
      </c>
      <c r="AF238" t="n">
        <v>3.767335</v>
      </c>
      <c r="AH238" t="n">
        <v>18.86642</v>
      </c>
      <c r="AK238" t="n">
        <v>20.7804</v>
      </c>
      <c r="AL238" t="n">
        <v>11.32408</v>
      </c>
      <c r="AP238" t="n">
        <v>1.487144</v>
      </c>
      <c r="AU238" t="n">
        <v>12.06108</v>
      </c>
      <c r="AV238" t="n">
        <v>5.8787e-05</v>
      </c>
      <c r="AW238" t="n">
        <v>14.80906</v>
      </c>
      <c r="AX238" t="n">
        <v>1.675391</v>
      </c>
    </row>
    <row r="239">
      <c r="A239" s="92" t="n">
        <v>25112</v>
      </c>
      <c r="B239" t="n">
        <v>21.53127</v>
      </c>
      <c r="C239" t="n">
        <v>18.06101</v>
      </c>
      <c r="E239" t="n">
        <v>15.01185</v>
      </c>
      <c r="F239" t="n">
        <v>32.12171</v>
      </c>
      <c r="L239" t="n">
        <v>28.11753</v>
      </c>
      <c r="M239" t="n">
        <v>12.45389</v>
      </c>
      <c r="O239" t="n">
        <v>4.46804</v>
      </c>
      <c r="R239" t="n">
        <v>11.67813</v>
      </c>
      <c r="S239" t="n">
        <v>13.33295</v>
      </c>
      <c r="V239" t="n">
        <v>7.584111</v>
      </c>
      <c r="W239" t="n">
        <v>1.296427</v>
      </c>
      <c r="Y239" t="n">
        <v>0.6935619</v>
      </c>
      <c r="Z239" t="n">
        <v>3.026542</v>
      </c>
      <c r="AB239" t="n">
        <v>0.0803073</v>
      </c>
      <c r="AD239" t="n">
        <v>5.272954</v>
      </c>
      <c r="AE239" t="n">
        <v>28.5797</v>
      </c>
      <c r="AF239" t="n">
        <v>3.869191</v>
      </c>
      <c r="AH239" t="n">
        <v>18.95336</v>
      </c>
      <c r="AK239" t="n">
        <v>20.88526</v>
      </c>
      <c r="AL239" t="n">
        <v>11.39575</v>
      </c>
      <c r="AP239" t="n">
        <v>1.493069</v>
      </c>
      <c r="AU239" t="n">
        <v>12.09293</v>
      </c>
      <c r="AV239" t="n">
        <v>5.9594e-05</v>
      </c>
      <c r="AW239" t="n">
        <v>14.89345</v>
      </c>
      <c r="AX239" t="n">
        <v>1.675391</v>
      </c>
    </row>
    <row r="240">
      <c r="A240" s="92" t="n">
        <v>25143</v>
      </c>
      <c r="B240" t="n">
        <v>21.55115</v>
      </c>
      <c r="C240" t="n">
        <v>18.0644</v>
      </c>
      <c r="E240" t="n">
        <v>15.16987</v>
      </c>
      <c r="F240" t="n">
        <v>32.42377</v>
      </c>
      <c r="L240" t="n">
        <v>28.31324</v>
      </c>
      <c r="M240" t="n">
        <v>12.49131</v>
      </c>
      <c r="O240" t="n">
        <v>4.497424</v>
      </c>
      <c r="R240" t="n">
        <v>11.66757</v>
      </c>
      <c r="S240" t="n">
        <v>13.37565</v>
      </c>
      <c r="V240" t="n">
        <v>7.602111</v>
      </c>
      <c r="W240" t="n">
        <v>1.296427</v>
      </c>
      <c r="Y240" t="n">
        <v>0.8497695</v>
      </c>
      <c r="Z240" t="n">
        <v>2.960985</v>
      </c>
      <c r="AA240" t="n">
        <v>6.759386</v>
      </c>
      <c r="AB240" t="n">
        <v>0.08105089</v>
      </c>
      <c r="AD240" t="n">
        <v>5.282988</v>
      </c>
      <c r="AE240" t="n">
        <v>28.65286</v>
      </c>
      <c r="AF240" t="n">
        <v>3.95973</v>
      </c>
      <c r="AH240" t="n">
        <v>18.98118</v>
      </c>
      <c r="AK240" t="n">
        <v>20.90274</v>
      </c>
      <c r="AL240" t="n">
        <v>11.39575</v>
      </c>
      <c r="AP240" t="n">
        <v>1.525656</v>
      </c>
      <c r="AU240" t="n">
        <v>12.0432</v>
      </c>
      <c r="AV240" t="n">
        <v>5.9764e-05</v>
      </c>
      <c r="AW240" t="n">
        <v>14.93564</v>
      </c>
      <c r="AX240" t="n">
        <v>1.679907</v>
      </c>
    </row>
    <row r="241">
      <c r="A241" s="92" t="n">
        <v>25173</v>
      </c>
      <c r="B241" t="n">
        <v>21.57103</v>
      </c>
      <c r="C241" t="n">
        <v>18.12874</v>
      </c>
      <c r="E241" t="n">
        <v>15.16987</v>
      </c>
      <c r="F241" t="n">
        <v>32.51421</v>
      </c>
      <c r="L241" t="n">
        <v>28.37848</v>
      </c>
      <c r="M241" t="n">
        <v>12.49131</v>
      </c>
      <c r="O241" t="n">
        <v>4.527353</v>
      </c>
      <c r="R241" t="n">
        <v>11.66757</v>
      </c>
      <c r="S241" t="n">
        <v>13.40767</v>
      </c>
      <c r="V241" t="n">
        <v>7.704113</v>
      </c>
      <c r="W241" t="n">
        <v>1.318034</v>
      </c>
      <c r="Y241" t="n">
        <v>0.7497966</v>
      </c>
      <c r="Z241" t="n">
        <v>2.877218</v>
      </c>
      <c r="AB241" t="n">
        <v>0.08476881999999999</v>
      </c>
      <c r="AD241" t="n">
        <v>5.298039</v>
      </c>
      <c r="AE241" t="n">
        <v>28.53093</v>
      </c>
      <c r="AF241" t="n">
        <v>3.935098</v>
      </c>
      <c r="AH241" t="n">
        <v>19.05421</v>
      </c>
      <c r="AK241" t="n">
        <v>20.97265</v>
      </c>
      <c r="AL241" t="n">
        <v>11.46742</v>
      </c>
      <c r="AP241" t="n">
        <v>1.521706</v>
      </c>
      <c r="AU241" t="n">
        <v>12.11305</v>
      </c>
      <c r="AV241" t="n">
        <v>6.0061e-05</v>
      </c>
      <c r="AW241" t="n">
        <v>14.97783</v>
      </c>
      <c r="AX241" t="n">
        <v>1.684423</v>
      </c>
    </row>
    <row r="242">
      <c r="A242" s="92" t="n">
        <v>25204</v>
      </c>
      <c r="B242" t="n">
        <v>21.65056</v>
      </c>
      <c r="C242" t="n">
        <v>18.20831</v>
      </c>
      <c r="E242" t="n">
        <v>15.16987</v>
      </c>
      <c r="F242" t="n">
        <v>32.60465</v>
      </c>
      <c r="L242" t="n">
        <v>28.44371</v>
      </c>
      <c r="M242" t="n">
        <v>12.51938</v>
      </c>
      <c r="O242" t="n">
        <v>4.517014</v>
      </c>
      <c r="R242" t="n">
        <v>11.7098</v>
      </c>
      <c r="S242" t="n">
        <v>13.55712</v>
      </c>
      <c r="V242" t="n">
        <v>7.746113</v>
      </c>
      <c r="W242" t="n">
        <v>1.318034</v>
      </c>
      <c r="Y242" t="n">
        <v>0.7622932</v>
      </c>
      <c r="Z242" t="n">
        <v>2.859008</v>
      </c>
      <c r="AB242" t="n">
        <v>0.08848675</v>
      </c>
      <c r="AD242" t="n">
        <v>5.313091</v>
      </c>
      <c r="AE242" t="n">
        <v>28.62847</v>
      </c>
      <c r="AF242" t="n">
        <v>4.036954</v>
      </c>
      <c r="AH242" t="n">
        <v>19.09073</v>
      </c>
      <c r="AJ242" t="n">
        <v>0.01322788</v>
      </c>
      <c r="AK242" t="n">
        <v>21.70669</v>
      </c>
      <c r="AL242" t="n">
        <v>11.46742</v>
      </c>
      <c r="AP242" t="n">
        <v>1.531581</v>
      </c>
      <c r="AU242" t="n">
        <v>12.16279</v>
      </c>
      <c r="AV242" t="n">
        <v>6.0231e-05</v>
      </c>
      <c r="AW242" t="n">
        <v>15.02002</v>
      </c>
      <c r="AX242" t="n">
        <v>1.688939</v>
      </c>
    </row>
    <row r="243">
      <c r="A243" s="92" t="n">
        <v>25235</v>
      </c>
      <c r="B243" t="n">
        <v>21.65056</v>
      </c>
      <c r="C243" t="n">
        <v>18.2862</v>
      </c>
      <c r="E243" t="n">
        <v>15.16987</v>
      </c>
      <c r="F243" t="n">
        <v>32.66524</v>
      </c>
      <c r="L243" t="n">
        <v>28.57419</v>
      </c>
      <c r="M243" t="n">
        <v>12.54745</v>
      </c>
      <c r="O243" t="n">
        <v>4.489806</v>
      </c>
      <c r="R243" t="n">
        <v>11.7098</v>
      </c>
      <c r="S243" t="n">
        <v>13.59982</v>
      </c>
      <c r="V243" t="n">
        <v>7.788114</v>
      </c>
      <c r="W243" t="n">
        <v>1.318034</v>
      </c>
      <c r="Y243" t="n">
        <v>0.7747898</v>
      </c>
      <c r="Z243" t="n">
        <v>2.84444</v>
      </c>
      <c r="AA243" t="n">
        <v>6.983729</v>
      </c>
      <c r="AB243" t="n">
        <v>0.08997392</v>
      </c>
      <c r="AD243" t="n">
        <v>5.323125</v>
      </c>
      <c r="AE243" t="n">
        <v>28.62847</v>
      </c>
      <c r="AF243" t="n">
        <v>4.061586</v>
      </c>
      <c r="AH243" t="n">
        <v>19.10985</v>
      </c>
      <c r="AJ243" t="n">
        <v>0.01327536</v>
      </c>
      <c r="AK243" t="n">
        <v>21.89894</v>
      </c>
      <c r="AL243" t="n">
        <v>11.46742</v>
      </c>
      <c r="AP243" t="n">
        <v>1.579967</v>
      </c>
      <c r="AU243" t="n">
        <v>12.198</v>
      </c>
      <c r="AV243" t="n">
        <v>6.0401e-05</v>
      </c>
      <c r="AW243" t="n">
        <v>15.1044</v>
      </c>
      <c r="AX243" t="n">
        <v>1.688939</v>
      </c>
    </row>
    <row r="244">
      <c r="A244" s="92" t="n">
        <v>25263</v>
      </c>
      <c r="B244" t="n">
        <v>21.65056</v>
      </c>
      <c r="C244" t="n">
        <v>18.38441</v>
      </c>
      <c r="E244" t="n">
        <v>15.24888</v>
      </c>
      <c r="F244" t="n">
        <v>32.60465</v>
      </c>
      <c r="L244" t="n">
        <v>28.63943</v>
      </c>
      <c r="M244" t="n">
        <v>12.56617</v>
      </c>
      <c r="O244" t="n">
        <v>4.517014</v>
      </c>
      <c r="R244" t="n">
        <v>11.65701</v>
      </c>
      <c r="S244" t="n">
        <v>13.66387</v>
      </c>
      <c r="V244" t="n">
        <v>7.818114</v>
      </c>
      <c r="W244" t="n">
        <v>1.318034</v>
      </c>
      <c r="Y244" t="n">
        <v>0.7935348</v>
      </c>
      <c r="Z244" t="n">
        <v>2.859008</v>
      </c>
      <c r="AB244" t="n">
        <v>0.09071751</v>
      </c>
      <c r="AD244" t="n">
        <v>5.343193</v>
      </c>
      <c r="AE244" t="n">
        <v>28.9211</v>
      </c>
      <c r="AF244" t="n">
        <v>4.092209</v>
      </c>
      <c r="AH244" t="n">
        <v>19.14637</v>
      </c>
      <c r="AJ244" t="n">
        <v>0.01328846</v>
      </c>
      <c r="AK244" t="n">
        <v>22.05624</v>
      </c>
      <c r="AL244" t="n">
        <v>11.46742</v>
      </c>
      <c r="AP244" t="n">
        <v>1.597742</v>
      </c>
      <c r="AU244" t="n">
        <v>12.22315</v>
      </c>
      <c r="AV244" t="n">
        <v>6.0401e-05</v>
      </c>
      <c r="AW244" t="n">
        <v>15.23098</v>
      </c>
      <c r="AX244" t="n">
        <v>1.702486</v>
      </c>
    </row>
    <row r="245">
      <c r="A245" s="92" t="n">
        <v>25294</v>
      </c>
      <c r="B245" t="n">
        <v>21.73008</v>
      </c>
      <c r="C245" t="n">
        <v>18.43351</v>
      </c>
      <c r="E245" t="n">
        <v>15.48591</v>
      </c>
      <c r="F245" t="n">
        <v>32.54494</v>
      </c>
      <c r="L245" t="n">
        <v>28.63943</v>
      </c>
      <c r="M245" t="n">
        <v>12.60359</v>
      </c>
      <c r="O245" t="n">
        <v>4.570341</v>
      </c>
      <c r="R245" t="n">
        <v>11.75204</v>
      </c>
      <c r="S245" t="n">
        <v>13.72792</v>
      </c>
      <c r="V245" t="n">
        <v>7.902115</v>
      </c>
      <c r="W245" t="n">
        <v>1.339641</v>
      </c>
      <c r="Y245" t="n">
        <v>0.7560449</v>
      </c>
      <c r="Z245" t="n">
        <v>2.877218</v>
      </c>
      <c r="AB245" t="n">
        <v>0.09146108999999999</v>
      </c>
      <c r="AD245" t="n">
        <v>5.363261</v>
      </c>
      <c r="AE245" t="n">
        <v>29.21372</v>
      </c>
      <c r="AF245" t="n">
        <v>4.114178</v>
      </c>
      <c r="AH245" t="n">
        <v>19.18984</v>
      </c>
      <c r="AJ245" t="n">
        <v>0.01332448</v>
      </c>
      <c r="AK245" t="n">
        <v>22.24849</v>
      </c>
      <c r="AL245" t="n">
        <v>11.53909</v>
      </c>
      <c r="AP245" t="n">
        <v>1.587867</v>
      </c>
      <c r="AU245" t="n">
        <v>12.28629</v>
      </c>
      <c r="AV245" t="n">
        <v>6.0571e-05</v>
      </c>
      <c r="AW245" t="n">
        <v>15.31536</v>
      </c>
      <c r="AX245" t="n">
        <v>1.707002</v>
      </c>
    </row>
    <row r="246">
      <c r="A246" s="92" t="n">
        <v>25324</v>
      </c>
      <c r="B246" t="n">
        <v>21.73008</v>
      </c>
      <c r="C246" t="n">
        <v>18.48938</v>
      </c>
      <c r="E246" t="n">
        <v>15.48591</v>
      </c>
      <c r="F246" t="n">
        <v>32.69509</v>
      </c>
      <c r="L246" t="n">
        <v>28.70467</v>
      </c>
      <c r="M246" t="n">
        <v>12.68781</v>
      </c>
      <c r="O246" t="n">
        <v>4.570341</v>
      </c>
      <c r="R246" t="n">
        <v>11.7626</v>
      </c>
      <c r="S246" t="n">
        <v>13.79197</v>
      </c>
      <c r="V246" t="n">
        <v>7.890115</v>
      </c>
      <c r="W246" t="n">
        <v>1.339641</v>
      </c>
      <c r="Y246" t="n">
        <v>0.7560449</v>
      </c>
      <c r="Z246" t="n">
        <v>2.909997</v>
      </c>
      <c r="AA246" t="n">
        <v>7.105421</v>
      </c>
      <c r="AB246" t="n">
        <v>0.09294827</v>
      </c>
      <c r="AD246" t="n">
        <v>5.378313</v>
      </c>
      <c r="AE246" t="n">
        <v>29.23811</v>
      </c>
      <c r="AF246" t="n">
        <v>4.141473</v>
      </c>
      <c r="AH246" t="n">
        <v>19.2733</v>
      </c>
      <c r="AJ246" t="n">
        <v>0.01332448</v>
      </c>
      <c r="AK246" t="n">
        <v>22.21353</v>
      </c>
      <c r="AL246" t="n">
        <v>11.53909</v>
      </c>
      <c r="AP246" t="n">
        <v>1.607617</v>
      </c>
      <c r="AU246" t="n">
        <v>12.26897</v>
      </c>
      <c r="AV246" t="n">
        <v>6.103799999999999e-05</v>
      </c>
      <c r="AW246" t="n">
        <v>15.35755</v>
      </c>
      <c r="AX246" t="n">
        <v>1.711518</v>
      </c>
    </row>
    <row r="247">
      <c r="A247" s="92" t="n">
        <v>25355</v>
      </c>
      <c r="B247" t="n">
        <v>21.86925</v>
      </c>
      <c r="C247" t="n">
        <v>18.53848</v>
      </c>
      <c r="E247" t="n">
        <v>15.56492</v>
      </c>
      <c r="F247" t="n">
        <v>32.84612</v>
      </c>
      <c r="L247" t="n">
        <v>28.70467</v>
      </c>
      <c r="M247" t="n">
        <v>12.76266</v>
      </c>
      <c r="O247" t="n">
        <v>4.517014</v>
      </c>
      <c r="R247" t="n">
        <v>11.78371</v>
      </c>
      <c r="S247" t="n">
        <v>13.83467</v>
      </c>
      <c r="V247" t="n">
        <v>7.926116</v>
      </c>
      <c r="W247" t="n">
        <v>1.339641</v>
      </c>
      <c r="Y247" t="n">
        <v>0.7435483000000001</v>
      </c>
      <c r="Z247" t="n">
        <v>2.993764</v>
      </c>
      <c r="AB247" t="n">
        <v>0.09517903</v>
      </c>
      <c r="AD247" t="n">
        <v>5.398381</v>
      </c>
      <c r="AE247" t="n">
        <v>29.28688</v>
      </c>
      <c r="AF247" t="n">
        <v>4.155453</v>
      </c>
      <c r="AH247" t="n">
        <v>19.2507</v>
      </c>
      <c r="AJ247" t="n">
        <v>0.01337196</v>
      </c>
      <c r="AK247" t="n">
        <v>22.21353</v>
      </c>
      <c r="AL247" t="n">
        <v>11.61076</v>
      </c>
      <c r="AP247" t="n">
        <v>1.57898</v>
      </c>
      <c r="AU247" t="n">
        <v>12.29356</v>
      </c>
      <c r="AV247" t="n">
        <v>6.103799999999999e-05</v>
      </c>
      <c r="AW247" t="n">
        <v>15.44193</v>
      </c>
      <c r="AX247" t="n">
        <v>1.711518</v>
      </c>
    </row>
    <row r="248">
      <c r="A248" s="92" t="n">
        <v>25385</v>
      </c>
      <c r="B248" t="n">
        <v>22.00842</v>
      </c>
      <c r="C248" t="n">
        <v>18.60621</v>
      </c>
      <c r="E248" t="n">
        <v>15.64393</v>
      </c>
      <c r="F248" t="n">
        <v>32.84612</v>
      </c>
      <c r="L248" t="n">
        <v>28.70467</v>
      </c>
      <c r="M248" t="n">
        <v>12.76266</v>
      </c>
      <c r="O248" t="n">
        <v>4.552383</v>
      </c>
      <c r="R248" t="n">
        <v>11.80483</v>
      </c>
      <c r="S248" t="n">
        <v>13.89872</v>
      </c>
      <c r="V248" t="n">
        <v>7.926116</v>
      </c>
      <c r="W248" t="n">
        <v>1.339641</v>
      </c>
      <c r="Y248" t="n">
        <v>0.7560449</v>
      </c>
      <c r="Z248" t="n">
        <v>3.011974</v>
      </c>
      <c r="AB248" t="n">
        <v>0.09666619</v>
      </c>
      <c r="AD248" t="n">
        <v>5.428483</v>
      </c>
      <c r="AE248" t="n">
        <v>29.65266</v>
      </c>
      <c r="AF248" t="n">
        <v>4.155453</v>
      </c>
      <c r="AH248" t="n">
        <v>19.30286</v>
      </c>
      <c r="AJ248" t="n">
        <v>0.01342272</v>
      </c>
      <c r="AK248" t="n">
        <v>22.02128</v>
      </c>
      <c r="AL248" t="n">
        <v>11.68244</v>
      </c>
      <c r="AP248" t="n">
        <v>1.587867</v>
      </c>
      <c r="AU248" t="n">
        <v>12.35671</v>
      </c>
      <c r="AV248" t="n">
        <v>6.0868e-05</v>
      </c>
      <c r="AW248" t="n">
        <v>15.52631</v>
      </c>
      <c r="AX248" t="n">
        <v>1.716034</v>
      </c>
    </row>
    <row r="249">
      <c r="A249" s="92" t="n">
        <v>25416</v>
      </c>
      <c r="B249" t="n">
        <v>21.98854</v>
      </c>
      <c r="C249" t="n">
        <v>18.6333</v>
      </c>
      <c r="E249" t="n">
        <v>15.72294</v>
      </c>
      <c r="F249" t="n">
        <v>32.78641</v>
      </c>
      <c r="L249" t="n">
        <v>28.63943</v>
      </c>
      <c r="M249" t="n">
        <v>12.82816</v>
      </c>
      <c r="O249" t="n">
        <v>4.566532</v>
      </c>
      <c r="R249" t="n">
        <v>11.81539</v>
      </c>
      <c r="S249" t="n">
        <v>13.93075</v>
      </c>
      <c r="V249" t="n">
        <v>7.908115</v>
      </c>
      <c r="W249" t="n">
        <v>1.318034</v>
      </c>
      <c r="Y249" t="n">
        <v>0.7810381</v>
      </c>
      <c r="Z249" t="n">
        <v>3.011974</v>
      </c>
      <c r="AA249" t="n">
        <v>7.220352</v>
      </c>
      <c r="AB249" t="n">
        <v>0.09740978</v>
      </c>
      <c r="AD249" t="n">
        <v>5.443535</v>
      </c>
      <c r="AE249" t="n">
        <v>29.9209</v>
      </c>
      <c r="AF249" t="n">
        <v>4.177422</v>
      </c>
      <c r="AH249" t="n">
        <v>19.27852</v>
      </c>
      <c r="AJ249" t="n">
        <v>0.01343746</v>
      </c>
      <c r="AK249" t="n">
        <v>22.14362</v>
      </c>
      <c r="AL249" t="n">
        <v>11.68244</v>
      </c>
      <c r="AP249" t="n">
        <v>1.58688</v>
      </c>
      <c r="AU249" t="n">
        <v>12.41483</v>
      </c>
      <c r="AV249" t="n">
        <v>6.1208e-05</v>
      </c>
      <c r="AW249" t="n">
        <v>15.61069</v>
      </c>
      <c r="AX249" t="n">
        <v>1.716034</v>
      </c>
    </row>
    <row r="250">
      <c r="A250" s="92" t="n">
        <v>25447</v>
      </c>
      <c r="B250" t="n">
        <v>21.98854</v>
      </c>
      <c r="C250" t="n">
        <v>18.68748</v>
      </c>
      <c r="E250" t="n">
        <v>15.72294</v>
      </c>
      <c r="F250" t="n">
        <v>32.81539</v>
      </c>
      <c r="L250" t="n">
        <v>28.63943</v>
      </c>
      <c r="M250" t="n">
        <v>12.87494</v>
      </c>
      <c r="O250" t="n">
        <v>4.575238</v>
      </c>
      <c r="R250" t="n">
        <v>11.82595</v>
      </c>
      <c r="S250" t="n">
        <v>14.00547</v>
      </c>
      <c r="V250" t="n">
        <v>7.932116</v>
      </c>
      <c r="W250" t="n">
        <v>1.318034</v>
      </c>
      <c r="Y250" t="n">
        <v>0.7810381</v>
      </c>
      <c r="Z250" t="n">
        <v>3.011974</v>
      </c>
      <c r="AB250" t="n">
        <v>0.09815337</v>
      </c>
      <c r="AD250" t="n">
        <v>5.453569</v>
      </c>
      <c r="AE250" t="n">
        <v>30.14037</v>
      </c>
      <c r="AF250" t="n">
        <v>4.311898</v>
      </c>
      <c r="AH250" t="n">
        <v>19.30982</v>
      </c>
      <c r="AJ250" t="n">
        <v>0.01356353</v>
      </c>
      <c r="AK250" t="n">
        <v>22.28344</v>
      </c>
      <c r="AL250" t="n">
        <v>11.68244</v>
      </c>
      <c r="AP250" t="n">
        <v>1.618479</v>
      </c>
      <c r="AU250" t="n">
        <v>12.4316</v>
      </c>
      <c r="AV250" t="n">
        <v>6.103799999999999e-05</v>
      </c>
      <c r="AW250" t="n">
        <v>15.65289</v>
      </c>
      <c r="AX250" t="n">
        <v>1.725066</v>
      </c>
    </row>
    <row r="251">
      <c r="A251" s="92" t="n">
        <v>25477</v>
      </c>
      <c r="B251" t="n">
        <v>22.06806</v>
      </c>
      <c r="C251" t="n">
        <v>18.76198</v>
      </c>
      <c r="E251" t="n">
        <v>15.72294</v>
      </c>
      <c r="F251" t="n">
        <v>32.87598</v>
      </c>
      <c r="L251" t="n">
        <v>28.70467</v>
      </c>
      <c r="M251" t="n">
        <v>12.94044</v>
      </c>
      <c r="O251" t="n">
        <v>4.592651</v>
      </c>
      <c r="R251" t="n">
        <v>11.84707</v>
      </c>
      <c r="S251" t="n">
        <v>14.09087</v>
      </c>
      <c r="V251" t="n">
        <v>7.992117</v>
      </c>
      <c r="W251" t="n">
        <v>1.339641</v>
      </c>
      <c r="Y251" t="n">
        <v>0.7935348</v>
      </c>
      <c r="Z251" t="n">
        <v>2.993764</v>
      </c>
      <c r="AB251" t="n">
        <v>0.09889696000000001</v>
      </c>
      <c r="AD251" t="n">
        <v>5.46862</v>
      </c>
      <c r="AE251" t="n">
        <v>30.28668</v>
      </c>
      <c r="AF251" t="n">
        <v>4.427734</v>
      </c>
      <c r="AH251" t="n">
        <v>19.32373</v>
      </c>
      <c r="AJ251" t="n">
        <v>0.01370597</v>
      </c>
      <c r="AK251" t="n">
        <v>22.3883</v>
      </c>
      <c r="AL251" t="n">
        <v>11.75411</v>
      </c>
      <c r="AP251" t="n">
        <v>1.654028</v>
      </c>
      <c r="AU251" t="n">
        <v>12.43886</v>
      </c>
      <c r="AV251" t="n">
        <v>6.201499999999999e-05</v>
      </c>
      <c r="AW251" t="n">
        <v>15.73727</v>
      </c>
      <c r="AX251" t="n">
        <v>1.734097</v>
      </c>
    </row>
    <row r="252">
      <c r="A252" s="92" t="n">
        <v>25508</v>
      </c>
      <c r="B252" t="n">
        <v>22.14758</v>
      </c>
      <c r="C252" t="n">
        <v>18.84664</v>
      </c>
      <c r="E252" t="n">
        <v>15.72294</v>
      </c>
      <c r="F252" t="n">
        <v>33.14818</v>
      </c>
      <c r="L252" t="n">
        <v>28.7699</v>
      </c>
      <c r="M252" t="n">
        <v>13.05272</v>
      </c>
      <c r="O252" t="n">
        <v>4.633462</v>
      </c>
      <c r="R252" t="n">
        <v>11.86819</v>
      </c>
      <c r="S252" t="n">
        <v>14.15492</v>
      </c>
      <c r="V252" t="n">
        <v>8.010118</v>
      </c>
      <c r="W252" t="n">
        <v>1.339641</v>
      </c>
      <c r="Y252" t="n">
        <v>0.8060313</v>
      </c>
      <c r="Z252" t="n">
        <v>2.979196</v>
      </c>
      <c r="AA252" t="n">
        <v>7.274436</v>
      </c>
      <c r="AB252" t="n">
        <v>0.09964054</v>
      </c>
      <c r="AD252" t="n">
        <v>5.498723</v>
      </c>
      <c r="AE252" t="n">
        <v>30.16475</v>
      </c>
      <c r="AF252" t="n">
        <v>4.476998</v>
      </c>
      <c r="AH252" t="n">
        <v>19.38633</v>
      </c>
      <c r="AJ252" t="n">
        <v>0.01370761</v>
      </c>
      <c r="AK252" t="n">
        <v>22.35335</v>
      </c>
      <c r="AL252" t="n">
        <v>11.75411</v>
      </c>
      <c r="AP252" t="n">
        <v>1.68464</v>
      </c>
      <c r="AU252" t="n">
        <v>12.50816</v>
      </c>
      <c r="AV252" t="n">
        <v>6.2482e-05</v>
      </c>
      <c r="AW252" t="n">
        <v>15.82165</v>
      </c>
      <c r="AX252" t="n">
        <v>1.738613</v>
      </c>
    </row>
    <row r="253">
      <c r="A253" s="92" t="n">
        <v>25538</v>
      </c>
      <c r="B253" t="n">
        <v>22.30663</v>
      </c>
      <c r="C253" t="n">
        <v>18.92114</v>
      </c>
      <c r="E253" t="n">
        <v>15.88096</v>
      </c>
      <c r="F253" t="n">
        <v>33.26847</v>
      </c>
      <c r="L253" t="n">
        <v>28.96562</v>
      </c>
      <c r="M253" t="n">
        <v>13.0995</v>
      </c>
      <c r="O253" t="n">
        <v>4.682436</v>
      </c>
      <c r="R253" t="n">
        <v>11.86819</v>
      </c>
      <c r="S253" t="n">
        <v>14.19762</v>
      </c>
      <c r="V253" t="n">
        <v>8.064117</v>
      </c>
      <c r="W253" t="n">
        <v>1.339641</v>
      </c>
      <c r="Y253" t="n">
        <v>0.8185279</v>
      </c>
      <c r="Z253" t="n">
        <v>2.979196</v>
      </c>
      <c r="AB253" t="n">
        <v>0.1003841</v>
      </c>
      <c r="AD253" t="n">
        <v>5.518791</v>
      </c>
      <c r="AE253" t="n">
        <v>30.35984</v>
      </c>
      <c r="AF253" t="n">
        <v>4.576191</v>
      </c>
      <c r="AH253" t="n">
        <v>19.59151</v>
      </c>
      <c r="AJ253" t="n">
        <v>0.01381076</v>
      </c>
      <c r="AK253" t="n">
        <v>22.33587</v>
      </c>
      <c r="AL253" t="n">
        <v>11.82578</v>
      </c>
      <c r="AP253" t="n">
        <v>1.68464</v>
      </c>
      <c r="AU253" t="n">
        <v>12.58081</v>
      </c>
      <c r="AV253" t="n">
        <v>6.3629e-05</v>
      </c>
      <c r="AW253" t="n">
        <v>15.90603</v>
      </c>
      <c r="AX253" t="n">
        <v>1.747645</v>
      </c>
    </row>
    <row r="254">
      <c r="A254" s="92" t="n">
        <v>25569</v>
      </c>
      <c r="B254" t="n">
        <v>22.48557</v>
      </c>
      <c r="C254" t="n">
        <v>19.00072</v>
      </c>
      <c r="E254" t="n">
        <v>15.95997</v>
      </c>
      <c r="F254" t="n">
        <v>33.35892</v>
      </c>
      <c r="G254" t="n">
        <v>0.0008158179999999999</v>
      </c>
      <c r="I254" t="n">
        <v>0.130527</v>
      </c>
      <c r="L254" t="n">
        <v>29.29181</v>
      </c>
      <c r="M254" t="n">
        <v>13.12757</v>
      </c>
      <c r="O254" t="n">
        <v>4.704747</v>
      </c>
      <c r="R254" t="n">
        <v>11.96321</v>
      </c>
      <c r="S254" t="n">
        <v>14.31504</v>
      </c>
      <c r="U254" t="n">
        <v>16.04204</v>
      </c>
      <c r="V254" t="n">
        <v>8.130118</v>
      </c>
      <c r="W254" t="n">
        <v>1.339641</v>
      </c>
      <c r="Y254" t="n">
        <v>0.881011</v>
      </c>
      <c r="Z254" t="n">
        <v>2.979196</v>
      </c>
      <c r="AB254" t="n">
        <v>0.1003841</v>
      </c>
      <c r="AC254" t="n">
        <v>0.001369123</v>
      </c>
      <c r="AD254" t="n">
        <v>5.543876</v>
      </c>
      <c r="AE254" t="n">
        <v>30.84754</v>
      </c>
      <c r="AF254" t="n">
        <v>4.637437</v>
      </c>
      <c r="AH254" t="n">
        <v>19.78452</v>
      </c>
      <c r="AJ254" t="n">
        <v>0.01391555</v>
      </c>
      <c r="AK254" t="n">
        <v>22.33839</v>
      </c>
      <c r="AL254" t="n">
        <v>12.47082</v>
      </c>
      <c r="AM254" t="n">
        <v>7.065261</v>
      </c>
      <c r="AN254" t="n">
        <v>5.113996</v>
      </c>
      <c r="AP254" t="n">
        <v>1.694515</v>
      </c>
      <c r="AU254" t="n">
        <v>12.76691</v>
      </c>
      <c r="AV254" t="n">
        <v>6.4139e-05</v>
      </c>
      <c r="AW254" t="n">
        <v>15.94822</v>
      </c>
      <c r="AX254" t="n">
        <v>1.747645</v>
      </c>
    </row>
    <row r="255">
      <c r="A255" s="92" t="n">
        <v>25600</v>
      </c>
      <c r="B255" t="n">
        <v>22.46568</v>
      </c>
      <c r="C255" t="n">
        <v>19.05998</v>
      </c>
      <c r="E255" t="n">
        <v>15.95997</v>
      </c>
      <c r="F255" t="n">
        <v>33.35892</v>
      </c>
      <c r="G255" t="n">
        <v>0.000857502</v>
      </c>
      <c r="I255" t="n">
        <v>0.130527</v>
      </c>
      <c r="L255" t="n">
        <v>29.35704</v>
      </c>
      <c r="M255" t="n">
        <v>13.22114</v>
      </c>
      <c r="O255" t="n">
        <v>4.68679</v>
      </c>
      <c r="R255" t="n">
        <v>11.99489</v>
      </c>
      <c r="S255" t="n">
        <v>14.35891</v>
      </c>
      <c r="U255" t="n">
        <v>16.10809</v>
      </c>
      <c r="V255" t="n">
        <v>8.172119</v>
      </c>
      <c r="W255" t="n">
        <v>1.339641</v>
      </c>
      <c r="Y255" t="n">
        <v>0.881011</v>
      </c>
      <c r="Z255" t="n">
        <v>2.979196</v>
      </c>
      <c r="AA255" t="n">
        <v>7.396128</v>
      </c>
      <c r="AB255" t="n">
        <v>0.1018713</v>
      </c>
      <c r="AC255" t="n">
        <v>0.001374513</v>
      </c>
      <c r="AD255" t="n">
        <v>5.58903</v>
      </c>
      <c r="AE255" t="n">
        <v>30.84754</v>
      </c>
      <c r="AF255" t="n">
        <v>4.730639</v>
      </c>
      <c r="AH255" t="n">
        <v>19.90972</v>
      </c>
      <c r="AJ255" t="n">
        <v>0.01391391</v>
      </c>
      <c r="AK255" t="n">
        <v>22.49352</v>
      </c>
      <c r="AL255" t="n">
        <v>12.54249</v>
      </c>
      <c r="AM255" t="n">
        <v>7.091381</v>
      </c>
      <c r="AN255" t="n">
        <v>5.132058</v>
      </c>
      <c r="AP255" t="n">
        <v>1.67279</v>
      </c>
      <c r="AU255" t="n">
        <v>12.94294</v>
      </c>
      <c r="AV255" t="n">
        <v>6.4478e-05</v>
      </c>
      <c r="AW255" t="n">
        <v>16.03261</v>
      </c>
      <c r="AX255" t="n">
        <v>1.747645</v>
      </c>
    </row>
    <row r="256">
      <c r="A256" s="92" t="n">
        <v>25628</v>
      </c>
      <c r="B256" t="n">
        <v>22.48557</v>
      </c>
      <c r="C256" t="n">
        <v>19.16834</v>
      </c>
      <c r="E256" t="n">
        <v>15.95997</v>
      </c>
      <c r="F256" t="n">
        <v>33.4195</v>
      </c>
      <c r="G256" t="n">
        <v>0.000887277</v>
      </c>
      <c r="I256" t="n">
        <v>0.130527</v>
      </c>
      <c r="L256" t="n">
        <v>29.48752</v>
      </c>
      <c r="M256" t="n">
        <v>13.296</v>
      </c>
      <c r="O256" t="n">
        <v>4.722703</v>
      </c>
      <c r="R256" t="n">
        <v>12.02657</v>
      </c>
      <c r="S256" t="n">
        <v>14.40277</v>
      </c>
      <c r="U256" t="n">
        <v>16.19289</v>
      </c>
      <c r="V256" t="n">
        <v>8.22012</v>
      </c>
      <c r="W256" t="n">
        <v>1.361248</v>
      </c>
      <c r="Y256" t="n">
        <v>0.8747627</v>
      </c>
      <c r="Z256" t="n">
        <v>3.011974</v>
      </c>
      <c r="AB256" t="n">
        <v>0.1033585</v>
      </c>
      <c r="AC256" t="n">
        <v>0.001388005</v>
      </c>
      <c r="AD256" t="n">
        <v>5.609098</v>
      </c>
      <c r="AE256" t="n">
        <v>31.15297</v>
      </c>
      <c r="AF256" t="n">
        <v>4.833826</v>
      </c>
      <c r="AH256" t="n">
        <v>19.94798</v>
      </c>
      <c r="AJ256" t="n">
        <v>0.01395485</v>
      </c>
      <c r="AK256" t="n">
        <v>22.69297</v>
      </c>
      <c r="AL256" t="n">
        <v>12.61416</v>
      </c>
      <c r="AM256" t="n">
        <v>7.129639</v>
      </c>
      <c r="AN256" t="n">
        <v>5.157989</v>
      </c>
      <c r="AP256" t="n">
        <v>1.70834</v>
      </c>
      <c r="AU256" t="n">
        <v>13.03851</v>
      </c>
      <c r="AV256" t="n">
        <v>6.4563e-05</v>
      </c>
      <c r="AW256" t="n">
        <v>16.11699</v>
      </c>
      <c r="AX256" t="n">
        <v>1.747645</v>
      </c>
    </row>
    <row r="257">
      <c r="A257" s="92" t="n">
        <v>25659</v>
      </c>
      <c r="B257" t="n">
        <v>22.54521</v>
      </c>
      <c r="C257" t="n">
        <v>19.24115</v>
      </c>
      <c r="E257" t="n">
        <v>16.03898</v>
      </c>
      <c r="F257" t="n">
        <v>33.38877</v>
      </c>
      <c r="G257" t="n">
        <v>0.000908544</v>
      </c>
      <c r="I257" t="n">
        <v>0.1386849</v>
      </c>
      <c r="L257" t="n">
        <v>29.618</v>
      </c>
      <c r="M257" t="n">
        <v>13.33342</v>
      </c>
      <c r="O257" t="n">
        <v>4.748823</v>
      </c>
      <c r="R257" t="n">
        <v>12.05824</v>
      </c>
      <c r="S257" t="n">
        <v>14.47588</v>
      </c>
      <c r="U257" t="n">
        <v>16.31687</v>
      </c>
      <c r="V257" t="n">
        <v>8.346121999999999</v>
      </c>
      <c r="W257" t="n">
        <v>1.382856</v>
      </c>
      <c r="Y257" t="n">
        <v>0.8622661</v>
      </c>
      <c r="Z257" t="n">
        <v>3.044752</v>
      </c>
      <c r="AB257" t="n">
        <v>0.1048456</v>
      </c>
      <c r="AC257" t="n">
        <v>0.001398795</v>
      </c>
      <c r="AD257" t="n">
        <v>5.634184</v>
      </c>
      <c r="AE257" t="n">
        <v>31.45839</v>
      </c>
      <c r="AF257" t="n">
        <v>4.937014</v>
      </c>
      <c r="AH257" t="n">
        <v>20.03318</v>
      </c>
      <c r="AJ257" t="n">
        <v>0.01397285</v>
      </c>
      <c r="AK257" t="n">
        <v>22.80377</v>
      </c>
      <c r="AL257" t="n">
        <v>12.68584</v>
      </c>
      <c r="AM257" t="n">
        <v>7.180551</v>
      </c>
      <c r="AN257" t="n">
        <v>5.189195</v>
      </c>
      <c r="AP257" t="n">
        <v>1.698465</v>
      </c>
      <c r="AU257" t="n">
        <v>13.06142</v>
      </c>
      <c r="AV257" t="n">
        <v>6.469099999999999e-05</v>
      </c>
      <c r="AW257" t="n">
        <v>16.24356</v>
      </c>
      <c r="AX257" t="n">
        <v>1.793636</v>
      </c>
    </row>
    <row r="258">
      <c r="A258" s="92" t="n">
        <v>25689</v>
      </c>
      <c r="B258" t="n">
        <v>22.64462</v>
      </c>
      <c r="C258" t="n">
        <v>19.24453</v>
      </c>
      <c r="E258" t="n">
        <v>16.03898</v>
      </c>
      <c r="F258" t="n">
        <v>33.72068</v>
      </c>
      <c r="G258" t="n">
        <v>0.00092811</v>
      </c>
      <c r="I258" t="n">
        <v>0.1386849</v>
      </c>
      <c r="L258" t="n">
        <v>29.618</v>
      </c>
      <c r="M258" t="n">
        <v>13.45506</v>
      </c>
      <c r="O258" t="n">
        <v>4.717807</v>
      </c>
      <c r="R258" t="n">
        <v>12.05824</v>
      </c>
      <c r="S258" t="n">
        <v>14.53437</v>
      </c>
      <c r="U258" t="n">
        <v>16.34542</v>
      </c>
      <c r="V258" t="n">
        <v>8.370122</v>
      </c>
      <c r="W258" t="n">
        <v>1.382856</v>
      </c>
      <c r="Y258" t="n">
        <v>0.8622661</v>
      </c>
      <c r="Z258" t="n">
        <v>3.077531</v>
      </c>
      <c r="AA258" t="n">
        <v>7.700356</v>
      </c>
      <c r="AB258" t="n">
        <v>0.1048456</v>
      </c>
      <c r="AC258" t="n">
        <v>0.001416332</v>
      </c>
      <c r="AD258" t="n">
        <v>5.659269</v>
      </c>
      <c r="AE258" t="n">
        <v>31.35658</v>
      </c>
      <c r="AF258" t="n">
        <v>4.88775</v>
      </c>
      <c r="AH258" t="n">
        <v>20.13751</v>
      </c>
      <c r="AJ258" t="n">
        <v>0.01400233</v>
      </c>
      <c r="AK258" t="n">
        <v>22.82593</v>
      </c>
      <c r="AL258" t="n">
        <v>12.68584</v>
      </c>
      <c r="AM258" t="n">
        <v>7.191154</v>
      </c>
      <c r="AN258" t="n">
        <v>5.19897</v>
      </c>
      <c r="AP258" t="n">
        <v>1.679703</v>
      </c>
      <c r="AU258" t="n">
        <v>13.10669</v>
      </c>
      <c r="AV258" t="n">
        <v>6.507300000000001e-05</v>
      </c>
      <c r="AW258" t="n">
        <v>16.28575</v>
      </c>
      <c r="AX258" t="n">
        <v>1.793636</v>
      </c>
    </row>
    <row r="259">
      <c r="A259" s="92" t="n">
        <v>25720</v>
      </c>
      <c r="B259" t="n">
        <v>22.88319</v>
      </c>
      <c r="C259" t="n">
        <v>19.25131</v>
      </c>
      <c r="E259" t="n">
        <v>16.03898</v>
      </c>
      <c r="F259" t="n">
        <v>33.87171</v>
      </c>
      <c r="G259" t="n">
        <v>0.000945975</v>
      </c>
      <c r="I259" t="n">
        <v>0.1386849</v>
      </c>
      <c r="L259" t="n">
        <v>29.68323</v>
      </c>
      <c r="M259" t="n">
        <v>13.46442</v>
      </c>
      <c r="O259" t="n">
        <v>4.735764</v>
      </c>
      <c r="R259" t="n">
        <v>12.10048</v>
      </c>
      <c r="S259" t="n">
        <v>14.59286</v>
      </c>
      <c r="U259" t="n">
        <v>16.40203</v>
      </c>
      <c r="V259" t="n">
        <v>8.394123</v>
      </c>
      <c r="W259" t="n">
        <v>1.382856</v>
      </c>
      <c r="Y259" t="n">
        <v>0.8747627</v>
      </c>
      <c r="Z259" t="n">
        <v>3.113951</v>
      </c>
      <c r="AB259" t="n">
        <v>0.1063328</v>
      </c>
      <c r="AC259" t="n">
        <v>0.001413631</v>
      </c>
      <c r="AD259" t="n">
        <v>5.669303</v>
      </c>
      <c r="AE259" t="n">
        <v>31.35658</v>
      </c>
      <c r="AF259" t="n">
        <v>4.784563</v>
      </c>
      <c r="AH259" t="n">
        <v>20.19315</v>
      </c>
      <c r="AJ259" t="n">
        <v>0.01408747</v>
      </c>
      <c r="AK259" t="n">
        <v>22.89242</v>
      </c>
      <c r="AL259" t="n">
        <v>12.75751</v>
      </c>
      <c r="AM259" t="n">
        <v>7.215558</v>
      </c>
      <c r="AN259" t="n">
        <v>5.215773</v>
      </c>
      <c r="AP259" t="n">
        <v>1.685628</v>
      </c>
      <c r="AU259" t="n">
        <v>13.16537</v>
      </c>
      <c r="AV259" t="n">
        <v>6.575300000000001e-05</v>
      </c>
      <c r="AW259" t="n">
        <v>16.37013</v>
      </c>
      <c r="AX259" t="n">
        <v>1.793636</v>
      </c>
    </row>
    <row r="260">
      <c r="A260" s="92" t="n">
        <v>25750</v>
      </c>
      <c r="B260" t="n">
        <v>23.02236</v>
      </c>
      <c r="C260" t="n">
        <v>19.3512</v>
      </c>
      <c r="E260" t="n">
        <v>16.197</v>
      </c>
      <c r="F260" t="n">
        <v>33.96215</v>
      </c>
      <c r="G260" t="n">
        <v>0.00096469</v>
      </c>
      <c r="I260" t="n">
        <v>0.1386849</v>
      </c>
      <c r="L260" t="n">
        <v>29.68323</v>
      </c>
      <c r="M260" t="n">
        <v>13.73577</v>
      </c>
      <c r="O260" t="n">
        <v>4.825005</v>
      </c>
      <c r="R260" t="n">
        <v>12.1216</v>
      </c>
      <c r="S260" t="n">
        <v>14.62211</v>
      </c>
      <c r="U260" t="n">
        <v>16.46324</v>
      </c>
      <c r="V260" t="n">
        <v>8.454122999999999</v>
      </c>
      <c r="W260" t="n">
        <v>1.361248</v>
      </c>
      <c r="Y260" t="n">
        <v>0.8747627</v>
      </c>
      <c r="Z260" t="n">
        <v>3.12852</v>
      </c>
      <c r="AB260" t="n">
        <v>0.10782</v>
      </c>
      <c r="AC260" t="n">
        <v>0.001408241</v>
      </c>
      <c r="AD260" t="n">
        <v>5.679338</v>
      </c>
      <c r="AE260" t="n">
        <v>31.35658</v>
      </c>
      <c r="AF260" t="n">
        <v>4.81918</v>
      </c>
      <c r="AH260" t="n">
        <v>20.2714</v>
      </c>
      <c r="AJ260" t="n">
        <v>0.01415624</v>
      </c>
      <c r="AK260" t="n">
        <v>22.9589</v>
      </c>
      <c r="AL260" t="n">
        <v>12.97252</v>
      </c>
      <c r="AM260" t="n">
        <v>7.247737</v>
      </c>
      <c r="AN260" t="n">
        <v>5.236442</v>
      </c>
      <c r="AP260" t="n">
        <v>1.698465</v>
      </c>
      <c r="AU260" t="n">
        <v>13.26819</v>
      </c>
      <c r="AV260" t="n">
        <v>6.5498e-05</v>
      </c>
      <c r="AW260" t="n">
        <v>16.45452</v>
      </c>
      <c r="AX260" t="n">
        <v>1.793636</v>
      </c>
    </row>
    <row r="261">
      <c r="A261" s="92" t="n">
        <v>25781</v>
      </c>
      <c r="B261" t="n">
        <v>23.00247</v>
      </c>
      <c r="C261" t="n">
        <v>19.39184</v>
      </c>
      <c r="E261" t="n">
        <v>16.197</v>
      </c>
      <c r="F261" t="n">
        <v>34.08245</v>
      </c>
      <c r="G261" t="n">
        <v>0.0009893599999999999</v>
      </c>
      <c r="I261" t="n">
        <v>0.1386849</v>
      </c>
      <c r="L261" t="n">
        <v>29.68323</v>
      </c>
      <c r="M261" t="n">
        <v>13.76384</v>
      </c>
      <c r="O261" t="n">
        <v>4.901186</v>
      </c>
      <c r="R261" t="n">
        <v>12.15327</v>
      </c>
      <c r="S261" t="n">
        <v>14.68059</v>
      </c>
      <c r="U261" t="n">
        <v>16.46318</v>
      </c>
      <c r="V261" t="n">
        <v>8.448124</v>
      </c>
      <c r="W261" t="n">
        <v>1.339641</v>
      </c>
      <c r="Y261" t="n">
        <v>0.8747627</v>
      </c>
      <c r="Z261" t="n">
        <v>3.14673</v>
      </c>
      <c r="AA261" t="n">
        <v>7.828808</v>
      </c>
      <c r="AB261" t="n">
        <v>0.1093072</v>
      </c>
      <c r="AC261" t="n">
        <v>0.001414976</v>
      </c>
      <c r="AD261" t="n">
        <v>5.689372</v>
      </c>
      <c r="AE261" t="n">
        <v>31.25477</v>
      </c>
      <c r="AF261" t="n">
        <v>4.853132</v>
      </c>
      <c r="AH261" t="n">
        <v>20.21402</v>
      </c>
      <c r="AJ261" t="n">
        <v>0.01422173</v>
      </c>
      <c r="AK261" t="n">
        <v>23.09187</v>
      </c>
      <c r="AL261" t="n">
        <v>12.90085</v>
      </c>
      <c r="AM261" t="n">
        <v>7.255117</v>
      </c>
      <c r="AN261" t="n">
        <v>5.249853</v>
      </c>
      <c r="AP261" t="n">
        <v>1.71229</v>
      </c>
      <c r="AU261" t="n">
        <v>13.31625</v>
      </c>
      <c r="AV261" t="n">
        <v>6.6008e-05</v>
      </c>
      <c r="AW261" t="n">
        <v>16.45452</v>
      </c>
      <c r="AX261" t="n">
        <v>1.839626</v>
      </c>
    </row>
    <row r="262">
      <c r="A262" s="92" t="n">
        <v>25812</v>
      </c>
      <c r="B262" t="n">
        <v>23.04224</v>
      </c>
      <c r="C262" t="n">
        <v>19.38676</v>
      </c>
      <c r="E262" t="n">
        <v>16.11799</v>
      </c>
      <c r="F262" t="n">
        <v>34.29407</v>
      </c>
      <c r="G262" t="n">
        <v>0.001015732</v>
      </c>
      <c r="I262" t="n">
        <v>0.1386849</v>
      </c>
      <c r="L262" t="n">
        <v>29.68323</v>
      </c>
      <c r="M262" t="n">
        <v>13.88548</v>
      </c>
      <c r="O262" t="n">
        <v>4.923496</v>
      </c>
      <c r="R262" t="n">
        <v>12.16383</v>
      </c>
      <c r="S262" t="n">
        <v>14.73908</v>
      </c>
      <c r="U262" t="n">
        <v>16.55233</v>
      </c>
      <c r="V262" t="n">
        <v>8.490124</v>
      </c>
      <c r="W262" t="n">
        <v>1.361248</v>
      </c>
      <c r="Y262" t="n">
        <v>0.8560178000000001</v>
      </c>
      <c r="Z262" t="n">
        <v>3.161298</v>
      </c>
      <c r="AB262" t="n">
        <v>0.1122815</v>
      </c>
      <c r="AC262" t="n">
        <v>0.001471631</v>
      </c>
      <c r="AD262" t="n">
        <v>5.724492</v>
      </c>
      <c r="AE262" t="n">
        <v>31.76381</v>
      </c>
      <c r="AF262" t="n">
        <v>4.970965</v>
      </c>
      <c r="AH262" t="n">
        <v>20.29574</v>
      </c>
      <c r="AJ262" t="n">
        <v>0.01425611</v>
      </c>
      <c r="AK262" t="n">
        <v>23.26916</v>
      </c>
      <c r="AL262" t="n">
        <v>13.04419</v>
      </c>
      <c r="AM262" t="n">
        <v>7.294722</v>
      </c>
      <c r="AN262" t="n">
        <v>5.272276</v>
      </c>
      <c r="AP262" t="n">
        <v>1.730064</v>
      </c>
      <c r="AU262" t="n">
        <v>13.35426</v>
      </c>
      <c r="AV262" t="n">
        <v>6.6645e-05</v>
      </c>
      <c r="AW262" t="n">
        <v>16.5389</v>
      </c>
      <c r="AX262" t="n">
        <v>1.839626</v>
      </c>
    </row>
    <row r="263">
      <c r="A263" s="92" t="n">
        <v>25842</v>
      </c>
      <c r="B263" t="n">
        <v>23.14164</v>
      </c>
      <c r="C263" t="n">
        <v>19.42062</v>
      </c>
      <c r="E263" t="n">
        <v>16.11799</v>
      </c>
      <c r="F263" t="n">
        <v>34.47495</v>
      </c>
      <c r="G263" t="n">
        <v>0.001024239</v>
      </c>
      <c r="I263" t="n">
        <v>0.1386849</v>
      </c>
      <c r="L263" t="n">
        <v>29.81371</v>
      </c>
      <c r="M263" t="n">
        <v>13.9229</v>
      </c>
      <c r="O263" t="n">
        <v>4.97247</v>
      </c>
      <c r="R263" t="n">
        <v>12.18495</v>
      </c>
      <c r="S263" t="n">
        <v>14.79757</v>
      </c>
      <c r="U263" t="n">
        <v>16.65858</v>
      </c>
      <c r="V263" t="n">
        <v>8.580126</v>
      </c>
      <c r="W263" t="n">
        <v>1.382856</v>
      </c>
      <c r="Y263" t="n">
        <v>0.8560178000000001</v>
      </c>
      <c r="Z263" t="n">
        <v>3.179508</v>
      </c>
      <c r="AB263" t="n">
        <v>0.1145123</v>
      </c>
      <c r="AC263" t="n">
        <v>0.001501313</v>
      </c>
      <c r="AD263" t="n">
        <v>5.749577</v>
      </c>
      <c r="AE263" t="n">
        <v>32.27284</v>
      </c>
      <c r="AF263" t="n">
        <v>5.068827</v>
      </c>
      <c r="AH263" t="n">
        <v>20.36008</v>
      </c>
      <c r="AJ263" t="n">
        <v>0.01426102</v>
      </c>
      <c r="AK263" t="n">
        <v>23.3578</v>
      </c>
      <c r="AL263" t="n">
        <v>13.11586</v>
      </c>
      <c r="AM263" t="n">
        <v>7.345516</v>
      </c>
      <c r="AN263" t="n">
        <v>5.306669</v>
      </c>
      <c r="AP263" t="n">
        <v>1.739939</v>
      </c>
      <c r="AU263" t="n">
        <v>13.41908</v>
      </c>
      <c r="AV263" t="n">
        <v>6.7919e-05</v>
      </c>
      <c r="AW263" t="n">
        <v>16.62328</v>
      </c>
      <c r="AX263" t="n">
        <v>1.839626</v>
      </c>
    </row>
    <row r="264">
      <c r="A264" s="92" t="n">
        <v>25873</v>
      </c>
      <c r="B264" t="n">
        <v>23.22117</v>
      </c>
      <c r="C264" t="n">
        <v>19.47819</v>
      </c>
      <c r="E264" t="n">
        <v>16.11799</v>
      </c>
      <c r="F264" t="n">
        <v>34.92716</v>
      </c>
      <c r="G264" t="n">
        <v>0.001031044</v>
      </c>
      <c r="I264" t="n">
        <v>0.1386849</v>
      </c>
      <c r="L264" t="n">
        <v>29.94419</v>
      </c>
      <c r="M264" t="n">
        <v>14.01647</v>
      </c>
      <c r="O264" t="n">
        <v>4.985529</v>
      </c>
      <c r="R264" t="n">
        <v>12.21663</v>
      </c>
      <c r="S264" t="n">
        <v>14.85606</v>
      </c>
      <c r="U264" t="n">
        <v>16.73312</v>
      </c>
      <c r="V264" t="n">
        <v>8.640126</v>
      </c>
      <c r="W264" t="n">
        <v>1.382856</v>
      </c>
      <c r="Y264" t="n">
        <v>0.8872593</v>
      </c>
      <c r="Z264" t="n">
        <v>3.179508</v>
      </c>
      <c r="AA264" t="n">
        <v>8.004583999999999</v>
      </c>
      <c r="AB264" t="n">
        <v>0.1145123</v>
      </c>
      <c r="AC264" t="n">
        <v>0.001501313</v>
      </c>
      <c r="AD264" t="n">
        <v>5.794731</v>
      </c>
      <c r="AE264" t="n">
        <v>32.27284</v>
      </c>
      <c r="AF264" t="n">
        <v>5.059507</v>
      </c>
      <c r="AH264" t="n">
        <v>20.39486</v>
      </c>
      <c r="AJ264" t="n">
        <v>0.01433798</v>
      </c>
      <c r="AK264" t="n">
        <v>23.42428</v>
      </c>
      <c r="AL264" t="n">
        <v>13.18754</v>
      </c>
      <c r="AM264" t="n">
        <v>7.378725</v>
      </c>
      <c r="AN264" t="n">
        <v>5.336584</v>
      </c>
      <c r="AP264" t="n">
        <v>1.749814</v>
      </c>
      <c r="AU264" t="n">
        <v>13.518</v>
      </c>
      <c r="AV264" t="n">
        <v>6.8853e-05</v>
      </c>
      <c r="AW264" t="n">
        <v>16.70766</v>
      </c>
      <c r="AX264" t="n">
        <v>1.839626</v>
      </c>
    </row>
    <row r="265">
      <c r="A265" s="92" t="n">
        <v>25903</v>
      </c>
      <c r="B265" t="n">
        <v>23.34045</v>
      </c>
      <c r="C265" t="n">
        <v>19.51036</v>
      </c>
      <c r="E265" t="n">
        <v>16.03898</v>
      </c>
      <c r="F265" t="n">
        <v>35.07819</v>
      </c>
      <c r="G265" t="n">
        <v>0.001031044</v>
      </c>
      <c r="I265" t="n">
        <v>0.1386849</v>
      </c>
      <c r="L265" t="n">
        <v>30.1399</v>
      </c>
      <c r="M265" t="n">
        <v>14.00711</v>
      </c>
      <c r="O265" t="n">
        <v>4.999678</v>
      </c>
      <c r="R265" t="n">
        <v>12.23775</v>
      </c>
      <c r="S265" t="n">
        <v>14.89993</v>
      </c>
      <c r="U265" t="n">
        <v>16.8149</v>
      </c>
      <c r="V265" t="n">
        <v>8.700127999999999</v>
      </c>
      <c r="W265" t="n">
        <v>1.404463</v>
      </c>
      <c r="Y265" t="n">
        <v>0.8935076</v>
      </c>
      <c r="Z265" t="n">
        <v>3.12852</v>
      </c>
      <c r="AB265" t="n">
        <v>0.1122815</v>
      </c>
      <c r="AC265" t="n">
        <v>0.001512103</v>
      </c>
      <c r="AD265" t="n">
        <v>5.814799</v>
      </c>
      <c r="AE265" t="n">
        <v>32.47646</v>
      </c>
      <c r="AF265" t="n">
        <v>5.235924</v>
      </c>
      <c r="AH265" t="n">
        <v>20.44007</v>
      </c>
      <c r="AJ265" t="n">
        <v>0.01445914</v>
      </c>
      <c r="AK265" t="n">
        <v>23.46861</v>
      </c>
      <c r="AL265" t="n">
        <v>13.33088</v>
      </c>
      <c r="AM265" t="n">
        <v>7.416908</v>
      </c>
      <c r="AN265" t="n">
        <v>5.363671</v>
      </c>
      <c r="AP265" t="n">
        <v>1.761663</v>
      </c>
      <c r="AU265" t="n">
        <v>13.60183</v>
      </c>
      <c r="AV265" t="n">
        <v>6.9533e-05</v>
      </c>
      <c r="AW265" t="n">
        <v>16.79204</v>
      </c>
      <c r="AX265" t="n">
        <v>1.839626</v>
      </c>
    </row>
    <row r="266">
      <c r="A266" s="92" t="n">
        <v>25934</v>
      </c>
      <c r="B266" t="n">
        <v>23.41998</v>
      </c>
      <c r="C266" t="n">
        <v>19.61195</v>
      </c>
      <c r="E266" t="n">
        <v>16.11799</v>
      </c>
      <c r="F266" t="n">
        <v>35.2898</v>
      </c>
      <c r="G266" t="n">
        <v>0.001045506</v>
      </c>
      <c r="I266" t="n">
        <v>0.1468429</v>
      </c>
      <c r="L266" t="n">
        <v>30.46609</v>
      </c>
      <c r="M266" t="n">
        <v>14.00711</v>
      </c>
      <c r="O266" t="n">
        <v>5.052461</v>
      </c>
      <c r="R266" t="n">
        <v>12.38557</v>
      </c>
      <c r="S266" t="n">
        <v>14.98766</v>
      </c>
      <c r="U266" t="n">
        <v>16.88908</v>
      </c>
      <c r="V266" t="n">
        <v>8.820128</v>
      </c>
      <c r="W266" t="n">
        <v>1.404463</v>
      </c>
      <c r="Y266" t="n">
        <v>0.9185008</v>
      </c>
      <c r="Z266" t="n">
        <v>3.095741</v>
      </c>
      <c r="AB266" t="n">
        <v>0.1137687</v>
      </c>
      <c r="AC266" t="n">
        <v>0.001539075</v>
      </c>
      <c r="AD266" t="n">
        <v>5.833109</v>
      </c>
      <c r="AE266" t="n">
        <v>32.78188</v>
      </c>
      <c r="AF266" t="n">
        <v>5.373063</v>
      </c>
      <c r="AH266" t="n">
        <v>20.5757</v>
      </c>
      <c r="AJ266" t="n">
        <v>0.01460159</v>
      </c>
      <c r="AK266" t="n">
        <v>23.71238</v>
      </c>
      <c r="AL266" t="n">
        <v>13.40255</v>
      </c>
      <c r="AM266" t="n">
        <v>7.460216</v>
      </c>
      <c r="AN266" t="n">
        <v>5.413373</v>
      </c>
      <c r="AP266" t="n">
        <v>1.795238</v>
      </c>
      <c r="AU266" t="n">
        <v>14.01034</v>
      </c>
      <c r="AV266" t="n">
        <v>7.0298e-05</v>
      </c>
      <c r="AW266" t="n">
        <v>16.79204</v>
      </c>
      <c r="AX266" t="n">
        <v>1.839626</v>
      </c>
    </row>
    <row r="267">
      <c r="A267" s="92" t="n">
        <v>25965</v>
      </c>
      <c r="B267" t="n">
        <v>23.45974</v>
      </c>
      <c r="C267" t="n">
        <v>19.76603</v>
      </c>
      <c r="E267" t="n">
        <v>16.197</v>
      </c>
      <c r="F267" t="n">
        <v>35.44083</v>
      </c>
      <c r="G267" t="n">
        <v>0.001053163</v>
      </c>
      <c r="I267" t="n">
        <v>0.1468429</v>
      </c>
      <c r="L267" t="n">
        <v>30.72704</v>
      </c>
      <c r="M267" t="n">
        <v>14.00711</v>
      </c>
      <c r="O267" t="n">
        <v>5.048652</v>
      </c>
      <c r="R267" t="n">
        <v>12.4806</v>
      </c>
      <c r="S267" t="n">
        <v>15.06077</v>
      </c>
      <c r="U267" t="n">
        <v>16.94958</v>
      </c>
      <c r="V267" t="n">
        <v>8.868130000000001</v>
      </c>
      <c r="W267" t="n">
        <v>1.382856</v>
      </c>
      <c r="Y267" t="n">
        <v>0.9434940000000001</v>
      </c>
      <c r="Z267" t="n">
        <v>3.095741</v>
      </c>
      <c r="AA267" t="n">
        <v>8.133037</v>
      </c>
      <c r="AB267" t="n">
        <v>0.1137687</v>
      </c>
      <c r="AC267" t="n">
        <v>0.00153773</v>
      </c>
      <c r="AD267" t="n">
        <v>5.855828</v>
      </c>
      <c r="AE267" t="n">
        <v>32.78188</v>
      </c>
      <c r="AF267" t="n">
        <v>5.48091</v>
      </c>
      <c r="AH267" t="n">
        <v>20.7148</v>
      </c>
      <c r="AJ267" t="n">
        <v>0.01466217</v>
      </c>
      <c r="AK267" t="n">
        <v>24.02263</v>
      </c>
      <c r="AL267" t="n">
        <v>13.40255</v>
      </c>
      <c r="AM267" t="n">
        <v>7.489289</v>
      </c>
      <c r="AN267" t="n">
        <v>5.444586</v>
      </c>
      <c r="AP267" t="n">
        <v>1.803138</v>
      </c>
      <c r="AU267" t="n">
        <v>14.02543</v>
      </c>
      <c r="AV267" t="n">
        <v>7.1997e-05</v>
      </c>
      <c r="AW267" t="n">
        <v>16.83424</v>
      </c>
      <c r="AX267" t="n">
        <v>1.839626</v>
      </c>
    </row>
    <row r="268">
      <c r="A268" s="92" t="n">
        <v>25993</v>
      </c>
      <c r="B268" t="n">
        <v>23.47962</v>
      </c>
      <c r="C268" t="n">
        <v>19.84899</v>
      </c>
      <c r="E268" t="n">
        <v>16.197</v>
      </c>
      <c r="F268" t="n">
        <v>35.65157</v>
      </c>
      <c r="G268" t="n">
        <v>0.001065923</v>
      </c>
      <c r="I268" t="n">
        <v>0.1468429</v>
      </c>
      <c r="L268" t="n">
        <v>30.85752</v>
      </c>
      <c r="M268" t="n">
        <v>14.01647</v>
      </c>
      <c r="O268" t="n">
        <v>5.101978</v>
      </c>
      <c r="R268" t="n">
        <v>12.54395</v>
      </c>
      <c r="S268" t="n">
        <v>15.11926</v>
      </c>
      <c r="U268" t="n">
        <v>17.0064</v>
      </c>
      <c r="V268" t="n">
        <v>8.94013</v>
      </c>
      <c r="W268" t="n">
        <v>1.404463</v>
      </c>
      <c r="Y268" t="n">
        <v>0.9434940000000001</v>
      </c>
      <c r="Z268" t="n">
        <v>3.095741</v>
      </c>
      <c r="AB268" t="n">
        <v>0.1145123</v>
      </c>
      <c r="AC268" t="n">
        <v>0.001557967</v>
      </c>
      <c r="AD268" t="n">
        <v>5.878547</v>
      </c>
      <c r="AE268" t="n">
        <v>32.88369</v>
      </c>
      <c r="AF268" t="n">
        <v>5.584098</v>
      </c>
      <c r="AH268" t="n">
        <v>20.89912</v>
      </c>
      <c r="AJ268" t="n">
        <v>0.01471783</v>
      </c>
      <c r="AK268" t="n">
        <v>24.17776</v>
      </c>
      <c r="AL268" t="n">
        <v>13.47422</v>
      </c>
      <c r="AM268" t="n">
        <v>7.519833</v>
      </c>
      <c r="AN268" t="n">
        <v>5.476733</v>
      </c>
      <c r="AP268" t="n">
        <v>1.848562</v>
      </c>
      <c r="AU268" t="n">
        <v>14.06064</v>
      </c>
      <c r="AV268" t="n">
        <v>7.267599999999999e-05</v>
      </c>
      <c r="AW268" t="n">
        <v>16.87643</v>
      </c>
      <c r="AX268" t="n">
        <v>1.885617</v>
      </c>
    </row>
    <row r="269">
      <c r="A269" s="92" t="n">
        <v>26024</v>
      </c>
      <c r="B269" t="n">
        <v>23.61879</v>
      </c>
      <c r="C269" t="n">
        <v>19.95228</v>
      </c>
      <c r="E269" t="n">
        <v>16.35502</v>
      </c>
      <c r="F269" t="n">
        <v>35.68142</v>
      </c>
      <c r="G269" t="n">
        <v>0.001092294</v>
      </c>
      <c r="I269" t="n">
        <v>0.1468429</v>
      </c>
      <c r="L269" t="n">
        <v>31.05323</v>
      </c>
      <c r="M269" t="n">
        <v>14.15682</v>
      </c>
      <c r="O269" t="n">
        <v>5.155849</v>
      </c>
      <c r="R269" t="n">
        <v>12.62842</v>
      </c>
      <c r="S269" t="n">
        <v>15.20699</v>
      </c>
      <c r="U269" t="n">
        <v>17.11197</v>
      </c>
      <c r="V269" t="n">
        <v>9.132133</v>
      </c>
      <c r="W269" t="n">
        <v>1.42607</v>
      </c>
      <c r="Y269" t="n">
        <v>0.9309974</v>
      </c>
      <c r="Z269" t="n">
        <v>3.095741</v>
      </c>
      <c r="AB269" t="n">
        <v>0.1145123</v>
      </c>
      <c r="AC269" t="n">
        <v>0.001570103</v>
      </c>
      <c r="AD269" t="n">
        <v>5.895586</v>
      </c>
      <c r="AE269" t="n">
        <v>33.29091</v>
      </c>
      <c r="AF269" t="n">
        <v>5.559466</v>
      </c>
      <c r="AH269" t="n">
        <v>20.91651</v>
      </c>
      <c r="AJ269" t="n">
        <v>0.01479315</v>
      </c>
      <c r="AK269" t="n">
        <v>24.48802</v>
      </c>
      <c r="AL269" t="n">
        <v>13.47422</v>
      </c>
      <c r="AM269" t="n">
        <v>7.570493</v>
      </c>
      <c r="AN269" t="n">
        <v>5.526896</v>
      </c>
      <c r="AP269" t="n">
        <v>1.873249</v>
      </c>
      <c r="AU269" t="n">
        <v>14.03214</v>
      </c>
      <c r="AV269" t="n">
        <v>7.429e-05</v>
      </c>
      <c r="AW269" t="n">
        <v>16.91862</v>
      </c>
      <c r="AX269" t="n">
        <v>1.885617</v>
      </c>
    </row>
    <row r="270">
      <c r="A270" s="92" t="n">
        <v>26054</v>
      </c>
      <c r="B270" t="n">
        <v>23.59891</v>
      </c>
      <c r="C270" t="n">
        <v>20.00138</v>
      </c>
      <c r="E270" t="n">
        <v>16.35502</v>
      </c>
      <c r="F270" t="n">
        <v>36.07304</v>
      </c>
      <c r="G270" t="n">
        <v>0.00112292</v>
      </c>
      <c r="I270" t="n">
        <v>0.1468429</v>
      </c>
      <c r="L270" t="n">
        <v>31.11847</v>
      </c>
      <c r="M270" t="n">
        <v>14.38138</v>
      </c>
      <c r="O270" t="n">
        <v>5.18741</v>
      </c>
      <c r="R270" t="n">
        <v>12.67066</v>
      </c>
      <c r="S270" t="n">
        <v>15.30935</v>
      </c>
      <c r="U270" t="n">
        <v>17.18933</v>
      </c>
      <c r="V270" t="n">
        <v>9.192133999999999</v>
      </c>
      <c r="W270" t="n">
        <v>1.447677</v>
      </c>
      <c r="Y270" t="n">
        <v>0.9060042</v>
      </c>
      <c r="Z270" t="n">
        <v>3.095741</v>
      </c>
      <c r="AA270" t="n">
        <v>8.356137</v>
      </c>
      <c r="AB270" t="n">
        <v>0.1152559</v>
      </c>
      <c r="AC270" t="n">
        <v>0.001578193</v>
      </c>
      <c r="AD270" t="n">
        <v>5.929665</v>
      </c>
      <c r="AE270" t="n">
        <v>33.39272</v>
      </c>
      <c r="AF270" t="n">
        <v>5.460939</v>
      </c>
      <c r="AH270" t="n">
        <v>21.06953</v>
      </c>
      <c r="AJ270" t="n">
        <v>0.01482426</v>
      </c>
      <c r="AK270" t="n">
        <v>24.59882</v>
      </c>
      <c r="AL270" t="n">
        <v>13.54589</v>
      </c>
      <c r="AM270" t="n">
        <v>7.603319</v>
      </c>
      <c r="AN270" t="n">
        <v>5.555763</v>
      </c>
      <c r="AP270" t="n">
        <v>1.882136</v>
      </c>
      <c r="AU270" t="n">
        <v>13.98464</v>
      </c>
      <c r="AV270" t="n">
        <v>7.497e-05</v>
      </c>
      <c r="AW270" t="n">
        <v>17.003</v>
      </c>
      <c r="AX270" t="n">
        <v>1.885617</v>
      </c>
    </row>
    <row r="271">
      <c r="A271" s="92" t="n">
        <v>26085</v>
      </c>
      <c r="B271" t="n">
        <v>23.85736</v>
      </c>
      <c r="C271" t="n">
        <v>20.04371</v>
      </c>
      <c r="E271" t="n">
        <v>16.43403</v>
      </c>
      <c r="F271" t="n">
        <v>36.1029</v>
      </c>
      <c r="G271" t="n">
        <v>0.001145038</v>
      </c>
      <c r="I271" t="n">
        <v>0.1550008</v>
      </c>
      <c r="L271" t="n">
        <v>31.24894</v>
      </c>
      <c r="M271" t="n">
        <v>14.42817</v>
      </c>
      <c r="O271" t="n">
        <v>5.209176</v>
      </c>
      <c r="R271" t="n">
        <v>12.91351</v>
      </c>
      <c r="S271" t="n">
        <v>15.36783</v>
      </c>
      <c r="U271" t="n">
        <v>17.28578</v>
      </c>
      <c r="V271" t="n">
        <v>9.258134999999999</v>
      </c>
      <c r="W271" t="n">
        <v>1.42607</v>
      </c>
      <c r="Y271" t="n">
        <v>0.8935076</v>
      </c>
      <c r="Z271" t="n">
        <v>3.14673</v>
      </c>
      <c r="AB271" t="n">
        <v>0.1152559</v>
      </c>
      <c r="AC271" t="n">
        <v>0.001580893</v>
      </c>
      <c r="AD271" t="n">
        <v>5.935345</v>
      </c>
      <c r="AE271" t="n">
        <v>33.49453</v>
      </c>
      <c r="AF271" t="n">
        <v>5.451619</v>
      </c>
      <c r="AH271" t="n">
        <v>21.11647</v>
      </c>
      <c r="AJ271" t="n">
        <v>0.01489139</v>
      </c>
      <c r="AK271" t="n">
        <v>24.64314</v>
      </c>
      <c r="AL271" t="n">
        <v>13.61756</v>
      </c>
      <c r="AM271" t="n">
        <v>7.643283</v>
      </c>
      <c r="AN271" t="n">
        <v>5.579723</v>
      </c>
      <c r="AP271" t="n">
        <v>1.892998</v>
      </c>
      <c r="AU271" t="n">
        <v>14.02543</v>
      </c>
      <c r="AV271" t="n">
        <v>7.6287e-05</v>
      </c>
      <c r="AW271" t="n">
        <v>17.12957</v>
      </c>
      <c r="AX271" t="n">
        <v>1.885617</v>
      </c>
    </row>
    <row r="272">
      <c r="A272" s="92" t="n">
        <v>26115</v>
      </c>
      <c r="B272" t="n">
        <v>24.03629</v>
      </c>
      <c r="C272" t="n">
        <v>20.16562</v>
      </c>
      <c r="E272" t="n">
        <v>16.59205</v>
      </c>
      <c r="F272" t="n">
        <v>36.25481</v>
      </c>
      <c r="G272" t="n">
        <v>0.001148441</v>
      </c>
      <c r="I272" t="n">
        <v>0.1550008</v>
      </c>
      <c r="L272" t="n">
        <v>31.37942</v>
      </c>
      <c r="M272" t="n">
        <v>14.44688</v>
      </c>
      <c r="O272" t="n">
        <v>5.209176</v>
      </c>
      <c r="R272" t="n">
        <v>12.97687</v>
      </c>
      <c r="S272" t="n">
        <v>15.44094</v>
      </c>
      <c r="U272" t="n">
        <v>17.33993</v>
      </c>
      <c r="V272" t="n">
        <v>9.312136000000001</v>
      </c>
      <c r="W272" t="n">
        <v>1.404463</v>
      </c>
      <c r="Y272" t="n">
        <v>0.8935076</v>
      </c>
      <c r="Z272" t="n">
        <v>3.197718</v>
      </c>
      <c r="AB272" t="n">
        <v>0.1152559</v>
      </c>
      <c r="AC272" t="n">
        <v>0.001572803</v>
      </c>
      <c r="AD272" t="n">
        <v>5.952384</v>
      </c>
      <c r="AE272" t="n">
        <v>33.49453</v>
      </c>
      <c r="AF272" t="n">
        <v>5.54948</v>
      </c>
      <c r="AH272" t="n">
        <v>21.13386</v>
      </c>
      <c r="AJ272" t="n">
        <v>0.01487993</v>
      </c>
      <c r="AK272" t="n">
        <v>24.68747</v>
      </c>
      <c r="AL272" t="n">
        <v>13.68923</v>
      </c>
      <c r="AM272" t="n">
        <v>7.677878</v>
      </c>
      <c r="AN272" t="n">
        <v>5.61309</v>
      </c>
      <c r="AP272" t="n">
        <v>1.906823</v>
      </c>
      <c r="AU272" t="n">
        <v>14.09361</v>
      </c>
      <c r="AV272" t="n">
        <v>8.0492e-05</v>
      </c>
      <c r="AW272" t="n">
        <v>17.17176</v>
      </c>
      <c r="AX272" t="n">
        <v>1.885617</v>
      </c>
    </row>
    <row r="273">
      <c r="A273" s="92" t="n">
        <v>26146</v>
      </c>
      <c r="B273" t="n">
        <v>24.19534</v>
      </c>
      <c r="C273" t="n">
        <v>20.24181</v>
      </c>
      <c r="E273" t="n">
        <v>16.75007</v>
      </c>
      <c r="F273" t="n">
        <v>36.31451</v>
      </c>
      <c r="G273" t="n">
        <v>0.001161201</v>
      </c>
      <c r="I273" t="n">
        <v>0.1550008</v>
      </c>
      <c r="L273" t="n">
        <v>31.37942</v>
      </c>
      <c r="M273" t="n">
        <v>14.50302</v>
      </c>
      <c r="O273" t="n">
        <v>5.218427</v>
      </c>
      <c r="R273" t="n">
        <v>13.09302</v>
      </c>
      <c r="S273" t="n">
        <v>15.49943</v>
      </c>
      <c r="U273" t="n">
        <v>17.37525</v>
      </c>
      <c r="V273" t="n">
        <v>9.318136000000001</v>
      </c>
      <c r="W273" t="n">
        <v>1.382856</v>
      </c>
      <c r="Y273" t="n">
        <v>0.8872593</v>
      </c>
      <c r="Z273" t="n">
        <v>3.263275</v>
      </c>
      <c r="AA273" t="n">
        <v>8.518393</v>
      </c>
      <c r="AB273" t="n">
        <v>0.1145123</v>
      </c>
      <c r="AC273" t="n">
        <v>0.001580893</v>
      </c>
      <c r="AD273" t="n">
        <v>5.963744</v>
      </c>
      <c r="AE273" t="n">
        <v>33.49453</v>
      </c>
      <c r="AF273" t="n">
        <v>5.598744</v>
      </c>
      <c r="AH273" t="n">
        <v>21.15821</v>
      </c>
      <c r="AJ273" t="n">
        <v>0.01501583</v>
      </c>
      <c r="AK273" t="n">
        <v>24.84259</v>
      </c>
      <c r="AL273" t="n">
        <v>13.68923</v>
      </c>
      <c r="AM273" t="n">
        <v>7.700457</v>
      </c>
      <c r="AN273" t="n">
        <v>5.63019</v>
      </c>
      <c r="AP273" t="n">
        <v>1.913735</v>
      </c>
      <c r="AU273" t="n">
        <v>14.28921</v>
      </c>
      <c r="AV273" t="n">
        <v>8.2573e-05</v>
      </c>
      <c r="AW273" t="n">
        <v>17.21395</v>
      </c>
      <c r="AX273" t="n">
        <v>1.931608</v>
      </c>
    </row>
    <row r="274">
      <c r="A274" s="92" t="n">
        <v>26177</v>
      </c>
      <c r="B274" t="n">
        <v>24.27487</v>
      </c>
      <c r="C274" t="n">
        <v>20.38404</v>
      </c>
      <c r="E274" t="n">
        <v>16.67106</v>
      </c>
      <c r="F274" t="n">
        <v>36.58584</v>
      </c>
      <c r="G274" t="n">
        <v>0.001173111</v>
      </c>
      <c r="I274" t="n">
        <v>0.1550008</v>
      </c>
      <c r="L274" t="n">
        <v>31.44466</v>
      </c>
      <c r="M274" t="n">
        <v>14.60595</v>
      </c>
      <c r="O274" t="n">
        <v>5.28046</v>
      </c>
      <c r="R274" t="n">
        <v>13.1986</v>
      </c>
      <c r="S274" t="n">
        <v>15.57254</v>
      </c>
      <c r="U274" t="n">
        <v>17.44354</v>
      </c>
      <c r="V274" t="n">
        <v>9.330136</v>
      </c>
      <c r="W274" t="n">
        <v>1.404463</v>
      </c>
      <c r="Y274" t="n">
        <v>0.881011</v>
      </c>
      <c r="Z274" t="n">
        <v>3.296054</v>
      </c>
      <c r="AB274" t="n">
        <v>0.1145123</v>
      </c>
      <c r="AC274" t="n">
        <v>0.001632147</v>
      </c>
      <c r="AD274" t="n">
        <v>6.003502</v>
      </c>
      <c r="AE274" t="n">
        <v>34.30898</v>
      </c>
      <c r="AF274" t="n">
        <v>5.691945</v>
      </c>
      <c r="AH274" t="n">
        <v>21.25558</v>
      </c>
      <c r="AJ274" t="n">
        <v>0.01506495</v>
      </c>
      <c r="AK274" t="n">
        <v>25.0642</v>
      </c>
      <c r="AL274" t="n">
        <v>13.76091</v>
      </c>
      <c r="AM274" t="n">
        <v>7.737378</v>
      </c>
      <c r="AN274" t="n">
        <v>5.661847</v>
      </c>
      <c r="AP274" t="n">
        <v>1.974959</v>
      </c>
      <c r="AU274" t="n">
        <v>14.30542</v>
      </c>
      <c r="AV274" t="n">
        <v>8.355e-05</v>
      </c>
      <c r="AW274" t="n">
        <v>17.21395</v>
      </c>
      <c r="AX274" t="n">
        <v>1.931608</v>
      </c>
    </row>
    <row r="275">
      <c r="A275" s="92" t="n">
        <v>26207</v>
      </c>
      <c r="B275" t="n">
        <v>24.37427</v>
      </c>
      <c r="C275" t="n">
        <v>20.43822</v>
      </c>
      <c r="E275" t="n">
        <v>16.75007</v>
      </c>
      <c r="F275" t="n">
        <v>36.73687</v>
      </c>
      <c r="G275" t="n">
        <v>0.001193527</v>
      </c>
      <c r="I275" t="n">
        <v>0.1550008</v>
      </c>
      <c r="L275" t="n">
        <v>31.57513</v>
      </c>
      <c r="M275" t="n">
        <v>14.67144</v>
      </c>
      <c r="O275" t="n">
        <v>5.338685</v>
      </c>
      <c r="R275" t="n">
        <v>13.21972</v>
      </c>
      <c r="S275" t="n">
        <v>15.66028</v>
      </c>
      <c r="U275" t="n">
        <v>17.50458</v>
      </c>
      <c r="V275" t="n">
        <v>9.384137000000001</v>
      </c>
      <c r="W275" t="n">
        <v>1.404463</v>
      </c>
      <c r="Y275" t="n">
        <v>0.8935076</v>
      </c>
      <c r="Z275" t="n">
        <v>3.296054</v>
      </c>
      <c r="AB275" t="n">
        <v>0.1152559</v>
      </c>
      <c r="AC275" t="n">
        <v>0.00166722</v>
      </c>
      <c r="AD275" t="n">
        <v>6.0319</v>
      </c>
      <c r="AE275" t="n">
        <v>34.41079</v>
      </c>
      <c r="AF275" t="n">
        <v>5.647342</v>
      </c>
      <c r="AH275" t="n">
        <v>21.39643</v>
      </c>
      <c r="AJ275" t="n">
        <v>0.01507969</v>
      </c>
      <c r="AK275" t="n">
        <v>25.24149</v>
      </c>
      <c r="AL275" t="n">
        <v>13.90425</v>
      </c>
      <c r="AM275" t="n">
        <v>7.772202</v>
      </c>
      <c r="AN275" t="n">
        <v>5.698035</v>
      </c>
      <c r="AP275" t="n">
        <v>2.007546</v>
      </c>
      <c r="AU275" t="n">
        <v>14.45072</v>
      </c>
      <c r="AV275" t="n">
        <v>8.5079e-05</v>
      </c>
      <c r="AW275" t="n">
        <v>17.25615</v>
      </c>
      <c r="AX275" t="n">
        <v>1.977598</v>
      </c>
    </row>
    <row r="276">
      <c r="A276" s="92" t="n">
        <v>26238</v>
      </c>
      <c r="B276" t="n">
        <v>24.39415</v>
      </c>
      <c r="C276" t="n">
        <v>20.50933</v>
      </c>
      <c r="E276" t="n">
        <v>16.75007</v>
      </c>
      <c r="F276" t="n">
        <v>37.21981</v>
      </c>
      <c r="G276" t="n">
        <v>0.001225003</v>
      </c>
      <c r="I276" t="n">
        <v>0.1631588</v>
      </c>
      <c r="L276" t="n">
        <v>31.64037</v>
      </c>
      <c r="M276" t="n">
        <v>14.77437</v>
      </c>
      <c r="O276" t="n">
        <v>5.411057</v>
      </c>
      <c r="R276" t="n">
        <v>13.27252</v>
      </c>
      <c r="S276" t="n">
        <v>15.71876</v>
      </c>
      <c r="U276" t="n">
        <v>17.50987</v>
      </c>
      <c r="V276" t="n">
        <v>9.438138</v>
      </c>
      <c r="W276" t="n">
        <v>1.42607</v>
      </c>
      <c r="Y276" t="n">
        <v>0.9185008</v>
      </c>
      <c r="Z276" t="n">
        <v>3.314264</v>
      </c>
      <c r="AA276" t="n">
        <v>8.694169</v>
      </c>
      <c r="AB276" t="n">
        <v>0.1159994</v>
      </c>
      <c r="AC276" t="n">
        <v>0.001694201</v>
      </c>
      <c r="AD276" t="n">
        <v>6.060299</v>
      </c>
      <c r="AE276" t="n">
        <v>34.10537</v>
      </c>
      <c r="AF276" t="n">
        <v>5.657328</v>
      </c>
      <c r="AH276" t="n">
        <v>21.48511</v>
      </c>
      <c r="AJ276" t="n">
        <v>0.01510424</v>
      </c>
      <c r="AK276" t="n">
        <v>25.30798</v>
      </c>
      <c r="AL276" t="n">
        <v>13.97592</v>
      </c>
      <c r="AM276" t="n">
        <v>7.784676</v>
      </c>
      <c r="AN276" t="n">
        <v>5.729293</v>
      </c>
      <c r="AP276" t="n">
        <v>2.05692</v>
      </c>
      <c r="AU276" t="n">
        <v>14.43954</v>
      </c>
      <c r="AV276" t="n">
        <v>8.5929e-05</v>
      </c>
      <c r="AW276" t="n">
        <v>17.25615</v>
      </c>
      <c r="AX276" t="n">
        <v>1.977598</v>
      </c>
    </row>
    <row r="277">
      <c r="A277" s="92" t="n">
        <v>26268</v>
      </c>
      <c r="B277" t="n">
        <v>24.47368</v>
      </c>
      <c r="C277" t="n">
        <v>20.59737</v>
      </c>
      <c r="E277" t="n">
        <v>16.82907</v>
      </c>
      <c r="F277" t="n">
        <v>37.40069</v>
      </c>
      <c r="G277" t="n">
        <v>0.001259031</v>
      </c>
      <c r="I277" t="n">
        <v>0.1631588</v>
      </c>
      <c r="L277" t="n">
        <v>31.77085</v>
      </c>
      <c r="M277" t="n">
        <v>14.8118</v>
      </c>
      <c r="O277" t="n">
        <v>5.481797</v>
      </c>
      <c r="R277" t="n">
        <v>13.30419</v>
      </c>
      <c r="S277" t="n">
        <v>15.79187</v>
      </c>
      <c r="U277" t="n">
        <v>17.58186</v>
      </c>
      <c r="V277" t="n">
        <v>9.486138</v>
      </c>
      <c r="W277" t="n">
        <v>1.447677</v>
      </c>
      <c r="Y277" t="n">
        <v>0.9122525</v>
      </c>
      <c r="Z277" t="n">
        <v>3.281486</v>
      </c>
      <c r="AB277" t="n">
        <v>0.116743</v>
      </c>
      <c r="AC277" t="n">
        <v>0.001714438</v>
      </c>
      <c r="AD277" t="n">
        <v>6.083018</v>
      </c>
      <c r="AE277" t="n">
        <v>34.10537</v>
      </c>
      <c r="AF277" t="n">
        <v>5.711251</v>
      </c>
      <c r="AH277" t="n">
        <v>21.56684</v>
      </c>
      <c r="AJ277" t="n">
        <v>0.01517629</v>
      </c>
      <c r="AK277" t="n">
        <v>25.44094</v>
      </c>
      <c r="AL277" t="n">
        <v>13.97592</v>
      </c>
      <c r="AM277" t="n">
        <v>7.817874</v>
      </c>
      <c r="AN277" t="n">
        <v>5.756114</v>
      </c>
      <c r="AP277" t="n">
        <v>2.02927</v>
      </c>
      <c r="AU277" t="n">
        <v>14.56863</v>
      </c>
      <c r="AV277" t="n">
        <v>8.5801e-05</v>
      </c>
      <c r="AW277" t="n">
        <v>17.34053</v>
      </c>
      <c r="AX277" t="n">
        <v>1.977598</v>
      </c>
    </row>
    <row r="278">
      <c r="A278" s="92" t="n">
        <v>26299</v>
      </c>
      <c r="B278" t="n">
        <v>24.67249</v>
      </c>
      <c r="C278" t="n">
        <v>20.69388</v>
      </c>
      <c r="E278" t="n">
        <v>16.90808</v>
      </c>
      <c r="F278" t="n">
        <v>37.64128</v>
      </c>
      <c r="G278" t="n">
        <v>0.001304969</v>
      </c>
      <c r="I278" t="n">
        <v>0.1631588</v>
      </c>
      <c r="L278" t="n">
        <v>32.16227</v>
      </c>
      <c r="M278" t="n">
        <v>14.83051</v>
      </c>
      <c r="O278" t="n">
        <v>5.48615</v>
      </c>
      <c r="R278" t="n">
        <v>13.17749</v>
      </c>
      <c r="S278" t="n">
        <v>15.83574</v>
      </c>
      <c r="U278" t="n">
        <v>17.62891</v>
      </c>
      <c r="V278" t="n">
        <v>9.540139</v>
      </c>
      <c r="W278" t="n">
        <v>1.447677</v>
      </c>
      <c r="Y278" t="n">
        <v>0.9309974</v>
      </c>
      <c r="Z278" t="n">
        <v>3.263275</v>
      </c>
      <c r="AB278" t="n">
        <v>0.1152559</v>
      </c>
      <c r="AC278" t="n">
        <v>0.00173871</v>
      </c>
      <c r="AD278" t="n">
        <v>6.105737</v>
      </c>
      <c r="AE278" t="n">
        <v>34.10537</v>
      </c>
      <c r="AF278" t="n">
        <v>5.799793</v>
      </c>
      <c r="AH278" t="n">
        <v>21.67638</v>
      </c>
      <c r="AJ278" t="n">
        <v>0.01524341</v>
      </c>
      <c r="AK278" t="n">
        <v>25.66255</v>
      </c>
      <c r="AL278" t="n">
        <v>14.19094</v>
      </c>
      <c r="AM278" t="n">
        <v>7.843397</v>
      </c>
      <c r="AN278" t="n">
        <v>5.790891</v>
      </c>
      <c r="AP278" t="n">
        <v>2.042108</v>
      </c>
      <c r="AU278" t="n">
        <v>14.69773</v>
      </c>
      <c r="AV278" t="n">
        <v>8.5716e-05</v>
      </c>
      <c r="AW278" t="n">
        <v>17.34053</v>
      </c>
      <c r="AX278" t="n">
        <v>1.977598</v>
      </c>
    </row>
    <row r="279">
      <c r="A279" s="92" t="n">
        <v>26330</v>
      </c>
      <c r="B279" t="n">
        <v>24.79178</v>
      </c>
      <c r="C279" t="n">
        <v>20.8046</v>
      </c>
      <c r="E279" t="n">
        <v>16.98709</v>
      </c>
      <c r="F279" t="n">
        <v>37.82305</v>
      </c>
      <c r="G279" t="n">
        <v>0.001389188</v>
      </c>
      <c r="I279" t="n">
        <v>0.1631588</v>
      </c>
      <c r="L279" t="n">
        <v>32.29275</v>
      </c>
      <c r="M279" t="n">
        <v>14.89601</v>
      </c>
      <c r="O279" t="n">
        <v>5.481797</v>
      </c>
      <c r="R279" t="n">
        <v>13.28753</v>
      </c>
      <c r="S279" t="n">
        <v>15.92347</v>
      </c>
      <c r="U279" t="n">
        <v>17.71717</v>
      </c>
      <c r="V279" t="n">
        <v>9.588139999999999</v>
      </c>
      <c r="W279" t="n">
        <v>1.42607</v>
      </c>
      <c r="Y279" t="n">
        <v>0.9497424</v>
      </c>
      <c r="Z279" t="n">
        <v>3.245065</v>
      </c>
      <c r="AA279" t="n">
        <v>8.890226999999999</v>
      </c>
      <c r="AB279" t="n">
        <v>0.116743</v>
      </c>
      <c r="AC279" t="n">
        <v>0.001729274</v>
      </c>
      <c r="AD279" t="n">
        <v>6.139816</v>
      </c>
      <c r="AE279" t="n">
        <v>34.30898</v>
      </c>
      <c r="AF279" t="n">
        <v>5.98553</v>
      </c>
      <c r="AH279" t="n">
        <v>21.74246</v>
      </c>
      <c r="AJ279" t="n">
        <v>0.0152909</v>
      </c>
      <c r="AK279" t="n">
        <v>25.862</v>
      </c>
      <c r="AL279" t="n">
        <v>14.26261</v>
      </c>
      <c r="AM279" t="n">
        <v>7.882661</v>
      </c>
      <c r="AN279" t="n">
        <v>5.818597</v>
      </c>
      <c r="AP279" t="n">
        <v>2.077657</v>
      </c>
      <c r="AU279" t="n">
        <v>14.75361</v>
      </c>
      <c r="AV279" t="n">
        <v>8.6863e-05</v>
      </c>
      <c r="AW279" t="n">
        <v>17.42491</v>
      </c>
      <c r="AX279" t="n">
        <v>1.977598</v>
      </c>
    </row>
    <row r="280">
      <c r="A280" s="92" t="n">
        <v>26359</v>
      </c>
      <c r="B280" t="n">
        <v>24.93094</v>
      </c>
      <c r="C280" t="n">
        <v>20.83077</v>
      </c>
      <c r="E280" t="n">
        <v>17.0661</v>
      </c>
      <c r="F280" t="n">
        <v>37.91261</v>
      </c>
      <c r="G280" t="n">
        <v>0.001427469</v>
      </c>
      <c r="I280" t="n">
        <v>0.1631588</v>
      </c>
      <c r="L280" t="n">
        <v>32.48846</v>
      </c>
      <c r="M280" t="n">
        <v>14.99893</v>
      </c>
      <c r="O280" t="n">
        <v>5.535124</v>
      </c>
      <c r="R280" t="n">
        <v>13.37006</v>
      </c>
      <c r="S280" t="n">
        <v>15.99658</v>
      </c>
      <c r="U280" t="n">
        <v>17.7879</v>
      </c>
      <c r="V280" t="n">
        <v>9.61814</v>
      </c>
      <c r="W280" t="n">
        <v>1.447677</v>
      </c>
      <c r="Y280" t="n">
        <v>0.9497424</v>
      </c>
      <c r="Z280" t="n">
        <v>3.263275</v>
      </c>
      <c r="AB280" t="n">
        <v>0.120461</v>
      </c>
      <c r="AC280" t="n">
        <v>0.001764346</v>
      </c>
      <c r="AD280" t="n">
        <v>6.156855</v>
      </c>
      <c r="AE280" t="n">
        <v>34.61441</v>
      </c>
      <c r="AF280" t="n">
        <v>6.152627</v>
      </c>
      <c r="AH280" t="n">
        <v>21.77897</v>
      </c>
      <c r="AJ280" t="n">
        <v>0.0153744</v>
      </c>
      <c r="AK280" t="n">
        <v>26.08361</v>
      </c>
      <c r="AL280" t="n">
        <v>14.33428</v>
      </c>
      <c r="AM280" t="n">
        <v>7.918329</v>
      </c>
      <c r="AN280" t="n">
        <v>5.848034</v>
      </c>
      <c r="AP280" t="n">
        <v>2.099381</v>
      </c>
      <c r="AU280" t="n">
        <v>14.81788</v>
      </c>
      <c r="AV280" t="n">
        <v>8.694799999999999e-05</v>
      </c>
      <c r="AW280" t="n">
        <v>17.4671</v>
      </c>
      <c r="AX280" t="n">
        <v>1.977598</v>
      </c>
    </row>
    <row r="281">
      <c r="A281" s="92" t="n">
        <v>26390</v>
      </c>
      <c r="B281" t="n">
        <v>24.95083</v>
      </c>
      <c r="C281" t="n">
        <v>20.90324</v>
      </c>
      <c r="E281" t="n">
        <v>17.14511</v>
      </c>
      <c r="F281" t="n">
        <v>37.94334</v>
      </c>
      <c r="G281" t="n">
        <v>0.001508285</v>
      </c>
      <c r="I281" t="n">
        <v>0.1713167</v>
      </c>
      <c r="L281" t="n">
        <v>32.61894</v>
      </c>
      <c r="M281" t="n">
        <v>15.10186</v>
      </c>
      <c r="O281" t="n">
        <v>5.535124</v>
      </c>
      <c r="R281" t="n">
        <v>13.59014</v>
      </c>
      <c r="S281" t="n">
        <v>16.05507</v>
      </c>
      <c r="U281" t="n">
        <v>17.86636</v>
      </c>
      <c r="V281" t="n">
        <v>9.708142</v>
      </c>
      <c r="W281" t="n">
        <v>1.490891</v>
      </c>
      <c r="Y281" t="n">
        <v>0.9497424</v>
      </c>
      <c r="Z281" t="n">
        <v>3.281486</v>
      </c>
      <c r="AB281" t="n">
        <v>0.1241789</v>
      </c>
      <c r="AC281" t="n">
        <v>0.001784573</v>
      </c>
      <c r="AD281" t="n">
        <v>6.168215</v>
      </c>
      <c r="AE281" t="n">
        <v>35.02163</v>
      </c>
      <c r="AF281" t="n">
        <v>6.191905</v>
      </c>
      <c r="AH281" t="n">
        <v>21.82244</v>
      </c>
      <c r="AJ281" t="n">
        <v>0.015471</v>
      </c>
      <c r="AK281" t="n">
        <v>26.43819</v>
      </c>
      <c r="AL281" t="n">
        <v>14.40595</v>
      </c>
      <c r="AM281" t="n">
        <v>7.955779</v>
      </c>
      <c r="AN281" t="n">
        <v>5.876149</v>
      </c>
      <c r="AP281" t="n">
        <v>2.089507</v>
      </c>
      <c r="AU281" t="n">
        <v>14.85421</v>
      </c>
      <c r="AV281" t="n">
        <v>8.7203e-05</v>
      </c>
      <c r="AW281" t="n">
        <v>17.50929</v>
      </c>
      <c r="AX281" t="n">
        <v>1.977598</v>
      </c>
    </row>
    <row r="282">
      <c r="A282" s="92" t="n">
        <v>26420</v>
      </c>
      <c r="B282" t="n">
        <v>25.01047</v>
      </c>
      <c r="C282" t="n">
        <v>20.94149</v>
      </c>
      <c r="E282" t="n">
        <v>17.14511</v>
      </c>
      <c r="F282" t="n">
        <v>38.33584</v>
      </c>
      <c r="G282" t="n">
        <v>0.001572087</v>
      </c>
      <c r="I282" t="n">
        <v>0.1713167</v>
      </c>
      <c r="L282" t="n">
        <v>32.61894</v>
      </c>
      <c r="M282" t="n">
        <v>15.25157</v>
      </c>
      <c r="O282" t="n">
        <v>5.562332</v>
      </c>
      <c r="R282" t="n">
        <v>13.68643</v>
      </c>
      <c r="S282" t="n">
        <v>16.14281</v>
      </c>
      <c r="U282" t="n">
        <v>17.92036</v>
      </c>
      <c r="V282" t="n">
        <v>9.756143</v>
      </c>
      <c r="W282" t="n">
        <v>1.490891</v>
      </c>
      <c r="Y282" t="n">
        <v>0.9434940000000001</v>
      </c>
      <c r="Z282" t="n">
        <v>3.296054</v>
      </c>
      <c r="AA282" t="n">
        <v>9.025439</v>
      </c>
      <c r="AB282" t="n">
        <v>0.1264096</v>
      </c>
      <c r="AC282" t="n">
        <v>0.001803464</v>
      </c>
      <c r="AD282" t="n">
        <v>6.225012</v>
      </c>
      <c r="AE282" t="n">
        <v>35.12344</v>
      </c>
      <c r="AF282" t="n">
        <v>6.216536</v>
      </c>
      <c r="AH282" t="n">
        <v>21.90591</v>
      </c>
      <c r="AJ282" t="n">
        <v>0.01550211</v>
      </c>
      <c r="AK282" t="n">
        <v>26.50467</v>
      </c>
      <c r="AL282" t="n">
        <v>14.47762</v>
      </c>
      <c r="AM282" t="n">
        <v>7.983732</v>
      </c>
      <c r="AN282" t="n">
        <v>5.906553</v>
      </c>
      <c r="AP282" t="n">
        <v>2.15468</v>
      </c>
      <c r="AU282" t="n">
        <v>14.92742</v>
      </c>
      <c r="AV282" t="n">
        <v>8.835000000000001e-05</v>
      </c>
      <c r="AW282" t="n">
        <v>17.55148</v>
      </c>
      <c r="AX282" t="n">
        <v>1.977598</v>
      </c>
    </row>
    <row r="283">
      <c r="A283" s="92" t="n">
        <v>26451</v>
      </c>
      <c r="B283" t="n">
        <v>25.40809</v>
      </c>
      <c r="C283" t="n">
        <v>21.1448</v>
      </c>
      <c r="E283" t="n">
        <v>17.14511</v>
      </c>
      <c r="F283" t="n">
        <v>38.54746</v>
      </c>
      <c r="G283" t="n">
        <v>0.001605265</v>
      </c>
      <c r="I283" t="n">
        <v>0.1713167</v>
      </c>
      <c r="L283" t="n">
        <v>32.74941</v>
      </c>
      <c r="M283" t="n">
        <v>15.35449</v>
      </c>
      <c r="O283" t="n">
        <v>5.575391</v>
      </c>
      <c r="R283" t="n">
        <v>13.74145</v>
      </c>
      <c r="S283" t="n">
        <v>16.23054</v>
      </c>
      <c r="U283" t="n">
        <v>17.97468</v>
      </c>
      <c r="V283" t="n">
        <v>9.822144</v>
      </c>
      <c r="W283" t="n">
        <v>1.490891</v>
      </c>
      <c r="Y283" t="n">
        <v>0.9247491</v>
      </c>
      <c r="Z283" t="n">
        <v>3.379821</v>
      </c>
      <c r="AB283" t="n">
        <v>0.129384</v>
      </c>
      <c r="AC283" t="n">
        <v>0.001777828</v>
      </c>
      <c r="AD283" t="n">
        <v>6.259091</v>
      </c>
      <c r="AE283" t="n">
        <v>35.12344</v>
      </c>
      <c r="AF283" t="n">
        <v>6.250488</v>
      </c>
      <c r="AH283" t="n">
        <v>22.15108</v>
      </c>
      <c r="AJ283" t="n">
        <v>0.01561672</v>
      </c>
      <c r="AK283" t="n">
        <v>26.57116</v>
      </c>
      <c r="AL283" t="n">
        <v>14.62096</v>
      </c>
      <c r="AM283" t="n">
        <v>8.013489999999999</v>
      </c>
      <c r="AN283" t="n">
        <v>5.940892</v>
      </c>
      <c r="AP283" t="n">
        <v>2.100369</v>
      </c>
      <c r="AU283" t="n">
        <v>15.00454</v>
      </c>
      <c r="AV283" t="n">
        <v>9.1238e-05</v>
      </c>
      <c r="AW283" t="n">
        <v>17.59368</v>
      </c>
      <c r="AX283" t="n">
        <v>1.977598</v>
      </c>
    </row>
    <row r="284">
      <c r="A284" s="92" t="n">
        <v>26481</v>
      </c>
      <c r="B284" t="n">
        <v>25.5075</v>
      </c>
      <c r="C284" t="n">
        <v>21.30182</v>
      </c>
      <c r="E284" t="n">
        <v>17.38214</v>
      </c>
      <c r="F284" t="n">
        <v>38.57731</v>
      </c>
      <c r="G284" t="n">
        <v>0.001676723</v>
      </c>
      <c r="I284" t="n">
        <v>0.1713167</v>
      </c>
      <c r="L284" t="n">
        <v>33.01036</v>
      </c>
      <c r="M284" t="n">
        <v>15.38256</v>
      </c>
      <c r="O284" t="n">
        <v>5.651573</v>
      </c>
      <c r="R284" t="n">
        <v>13.86525</v>
      </c>
      <c r="S284" t="n">
        <v>16.36214</v>
      </c>
      <c r="U284" t="n">
        <v>18.06448</v>
      </c>
      <c r="V284" t="n">
        <v>9.852143999999999</v>
      </c>
      <c r="W284" t="n">
        <v>1.469284</v>
      </c>
      <c r="Y284" t="n">
        <v>0.9185008</v>
      </c>
      <c r="Z284" t="n">
        <v>3.44902</v>
      </c>
      <c r="AB284" t="n">
        <v>0.129384</v>
      </c>
      <c r="AC284" t="n">
        <v>0.001789973</v>
      </c>
      <c r="AD284" t="n">
        <v>6.28181</v>
      </c>
      <c r="AE284" t="n">
        <v>35.12344</v>
      </c>
      <c r="AF284" t="n">
        <v>6.319058</v>
      </c>
      <c r="AH284" t="n">
        <v>22.3354</v>
      </c>
      <c r="AJ284" t="n">
        <v>0.01567567</v>
      </c>
      <c r="AK284" t="n">
        <v>26.48252</v>
      </c>
      <c r="AL284" t="n">
        <v>14.76431</v>
      </c>
      <c r="AM284" t="n">
        <v>8.057112</v>
      </c>
      <c r="AN284" t="n">
        <v>5.976892</v>
      </c>
      <c r="AP284" t="n">
        <v>2.114194</v>
      </c>
      <c r="AU284" t="n">
        <v>15.09228</v>
      </c>
      <c r="AV284" t="n">
        <v>9.2385e-05</v>
      </c>
      <c r="AW284" t="n">
        <v>17.67806</v>
      </c>
      <c r="AX284" t="n">
        <v>2.023589</v>
      </c>
    </row>
    <row r="285">
      <c r="A285" s="92" t="n">
        <v>26512</v>
      </c>
      <c r="B285" t="n">
        <v>25.70631</v>
      </c>
      <c r="C285" t="n">
        <v>21.33805</v>
      </c>
      <c r="E285" t="n">
        <v>17.54016</v>
      </c>
      <c r="F285" t="n">
        <v>38.72746</v>
      </c>
      <c r="G285" t="n">
        <v>0.002057835</v>
      </c>
      <c r="I285" t="n">
        <v>0.1713167</v>
      </c>
      <c r="L285" t="n">
        <v>33.01036</v>
      </c>
      <c r="M285" t="n">
        <v>15.4387</v>
      </c>
      <c r="O285" t="n">
        <v>5.709797</v>
      </c>
      <c r="R285" t="n">
        <v>13.90651</v>
      </c>
      <c r="S285" t="n">
        <v>16.44987</v>
      </c>
      <c r="U285" t="n">
        <v>18.13784</v>
      </c>
      <c r="V285" t="n">
        <v>9.930145</v>
      </c>
      <c r="W285" t="n">
        <v>1.447677</v>
      </c>
      <c r="Y285" t="n">
        <v>0.9247491</v>
      </c>
      <c r="Z285" t="n">
        <v>3.481798</v>
      </c>
      <c r="AA285" t="n">
        <v>9.275582</v>
      </c>
      <c r="AB285" t="n">
        <v>0.1301276</v>
      </c>
      <c r="AC285" t="n">
        <v>0.001798064</v>
      </c>
      <c r="AD285" t="n">
        <v>6.321568</v>
      </c>
      <c r="AE285" t="n">
        <v>35.42886</v>
      </c>
      <c r="AF285" t="n">
        <v>6.416919</v>
      </c>
      <c r="AH285" t="n">
        <v>22.41017</v>
      </c>
      <c r="AJ285" t="n">
        <v>0.01577882</v>
      </c>
      <c r="AK285" t="n">
        <v>26.68196</v>
      </c>
      <c r="AL285" t="n">
        <v>14.76431</v>
      </c>
      <c r="AM285" t="n">
        <v>8.090687000000001</v>
      </c>
      <c r="AN285" t="n">
        <v>6.001629</v>
      </c>
      <c r="AP285" t="n">
        <v>2.104319</v>
      </c>
      <c r="AU285" t="n">
        <v>15.14648</v>
      </c>
      <c r="AV285" t="n">
        <v>9.2598e-05</v>
      </c>
      <c r="AW285" t="n">
        <v>17.72025</v>
      </c>
      <c r="AX285" t="n">
        <v>2.06958</v>
      </c>
    </row>
    <row r="286">
      <c r="A286" s="92" t="n">
        <v>26543</v>
      </c>
      <c r="B286" t="n">
        <v>25.8256</v>
      </c>
      <c r="C286" t="n">
        <v>21.48098</v>
      </c>
      <c r="E286" t="n">
        <v>17.61917</v>
      </c>
      <c r="F286" t="n">
        <v>39.05938</v>
      </c>
      <c r="G286" t="n">
        <v>0.002514659</v>
      </c>
      <c r="I286" t="n">
        <v>0.1794746</v>
      </c>
      <c r="L286" t="n">
        <v>33.33656</v>
      </c>
      <c r="M286" t="n">
        <v>15.56034</v>
      </c>
      <c r="O286" t="n">
        <v>5.790331</v>
      </c>
      <c r="R286" t="n">
        <v>13.98904</v>
      </c>
      <c r="S286" t="n">
        <v>16.55222</v>
      </c>
      <c r="U286" t="n">
        <v>18.22751</v>
      </c>
      <c r="V286" t="n">
        <v>9.984146000000001</v>
      </c>
      <c r="W286" t="n">
        <v>1.469284</v>
      </c>
      <c r="Y286" t="n">
        <v>0.9372457</v>
      </c>
      <c r="Z286" t="n">
        <v>3.500008</v>
      </c>
      <c r="AB286" t="n">
        <v>0.1308712</v>
      </c>
      <c r="AC286" t="n">
        <v>0.001823691</v>
      </c>
      <c r="AD286" t="n">
        <v>6.384046</v>
      </c>
      <c r="AE286" t="n">
        <v>35.63248</v>
      </c>
      <c r="AF286" t="n">
        <v>6.422245</v>
      </c>
      <c r="AH286" t="n">
        <v>22.50929</v>
      </c>
      <c r="AJ286" t="n">
        <v>0.01585086</v>
      </c>
      <c r="AK286" t="n">
        <v>26.92574</v>
      </c>
      <c r="AL286" t="n">
        <v>14.90765</v>
      </c>
      <c r="AM286" t="n">
        <v>8.135306</v>
      </c>
      <c r="AN286" t="n">
        <v>6.054166</v>
      </c>
      <c r="AP286" t="n">
        <v>2.139868</v>
      </c>
      <c r="AU286" t="n">
        <v>15.21466</v>
      </c>
      <c r="AV286" t="n">
        <v>9.3574e-05</v>
      </c>
      <c r="AW286" t="n">
        <v>17.76244</v>
      </c>
      <c r="AX286" t="n">
        <v>2.06958</v>
      </c>
    </row>
    <row r="287">
      <c r="A287" s="92" t="n">
        <v>26573</v>
      </c>
      <c r="B287" t="n">
        <v>26.08405</v>
      </c>
      <c r="C287" t="n">
        <v>21.60377</v>
      </c>
      <c r="E287" t="n">
        <v>17.61917</v>
      </c>
      <c r="F287" t="n">
        <v>39.42114</v>
      </c>
      <c r="G287" t="n">
        <v>0.002898323</v>
      </c>
      <c r="I287" t="n">
        <v>0.1794746</v>
      </c>
      <c r="L287" t="n">
        <v>33.46703</v>
      </c>
      <c r="M287" t="n">
        <v>15.67262</v>
      </c>
      <c r="O287" t="n">
        <v>5.830055</v>
      </c>
      <c r="R287" t="n">
        <v>14.04406</v>
      </c>
      <c r="S287" t="n">
        <v>16.69844</v>
      </c>
      <c r="U287" t="n">
        <v>18.33795</v>
      </c>
      <c r="V287" t="n">
        <v>10.12215</v>
      </c>
      <c r="W287" t="n">
        <v>1.490891</v>
      </c>
      <c r="Y287" t="n">
        <v>0.9747356</v>
      </c>
      <c r="Z287" t="n">
        <v>3.514577</v>
      </c>
      <c r="AB287" t="n">
        <v>0.1308712</v>
      </c>
      <c r="AC287" t="n">
        <v>0.001866854</v>
      </c>
      <c r="AD287" t="n">
        <v>6.452202</v>
      </c>
      <c r="AE287" t="n">
        <v>35.83609</v>
      </c>
      <c r="AF287" t="n">
        <v>6.34835</v>
      </c>
      <c r="AH287" t="n">
        <v>22.61709</v>
      </c>
      <c r="AJ287" t="n">
        <v>0.01586232</v>
      </c>
      <c r="AK287" t="n">
        <v>27.28031</v>
      </c>
      <c r="AL287" t="n">
        <v>14.97932</v>
      </c>
      <c r="AM287" t="n">
        <v>8.184908999999999</v>
      </c>
      <c r="AN287" t="n">
        <v>6.105493</v>
      </c>
      <c r="AP287" t="n">
        <v>2.152705</v>
      </c>
      <c r="AU287" t="n">
        <v>15.26161</v>
      </c>
      <c r="AV287" t="n">
        <v>9.4424e-05</v>
      </c>
      <c r="AW287" t="n">
        <v>17.84682</v>
      </c>
      <c r="AX287" t="n">
        <v>2.11557</v>
      </c>
    </row>
    <row r="288">
      <c r="A288" s="92" t="n">
        <v>26604</v>
      </c>
      <c r="B288" t="n">
        <v>26.20334</v>
      </c>
      <c r="C288" t="n">
        <v>21.7628</v>
      </c>
      <c r="E288" t="n">
        <v>17.61917</v>
      </c>
      <c r="F288" t="n">
        <v>39.75305</v>
      </c>
      <c r="G288" t="n">
        <v>0.003060807</v>
      </c>
      <c r="I288" t="n">
        <v>0.1794746</v>
      </c>
      <c r="L288" t="n">
        <v>33.66274</v>
      </c>
      <c r="M288" t="n">
        <v>15.80362</v>
      </c>
      <c r="O288" t="n">
        <v>5.839306</v>
      </c>
      <c r="R288" t="n">
        <v>14.15411</v>
      </c>
      <c r="S288" t="n">
        <v>16.8008</v>
      </c>
      <c r="U288" t="n">
        <v>18.39136</v>
      </c>
      <c r="V288" t="n">
        <v>10.15815</v>
      </c>
      <c r="W288" t="n">
        <v>1.490891</v>
      </c>
      <c r="Y288" t="n">
        <v>1.080957</v>
      </c>
      <c r="Z288" t="n">
        <v>3.532787</v>
      </c>
      <c r="AA288" t="n">
        <v>9.410795</v>
      </c>
      <c r="AB288" t="n">
        <v>0.1308712</v>
      </c>
      <c r="AC288" t="n">
        <v>0.001899226</v>
      </c>
      <c r="AD288" t="n">
        <v>6.50332</v>
      </c>
      <c r="AE288" t="n">
        <v>35.73428</v>
      </c>
      <c r="AF288" t="n">
        <v>6.231182</v>
      </c>
      <c r="AH288" t="n">
        <v>22.74055</v>
      </c>
      <c r="AJ288" t="n">
        <v>0.01596547</v>
      </c>
      <c r="AK288" t="n">
        <v>27.39112</v>
      </c>
      <c r="AL288" t="n">
        <v>15.05099</v>
      </c>
      <c r="AM288" t="n">
        <v>8.209180999999999</v>
      </c>
      <c r="AN288" t="n">
        <v>6.137771</v>
      </c>
      <c r="AP288" t="n">
        <v>2.165543</v>
      </c>
      <c r="AU288" t="n">
        <v>15.26608</v>
      </c>
      <c r="AV288" t="n">
        <v>9.4934e-05</v>
      </c>
      <c r="AW288" t="n">
        <v>17.88901</v>
      </c>
      <c r="AX288" t="n">
        <v>2.11557</v>
      </c>
    </row>
    <row r="289">
      <c r="A289" s="92" t="n">
        <v>26634</v>
      </c>
      <c r="B289" t="n">
        <v>26.34251</v>
      </c>
      <c r="C289" t="n">
        <v>21.91579</v>
      </c>
      <c r="E289" t="n">
        <v>17.69818</v>
      </c>
      <c r="F289" t="n">
        <v>39.96467</v>
      </c>
      <c r="G289" t="n">
        <v>0.003316015</v>
      </c>
      <c r="I289" t="n">
        <v>0.1794746</v>
      </c>
      <c r="L289" t="n">
        <v>33.79322</v>
      </c>
      <c r="M289" t="n">
        <v>15.85976</v>
      </c>
      <c r="O289" t="n">
        <v>5.88447</v>
      </c>
      <c r="R289" t="n">
        <v>14.18162</v>
      </c>
      <c r="S289" t="n">
        <v>16.88853</v>
      </c>
      <c r="U289" t="n">
        <v>18.46471</v>
      </c>
      <c r="V289" t="n">
        <v>10.21215</v>
      </c>
      <c r="W289" t="n">
        <v>1.534105</v>
      </c>
      <c r="Y289" t="n">
        <v>1.149688</v>
      </c>
      <c r="Z289" t="n">
        <v>3.532787</v>
      </c>
      <c r="AB289" t="n">
        <v>0.1301276</v>
      </c>
      <c r="AC289" t="n">
        <v>0.001926208</v>
      </c>
      <c r="AD289" t="n">
        <v>6.531719</v>
      </c>
      <c r="AE289" t="n">
        <v>36.0397</v>
      </c>
      <c r="AF289" t="n">
        <v>6.235842</v>
      </c>
      <c r="AH289" t="n">
        <v>22.83445</v>
      </c>
      <c r="AJ289" t="n">
        <v>0.0160195</v>
      </c>
      <c r="AK289" t="n">
        <v>27.4576</v>
      </c>
      <c r="AL289" t="n">
        <v>15.05099</v>
      </c>
      <c r="AM289" t="n">
        <v>8.244649000000001</v>
      </c>
      <c r="AN289" t="n">
        <v>6.171327</v>
      </c>
      <c r="AP289" t="n">
        <v>2.195167</v>
      </c>
      <c r="AU289" t="n">
        <v>15.479</v>
      </c>
      <c r="AV289" t="n">
        <v>9.5231e-05</v>
      </c>
      <c r="AW289" t="n">
        <v>17.9312</v>
      </c>
      <c r="AX289" t="n">
        <v>2.11557</v>
      </c>
    </row>
    <row r="290">
      <c r="A290" s="92" t="n">
        <v>26665</v>
      </c>
      <c r="B290" t="n">
        <v>26.6606</v>
      </c>
      <c r="C290" t="n">
        <v>22.11307</v>
      </c>
      <c r="E290" t="n">
        <v>17.8562</v>
      </c>
      <c r="F290" t="n">
        <v>40.41688</v>
      </c>
      <c r="G290" t="n">
        <v>0.003657145</v>
      </c>
      <c r="I290" t="n">
        <v>0.1876326</v>
      </c>
      <c r="L290" t="n">
        <v>34.18465</v>
      </c>
      <c r="M290" t="n">
        <v>15.88783</v>
      </c>
      <c r="O290" t="n">
        <v>5.928547</v>
      </c>
      <c r="R290" t="n">
        <v>14.31917</v>
      </c>
      <c r="S290" t="n">
        <v>16.88853</v>
      </c>
      <c r="U290" t="n">
        <v>18.56201</v>
      </c>
      <c r="V290" t="n">
        <v>10.27815</v>
      </c>
      <c r="W290" t="n">
        <v>1.534105</v>
      </c>
      <c r="Y290" t="n">
        <v>1.130943</v>
      </c>
      <c r="Z290" t="n">
        <v>3.532787</v>
      </c>
      <c r="AB290" t="n">
        <v>0.1316147</v>
      </c>
      <c r="AC290" t="n">
        <v>0.001962626</v>
      </c>
      <c r="AD290" t="n">
        <v>6.599876</v>
      </c>
      <c r="AE290" t="n">
        <v>36.34513</v>
      </c>
      <c r="AF290" t="n">
        <v>6.255148</v>
      </c>
      <c r="AH290" t="n">
        <v>22.91617</v>
      </c>
      <c r="AJ290" t="n">
        <v>0.016252</v>
      </c>
      <c r="AK290" t="n">
        <v>27.67921</v>
      </c>
      <c r="AL290" t="n">
        <v>15.12266</v>
      </c>
      <c r="AM290" t="n">
        <v>8.297571</v>
      </c>
      <c r="AN290" t="n">
        <v>6.22161</v>
      </c>
      <c r="AP290" t="n">
        <v>2.237629</v>
      </c>
      <c r="AU290" t="n">
        <v>15.54103</v>
      </c>
      <c r="AV290" t="n">
        <v>9.6208e-05</v>
      </c>
      <c r="AW290" t="n">
        <v>17.97339</v>
      </c>
      <c r="AX290" t="n">
        <v>2.11557</v>
      </c>
    </row>
    <row r="291">
      <c r="A291" s="92" t="n">
        <v>26696</v>
      </c>
      <c r="B291" t="n">
        <v>26.77989</v>
      </c>
      <c r="C291" t="n">
        <v>22.23586</v>
      </c>
      <c r="E291" t="n">
        <v>18.01422</v>
      </c>
      <c r="F291" t="n">
        <v>40.6882</v>
      </c>
      <c r="G291" t="n">
        <v>0.003808569</v>
      </c>
      <c r="I291" t="n">
        <v>0.1876326</v>
      </c>
      <c r="L291" t="n">
        <v>34.38036</v>
      </c>
      <c r="M291" t="n">
        <v>16.05625</v>
      </c>
      <c r="O291" t="n">
        <v>5.937797</v>
      </c>
      <c r="R291" t="n">
        <v>14.41545</v>
      </c>
      <c r="S291" t="n">
        <v>16.9324</v>
      </c>
      <c r="U291" t="n">
        <v>18.69286</v>
      </c>
      <c r="V291" t="n">
        <v>10.34415</v>
      </c>
      <c r="W291" t="n">
        <v>1.534105</v>
      </c>
      <c r="Y291" t="n">
        <v>1.137192</v>
      </c>
      <c r="Z291" t="n">
        <v>3.583776</v>
      </c>
      <c r="AA291" t="n">
        <v>9.782629999999999</v>
      </c>
      <c r="AB291" t="n">
        <v>0.1360763</v>
      </c>
      <c r="AC291" t="n">
        <v>0.001981517</v>
      </c>
      <c r="AD291" t="n">
        <v>6.673713</v>
      </c>
      <c r="AE291" t="n">
        <v>36.65055</v>
      </c>
      <c r="AF291" t="n">
        <v>6.27512</v>
      </c>
      <c r="AH291" t="n">
        <v>23.02224</v>
      </c>
      <c r="AJ291" t="n">
        <v>0.01638626</v>
      </c>
      <c r="AK291" t="n">
        <v>27.79002</v>
      </c>
      <c r="AL291" t="n">
        <v>15.26601</v>
      </c>
      <c r="AM291" t="n">
        <v>8.353456</v>
      </c>
      <c r="AN291" t="n">
        <v>6.260275</v>
      </c>
      <c r="AP291" t="n">
        <v>2.30774</v>
      </c>
      <c r="AU291" t="n">
        <v>15.66733</v>
      </c>
      <c r="AV291" t="n">
        <v>9.667500000000001e-05</v>
      </c>
      <c r="AW291" t="n">
        <v>18.09997</v>
      </c>
      <c r="AX291" t="n">
        <v>2.11557</v>
      </c>
    </row>
    <row r="292">
      <c r="A292" s="92" t="n">
        <v>26724</v>
      </c>
      <c r="B292" t="n">
        <v>26.83953</v>
      </c>
      <c r="C292" t="n">
        <v>22.28417</v>
      </c>
      <c r="E292" t="n">
        <v>18.01422</v>
      </c>
      <c r="F292" t="n">
        <v>41.01924</v>
      </c>
      <c r="G292" t="n">
        <v>0.004044212</v>
      </c>
      <c r="I292" t="n">
        <v>0.1957905</v>
      </c>
      <c r="L292" t="n">
        <v>34.64131</v>
      </c>
      <c r="M292" t="n">
        <v>16.14982</v>
      </c>
      <c r="O292" t="n">
        <v>5.986772</v>
      </c>
      <c r="R292" t="n">
        <v>14.49799</v>
      </c>
      <c r="S292" t="n">
        <v>17.02013</v>
      </c>
      <c r="U292" t="n">
        <v>18.88407</v>
      </c>
      <c r="V292" t="n">
        <v>10.40415</v>
      </c>
      <c r="W292" t="n">
        <v>1.57732</v>
      </c>
      <c r="Y292" t="n">
        <v>1.149688</v>
      </c>
      <c r="Z292" t="n">
        <v>3.634764</v>
      </c>
      <c r="AB292" t="n">
        <v>0.1435121</v>
      </c>
      <c r="AC292" t="n">
        <v>0.002030071</v>
      </c>
      <c r="AD292" t="n">
        <v>6.74755</v>
      </c>
      <c r="AE292" t="n">
        <v>37.56681</v>
      </c>
      <c r="AF292" t="n">
        <v>6.285106</v>
      </c>
      <c r="AH292" t="n">
        <v>23.10745</v>
      </c>
      <c r="AJ292" t="n">
        <v>0.01653035</v>
      </c>
      <c r="AK292" t="n">
        <v>28.07811</v>
      </c>
      <c r="AL292" t="n">
        <v>15.48102</v>
      </c>
      <c r="AM292" t="n">
        <v>8.431520000000001</v>
      </c>
      <c r="AN292" t="n">
        <v>6.305052</v>
      </c>
      <c r="AP292" t="n">
        <v>2.286015</v>
      </c>
      <c r="AU292" t="n">
        <v>15.72266</v>
      </c>
      <c r="AV292" t="n">
        <v>9.6845e-05</v>
      </c>
      <c r="AW292" t="n">
        <v>18.26873</v>
      </c>
      <c r="AX292" t="n">
        <v>2.161561</v>
      </c>
    </row>
    <row r="293">
      <c r="A293" s="92" t="n">
        <v>26755</v>
      </c>
      <c r="B293" t="n">
        <v>26.93894</v>
      </c>
      <c r="C293" t="n">
        <v>22.41099</v>
      </c>
      <c r="E293" t="n">
        <v>18.25125</v>
      </c>
      <c r="F293" t="n">
        <v>41.11055</v>
      </c>
      <c r="G293" t="n">
        <v>0.0044568</v>
      </c>
      <c r="I293" t="n">
        <v>0.2039484</v>
      </c>
      <c r="L293" t="n">
        <v>34.83702</v>
      </c>
      <c r="M293" t="n">
        <v>16.36502</v>
      </c>
      <c r="O293" t="n">
        <v>6.071659</v>
      </c>
      <c r="R293" t="n">
        <v>14.6768</v>
      </c>
      <c r="S293" t="n">
        <v>17.13711</v>
      </c>
      <c r="U293" t="n">
        <v>19.06686</v>
      </c>
      <c r="V293" t="n">
        <v>10.60215</v>
      </c>
      <c r="W293" t="n">
        <v>1.598927</v>
      </c>
      <c r="Y293" t="n">
        <v>1.18093</v>
      </c>
      <c r="Z293" t="n">
        <v>3.718531</v>
      </c>
      <c r="AB293" t="n">
        <v>0.1487172</v>
      </c>
      <c r="AC293" t="n">
        <v>0.002108306</v>
      </c>
      <c r="AD293" t="n">
        <v>6.815707</v>
      </c>
      <c r="AE293" t="n">
        <v>38.27946</v>
      </c>
      <c r="AF293" t="n">
        <v>6.319058</v>
      </c>
      <c r="AH293" t="n">
        <v>23.3248</v>
      </c>
      <c r="AJ293" t="n">
        <v>0.01679232</v>
      </c>
      <c r="AK293" t="n">
        <v>28.5435</v>
      </c>
      <c r="AL293" t="n">
        <v>15.55269</v>
      </c>
      <c r="AM293" t="n">
        <v>8.520363</v>
      </c>
      <c r="AN293" t="n">
        <v>6.368596</v>
      </c>
      <c r="AP293" t="n">
        <v>2.30379</v>
      </c>
      <c r="AU293" t="n">
        <v>15.83555</v>
      </c>
      <c r="AV293" t="n">
        <v>9.7822e-05</v>
      </c>
      <c r="AW293" t="n">
        <v>18.39531</v>
      </c>
      <c r="AX293" t="n">
        <v>2.207551</v>
      </c>
    </row>
    <row r="294">
      <c r="A294" s="92" t="n">
        <v>26785</v>
      </c>
      <c r="B294" t="n">
        <v>27.03835</v>
      </c>
      <c r="C294" t="n">
        <v>22.50359</v>
      </c>
      <c r="E294" t="n">
        <v>18.33026</v>
      </c>
      <c r="F294" t="n">
        <v>41.41174</v>
      </c>
      <c r="G294" t="n">
        <v>0.005321958</v>
      </c>
      <c r="I294" t="n">
        <v>0.2121064</v>
      </c>
      <c r="L294" t="n">
        <v>35.09798</v>
      </c>
      <c r="M294" t="n">
        <v>16.57087</v>
      </c>
      <c r="O294" t="n">
        <v>6.1609</v>
      </c>
      <c r="R294" t="n">
        <v>14.89689</v>
      </c>
      <c r="S294" t="n">
        <v>17.29795</v>
      </c>
      <c r="U294" t="n">
        <v>19.23555</v>
      </c>
      <c r="V294" t="n">
        <v>10.68016</v>
      </c>
      <c r="W294" t="n">
        <v>1.642141</v>
      </c>
      <c r="Y294" t="n">
        <v>1.18093</v>
      </c>
      <c r="Z294" t="n">
        <v>3.835077</v>
      </c>
      <c r="AA294" t="n">
        <v>10.0801</v>
      </c>
      <c r="AB294" t="n">
        <v>0.1494608</v>
      </c>
      <c r="AC294" t="n">
        <v>0.002137988</v>
      </c>
      <c r="AD294" t="n">
        <v>6.917943</v>
      </c>
      <c r="AE294" t="n">
        <v>38.8903</v>
      </c>
      <c r="AF294" t="n">
        <v>6.353675</v>
      </c>
      <c r="AH294" t="n">
        <v>23.61171</v>
      </c>
      <c r="AJ294" t="n">
        <v>0.01697079</v>
      </c>
      <c r="AK294" t="n">
        <v>28.69862</v>
      </c>
      <c r="AL294" t="n">
        <v>15.62436</v>
      </c>
      <c r="AM294" t="n">
        <v>8.597206</v>
      </c>
      <c r="AN294" t="n">
        <v>6.432565</v>
      </c>
      <c r="AP294" t="n">
        <v>2.347239</v>
      </c>
      <c r="AU294" t="n">
        <v>15.89422</v>
      </c>
      <c r="AV294" t="n">
        <v>9.9479e-05</v>
      </c>
      <c r="AW294" t="n">
        <v>18.52188</v>
      </c>
      <c r="AX294" t="n">
        <v>2.207551</v>
      </c>
    </row>
    <row r="295">
      <c r="A295" s="92" t="n">
        <v>26816</v>
      </c>
      <c r="B295" t="n">
        <v>27.23716</v>
      </c>
      <c r="C295" t="n">
        <v>22.61431</v>
      </c>
      <c r="E295" t="n">
        <v>18.48828</v>
      </c>
      <c r="F295" t="n">
        <v>41.71291</v>
      </c>
      <c r="G295" t="n">
        <v>0.00615479</v>
      </c>
      <c r="I295" t="n">
        <v>0.2121064</v>
      </c>
      <c r="L295" t="n">
        <v>35.29369</v>
      </c>
      <c r="M295" t="n">
        <v>16.70187</v>
      </c>
      <c r="O295" t="n">
        <v>6.254494</v>
      </c>
      <c r="R295" t="n">
        <v>15.04819</v>
      </c>
      <c r="S295" t="n">
        <v>17.42955</v>
      </c>
      <c r="U295" t="n">
        <v>19.35669</v>
      </c>
      <c r="V295" t="n">
        <v>10.73416</v>
      </c>
      <c r="W295" t="n">
        <v>1.685355</v>
      </c>
      <c r="Y295" t="n">
        <v>1.243413</v>
      </c>
      <c r="Z295" t="n">
        <v>3.918844</v>
      </c>
      <c r="AB295" t="n">
        <v>0.1524352</v>
      </c>
      <c r="AC295" t="n">
        <v>0.002144724</v>
      </c>
      <c r="AD295" t="n">
        <v>6.98042</v>
      </c>
      <c r="AE295" t="n">
        <v>38.99211</v>
      </c>
      <c r="AF295" t="n">
        <v>6.339029</v>
      </c>
      <c r="AH295" t="n">
        <v>23.64127</v>
      </c>
      <c r="AJ295" t="n">
        <v>0.01710995</v>
      </c>
      <c r="AK295" t="n">
        <v>28.76511</v>
      </c>
      <c r="AL295" t="n">
        <v>15.7677</v>
      </c>
      <c r="AM295" t="n">
        <v>8.657069</v>
      </c>
      <c r="AN295" t="n">
        <v>6.48679</v>
      </c>
      <c r="AP295" t="n">
        <v>2.353164</v>
      </c>
      <c r="AU295" t="n">
        <v>16.03282</v>
      </c>
      <c r="AV295" t="n">
        <v>0.00010224</v>
      </c>
      <c r="AW295" t="n">
        <v>18.64845</v>
      </c>
      <c r="AX295" t="n">
        <v>2.207551</v>
      </c>
    </row>
    <row r="296">
      <c r="A296" s="92" t="n">
        <v>26846</v>
      </c>
      <c r="B296" t="n">
        <v>27.31668</v>
      </c>
      <c r="C296" t="n">
        <v>22.71295</v>
      </c>
      <c r="E296" t="n">
        <v>18.72531</v>
      </c>
      <c r="F296" t="n">
        <v>41.77438</v>
      </c>
      <c r="G296" t="n">
        <v>0.007095661</v>
      </c>
      <c r="I296" t="n">
        <v>0.2202643</v>
      </c>
      <c r="L296" t="n">
        <v>35.42417</v>
      </c>
      <c r="M296" t="n">
        <v>16.81415</v>
      </c>
      <c r="O296" t="n">
        <v>6.321425</v>
      </c>
      <c r="R296" t="n">
        <v>15.43334</v>
      </c>
      <c r="S296" t="n">
        <v>17.57577</v>
      </c>
      <c r="U296" t="n">
        <v>19.44271</v>
      </c>
      <c r="V296" t="n">
        <v>10.78216</v>
      </c>
      <c r="W296" t="n">
        <v>1.642141</v>
      </c>
      <c r="Y296" t="n">
        <v>1.305896</v>
      </c>
      <c r="Z296" t="n">
        <v>4.086378</v>
      </c>
      <c r="AB296" t="n">
        <v>0.1539223</v>
      </c>
      <c r="AC296" t="n">
        <v>0.002181151</v>
      </c>
      <c r="AD296" t="n">
        <v>7.020178</v>
      </c>
      <c r="AE296" t="n">
        <v>39.29753</v>
      </c>
      <c r="AF296" t="n">
        <v>6.372982</v>
      </c>
      <c r="AH296" t="n">
        <v>23.61519</v>
      </c>
      <c r="AJ296" t="n">
        <v>0.01754875</v>
      </c>
      <c r="AK296" t="n">
        <v>28.69862</v>
      </c>
      <c r="AL296" t="n">
        <v>15.83938</v>
      </c>
      <c r="AM296" t="n">
        <v>8.707098999999999</v>
      </c>
      <c r="AN296" t="n">
        <v>6.517962</v>
      </c>
      <c r="AP296" t="n">
        <v>2.366988</v>
      </c>
      <c r="AU296" t="n">
        <v>16.0915</v>
      </c>
      <c r="AV296" t="n">
        <v>0.000102537</v>
      </c>
      <c r="AW296" t="n">
        <v>18.69064</v>
      </c>
      <c r="AX296" t="n">
        <v>2.253542</v>
      </c>
    </row>
    <row r="297">
      <c r="A297" s="92" t="n">
        <v>26877</v>
      </c>
      <c r="B297" t="n">
        <v>27.49561</v>
      </c>
      <c r="C297" t="n">
        <v>22.81762</v>
      </c>
      <c r="E297" t="n">
        <v>18.96234</v>
      </c>
      <c r="F297" t="n">
        <v>41.92541</v>
      </c>
      <c r="G297" t="n">
        <v>0.008306202</v>
      </c>
      <c r="I297" t="n">
        <v>0.2121064</v>
      </c>
      <c r="L297" t="n">
        <v>35.42417</v>
      </c>
      <c r="M297" t="n">
        <v>16.91707</v>
      </c>
      <c r="O297" t="n">
        <v>6.425358</v>
      </c>
      <c r="R297" t="n">
        <v>15.65342</v>
      </c>
      <c r="S297" t="n">
        <v>17.69275</v>
      </c>
      <c r="U297" t="n">
        <v>19.66367</v>
      </c>
      <c r="V297" t="n">
        <v>10.81216</v>
      </c>
      <c r="W297" t="n">
        <v>1.663748</v>
      </c>
      <c r="Y297" t="n">
        <v>1.305896</v>
      </c>
      <c r="Z297" t="n">
        <v>4.155577</v>
      </c>
      <c r="AA297" t="n">
        <v>10.31672</v>
      </c>
      <c r="AB297" t="n">
        <v>0.1561531</v>
      </c>
      <c r="AC297" t="n">
        <v>0.002194632</v>
      </c>
      <c r="AD297" t="n">
        <v>7.065616</v>
      </c>
      <c r="AE297" t="n">
        <v>39.60295</v>
      </c>
      <c r="AF297" t="n">
        <v>6.436891</v>
      </c>
      <c r="AH297" t="n">
        <v>23.64649</v>
      </c>
      <c r="AJ297" t="n">
        <v>0.01783038</v>
      </c>
      <c r="AK297" t="n">
        <v>28.85375</v>
      </c>
      <c r="AL297" t="n">
        <v>15.7677</v>
      </c>
      <c r="AM297" t="n">
        <v>8.802244999999999</v>
      </c>
      <c r="AN297" t="n">
        <v>6.55266</v>
      </c>
      <c r="AP297" t="n">
        <v>2.39365</v>
      </c>
      <c r="AU297" t="n">
        <v>16.13341</v>
      </c>
      <c r="AV297" t="n">
        <v>0.000103684</v>
      </c>
      <c r="AW297" t="n">
        <v>19.02817</v>
      </c>
      <c r="AX297" t="n">
        <v>2.253542</v>
      </c>
    </row>
    <row r="298">
      <c r="A298" s="92" t="n">
        <v>26908</v>
      </c>
      <c r="B298" t="n">
        <v>27.51549</v>
      </c>
      <c r="C298" t="n">
        <v>22.92633</v>
      </c>
      <c r="E298" t="n">
        <v>19.04135</v>
      </c>
      <c r="F298" t="n">
        <v>42.2863</v>
      </c>
      <c r="G298" t="n">
        <v>0.009709001</v>
      </c>
      <c r="I298" t="n">
        <v>0.2202643</v>
      </c>
      <c r="L298" t="n">
        <v>35.42417</v>
      </c>
      <c r="M298" t="n">
        <v>17.09485</v>
      </c>
      <c r="O298" t="n">
        <v>6.536366</v>
      </c>
      <c r="R298" t="n">
        <v>15.77722</v>
      </c>
      <c r="S298" t="n">
        <v>17.85359</v>
      </c>
      <c r="U298" t="n">
        <v>19.79346</v>
      </c>
      <c r="V298" t="n">
        <v>10.90816</v>
      </c>
      <c r="W298" t="n">
        <v>1.750177</v>
      </c>
      <c r="Y298" t="n">
        <v>1.349634</v>
      </c>
      <c r="Z298" t="n">
        <v>4.173788</v>
      </c>
      <c r="AB298" t="n">
        <v>0.1583838</v>
      </c>
      <c r="AC298" t="n">
        <v>0.00223106</v>
      </c>
      <c r="AD298" t="n">
        <v>7.105374</v>
      </c>
      <c r="AE298" t="n">
        <v>40.72283</v>
      </c>
      <c r="AF298" t="n">
        <v>6.490815</v>
      </c>
      <c r="AH298" t="n">
        <v>23.69865</v>
      </c>
      <c r="AJ298" t="n">
        <v>0.01825444</v>
      </c>
      <c r="AK298" t="n">
        <v>29.14185</v>
      </c>
      <c r="AL298" t="n">
        <v>15.91105</v>
      </c>
      <c r="AM298" t="n">
        <v>8.879225999999999</v>
      </c>
      <c r="AN298" t="n">
        <v>6.614362</v>
      </c>
      <c r="AP298" t="n">
        <v>2.462774</v>
      </c>
      <c r="AU298" t="n">
        <v>16.18594</v>
      </c>
      <c r="AV298" t="n">
        <v>0.000108399</v>
      </c>
      <c r="AW298" t="n">
        <v>19.07036</v>
      </c>
      <c r="AX298" t="n">
        <v>2.253542</v>
      </c>
    </row>
    <row r="299">
      <c r="A299" s="92" t="n">
        <v>26938</v>
      </c>
      <c r="B299" t="n">
        <v>27.91311</v>
      </c>
      <c r="C299" t="n">
        <v>23.08133</v>
      </c>
      <c r="E299" t="n">
        <v>19.12036</v>
      </c>
      <c r="F299" t="n">
        <v>43.16086</v>
      </c>
      <c r="G299" t="n">
        <v>0.01821086</v>
      </c>
      <c r="I299" t="n">
        <v>0.2202643</v>
      </c>
      <c r="L299" t="n">
        <v>35.68512</v>
      </c>
      <c r="M299" t="n">
        <v>17.29135</v>
      </c>
      <c r="O299" t="n">
        <v>6.639755</v>
      </c>
      <c r="R299" t="n">
        <v>15.87351</v>
      </c>
      <c r="S299" t="n">
        <v>18.04368</v>
      </c>
      <c r="U299" t="n">
        <v>19.96945</v>
      </c>
      <c r="V299" t="n">
        <v>11.12416</v>
      </c>
      <c r="W299" t="n">
        <v>1.836605</v>
      </c>
      <c r="Y299" t="n">
        <v>1.387124</v>
      </c>
      <c r="Z299" t="n">
        <v>4.272123</v>
      </c>
      <c r="AB299" t="n">
        <v>0.1665633</v>
      </c>
      <c r="AC299" t="n">
        <v>0.002271523</v>
      </c>
      <c r="AD299" t="n">
        <v>7.162172</v>
      </c>
      <c r="AE299" t="n">
        <v>40.92645</v>
      </c>
      <c r="AF299" t="n">
        <v>6.500801</v>
      </c>
      <c r="AH299" t="n">
        <v>23.86384</v>
      </c>
      <c r="AJ299" t="n">
        <v>0.01848857</v>
      </c>
      <c r="AK299" t="n">
        <v>29.42994</v>
      </c>
      <c r="AL299" t="n">
        <v>16.05439</v>
      </c>
      <c r="AM299" t="n">
        <v>8.974261</v>
      </c>
      <c r="AN299" t="n">
        <v>6.70125</v>
      </c>
      <c r="AP299" t="n">
        <v>2.510173</v>
      </c>
      <c r="AU299" t="n">
        <v>16.3536</v>
      </c>
      <c r="AV299" t="n">
        <v>0.000111075</v>
      </c>
      <c r="AW299" t="n">
        <v>19.23913</v>
      </c>
      <c r="AX299" t="n">
        <v>2.299533</v>
      </c>
    </row>
    <row r="300">
      <c r="A300" s="92" t="n">
        <v>26969</v>
      </c>
      <c r="B300" t="n">
        <v>28.29086</v>
      </c>
      <c r="C300" t="n">
        <v>23.22425</v>
      </c>
      <c r="E300" t="n">
        <v>19.27838</v>
      </c>
      <c r="F300" t="n">
        <v>44.06615</v>
      </c>
      <c r="G300" t="n">
        <v>0.01924871</v>
      </c>
      <c r="I300" t="n">
        <v>0.2284223</v>
      </c>
      <c r="L300" t="n">
        <v>36.14178</v>
      </c>
      <c r="M300" t="n">
        <v>17.58141</v>
      </c>
      <c r="O300" t="n">
        <v>6.647917</v>
      </c>
      <c r="R300" t="n">
        <v>15.96979</v>
      </c>
      <c r="S300" t="n">
        <v>18.20452</v>
      </c>
      <c r="U300" t="n">
        <v>20.13274</v>
      </c>
      <c r="V300" t="n">
        <v>11.20816</v>
      </c>
      <c r="W300" t="n">
        <v>1.944641</v>
      </c>
      <c r="Y300" t="n">
        <v>1.412117</v>
      </c>
      <c r="Z300" t="n">
        <v>4.35589</v>
      </c>
      <c r="AA300" t="n">
        <v>10.60067</v>
      </c>
      <c r="AB300" t="n">
        <v>0.1680505</v>
      </c>
      <c r="AC300" t="n">
        <v>0.00237134</v>
      </c>
      <c r="AD300" t="n">
        <v>7.247368</v>
      </c>
      <c r="AE300" t="n">
        <v>41.23186</v>
      </c>
      <c r="AF300" t="n">
        <v>6.578691</v>
      </c>
      <c r="AH300" t="n">
        <v>24.01338</v>
      </c>
      <c r="AJ300" t="n">
        <v>0.01871616</v>
      </c>
      <c r="AK300" t="n">
        <v>29.56291</v>
      </c>
      <c r="AL300" t="n">
        <v>16.19773</v>
      </c>
      <c r="AM300" t="n">
        <v>9.051867</v>
      </c>
      <c r="AN300" t="n">
        <v>6.773926</v>
      </c>
      <c r="AP300" t="n">
        <v>2.53486</v>
      </c>
      <c r="AU300" t="n">
        <v>16.54193</v>
      </c>
      <c r="AV300" t="n">
        <v>0.000112306</v>
      </c>
      <c r="AW300" t="n">
        <v>19.3657</v>
      </c>
      <c r="AX300" t="n">
        <v>2.299533</v>
      </c>
    </row>
    <row r="301">
      <c r="A301" s="92" t="n">
        <v>26999</v>
      </c>
      <c r="B301" t="n">
        <v>28.41014</v>
      </c>
      <c r="C301" t="n">
        <v>23.51413</v>
      </c>
      <c r="E301" t="n">
        <v>19.35739</v>
      </c>
      <c r="F301" t="n">
        <v>44.72998</v>
      </c>
      <c r="G301" t="n">
        <v>0.02016236</v>
      </c>
      <c r="I301" t="n">
        <v>0.2284223</v>
      </c>
      <c r="L301" t="n">
        <v>36.46797</v>
      </c>
      <c r="M301" t="n">
        <v>17.85275</v>
      </c>
      <c r="O301" t="n">
        <v>6.720289</v>
      </c>
      <c r="R301" t="n">
        <v>16.17612</v>
      </c>
      <c r="S301" t="n">
        <v>18.3215</v>
      </c>
      <c r="U301" t="n">
        <v>20.34798</v>
      </c>
      <c r="V301" t="n">
        <v>11.29216</v>
      </c>
      <c r="W301" t="n">
        <v>2.009462</v>
      </c>
      <c r="Y301" t="n">
        <v>1.462103</v>
      </c>
      <c r="Z301" t="n">
        <v>4.3741</v>
      </c>
      <c r="AB301" t="n">
        <v>0.1732556</v>
      </c>
      <c r="AC301" t="n">
        <v>0.00243474</v>
      </c>
      <c r="AD301" t="n">
        <v>7.349604</v>
      </c>
      <c r="AE301" t="n">
        <v>42.55536</v>
      </c>
      <c r="AF301" t="n">
        <v>6.765093</v>
      </c>
      <c r="AH301" t="n">
        <v>24.23595</v>
      </c>
      <c r="AJ301" t="n">
        <v>0.01944313</v>
      </c>
      <c r="AK301" t="n">
        <v>29.71803</v>
      </c>
      <c r="AL301" t="n">
        <v>16.26941</v>
      </c>
      <c r="AM301" t="n">
        <v>9.161481999999999</v>
      </c>
      <c r="AN301" t="n">
        <v>6.846063</v>
      </c>
      <c r="AP301" t="n">
        <v>2.631633</v>
      </c>
      <c r="AU301" t="n">
        <v>16.64252</v>
      </c>
      <c r="AV301" t="n">
        <v>0.000114048</v>
      </c>
      <c r="AW301" t="n">
        <v>19.49227</v>
      </c>
      <c r="AX301" t="n">
        <v>2.299533</v>
      </c>
    </row>
    <row r="302">
      <c r="A302" s="92" t="n">
        <v>27030</v>
      </c>
      <c r="B302" t="n">
        <v>28.82765</v>
      </c>
      <c r="C302" t="n">
        <v>23.77985</v>
      </c>
      <c r="E302" t="n">
        <v>19.51541</v>
      </c>
      <c r="F302" t="n">
        <v>45.09174</v>
      </c>
      <c r="G302" t="n">
        <v>0.02300879</v>
      </c>
      <c r="I302" t="n">
        <v>0.2365802</v>
      </c>
      <c r="L302" t="n">
        <v>36.72892</v>
      </c>
      <c r="M302" t="n">
        <v>18.17089</v>
      </c>
      <c r="O302" t="n">
        <v>6.760012</v>
      </c>
      <c r="R302" t="n">
        <v>16.29992</v>
      </c>
      <c r="S302" t="n">
        <v>18.62856</v>
      </c>
      <c r="U302" t="n">
        <v>20.64927</v>
      </c>
      <c r="V302" t="n">
        <v>11.50817</v>
      </c>
      <c r="W302" t="n">
        <v>2.052676</v>
      </c>
      <c r="Y302" t="n">
        <v>1.612063</v>
      </c>
      <c r="Z302" t="n">
        <v>4.439657</v>
      </c>
      <c r="AB302" t="n">
        <v>0.1777171</v>
      </c>
      <c r="AC302" t="n">
        <v>0.002521066</v>
      </c>
      <c r="AD302" t="n">
        <v>7.468879</v>
      </c>
      <c r="AE302" t="n">
        <v>44.38789</v>
      </c>
      <c r="AF302" t="n">
        <v>7.054683</v>
      </c>
      <c r="AH302" t="n">
        <v>24.46722</v>
      </c>
      <c r="AJ302" t="n">
        <v>0.02013899</v>
      </c>
      <c r="AK302" t="n">
        <v>29.93965</v>
      </c>
      <c r="AL302" t="n">
        <v>16.55609</v>
      </c>
      <c r="AM302" t="n">
        <v>9.305137999999999</v>
      </c>
      <c r="AN302" t="n">
        <v>6.934221</v>
      </c>
      <c r="AP302" t="n">
        <v>2.671132</v>
      </c>
      <c r="AU302" t="n">
        <v>16.84315</v>
      </c>
      <c r="AV302" t="n">
        <v>0.000115152</v>
      </c>
      <c r="AW302" t="n">
        <v>19.66104</v>
      </c>
      <c r="AX302" t="n">
        <v>2.345524</v>
      </c>
    </row>
    <row r="303">
      <c r="A303" s="92" t="n">
        <v>27061</v>
      </c>
      <c r="B303" t="n">
        <v>29.02646</v>
      </c>
      <c r="C303" t="n">
        <v>24.08784</v>
      </c>
      <c r="E303" t="n">
        <v>19.67343</v>
      </c>
      <c r="F303" t="n">
        <v>44.76071</v>
      </c>
      <c r="G303" t="n">
        <v>0.0286404</v>
      </c>
      <c r="I303" t="n">
        <v>0.2365802</v>
      </c>
      <c r="L303" t="n">
        <v>37.05511</v>
      </c>
      <c r="M303" t="n">
        <v>18.22703</v>
      </c>
      <c r="O303" t="n">
        <v>6.782867</v>
      </c>
      <c r="R303" t="n">
        <v>16.7676</v>
      </c>
      <c r="S303" t="n">
        <v>18.87714</v>
      </c>
      <c r="U303" t="n">
        <v>20.97352</v>
      </c>
      <c r="V303" t="n">
        <v>11.70381</v>
      </c>
      <c r="W303" t="n">
        <v>2.031069</v>
      </c>
      <c r="Y303" t="n">
        <v>1.668297</v>
      </c>
      <c r="Z303" t="n">
        <v>4.490645</v>
      </c>
      <c r="AA303" t="n">
        <v>11.10095</v>
      </c>
      <c r="AB303" t="n">
        <v>0.1799478</v>
      </c>
      <c r="AC303" t="n">
        <v>0.002724745</v>
      </c>
      <c r="AD303" t="n">
        <v>7.627912</v>
      </c>
      <c r="AE303" t="n">
        <v>45.81318</v>
      </c>
      <c r="AF303" t="n">
        <v>7.426824</v>
      </c>
      <c r="AH303" t="n">
        <v>24.92627</v>
      </c>
      <c r="AJ303" t="n">
        <v>0.02059416</v>
      </c>
      <c r="AK303" t="n">
        <v>30.22774</v>
      </c>
      <c r="AL303" t="n">
        <v>16.69943</v>
      </c>
      <c r="AM303" t="n">
        <v>9.443954</v>
      </c>
      <c r="AN303" t="n">
        <v>7.019505</v>
      </c>
      <c r="AP303" t="n">
        <v>2.84388</v>
      </c>
      <c r="AU303" t="n">
        <v>17.26285</v>
      </c>
      <c r="AV303" t="n">
        <v>0.000115067</v>
      </c>
      <c r="AW303" t="n">
        <v>19.91418</v>
      </c>
      <c r="AX303" t="n">
        <v>2.345524</v>
      </c>
    </row>
    <row r="304">
      <c r="A304" s="92" t="n">
        <v>27089</v>
      </c>
      <c r="B304" t="n">
        <v>29.24515</v>
      </c>
      <c r="C304" t="n">
        <v>24.3898</v>
      </c>
      <c r="E304" t="n">
        <v>19.91046</v>
      </c>
      <c r="F304" t="n">
        <v>44.97057</v>
      </c>
      <c r="G304" t="n">
        <v>0.03270929</v>
      </c>
      <c r="I304" t="n">
        <v>0.2447381</v>
      </c>
      <c r="L304" t="n">
        <v>37.12035</v>
      </c>
      <c r="M304" t="n">
        <v>18.38609</v>
      </c>
      <c r="O304" t="n">
        <v>6.930332</v>
      </c>
      <c r="R304" t="n">
        <v>16.9189</v>
      </c>
      <c r="S304" t="n">
        <v>19.09647</v>
      </c>
      <c r="U304" t="n">
        <v>21.20844</v>
      </c>
      <c r="V304" t="n">
        <v>11.80738</v>
      </c>
      <c r="W304" t="n">
        <v>2.09589</v>
      </c>
      <c r="Y304" t="n">
        <v>1.693291</v>
      </c>
      <c r="Z304" t="n">
        <v>4.625401</v>
      </c>
      <c r="AB304" t="n">
        <v>0.1948196</v>
      </c>
      <c r="AC304" t="n">
        <v>0.002797591</v>
      </c>
      <c r="AD304" t="n">
        <v>7.826704</v>
      </c>
      <c r="AE304" t="n">
        <v>46.11861</v>
      </c>
      <c r="AF304" t="n">
        <v>7.706428</v>
      </c>
      <c r="AH304" t="n">
        <v>25.09146</v>
      </c>
      <c r="AJ304" t="n">
        <v>0.02075299</v>
      </c>
      <c r="AK304" t="n">
        <v>30.67096</v>
      </c>
      <c r="AL304" t="n">
        <v>16.84278</v>
      </c>
      <c r="AM304" t="n">
        <v>9.561213</v>
      </c>
      <c r="AN304" t="n">
        <v>7.118554</v>
      </c>
      <c r="AP304" t="n">
        <v>2.942593</v>
      </c>
      <c r="AU304" t="n">
        <v>17.41709</v>
      </c>
      <c r="AV304" t="n">
        <v>0.000121481</v>
      </c>
      <c r="AW304" t="n">
        <v>20.16733</v>
      </c>
      <c r="AX304" t="n">
        <v>2.391514</v>
      </c>
    </row>
    <row r="305">
      <c r="A305" s="92" t="n">
        <v>27120</v>
      </c>
      <c r="B305" t="n">
        <v>29.56325</v>
      </c>
      <c r="C305" t="n">
        <v>24.73805</v>
      </c>
      <c r="E305" t="n">
        <v>20.06848</v>
      </c>
      <c r="F305" t="n">
        <v>44.69925</v>
      </c>
      <c r="G305" t="n">
        <v>0.03771734</v>
      </c>
      <c r="I305" t="n">
        <v>0.2528961</v>
      </c>
      <c r="L305" t="n">
        <v>37.3813</v>
      </c>
      <c r="M305" t="n">
        <v>18.69486</v>
      </c>
      <c r="O305" t="n">
        <v>7.082151</v>
      </c>
      <c r="R305" t="n">
        <v>17.34531</v>
      </c>
      <c r="S305" t="n">
        <v>19.40353</v>
      </c>
      <c r="U305" t="n">
        <v>21.44505</v>
      </c>
      <c r="V305" t="n">
        <v>12.21017</v>
      </c>
      <c r="W305" t="n">
        <v>2.117497</v>
      </c>
      <c r="Y305" t="n">
        <v>1.762022</v>
      </c>
      <c r="Z305" t="n">
        <v>4.760157</v>
      </c>
      <c r="AB305" t="n">
        <v>0.2089477</v>
      </c>
      <c r="AC305" t="n">
        <v>0.002873126</v>
      </c>
      <c r="AD305" t="n">
        <v>7.923259</v>
      </c>
      <c r="AE305" t="n">
        <v>47.23848</v>
      </c>
      <c r="AF305" t="n">
        <v>7.848893</v>
      </c>
      <c r="AH305" t="n">
        <v>25.41663</v>
      </c>
      <c r="AJ305" t="n">
        <v>0.0210346</v>
      </c>
      <c r="AK305" t="n">
        <v>31.06986</v>
      </c>
      <c r="AL305" t="n">
        <v>16.98612</v>
      </c>
      <c r="AM305" t="n">
        <v>9.67625</v>
      </c>
      <c r="AN305" t="n">
        <v>7.223797</v>
      </c>
      <c r="AP305" t="n">
        <v>2.91909</v>
      </c>
      <c r="AU305" t="n">
        <v>17.32264</v>
      </c>
      <c r="AV305" t="n">
        <v>0.00012335</v>
      </c>
      <c r="AW305" t="n">
        <v>20.25171</v>
      </c>
      <c r="AX305" t="n">
        <v>2.391514</v>
      </c>
    </row>
    <row r="306">
      <c r="A306" s="92" t="n">
        <v>27150</v>
      </c>
      <c r="B306" t="n">
        <v>29.64277</v>
      </c>
      <c r="C306" t="n">
        <v>25.10039</v>
      </c>
      <c r="E306" t="n">
        <v>20.46352</v>
      </c>
      <c r="F306" t="n">
        <v>45.48424</v>
      </c>
      <c r="G306" t="n">
        <v>0.04098912</v>
      </c>
      <c r="I306" t="n">
        <v>0.261054</v>
      </c>
      <c r="L306" t="n">
        <v>37.57701</v>
      </c>
      <c r="M306" t="n">
        <v>18.93814</v>
      </c>
      <c r="O306" t="n">
        <v>7.171392</v>
      </c>
      <c r="R306" t="n">
        <v>17.52413</v>
      </c>
      <c r="S306" t="n">
        <v>19.63749</v>
      </c>
      <c r="U306" t="n">
        <v>21.68215</v>
      </c>
      <c r="V306" t="n">
        <v>12.38279</v>
      </c>
      <c r="W306" t="n">
        <v>2.160712</v>
      </c>
      <c r="Y306" t="n">
        <v>1.762022</v>
      </c>
      <c r="Z306" t="n">
        <v>4.945901</v>
      </c>
      <c r="AA306" t="n">
        <v>11.71617</v>
      </c>
      <c r="AB306" t="n">
        <v>0.2148964</v>
      </c>
      <c r="AC306" t="n">
        <v>0.002950016</v>
      </c>
      <c r="AD306" t="n">
        <v>8.036854999999999</v>
      </c>
      <c r="AE306" t="n">
        <v>47.4421</v>
      </c>
      <c r="AF306" t="n">
        <v>7.888171</v>
      </c>
      <c r="AH306" t="n">
        <v>25.64615</v>
      </c>
      <c r="AJ306" t="n">
        <v>0.02119998</v>
      </c>
      <c r="AK306" t="n">
        <v>31.22499</v>
      </c>
      <c r="AL306" t="n">
        <v>16.98612</v>
      </c>
      <c r="AM306" t="n">
        <v>9.778387</v>
      </c>
      <c r="AN306" t="n">
        <v>7.300952</v>
      </c>
      <c r="AP306" t="n">
        <v>2.946119</v>
      </c>
      <c r="AU306" t="n">
        <v>17.25111</v>
      </c>
      <c r="AV306" t="n">
        <v>0.000125431</v>
      </c>
      <c r="AW306" t="n">
        <v>20.50486</v>
      </c>
      <c r="AX306" t="n">
        <v>2.437505</v>
      </c>
    </row>
    <row r="307">
      <c r="A307" s="92" t="n">
        <v>27181</v>
      </c>
      <c r="B307" t="n">
        <v>30.02052</v>
      </c>
      <c r="C307" t="n">
        <v>25.45871</v>
      </c>
      <c r="E307" t="n">
        <v>20.62154</v>
      </c>
      <c r="F307" t="n">
        <v>45.72571</v>
      </c>
      <c r="G307" t="n">
        <v>0.04951905</v>
      </c>
      <c r="I307" t="n">
        <v>0.261054</v>
      </c>
      <c r="L307" t="n">
        <v>37.70749</v>
      </c>
      <c r="M307" t="n">
        <v>19.26563</v>
      </c>
      <c r="O307" t="n">
        <v>7.202409</v>
      </c>
      <c r="R307" t="n">
        <v>17.57915</v>
      </c>
      <c r="S307" t="n">
        <v>19.85682</v>
      </c>
      <c r="U307" t="n">
        <v>21.86099</v>
      </c>
      <c r="V307" t="n">
        <v>12.50938</v>
      </c>
      <c r="W307" t="n">
        <v>2.182319</v>
      </c>
      <c r="Y307" t="n">
        <v>1.780767</v>
      </c>
      <c r="Z307" t="n">
        <v>5.062447</v>
      </c>
      <c r="AB307" t="n">
        <v>0.2104349</v>
      </c>
      <c r="AC307" t="n">
        <v>0.002959452</v>
      </c>
      <c r="AD307" t="n">
        <v>8.150449999999999</v>
      </c>
      <c r="AE307" t="n">
        <v>47.74752</v>
      </c>
      <c r="AF307" t="n">
        <v>7.828921</v>
      </c>
      <c r="AH307" t="n">
        <v>25.70701</v>
      </c>
      <c r="AJ307" t="n">
        <v>0.02140955</v>
      </c>
      <c r="AK307" t="n">
        <v>31.31363</v>
      </c>
      <c r="AL307" t="n">
        <v>17.05779</v>
      </c>
      <c r="AM307" t="n">
        <v>9.855715</v>
      </c>
      <c r="AN307" t="n">
        <v>7.363843</v>
      </c>
      <c r="AP307" t="n">
        <v>2.95317</v>
      </c>
      <c r="AU307" t="n">
        <v>17.39753</v>
      </c>
      <c r="AV307" t="n">
        <v>0.000127513</v>
      </c>
      <c r="AW307" t="n">
        <v>20.67362</v>
      </c>
      <c r="AX307" t="n">
        <v>2.483495</v>
      </c>
    </row>
    <row r="308">
      <c r="A308" s="92" t="n">
        <v>27211</v>
      </c>
      <c r="B308" t="n">
        <v>30.06028</v>
      </c>
      <c r="C308" t="n">
        <v>25.82106</v>
      </c>
      <c r="E308" t="n">
        <v>20.77956</v>
      </c>
      <c r="F308" t="n">
        <v>45.87674</v>
      </c>
      <c r="G308" t="n">
        <v>0.05521872</v>
      </c>
      <c r="I308" t="n">
        <v>0.261054</v>
      </c>
      <c r="L308" t="n">
        <v>37.83797</v>
      </c>
      <c r="M308" t="n">
        <v>19.49955</v>
      </c>
      <c r="O308" t="n">
        <v>7.287841</v>
      </c>
      <c r="R308" t="n">
        <v>17.93679</v>
      </c>
      <c r="S308" t="n">
        <v>20.1054</v>
      </c>
      <c r="U308" t="n">
        <v>22.08846</v>
      </c>
      <c r="V308" t="n">
        <v>12.62446</v>
      </c>
      <c r="W308" t="n">
        <v>2.182319</v>
      </c>
      <c r="Y308" t="n">
        <v>1.787015</v>
      </c>
      <c r="Z308" t="n">
        <v>5.233624</v>
      </c>
      <c r="AB308" t="n">
        <v>0.2163836</v>
      </c>
      <c r="AC308" t="n">
        <v>0.002999925</v>
      </c>
      <c r="AD308" t="n">
        <v>8.315163</v>
      </c>
      <c r="AE308" t="n">
        <v>48.66378</v>
      </c>
      <c r="AF308" t="n">
        <v>8.000678000000001</v>
      </c>
      <c r="AH308" t="n">
        <v>25.9974</v>
      </c>
      <c r="AJ308" t="n">
        <v>0.021719</v>
      </c>
      <c r="AK308" t="n">
        <v>31.42444</v>
      </c>
      <c r="AL308" t="n">
        <v>17.2728</v>
      </c>
      <c r="AM308" t="n">
        <v>9.967608999999999</v>
      </c>
      <c r="AN308" t="n">
        <v>7.437288</v>
      </c>
      <c r="AP308" t="n">
        <v>2.977848</v>
      </c>
      <c r="AU308" t="n">
        <v>17.44727</v>
      </c>
      <c r="AV308" t="n">
        <v>0.000129084</v>
      </c>
      <c r="AW308" t="n">
        <v>20.84239</v>
      </c>
      <c r="AX308" t="n">
        <v>2.483495</v>
      </c>
    </row>
    <row r="309">
      <c r="A309" s="92" t="n">
        <v>27242</v>
      </c>
      <c r="B309" t="n">
        <v>30.21933</v>
      </c>
      <c r="C309" t="n">
        <v>26.15119</v>
      </c>
      <c r="E309" t="n">
        <v>21.01659</v>
      </c>
      <c r="F309" t="n">
        <v>46.32895</v>
      </c>
      <c r="G309" t="n">
        <v>0.06123485</v>
      </c>
      <c r="I309" t="n">
        <v>0.261054</v>
      </c>
      <c r="L309" t="n">
        <v>37.90321</v>
      </c>
      <c r="M309" t="n">
        <v>19.61183</v>
      </c>
      <c r="O309" t="n">
        <v>7.408099</v>
      </c>
      <c r="R309" t="n">
        <v>18.19814</v>
      </c>
      <c r="S309" t="n">
        <v>20.26624</v>
      </c>
      <c r="U309" t="n">
        <v>22.3145</v>
      </c>
      <c r="V309" t="n">
        <v>12.63597</v>
      </c>
      <c r="W309" t="n">
        <v>2.117497</v>
      </c>
      <c r="Y309" t="n">
        <v>1.787015</v>
      </c>
      <c r="Z309" t="n">
        <v>5.401158</v>
      </c>
      <c r="AA309" t="n">
        <v>12.16237</v>
      </c>
      <c r="AB309" t="n">
        <v>0.2208451</v>
      </c>
      <c r="AC309" t="n">
        <v>0.003014761</v>
      </c>
      <c r="AD309" t="n">
        <v>8.496915</v>
      </c>
      <c r="AE309" t="n">
        <v>49.17282</v>
      </c>
      <c r="AF309" t="n">
        <v>8.250991000000001</v>
      </c>
      <c r="AH309" t="n">
        <v>26.04782</v>
      </c>
      <c r="AJ309" t="n">
        <v>0.02194823</v>
      </c>
      <c r="AK309" t="n">
        <v>31.66821</v>
      </c>
      <c r="AL309" t="n">
        <v>17.34448</v>
      </c>
      <c r="AM309" t="n">
        <v>10.0689</v>
      </c>
      <c r="AN309" t="n">
        <v>7.498639</v>
      </c>
      <c r="AP309" t="n">
        <v>3.083612</v>
      </c>
      <c r="AU309" t="n">
        <v>17.62498</v>
      </c>
      <c r="AV309" t="n">
        <v>0.000130146</v>
      </c>
      <c r="AW309" t="n">
        <v>21.09553</v>
      </c>
      <c r="AX309" t="n">
        <v>2.529486</v>
      </c>
    </row>
    <row r="310">
      <c r="A310" s="92" t="n">
        <v>27273</v>
      </c>
      <c r="B310" t="n">
        <v>30.29885</v>
      </c>
      <c r="C310" t="n">
        <v>26.50548</v>
      </c>
      <c r="E310" t="n">
        <v>21.17461</v>
      </c>
      <c r="F310" t="n">
        <v>47.08234</v>
      </c>
      <c r="G310" t="n">
        <v>0.06907315999999999</v>
      </c>
      <c r="I310" t="n">
        <v>0.2692119</v>
      </c>
      <c r="L310" t="n">
        <v>37.96844</v>
      </c>
      <c r="M310" t="n">
        <v>19.93932</v>
      </c>
      <c r="O310" t="n">
        <v>7.524548</v>
      </c>
      <c r="R310" t="n">
        <v>18.58328</v>
      </c>
      <c r="S310" t="n">
        <v>20.48557</v>
      </c>
      <c r="U310" t="n">
        <v>22.58517</v>
      </c>
      <c r="V310" t="n">
        <v>12.77407</v>
      </c>
      <c r="W310" t="n">
        <v>2.182319</v>
      </c>
      <c r="Y310" t="n">
        <v>1.824505</v>
      </c>
      <c r="Z310" t="n">
        <v>5.61968</v>
      </c>
      <c r="AB310" t="n">
        <v>0.2290245</v>
      </c>
      <c r="AC310" t="n">
        <v>0.003074105</v>
      </c>
      <c r="AD310" t="n">
        <v>8.741144</v>
      </c>
      <c r="AE310" t="n">
        <v>49.88547</v>
      </c>
      <c r="AF310" t="n">
        <v>8.38813</v>
      </c>
      <c r="AH310" t="n">
        <v>26.20432</v>
      </c>
      <c r="AJ310" t="n">
        <v>0.0221971</v>
      </c>
      <c r="AK310" t="n">
        <v>32.15576</v>
      </c>
      <c r="AL310" t="n">
        <v>17.48782</v>
      </c>
      <c r="AM310" t="n">
        <v>10.19659</v>
      </c>
      <c r="AN310" t="n">
        <v>7.60311</v>
      </c>
      <c r="AP310" t="n">
        <v>3.232857</v>
      </c>
      <c r="AU310" t="n">
        <v>17.77755</v>
      </c>
      <c r="AV310" t="n">
        <v>0.000133417</v>
      </c>
      <c r="AW310" t="n">
        <v>21.34868</v>
      </c>
      <c r="AX310" t="n">
        <v>2.575477</v>
      </c>
    </row>
    <row r="311">
      <c r="A311" s="92" t="n">
        <v>27303</v>
      </c>
      <c r="B311" t="n">
        <v>30.69647</v>
      </c>
      <c r="C311" t="n">
        <v>26.73094</v>
      </c>
      <c r="E311" t="n">
        <v>21.41164</v>
      </c>
      <c r="F311" t="n">
        <v>47.3844</v>
      </c>
      <c r="G311" t="n">
        <v>0.08212285</v>
      </c>
      <c r="I311" t="n">
        <v>0.2773699</v>
      </c>
      <c r="L311" t="n">
        <v>38.2294</v>
      </c>
      <c r="M311" t="n">
        <v>20.20131</v>
      </c>
      <c r="O311" t="n">
        <v>7.604538</v>
      </c>
      <c r="R311" t="n">
        <v>18.74834</v>
      </c>
      <c r="S311" t="n">
        <v>20.73415</v>
      </c>
      <c r="U311" t="n">
        <v>22.87759</v>
      </c>
      <c r="V311" t="n">
        <v>13.02725</v>
      </c>
      <c r="W311" t="n">
        <v>2.203926</v>
      </c>
      <c r="Y311" t="n">
        <v>1.874491</v>
      </c>
      <c r="Z311" t="n">
        <v>5.634249</v>
      </c>
      <c r="AB311" t="n">
        <v>0.2491014</v>
      </c>
      <c r="AC311" t="n">
        <v>0.003150996</v>
      </c>
      <c r="AD311" t="n">
        <v>8.905856999999999</v>
      </c>
      <c r="AE311" t="n">
        <v>51.00534</v>
      </c>
      <c r="AF311" t="n">
        <v>8.309574</v>
      </c>
      <c r="AH311" t="n">
        <v>26.45124</v>
      </c>
      <c r="AJ311" t="n">
        <v>0.02263753</v>
      </c>
      <c r="AK311" t="n">
        <v>32.57682</v>
      </c>
      <c r="AL311" t="n">
        <v>17.70283</v>
      </c>
      <c r="AM311" t="n">
        <v>10.33254</v>
      </c>
      <c r="AN311" t="n">
        <v>7.70255</v>
      </c>
      <c r="AP311" t="n">
        <v>3.144721</v>
      </c>
      <c r="AU311" t="n">
        <v>18.32857</v>
      </c>
      <c r="AV311" t="n">
        <v>0.000136135</v>
      </c>
      <c r="AW311" t="n">
        <v>21.55964</v>
      </c>
      <c r="AX311" t="n">
        <v>2.575477</v>
      </c>
    </row>
    <row r="312">
      <c r="A312" s="92" t="n">
        <v>27334</v>
      </c>
      <c r="B312" t="n">
        <v>30.95493</v>
      </c>
      <c r="C312" t="n">
        <v>27.01277</v>
      </c>
      <c r="E312" t="n">
        <v>21.56966</v>
      </c>
      <c r="F312" t="n">
        <v>48.04734</v>
      </c>
      <c r="G312" t="n">
        <v>0.09009557999999999</v>
      </c>
      <c r="I312" t="n">
        <v>0.2855278</v>
      </c>
      <c r="L312" t="n">
        <v>38.49035</v>
      </c>
      <c r="M312" t="n">
        <v>20.48201</v>
      </c>
      <c r="O312" t="n">
        <v>7.814581</v>
      </c>
      <c r="R312" t="n">
        <v>18.87214</v>
      </c>
      <c r="S312" t="n">
        <v>20.92423</v>
      </c>
      <c r="U312" t="n">
        <v>23.09537</v>
      </c>
      <c r="V312" t="n">
        <v>13.25741</v>
      </c>
      <c r="W312" t="n">
        <v>2.24714</v>
      </c>
      <c r="Y312" t="n">
        <v>1.911981</v>
      </c>
      <c r="Z312" t="n">
        <v>5.568692</v>
      </c>
      <c r="AA312" t="n">
        <v>12.7235</v>
      </c>
      <c r="AB312" t="n">
        <v>0.2543065</v>
      </c>
      <c r="AC312" t="n">
        <v>0.003517892</v>
      </c>
      <c r="AD312" t="n">
        <v>9.07625</v>
      </c>
      <c r="AE312" t="n">
        <v>51.41257</v>
      </c>
      <c r="AF312" t="n">
        <v>8.422082</v>
      </c>
      <c r="AH312" t="n">
        <v>26.75206</v>
      </c>
      <c r="AJ312" t="n">
        <v>0.02326627</v>
      </c>
      <c r="AK312" t="n">
        <v>32.82059</v>
      </c>
      <c r="AL312" t="n">
        <v>17.7745</v>
      </c>
      <c r="AM312" t="n">
        <v>10.44403</v>
      </c>
      <c r="AN312" t="n">
        <v>7.805093</v>
      </c>
      <c r="AP312" t="n">
        <v>3.108291</v>
      </c>
      <c r="AU312" t="n">
        <v>18.49455</v>
      </c>
      <c r="AV312" t="n">
        <v>0.000139066</v>
      </c>
      <c r="AW312" t="n">
        <v>21.7284</v>
      </c>
      <c r="AX312" t="n">
        <v>2.621468</v>
      </c>
    </row>
    <row r="313">
      <c r="A313" s="92" t="n">
        <v>27364</v>
      </c>
      <c r="B313" t="n">
        <v>31.15374</v>
      </c>
      <c r="C313" t="n">
        <v>27.20199</v>
      </c>
      <c r="E313" t="n">
        <v>21.80669</v>
      </c>
      <c r="F313" t="n">
        <v>48.10793</v>
      </c>
      <c r="G313" t="n">
        <v>0.09594923</v>
      </c>
      <c r="I313" t="n">
        <v>0.2855278</v>
      </c>
      <c r="L313" t="n">
        <v>38.55558</v>
      </c>
      <c r="M313" t="n">
        <v>20.61301</v>
      </c>
      <c r="O313" t="n">
        <v>7.921779</v>
      </c>
      <c r="R313" t="n">
        <v>18.91341</v>
      </c>
      <c r="S313" t="n">
        <v>21.0997</v>
      </c>
      <c r="U313" t="n">
        <v>23.25822</v>
      </c>
      <c r="V313" t="n">
        <v>13.45305</v>
      </c>
      <c r="W313" t="n">
        <v>2.268747</v>
      </c>
      <c r="Y313" t="n">
        <v>1.955719</v>
      </c>
      <c r="Z313" t="n">
        <v>5.484925</v>
      </c>
      <c r="AB313" t="n">
        <v>0.2632295</v>
      </c>
      <c r="AC313" t="n">
        <v>0.003802508</v>
      </c>
      <c r="AD313" t="n">
        <v>9.150086</v>
      </c>
      <c r="AE313" t="n">
        <v>51.51438</v>
      </c>
      <c r="AF313" t="n">
        <v>8.554561</v>
      </c>
      <c r="AH313" t="n">
        <v>26.96072</v>
      </c>
      <c r="AJ313" t="n">
        <v>0.02344801</v>
      </c>
      <c r="AK313" t="n">
        <v>32.95356</v>
      </c>
      <c r="AL313" t="n">
        <v>17.91785</v>
      </c>
      <c r="AM313" t="n">
        <v>10.5205</v>
      </c>
      <c r="AN313" t="n">
        <v>7.868749</v>
      </c>
      <c r="AP313" t="n">
        <v>3.120042</v>
      </c>
      <c r="AU313" t="n">
        <v>18.56944</v>
      </c>
      <c r="AV313" t="n">
        <v>0.000142124</v>
      </c>
      <c r="AW313" t="n">
        <v>21.89716</v>
      </c>
      <c r="AX313" t="n">
        <v>2.621468</v>
      </c>
    </row>
    <row r="314">
      <c r="A314" s="92" t="n">
        <v>27395</v>
      </c>
      <c r="B314" t="n">
        <v>31.49172</v>
      </c>
      <c r="C314" t="n">
        <v>27.49589</v>
      </c>
      <c r="E314" t="n">
        <v>21.80669</v>
      </c>
      <c r="F314" t="n">
        <v>48.37925</v>
      </c>
      <c r="G314" t="n">
        <v>0.1093145</v>
      </c>
      <c r="I314" t="n">
        <v>0.2936858</v>
      </c>
      <c r="L314" t="n">
        <v>38.94701</v>
      </c>
      <c r="M314" t="n">
        <v>20.63172</v>
      </c>
      <c r="O314" t="n">
        <v>8.032786</v>
      </c>
      <c r="R314" t="n">
        <v>19.43611</v>
      </c>
      <c r="S314" t="n">
        <v>21.33365</v>
      </c>
      <c r="U314" t="n">
        <v>23.45368</v>
      </c>
      <c r="V314" t="n">
        <v>13.79829</v>
      </c>
      <c r="W314" t="n">
        <v>2.311962</v>
      </c>
      <c r="Y314" t="n">
        <v>1.974464</v>
      </c>
      <c r="Z314" t="n">
        <v>5.484925</v>
      </c>
      <c r="AB314" t="n">
        <v>0.2669474</v>
      </c>
      <c r="AC314" t="n">
        <v>0.003876698</v>
      </c>
      <c r="AD314" t="n">
        <v>9.269361</v>
      </c>
      <c r="AE314" t="n">
        <v>52.12522</v>
      </c>
      <c r="AF314" t="n">
        <v>8.849477</v>
      </c>
      <c r="AH314" t="n">
        <v>27.15025</v>
      </c>
      <c r="AJ314" t="n">
        <v>0.02374764</v>
      </c>
      <c r="AK314" t="n">
        <v>33.26381</v>
      </c>
      <c r="AL314" t="n">
        <v>18.41955</v>
      </c>
      <c r="AM314" t="n">
        <v>10.62958</v>
      </c>
      <c r="AN314" t="n">
        <v>7.980169</v>
      </c>
      <c r="AP314" t="n">
        <v>3.263411</v>
      </c>
      <c r="AU314" t="n">
        <v>18.49399</v>
      </c>
      <c r="AV314" t="n">
        <v>0.000143399</v>
      </c>
      <c r="AW314" t="n">
        <v>21.98155</v>
      </c>
      <c r="AX314" t="n">
        <v>2.667458</v>
      </c>
    </row>
    <row r="315">
      <c r="A315" s="92" t="n">
        <v>27426</v>
      </c>
      <c r="B315" t="n">
        <v>31.80982</v>
      </c>
      <c r="C315" t="n">
        <v>27.8059</v>
      </c>
      <c r="E315" t="n">
        <v>22.04372</v>
      </c>
      <c r="F315" t="n">
        <v>48.53028</v>
      </c>
      <c r="G315" t="n">
        <v>0.127391</v>
      </c>
      <c r="I315" t="n">
        <v>0.3018437</v>
      </c>
      <c r="L315" t="n">
        <v>39.14273</v>
      </c>
      <c r="M315" t="n">
        <v>20.68786</v>
      </c>
      <c r="O315" t="n">
        <v>8.109512</v>
      </c>
      <c r="R315" t="n">
        <v>19.72496</v>
      </c>
      <c r="S315" t="n">
        <v>21.4945</v>
      </c>
      <c r="U315" t="n">
        <v>23.64106</v>
      </c>
      <c r="V315" t="n">
        <v>14.02846</v>
      </c>
      <c r="W315" t="n">
        <v>2.311962</v>
      </c>
      <c r="Y315" t="n">
        <v>1.993209</v>
      </c>
      <c r="Z315" t="n">
        <v>5.466714</v>
      </c>
      <c r="AA315" t="n">
        <v>13.74436</v>
      </c>
      <c r="AB315" t="n">
        <v>0.276614</v>
      </c>
      <c r="AC315" t="n">
        <v>0.003934697</v>
      </c>
      <c r="AD315" t="n">
        <v>9.405676</v>
      </c>
      <c r="AE315" t="n">
        <v>52.22703</v>
      </c>
      <c r="AF315" t="n">
        <v>9.009251000000001</v>
      </c>
      <c r="AH315" t="n">
        <v>27.54844</v>
      </c>
      <c r="AJ315" t="n">
        <v>0.02387862</v>
      </c>
      <c r="AK315" t="n">
        <v>33.35246</v>
      </c>
      <c r="AL315" t="n">
        <v>18.49122</v>
      </c>
      <c r="AM315" t="n">
        <v>10.71537</v>
      </c>
      <c r="AN315" t="n">
        <v>8.060720999999999</v>
      </c>
      <c r="AP315" t="n">
        <v>3.21288</v>
      </c>
      <c r="AU315" t="n">
        <v>18.6812</v>
      </c>
      <c r="AV315" t="n">
        <v>0.000149813</v>
      </c>
      <c r="AW315" t="n">
        <v>22.15031</v>
      </c>
      <c r="AX315" t="n">
        <v>2.713449</v>
      </c>
    </row>
    <row r="316">
      <c r="A316" s="92" t="n">
        <v>27454</v>
      </c>
      <c r="B316" t="n">
        <v>31.94899</v>
      </c>
      <c r="C316" t="n">
        <v>27.98908</v>
      </c>
      <c r="E316" t="n">
        <v>22.12273</v>
      </c>
      <c r="F316" t="n">
        <v>48.71204</v>
      </c>
      <c r="G316" t="n">
        <v>0.1543529</v>
      </c>
      <c r="I316" t="n">
        <v>0.3100016</v>
      </c>
      <c r="L316" t="n">
        <v>39.33844</v>
      </c>
      <c r="M316" t="n">
        <v>20.84693</v>
      </c>
      <c r="O316" t="n">
        <v>8.162293999999999</v>
      </c>
      <c r="R316" t="n">
        <v>20.05509</v>
      </c>
      <c r="S316" t="n">
        <v>21.66996</v>
      </c>
      <c r="U316" t="n">
        <v>23.77846</v>
      </c>
      <c r="V316" t="n">
        <v>14.30465</v>
      </c>
      <c r="W316" t="n">
        <v>2.39839</v>
      </c>
      <c r="Y316" t="n">
        <v>2.030699</v>
      </c>
      <c r="Z316" t="n">
        <v>5.401158</v>
      </c>
      <c r="AB316" t="n">
        <v>0.2974344</v>
      </c>
      <c r="AC316" t="n">
        <v>0.004030469</v>
      </c>
      <c r="AD316" t="n">
        <v>9.417035</v>
      </c>
      <c r="AE316" t="n">
        <v>52.63426</v>
      </c>
      <c r="AF316" t="n">
        <v>9.17901</v>
      </c>
      <c r="AH316" t="n">
        <v>27.73102</v>
      </c>
      <c r="AJ316" t="n">
        <v>0.02402925</v>
      </c>
      <c r="AK316" t="n">
        <v>33.84</v>
      </c>
      <c r="AL316" t="n">
        <v>18.70623</v>
      </c>
      <c r="AM316" t="n">
        <v>10.78954</v>
      </c>
      <c r="AN316" t="n">
        <v>8.1401</v>
      </c>
      <c r="AP316" t="n">
        <v>3.376226</v>
      </c>
      <c r="AU316" t="n">
        <v>18.78794</v>
      </c>
      <c r="AV316" t="n">
        <v>0.000152913</v>
      </c>
      <c r="AW316" t="n">
        <v>22.23469</v>
      </c>
      <c r="AX316" t="n">
        <v>2.713449</v>
      </c>
    </row>
    <row r="317">
      <c r="A317" s="92" t="n">
        <v>27485</v>
      </c>
      <c r="B317" t="n">
        <v>32.10804</v>
      </c>
      <c r="C317" t="n">
        <v>28.3011</v>
      </c>
      <c r="E317" t="n">
        <v>22.28075</v>
      </c>
      <c r="F317" t="n">
        <v>48.83234</v>
      </c>
      <c r="G317" t="n">
        <v>0.1864191</v>
      </c>
      <c r="I317" t="n">
        <v>0.3181596</v>
      </c>
      <c r="L317" t="n">
        <v>39.66463</v>
      </c>
      <c r="M317" t="n">
        <v>20.91242</v>
      </c>
      <c r="O317" t="n">
        <v>8.305951</v>
      </c>
      <c r="R317" t="n">
        <v>20.4815</v>
      </c>
      <c r="S317" t="n">
        <v>21.86005</v>
      </c>
      <c r="U317" t="n">
        <v>24.01798</v>
      </c>
      <c r="V317" t="n">
        <v>14.85705</v>
      </c>
      <c r="W317" t="n">
        <v>2.419997</v>
      </c>
      <c r="Y317" t="n">
        <v>2.068189</v>
      </c>
      <c r="Z317" t="n">
        <v>5.433936</v>
      </c>
      <c r="AB317" t="n">
        <v>0.310819</v>
      </c>
      <c r="AC317" t="n">
        <v>0.004099259</v>
      </c>
      <c r="AD317" t="n">
        <v>9.541988999999999</v>
      </c>
      <c r="AE317" t="n">
        <v>53.55052</v>
      </c>
      <c r="AF317" t="n">
        <v>9.4686</v>
      </c>
      <c r="AH317" t="n">
        <v>28.07357</v>
      </c>
      <c r="AJ317" t="n">
        <v>0.02423228</v>
      </c>
      <c r="AK317" t="n">
        <v>34.26106</v>
      </c>
      <c r="AL317" t="n">
        <v>18.84958</v>
      </c>
      <c r="AM317" t="n">
        <v>10.9057</v>
      </c>
      <c r="AN317" t="n">
        <v>8.253664000000001</v>
      </c>
      <c r="AP317" t="n">
        <v>3.345672</v>
      </c>
      <c r="AU317" t="n">
        <v>18.82595</v>
      </c>
      <c r="AV317" t="n">
        <v>0.000153508</v>
      </c>
      <c r="AW317" t="n">
        <v>22.31907</v>
      </c>
      <c r="AX317" t="n">
        <v>2.759439</v>
      </c>
    </row>
    <row r="318">
      <c r="A318" s="92" t="n">
        <v>27515</v>
      </c>
      <c r="B318" t="n">
        <v>32.18756</v>
      </c>
      <c r="C318" t="n">
        <v>28.53864</v>
      </c>
      <c r="E318" t="n">
        <v>22.51778</v>
      </c>
      <c r="F318" t="n">
        <v>49.19411</v>
      </c>
      <c r="G318" t="n">
        <v>0.2161824</v>
      </c>
      <c r="I318" t="n">
        <v>0.3263175</v>
      </c>
      <c r="L318" t="n">
        <v>39.86034</v>
      </c>
      <c r="M318" t="n">
        <v>21.19313</v>
      </c>
      <c r="O318" t="n">
        <v>8.408251999999999</v>
      </c>
      <c r="R318" t="n">
        <v>20.68783</v>
      </c>
      <c r="S318" t="n">
        <v>22.02089</v>
      </c>
      <c r="U318" t="n">
        <v>24.23538</v>
      </c>
      <c r="V318" t="n">
        <v>15.47849</v>
      </c>
      <c r="W318" t="n">
        <v>2.419997</v>
      </c>
      <c r="Y318" t="n">
        <v>2.086934</v>
      </c>
      <c r="Z318" t="n">
        <v>5.499493</v>
      </c>
      <c r="AA318" t="n">
        <v>14.54611</v>
      </c>
      <c r="AB318" t="n">
        <v>0.3167677</v>
      </c>
      <c r="AC318" t="n">
        <v>0.004157268</v>
      </c>
      <c r="AD318" t="n">
        <v>9.621506</v>
      </c>
      <c r="AE318" t="n">
        <v>53.85594</v>
      </c>
      <c r="AF318" t="n">
        <v>9.808121</v>
      </c>
      <c r="AH318" t="n">
        <v>28.24572</v>
      </c>
      <c r="AJ318" t="n">
        <v>0.02455647</v>
      </c>
      <c r="AK318" t="n">
        <v>34.46051</v>
      </c>
      <c r="AL318" t="n">
        <v>18.92125</v>
      </c>
      <c r="AM318" t="n">
        <v>11.00566</v>
      </c>
      <c r="AN318" t="n">
        <v>8.355458</v>
      </c>
      <c r="AP318" t="n">
        <v>3.356249</v>
      </c>
      <c r="AU318" t="n">
        <v>19.12493</v>
      </c>
      <c r="AV318" t="n">
        <v>0.000154655</v>
      </c>
      <c r="AW318" t="n">
        <v>22.44565</v>
      </c>
      <c r="AX318" t="n">
        <v>2.759439</v>
      </c>
    </row>
    <row r="319">
      <c r="A319" s="92" t="n">
        <v>27546</v>
      </c>
      <c r="B319" t="n">
        <v>32.52554</v>
      </c>
      <c r="C319" t="n">
        <v>28.6413</v>
      </c>
      <c r="E319" t="n">
        <v>22.75481</v>
      </c>
      <c r="F319" t="n">
        <v>49.37499</v>
      </c>
      <c r="G319" t="n">
        <v>0.258918</v>
      </c>
      <c r="I319" t="n">
        <v>0.3263175</v>
      </c>
      <c r="L319" t="n">
        <v>40.18653</v>
      </c>
      <c r="M319" t="n">
        <v>21.31477</v>
      </c>
      <c r="O319" t="n">
        <v>8.431106</v>
      </c>
      <c r="R319" t="n">
        <v>20.75661</v>
      </c>
      <c r="S319" t="n">
        <v>22.18173</v>
      </c>
      <c r="U319" t="n">
        <v>24.42318</v>
      </c>
      <c r="V319" t="n">
        <v>15.7777</v>
      </c>
      <c r="W319" t="n">
        <v>2.441604</v>
      </c>
      <c r="Y319" t="n">
        <v>2.086934</v>
      </c>
      <c r="Z319" t="n">
        <v>5.517703</v>
      </c>
      <c r="AB319" t="n">
        <v>0.3256907</v>
      </c>
      <c r="AC319" t="n">
        <v>0.004142422</v>
      </c>
      <c r="AD319" t="n">
        <v>9.695342999999999</v>
      </c>
      <c r="AE319" t="n">
        <v>53.85594</v>
      </c>
      <c r="AF319" t="n">
        <v>9.937937</v>
      </c>
      <c r="AH319" t="n">
        <v>28.44916</v>
      </c>
      <c r="AJ319" t="n">
        <v>0.02497398</v>
      </c>
      <c r="AK319" t="n">
        <v>34.52699</v>
      </c>
      <c r="AL319" t="n">
        <v>19.13626</v>
      </c>
      <c r="AM319" t="n">
        <v>11.08956</v>
      </c>
      <c r="AN319" t="n">
        <v>8.427937999999999</v>
      </c>
      <c r="AP319" t="n">
        <v>3.457312</v>
      </c>
      <c r="AU319" t="n">
        <v>19.24452</v>
      </c>
      <c r="AV319" t="n">
        <v>0.0001544</v>
      </c>
      <c r="AW319" t="n">
        <v>22.61441</v>
      </c>
      <c r="AX319" t="n">
        <v>2.80543</v>
      </c>
    </row>
    <row r="320">
      <c r="A320" s="92" t="n">
        <v>27576</v>
      </c>
      <c r="B320" t="n">
        <v>32.74423</v>
      </c>
      <c r="C320" t="n">
        <v>28.91709</v>
      </c>
      <c r="E320" t="n">
        <v>23.07084</v>
      </c>
      <c r="F320" t="n">
        <v>49.28455</v>
      </c>
      <c r="G320" t="n">
        <v>0.2830012</v>
      </c>
      <c r="I320" t="n">
        <v>0.3263175</v>
      </c>
      <c r="L320" t="n">
        <v>40.18653</v>
      </c>
      <c r="M320" t="n">
        <v>21.42705</v>
      </c>
      <c r="O320" t="n">
        <v>8.564968</v>
      </c>
      <c r="R320" t="n">
        <v>21.08673</v>
      </c>
      <c r="S320" t="n">
        <v>22.34258</v>
      </c>
      <c r="U320" t="n">
        <v>24.62011</v>
      </c>
      <c r="V320" t="n">
        <v>15.93881</v>
      </c>
      <c r="W320" t="n">
        <v>2.419997</v>
      </c>
      <c r="Y320" t="n">
        <v>2.105679</v>
      </c>
      <c r="Z320" t="n">
        <v>5.452147</v>
      </c>
      <c r="AB320" t="n">
        <v>0.3331266</v>
      </c>
      <c r="AC320" t="n">
        <v>0.004161313</v>
      </c>
      <c r="AD320" t="n">
        <v>9.735101999999999</v>
      </c>
      <c r="AE320" t="n">
        <v>54.05956</v>
      </c>
      <c r="AF320" t="n">
        <v>10.11835</v>
      </c>
      <c r="AH320" t="n">
        <v>28.69956</v>
      </c>
      <c r="AJ320" t="n">
        <v>0.02517374</v>
      </c>
      <c r="AK320" t="n">
        <v>34.72644</v>
      </c>
      <c r="AL320" t="n">
        <v>19.49462</v>
      </c>
      <c r="AM320" t="n">
        <v>11.1805</v>
      </c>
      <c r="AN320" t="n">
        <v>8.476862000000001</v>
      </c>
      <c r="AP320" t="n">
        <v>3.483166</v>
      </c>
      <c r="AU320" t="n">
        <v>19.49209</v>
      </c>
      <c r="AV320" t="n">
        <v>0.00015457</v>
      </c>
      <c r="AW320" t="n">
        <v>22.86756</v>
      </c>
      <c r="AX320" t="n">
        <v>2.851421</v>
      </c>
    </row>
    <row r="321">
      <c r="A321" s="92" t="n">
        <v>27607</v>
      </c>
      <c r="B321" t="n">
        <v>32.8834</v>
      </c>
      <c r="C321" t="n">
        <v>29.13651</v>
      </c>
      <c r="E321" t="n">
        <v>23.30787</v>
      </c>
      <c r="F321" t="n">
        <v>49.43558</v>
      </c>
      <c r="G321" t="n">
        <v>0.3082065</v>
      </c>
      <c r="I321" t="n">
        <v>0.3263175</v>
      </c>
      <c r="L321" t="n">
        <v>40.12129</v>
      </c>
      <c r="M321" t="n">
        <v>21.49254</v>
      </c>
      <c r="O321" t="n">
        <v>8.699373</v>
      </c>
      <c r="R321" t="n">
        <v>21.34808</v>
      </c>
      <c r="S321" t="n">
        <v>22.4888</v>
      </c>
      <c r="U321" t="n">
        <v>24.67245</v>
      </c>
      <c r="V321" t="n">
        <v>16.03088</v>
      </c>
      <c r="W321" t="n">
        <v>2.376783</v>
      </c>
      <c r="Y321" t="n">
        <v>2.124424</v>
      </c>
      <c r="Z321" t="n">
        <v>5.401158</v>
      </c>
      <c r="AA321" t="n">
        <v>14.43158</v>
      </c>
      <c r="AB321" t="n">
        <v>0.341306</v>
      </c>
      <c r="AC321" t="n">
        <v>0.004162658</v>
      </c>
      <c r="AD321" t="n">
        <v>9.797579000000001</v>
      </c>
      <c r="AE321" t="n">
        <v>53.85594</v>
      </c>
      <c r="AF321" t="n">
        <v>10.33804</v>
      </c>
      <c r="AH321" t="n">
        <v>28.8178</v>
      </c>
      <c r="AJ321" t="n">
        <v>0.0253915</v>
      </c>
      <c r="AK321" t="n">
        <v>35.05886</v>
      </c>
      <c r="AL321" t="n">
        <v>19.42295</v>
      </c>
      <c r="AM321" t="n">
        <v>11.21524</v>
      </c>
      <c r="AN321" t="n">
        <v>8.514108</v>
      </c>
      <c r="AP321" t="n">
        <v>3.432634</v>
      </c>
      <c r="AU321" t="n">
        <v>19.7011</v>
      </c>
      <c r="AV321" t="n">
        <v>0.00015508</v>
      </c>
      <c r="AW321" t="n">
        <v>22.90975</v>
      </c>
      <c r="AX321" t="n">
        <v>2.851421</v>
      </c>
    </row>
    <row r="322">
      <c r="A322" s="92" t="n">
        <v>27638</v>
      </c>
      <c r="B322" t="n">
        <v>32.94304</v>
      </c>
      <c r="C322" t="n">
        <v>29.38612</v>
      </c>
      <c r="E322" t="n">
        <v>23.38688</v>
      </c>
      <c r="F322" t="n">
        <v>49.61558</v>
      </c>
      <c r="G322" t="n">
        <v>0.3366462</v>
      </c>
      <c r="I322" t="n">
        <v>0.3344755</v>
      </c>
      <c r="L322" t="n">
        <v>40.31701</v>
      </c>
      <c r="M322" t="n">
        <v>21.68904</v>
      </c>
      <c r="O322" t="n">
        <v>8.837588</v>
      </c>
      <c r="R322" t="n">
        <v>21.65069</v>
      </c>
      <c r="S322" t="n">
        <v>22.67889</v>
      </c>
      <c r="U322" t="n">
        <v>24.87461</v>
      </c>
      <c r="V322" t="n">
        <v>16.16898</v>
      </c>
      <c r="W322" t="n">
        <v>2.484818</v>
      </c>
      <c r="Y322" t="n">
        <v>2.205652</v>
      </c>
      <c r="Z322" t="n">
        <v>5.368379</v>
      </c>
      <c r="AB322" t="n">
        <v>0.3502291</v>
      </c>
      <c r="AC322" t="n">
        <v>0.004248985</v>
      </c>
      <c r="AD322" t="n">
        <v>9.877095000000001</v>
      </c>
      <c r="AE322" t="n">
        <v>55.07763</v>
      </c>
      <c r="AF322" t="n">
        <v>10.69753</v>
      </c>
      <c r="AH322" t="n">
        <v>29.03515</v>
      </c>
      <c r="AJ322" t="n">
        <v>0.02557652</v>
      </c>
      <c r="AK322" t="n">
        <v>35.50208</v>
      </c>
      <c r="AL322" t="n">
        <v>19.70963</v>
      </c>
      <c r="AM322" t="n">
        <v>11.31803</v>
      </c>
      <c r="AN322" t="n">
        <v>8.59648</v>
      </c>
      <c r="AP322" t="n">
        <v>3.590105</v>
      </c>
      <c r="AU322" t="n">
        <v>19.75084</v>
      </c>
      <c r="AV322" t="n">
        <v>0.000157076</v>
      </c>
      <c r="AW322" t="n">
        <v>23.03632</v>
      </c>
      <c r="AX322" t="n">
        <v>2.897411</v>
      </c>
    </row>
    <row r="323">
      <c r="A323" s="92" t="n">
        <v>27668</v>
      </c>
      <c r="B323" t="n">
        <v>33.06233</v>
      </c>
      <c r="C323" t="n">
        <v>29.72028</v>
      </c>
      <c r="E323" t="n">
        <v>23.5449</v>
      </c>
      <c r="F323" t="n">
        <v>49.67705</v>
      </c>
      <c r="G323" t="n">
        <v>0.3649608</v>
      </c>
      <c r="I323" t="n">
        <v>0.3344755</v>
      </c>
      <c r="L323" t="n">
        <v>40.38224</v>
      </c>
      <c r="M323" t="n">
        <v>21.13699</v>
      </c>
      <c r="O323" t="n">
        <v>8.837588</v>
      </c>
      <c r="R323" t="n">
        <v>21.98082</v>
      </c>
      <c r="S323" t="n">
        <v>22.85435</v>
      </c>
      <c r="U323" t="n">
        <v>25.06377</v>
      </c>
      <c r="V323" t="n">
        <v>16.39914</v>
      </c>
      <c r="W323" t="n">
        <v>2.54964</v>
      </c>
      <c r="Y323" t="n">
        <v>2.224396</v>
      </c>
      <c r="Z323" t="n">
        <v>5.31739</v>
      </c>
      <c r="AB323" t="n">
        <v>0.3598957</v>
      </c>
      <c r="AC323" t="n">
        <v>0.004517419</v>
      </c>
      <c r="AD323" t="n">
        <v>9.985010000000001</v>
      </c>
      <c r="AE323" t="n">
        <v>55.89209</v>
      </c>
      <c r="AF323" t="n">
        <v>10.84732</v>
      </c>
      <c r="AH323" t="n">
        <v>29.48899</v>
      </c>
      <c r="AJ323" t="n">
        <v>0.0257075</v>
      </c>
      <c r="AK323" t="n">
        <v>35.81234</v>
      </c>
      <c r="AL323" t="n">
        <v>19.7813</v>
      </c>
      <c r="AM323" t="n">
        <v>11.41483</v>
      </c>
      <c r="AN323" t="n">
        <v>8.661022000000001</v>
      </c>
      <c r="AP323" t="n">
        <v>3.559551</v>
      </c>
      <c r="AU323" t="n">
        <v>19.95985</v>
      </c>
      <c r="AV323" t="n">
        <v>0.000160814</v>
      </c>
      <c r="AW323" t="n">
        <v>23.1629</v>
      </c>
      <c r="AX323" t="n">
        <v>2.897411</v>
      </c>
    </row>
    <row r="324">
      <c r="A324" s="92" t="n">
        <v>27699</v>
      </c>
      <c r="B324" t="n">
        <v>33.12197</v>
      </c>
      <c r="C324" t="n">
        <v>30.04035</v>
      </c>
      <c r="E324" t="n">
        <v>23.78193</v>
      </c>
      <c r="F324" t="n">
        <v>49.8272</v>
      </c>
      <c r="G324" t="n">
        <v>0.3948194</v>
      </c>
      <c r="I324" t="n">
        <v>0.3344755</v>
      </c>
      <c r="L324" t="n">
        <v>40.51272</v>
      </c>
      <c r="M324" t="n">
        <v>21.48319</v>
      </c>
      <c r="O324" t="n">
        <v>8.895268</v>
      </c>
      <c r="R324" t="n">
        <v>22.2009</v>
      </c>
      <c r="S324" t="n">
        <v>23.00057</v>
      </c>
      <c r="U324" t="n">
        <v>25.21861</v>
      </c>
      <c r="V324" t="n">
        <v>16.59478</v>
      </c>
      <c r="W324" t="n">
        <v>2.592854</v>
      </c>
      <c r="Y324" t="n">
        <v>2.28688</v>
      </c>
      <c r="Z324" t="n">
        <v>5.299181</v>
      </c>
      <c r="AA324" t="n">
        <v>14.7901</v>
      </c>
      <c r="AB324" t="n">
        <v>0.3651008</v>
      </c>
      <c r="AC324" t="n">
        <v>0.004660399</v>
      </c>
      <c r="AD324" t="n">
        <v>10.09861</v>
      </c>
      <c r="AE324" t="n">
        <v>55.68847</v>
      </c>
      <c r="AF324" t="n">
        <v>10.76743</v>
      </c>
      <c r="AH324" t="n">
        <v>29.72199</v>
      </c>
      <c r="AJ324" t="n">
        <v>0.02588761</v>
      </c>
      <c r="AK324" t="n">
        <v>35.90098</v>
      </c>
      <c r="AL324" t="n">
        <v>19.92465</v>
      </c>
      <c r="AM324" t="n">
        <v>11.48434</v>
      </c>
      <c r="AN324" t="n">
        <v>8.727318</v>
      </c>
      <c r="AP324" t="n">
        <v>3.566602</v>
      </c>
      <c r="AU324" t="n">
        <v>20.16327</v>
      </c>
      <c r="AV324" t="n">
        <v>0.00016298</v>
      </c>
      <c r="AW324" t="n">
        <v>23.33166</v>
      </c>
      <c r="AX324" t="n">
        <v>2.943402</v>
      </c>
    </row>
    <row r="325">
      <c r="A325" s="92" t="n">
        <v>27729</v>
      </c>
      <c r="B325" t="n">
        <v>33.26114</v>
      </c>
      <c r="C325" t="n">
        <v>30.2014</v>
      </c>
      <c r="E325" t="n">
        <v>23.86094</v>
      </c>
      <c r="F325" t="n">
        <v>49.76661</v>
      </c>
      <c r="G325" t="n">
        <v>0.4228464</v>
      </c>
      <c r="I325" t="n">
        <v>0.3344755</v>
      </c>
      <c r="L325" t="n">
        <v>40.6432</v>
      </c>
      <c r="M325" t="n">
        <v>21.5019</v>
      </c>
      <c r="O325" t="n">
        <v>9.038382</v>
      </c>
      <c r="R325" t="n">
        <v>22.33845</v>
      </c>
      <c r="S325" t="n">
        <v>23.13217</v>
      </c>
      <c r="U325" t="n">
        <v>25.32871</v>
      </c>
      <c r="V325" t="n">
        <v>16.80193</v>
      </c>
      <c r="W325" t="n">
        <v>2.636068</v>
      </c>
      <c r="Y325" t="n">
        <v>2.336866</v>
      </c>
      <c r="Z325" t="n">
        <v>5.146214</v>
      </c>
      <c r="AA325" t="n">
        <v>14.7901</v>
      </c>
      <c r="AB325" t="n">
        <v>0.3688187</v>
      </c>
      <c r="AC325" t="n">
        <v>0.004696817</v>
      </c>
      <c r="AD325" t="n">
        <v>10.17812</v>
      </c>
      <c r="AE325" t="n">
        <v>55.68847</v>
      </c>
      <c r="AF325" t="n">
        <v>10.81736</v>
      </c>
      <c r="AH325" t="n">
        <v>29.89588</v>
      </c>
      <c r="AJ325" t="n">
        <v>0.02609882</v>
      </c>
      <c r="AK325" t="n">
        <v>35.96746</v>
      </c>
      <c r="AL325" t="n">
        <v>19.92465</v>
      </c>
      <c r="AM325" t="n">
        <v>11.5467</v>
      </c>
      <c r="AN325" t="n">
        <v>8.801037000000001</v>
      </c>
      <c r="AP325" t="n">
        <v>3.788707</v>
      </c>
      <c r="AU325" t="n">
        <v>20.2186</v>
      </c>
      <c r="AV325" t="n">
        <v>0.000165231</v>
      </c>
      <c r="AW325" t="n">
        <v>23.41604</v>
      </c>
      <c r="AX325" t="n">
        <v>2.943402</v>
      </c>
    </row>
    <row r="326">
      <c r="A326" s="92" t="n">
        <v>27760</v>
      </c>
      <c r="B326" t="n">
        <v>33.77805</v>
      </c>
      <c r="C326" t="n">
        <v>30.47315</v>
      </c>
      <c r="E326" t="n">
        <v>23.93995</v>
      </c>
      <c r="F326" t="n">
        <v>50.03881</v>
      </c>
      <c r="G326" t="n">
        <v>0.4671269</v>
      </c>
      <c r="I326" t="n">
        <v>0.3426334</v>
      </c>
      <c r="J326" t="n">
        <v>0.4980128</v>
      </c>
      <c r="L326" t="n">
        <v>40.96939</v>
      </c>
      <c r="M326" t="n">
        <v>21.62354</v>
      </c>
      <c r="O326" t="n">
        <v>9.145579</v>
      </c>
      <c r="R326" t="n">
        <v>22.79238</v>
      </c>
      <c r="S326" t="n">
        <v>23.38075</v>
      </c>
      <c r="U326" t="n">
        <v>25.50476</v>
      </c>
      <c r="V326" t="n">
        <v>17.02058</v>
      </c>
      <c r="W326" t="n">
        <v>2.636068</v>
      </c>
      <c r="Y326" t="n">
        <v>2.386853</v>
      </c>
      <c r="Z326" t="n">
        <v>5.0151</v>
      </c>
      <c r="AA326" t="n">
        <v>15.92055</v>
      </c>
      <c r="AB326" t="n">
        <v>0.3740238</v>
      </c>
      <c r="AC326" t="n">
        <v>0.004760216</v>
      </c>
      <c r="AD326" t="n">
        <v>10.28604</v>
      </c>
      <c r="AE326" t="n">
        <v>56.70654</v>
      </c>
      <c r="AF326" t="n">
        <v>10.88726</v>
      </c>
      <c r="AH326" t="n">
        <v>30.35667</v>
      </c>
      <c r="AJ326" t="n">
        <v>0.02660312</v>
      </c>
      <c r="AK326" t="n">
        <v>36.25919</v>
      </c>
      <c r="AL326" t="n">
        <v>20.13966</v>
      </c>
      <c r="AM326" t="n">
        <v>11.65692</v>
      </c>
      <c r="AN326" t="n">
        <v>8.912587</v>
      </c>
      <c r="AP326" t="n">
        <v>4.03784</v>
      </c>
      <c r="AU326" t="n">
        <v>20.51423</v>
      </c>
      <c r="AV326" t="n">
        <v>0.000171136</v>
      </c>
      <c r="AW326" t="n">
        <v>23.45823</v>
      </c>
      <c r="AX326" t="n">
        <v>2.943402</v>
      </c>
    </row>
    <row r="327">
      <c r="A327" s="92" t="n">
        <v>27791</v>
      </c>
      <c r="B327" t="n">
        <v>34.13591</v>
      </c>
      <c r="C327" t="n">
        <v>30.5503</v>
      </c>
      <c r="E327" t="n">
        <v>24.09797</v>
      </c>
      <c r="F327" t="n">
        <v>50.00808</v>
      </c>
      <c r="G327" t="n">
        <v>0.5140743</v>
      </c>
      <c r="I327" t="n">
        <v>0.3507913</v>
      </c>
      <c r="J327" t="n">
        <v>0.5023153</v>
      </c>
      <c r="L327" t="n">
        <v>41.23034</v>
      </c>
      <c r="M327" t="n">
        <v>21.77325</v>
      </c>
      <c r="O327" t="n">
        <v>9.248968</v>
      </c>
      <c r="R327" t="n">
        <v>23.08123</v>
      </c>
      <c r="S327" t="n">
        <v>23.54159</v>
      </c>
      <c r="U327" t="n">
        <v>25.6806</v>
      </c>
      <c r="V327" t="n">
        <v>17.23924</v>
      </c>
      <c r="W327" t="n">
        <v>2.636068</v>
      </c>
      <c r="Y327" t="n">
        <v>2.436839</v>
      </c>
      <c r="Z327" t="n">
        <v>4.880345</v>
      </c>
      <c r="AA327" t="n">
        <v>15.92055</v>
      </c>
      <c r="AB327" t="n">
        <v>0.3740238</v>
      </c>
      <c r="AC327" t="n">
        <v>0.004793934</v>
      </c>
      <c r="AD327" t="n">
        <v>10.51323</v>
      </c>
      <c r="AE327" t="n">
        <v>57.11377</v>
      </c>
      <c r="AF327" t="n">
        <v>11.00709</v>
      </c>
      <c r="AH327" t="n">
        <v>30.501</v>
      </c>
      <c r="AJ327" t="n">
        <v>0.02710086</v>
      </c>
      <c r="AK327" t="n">
        <v>36.60126</v>
      </c>
      <c r="AL327" t="n">
        <v>20.283</v>
      </c>
      <c r="AM327" t="n">
        <v>11.74098</v>
      </c>
      <c r="AN327" t="n">
        <v>8.998327</v>
      </c>
      <c r="AP327" t="n">
        <v>3.88977</v>
      </c>
      <c r="AU327" t="n">
        <v>20.67406</v>
      </c>
      <c r="AV327" t="n">
        <v>0.000174916</v>
      </c>
      <c r="AW327" t="n">
        <v>23.54262</v>
      </c>
      <c r="AX327" t="n">
        <v>2.989393</v>
      </c>
    </row>
    <row r="328">
      <c r="A328" s="92" t="n">
        <v>27820</v>
      </c>
      <c r="B328" t="n">
        <v>34.43413</v>
      </c>
      <c r="C328" t="n">
        <v>30.74317</v>
      </c>
      <c r="E328" t="n">
        <v>24.17698</v>
      </c>
      <c r="F328" t="n">
        <v>49.91764</v>
      </c>
      <c r="G328" t="n">
        <v>0.5837047</v>
      </c>
      <c r="I328" t="n">
        <v>0.3589492</v>
      </c>
      <c r="J328" t="n">
        <v>0.5012397</v>
      </c>
      <c r="L328" t="n">
        <v>41.36081</v>
      </c>
      <c r="M328" t="n">
        <v>22.71828</v>
      </c>
      <c r="O328" t="n">
        <v>9.463364</v>
      </c>
      <c r="R328" t="n">
        <v>23.32883</v>
      </c>
      <c r="S328" t="n">
        <v>23.7463</v>
      </c>
      <c r="U328" t="n">
        <v>25.79547</v>
      </c>
      <c r="V328" t="n">
        <v>17.3313</v>
      </c>
      <c r="W328" t="n">
        <v>2.722497</v>
      </c>
      <c r="Y328" t="n">
        <v>2.436839</v>
      </c>
      <c r="Z328" t="n">
        <v>4.811146</v>
      </c>
      <c r="AA328" t="n">
        <v>15.92055</v>
      </c>
      <c r="AB328" t="n">
        <v>0.3740238</v>
      </c>
      <c r="AC328" t="n">
        <v>0.004966596</v>
      </c>
      <c r="AD328" t="n">
        <v>10.72338</v>
      </c>
      <c r="AE328" t="n">
        <v>57.31738</v>
      </c>
      <c r="AF328" t="n">
        <v>11.19682</v>
      </c>
      <c r="AH328" t="n">
        <v>30.57577</v>
      </c>
      <c r="AJ328" t="n">
        <v>0.0273661</v>
      </c>
      <c r="AK328" t="n">
        <v>36.8293</v>
      </c>
      <c r="AL328" t="n">
        <v>20.56969</v>
      </c>
      <c r="AM328" t="n">
        <v>11.81427</v>
      </c>
      <c r="AN328" t="n">
        <v>9.094733</v>
      </c>
      <c r="AP328" t="n">
        <v>3.993184</v>
      </c>
      <c r="AU328" t="n">
        <v>20.87189</v>
      </c>
      <c r="AV328" t="n">
        <v>0.000176785</v>
      </c>
      <c r="AW328" t="n">
        <v>23.58481</v>
      </c>
      <c r="AX328" t="n">
        <v>3.035383</v>
      </c>
    </row>
    <row r="329">
      <c r="A329" s="92" t="n">
        <v>27851</v>
      </c>
      <c r="B329" t="n">
        <v>34.59318</v>
      </c>
      <c r="C329" t="n">
        <v>31.02696</v>
      </c>
      <c r="E329" t="n">
        <v>24.25599</v>
      </c>
      <c r="F329" t="n">
        <v>49.91764</v>
      </c>
      <c r="G329" t="n">
        <v>0.6531615</v>
      </c>
      <c r="I329" t="n">
        <v>0.3671072</v>
      </c>
      <c r="J329" t="n">
        <v>0.5044665</v>
      </c>
      <c r="L329" t="n">
        <v>41.55653</v>
      </c>
      <c r="M329" t="n">
        <v>22.78378</v>
      </c>
      <c r="O329" t="n">
        <v>9.654906</v>
      </c>
      <c r="R329" t="n">
        <v>23.49389</v>
      </c>
      <c r="S329" t="n">
        <v>23.95101</v>
      </c>
      <c r="U329" t="n">
        <v>26.04384</v>
      </c>
      <c r="V329" t="n">
        <v>17.66504</v>
      </c>
      <c r="W329" t="n">
        <v>2.744104</v>
      </c>
      <c r="Y329" t="n">
        <v>2.449336</v>
      </c>
      <c r="Z329" t="n">
        <v>4.862134</v>
      </c>
      <c r="AA329" t="n">
        <v>16.86259</v>
      </c>
      <c r="AB329" t="n">
        <v>0.4207768</v>
      </c>
      <c r="AC329" t="n">
        <v>0.005251212</v>
      </c>
      <c r="AD329" t="n">
        <v>11.00737</v>
      </c>
      <c r="AE329" t="n">
        <v>58.64088</v>
      </c>
      <c r="AF329" t="n">
        <v>11.31665</v>
      </c>
      <c r="AH329" t="n">
        <v>31.007</v>
      </c>
      <c r="AJ329" t="n">
        <v>0.02755767</v>
      </c>
      <c r="AK329" t="n">
        <v>37.62746</v>
      </c>
      <c r="AL329" t="n">
        <v>20.71303</v>
      </c>
      <c r="AM329" t="n">
        <v>11.92962</v>
      </c>
      <c r="AN329" t="n">
        <v>9.201390999999999</v>
      </c>
      <c r="AP329" t="n">
        <v>3.77343</v>
      </c>
      <c r="AU329" t="n">
        <v>21.02725</v>
      </c>
      <c r="AV329" t="n">
        <v>0.000177082</v>
      </c>
      <c r="AW329" t="n">
        <v>23.66919</v>
      </c>
      <c r="AX329" t="n">
        <v>3.081374</v>
      </c>
    </row>
    <row r="330">
      <c r="A330" s="92" t="n">
        <v>27881</v>
      </c>
      <c r="B330" t="n">
        <v>34.59318</v>
      </c>
      <c r="C330" t="n">
        <v>31.25289</v>
      </c>
      <c r="E330" t="n">
        <v>24.41401</v>
      </c>
      <c r="F330" t="n">
        <v>49.8272</v>
      </c>
      <c r="G330" t="n">
        <v>0.7174478</v>
      </c>
      <c r="I330" t="n">
        <v>0.3752651</v>
      </c>
      <c r="J330" t="n">
        <v>0.5033909</v>
      </c>
      <c r="L330" t="n">
        <v>41.62177</v>
      </c>
      <c r="M330" t="n">
        <v>23.0177</v>
      </c>
      <c r="O330" t="n">
        <v>10.0973</v>
      </c>
      <c r="R330" t="n">
        <v>23.56267</v>
      </c>
      <c r="S330" t="n">
        <v>24.11185</v>
      </c>
      <c r="U330" t="n">
        <v>26.23261</v>
      </c>
      <c r="V330" t="n">
        <v>17.86068</v>
      </c>
      <c r="W330" t="n">
        <v>2.765711</v>
      </c>
      <c r="Y330" t="n">
        <v>2.493074</v>
      </c>
      <c r="Z330" t="n">
        <v>4.880345</v>
      </c>
      <c r="AA330" t="n">
        <v>16.86259</v>
      </c>
      <c r="AB330" t="n">
        <v>0.4207768</v>
      </c>
      <c r="AC330" t="n">
        <v>0.005363164</v>
      </c>
      <c r="AD330" t="n">
        <v>11.22888</v>
      </c>
      <c r="AE330" t="n">
        <v>58.84449</v>
      </c>
      <c r="AF330" t="n">
        <v>11.38655</v>
      </c>
      <c r="AH330" t="n">
        <v>31.19653</v>
      </c>
      <c r="AJ330" t="n">
        <v>0.02775087</v>
      </c>
      <c r="AK330" t="n">
        <v>37.74149</v>
      </c>
      <c r="AL330" t="n">
        <v>20.85637</v>
      </c>
      <c r="AM330" t="n">
        <v>12.0235</v>
      </c>
      <c r="AN330" t="n">
        <v>9.295482</v>
      </c>
      <c r="AP330" t="n">
        <v>3.66179</v>
      </c>
      <c r="AU330" t="n">
        <v>21.21055</v>
      </c>
      <c r="AV330" t="n">
        <v>0.000177847</v>
      </c>
      <c r="AW330" t="n">
        <v>23.83795</v>
      </c>
      <c r="AX330" t="n">
        <v>3.081374</v>
      </c>
    </row>
    <row r="331">
      <c r="A331" s="92" t="n">
        <v>27912</v>
      </c>
      <c r="B331" t="n">
        <v>34.95104</v>
      </c>
      <c r="C331" t="n">
        <v>31.30249</v>
      </c>
      <c r="E331" t="n">
        <v>24.57203</v>
      </c>
      <c r="F331" t="n">
        <v>49.91764</v>
      </c>
      <c r="G331" t="n">
        <v>0.8059695</v>
      </c>
      <c r="I331" t="n">
        <v>0.3834231</v>
      </c>
      <c r="J331" t="n">
        <v>0.5098446</v>
      </c>
      <c r="L331" t="n">
        <v>41.687</v>
      </c>
      <c r="M331" t="n">
        <v>22.96156</v>
      </c>
      <c r="O331" t="n">
        <v>10.03527</v>
      </c>
      <c r="R331" t="n">
        <v>23.61769</v>
      </c>
      <c r="S331" t="n">
        <v>24.21421</v>
      </c>
      <c r="U331" t="n">
        <v>26.34468</v>
      </c>
      <c r="V331" t="n">
        <v>17.95274</v>
      </c>
      <c r="W331" t="n">
        <v>2.808925</v>
      </c>
      <c r="Y331" t="n">
        <v>2.536812</v>
      </c>
      <c r="Z331" t="n">
        <v>4.894913</v>
      </c>
      <c r="AA331" t="n">
        <v>16.86259</v>
      </c>
      <c r="AB331" t="n">
        <v>0.4207768</v>
      </c>
      <c r="AC331" t="n">
        <v>0.005373955</v>
      </c>
      <c r="AD331" t="n">
        <v>11.27999</v>
      </c>
      <c r="AE331" t="n">
        <v>58.9463</v>
      </c>
      <c r="AF331" t="n">
        <v>11.4964</v>
      </c>
      <c r="AH331" t="n">
        <v>31.23479</v>
      </c>
      <c r="AJ331" t="n">
        <v>0.02786221</v>
      </c>
      <c r="AK331" t="n">
        <v>37.74149</v>
      </c>
      <c r="AL331" t="n">
        <v>21.14306</v>
      </c>
      <c r="AM331" t="n">
        <v>12.07705</v>
      </c>
      <c r="AN331" t="n">
        <v>9.336240999999999</v>
      </c>
      <c r="AP331" t="n">
        <v>3.896821</v>
      </c>
      <c r="AU331" t="n">
        <v>21.38827</v>
      </c>
      <c r="AV331" t="n">
        <v>0.000180183</v>
      </c>
      <c r="AW331" t="n">
        <v>23.96453</v>
      </c>
      <c r="AX331" t="n">
        <v>3.127365</v>
      </c>
    </row>
    <row r="332">
      <c r="A332" s="92" t="n">
        <v>27942</v>
      </c>
      <c r="B332" t="n">
        <v>34.91127</v>
      </c>
      <c r="C332" t="n">
        <v>31.55597</v>
      </c>
      <c r="E332" t="n">
        <v>24.73005</v>
      </c>
      <c r="F332" t="n">
        <v>50.00808</v>
      </c>
      <c r="G332" t="n">
        <v>0.8774613</v>
      </c>
      <c r="I332" t="n">
        <v>0.391581</v>
      </c>
      <c r="J332" t="n">
        <v>0.5119958999999999</v>
      </c>
      <c r="L332" t="n">
        <v>41.62177</v>
      </c>
      <c r="M332" t="n">
        <v>22.98027</v>
      </c>
      <c r="O332" t="n">
        <v>10.0973</v>
      </c>
      <c r="R332" t="n">
        <v>24.07161</v>
      </c>
      <c r="S332" t="n">
        <v>24.44816</v>
      </c>
      <c r="U332" t="n">
        <v>26.47038</v>
      </c>
      <c r="V332" t="n">
        <v>17.98727</v>
      </c>
      <c r="W332" t="n">
        <v>2.744104</v>
      </c>
      <c r="Y332" t="n">
        <v>2.561805</v>
      </c>
      <c r="Z332" t="n">
        <v>4.99689</v>
      </c>
      <c r="AA332" t="n">
        <v>17.14521</v>
      </c>
      <c r="AB332" t="n">
        <v>0.4441533</v>
      </c>
      <c r="AC332" t="n">
        <v>0.00564778</v>
      </c>
      <c r="AD332" t="n">
        <v>11.33679</v>
      </c>
      <c r="AE332" t="n">
        <v>59.35352</v>
      </c>
      <c r="AF332" t="n">
        <v>11.71609</v>
      </c>
      <c r="AH332" t="n">
        <v>31.47648</v>
      </c>
      <c r="AJ332" t="n">
        <v>0.02809799</v>
      </c>
      <c r="AK332" t="n">
        <v>37.62746</v>
      </c>
      <c r="AL332" t="n">
        <v>21.2864</v>
      </c>
      <c r="AM332" t="n">
        <v>12.1481</v>
      </c>
      <c r="AN332" t="n">
        <v>9.378525</v>
      </c>
      <c r="AP332" t="n">
        <v>4.219989</v>
      </c>
      <c r="AU332" t="n">
        <v>21.41454</v>
      </c>
      <c r="AV332" t="n">
        <v>0.000181585</v>
      </c>
      <c r="AW332" t="n">
        <v>24.0911</v>
      </c>
      <c r="AX332" t="n">
        <v>3.127365</v>
      </c>
    </row>
    <row r="333">
      <c r="A333" s="92" t="n">
        <v>27973</v>
      </c>
      <c r="B333" t="n">
        <v>35.32878</v>
      </c>
      <c r="C333" t="n">
        <v>31.6772</v>
      </c>
      <c r="E333" t="n">
        <v>24.73005</v>
      </c>
      <c r="F333" t="n">
        <v>50.18896</v>
      </c>
      <c r="G333" t="n">
        <v>0.9254074</v>
      </c>
      <c r="I333" t="n">
        <v>0.3997389</v>
      </c>
      <c r="J333" t="n">
        <v>0.5141471</v>
      </c>
      <c r="L333" t="n">
        <v>41.75224</v>
      </c>
      <c r="M333" t="n">
        <v>23.13934</v>
      </c>
      <c r="O333" t="n">
        <v>10.18274</v>
      </c>
      <c r="R333" t="n">
        <v>24.38798</v>
      </c>
      <c r="S333" t="n">
        <v>24.62363</v>
      </c>
      <c r="U333" t="n">
        <v>26.58873</v>
      </c>
      <c r="V333" t="n">
        <v>18.24045</v>
      </c>
      <c r="W333" t="n">
        <v>2.70089</v>
      </c>
      <c r="Y333" t="n">
        <v>2.605543</v>
      </c>
      <c r="Z333" t="n">
        <v>5.0151</v>
      </c>
      <c r="AA333" t="n">
        <v>17.14521</v>
      </c>
      <c r="AB333" t="n">
        <v>0.4441533</v>
      </c>
      <c r="AC333" t="n">
        <v>0.00571658</v>
      </c>
      <c r="AD333" t="n">
        <v>11.46175</v>
      </c>
      <c r="AE333" t="n">
        <v>58.9463</v>
      </c>
      <c r="AF333" t="n">
        <v>11.83592</v>
      </c>
      <c r="AH333" t="n">
        <v>31.71818</v>
      </c>
      <c r="AJ333" t="n">
        <v>0.0283665</v>
      </c>
      <c r="AK333" t="n">
        <v>37.96953</v>
      </c>
      <c r="AL333" t="n">
        <v>21.2864</v>
      </c>
      <c r="AM333" t="n">
        <v>12.2098</v>
      </c>
      <c r="AN333" t="n">
        <v>9.452458</v>
      </c>
      <c r="AP333" t="n">
        <v>4.296374</v>
      </c>
      <c r="AU333" t="n">
        <v>21.54586</v>
      </c>
      <c r="AV333" t="n">
        <v>0.000184133</v>
      </c>
      <c r="AW333" t="n">
        <v>24.21767</v>
      </c>
      <c r="AX333" t="n">
        <v>3.219346</v>
      </c>
    </row>
    <row r="334">
      <c r="A334" s="92" t="n">
        <v>28004</v>
      </c>
      <c r="B334" t="n">
        <v>35.3089</v>
      </c>
      <c r="C334" t="n">
        <v>32.08773</v>
      </c>
      <c r="E334" t="n">
        <v>24.88807</v>
      </c>
      <c r="F334" t="n">
        <v>50.06867</v>
      </c>
      <c r="G334" t="n">
        <v>0.9959003</v>
      </c>
      <c r="I334" t="n">
        <v>0.4078969</v>
      </c>
      <c r="J334" t="n">
        <v>0.5098446</v>
      </c>
      <c r="L334" t="n">
        <v>41.81748</v>
      </c>
      <c r="M334" t="n">
        <v>23.7101</v>
      </c>
      <c r="O334" t="n">
        <v>10.37428</v>
      </c>
      <c r="R334" t="n">
        <v>24.58055</v>
      </c>
      <c r="S334" t="n">
        <v>24.88682</v>
      </c>
      <c r="U334" t="n">
        <v>26.81987</v>
      </c>
      <c r="V334" t="n">
        <v>18.48212</v>
      </c>
      <c r="W334" t="n">
        <v>2.787318</v>
      </c>
      <c r="Y334" t="n">
        <v>2.668026</v>
      </c>
      <c r="Z334" t="n">
        <v>5.080657</v>
      </c>
      <c r="AA334" t="n">
        <v>17.14521</v>
      </c>
      <c r="AB334" t="n">
        <v>0.4675298</v>
      </c>
      <c r="AC334" t="n">
        <v>0.005847414</v>
      </c>
      <c r="AD334" t="n">
        <v>11.65486</v>
      </c>
      <c r="AE334" t="n">
        <v>60.4734</v>
      </c>
      <c r="AF334" t="n">
        <v>11.92579</v>
      </c>
      <c r="AH334" t="n">
        <v>31.75122</v>
      </c>
      <c r="AJ334" t="n">
        <v>0.02933416</v>
      </c>
      <c r="AK334" t="n">
        <v>38.36861</v>
      </c>
      <c r="AL334" t="n">
        <v>21.35807</v>
      </c>
      <c r="AM334" t="n">
        <v>12.33516</v>
      </c>
      <c r="AN334" t="n">
        <v>9.555973</v>
      </c>
      <c r="AP334" t="n">
        <v>4.416241</v>
      </c>
      <c r="AU334" t="n">
        <v>21.58219</v>
      </c>
      <c r="AV334" t="n">
        <v>0.000187446</v>
      </c>
      <c r="AW334" t="n">
        <v>24.30205</v>
      </c>
      <c r="AX334" t="n">
        <v>3.219346</v>
      </c>
    </row>
    <row r="335">
      <c r="A335" s="92" t="n">
        <v>28034</v>
      </c>
      <c r="B335" t="n">
        <v>35.44807</v>
      </c>
      <c r="C335" t="n">
        <v>32.15937</v>
      </c>
      <c r="E335" t="n">
        <v>25.04609</v>
      </c>
      <c r="F335" t="n">
        <v>50.18896</v>
      </c>
      <c r="G335" t="n">
        <v>1.062768</v>
      </c>
      <c r="I335" t="n">
        <v>0.4078969</v>
      </c>
      <c r="J335" t="n">
        <v>0.5076934</v>
      </c>
      <c r="L335" t="n">
        <v>41.88272</v>
      </c>
      <c r="M335" t="n">
        <v>23.97209</v>
      </c>
      <c r="O335" t="n">
        <v>10.51793</v>
      </c>
      <c r="R335" t="n">
        <v>24.8419</v>
      </c>
      <c r="S335" t="n">
        <v>25.12078</v>
      </c>
      <c r="U335" t="n">
        <v>27.03595</v>
      </c>
      <c r="V335" t="n">
        <v>18.81586</v>
      </c>
      <c r="W335" t="n">
        <v>2.830532</v>
      </c>
      <c r="Y335" t="n">
        <v>2.668026</v>
      </c>
      <c r="Z335" t="n">
        <v>5.113436</v>
      </c>
      <c r="AA335" t="n">
        <v>17.89884</v>
      </c>
      <c r="AB335" t="n">
        <v>0.4675298</v>
      </c>
      <c r="AC335" t="n">
        <v>0.006043003</v>
      </c>
      <c r="AD335" t="n">
        <v>11.98996</v>
      </c>
      <c r="AE335" t="n">
        <v>60.77882</v>
      </c>
      <c r="AF335" t="n">
        <v>11.79597</v>
      </c>
      <c r="AH335" t="n">
        <v>31.99988</v>
      </c>
      <c r="AJ335" t="n">
        <v>0.03098621</v>
      </c>
      <c r="AK335" t="n">
        <v>38.8247</v>
      </c>
      <c r="AL335" t="n">
        <v>21.35807</v>
      </c>
      <c r="AM335" t="n">
        <v>12.4796</v>
      </c>
      <c r="AN335" t="n">
        <v>9.679513999999999</v>
      </c>
      <c r="AP335" t="n">
        <v>4.565485</v>
      </c>
      <c r="AU335" t="n">
        <v>21.889</v>
      </c>
      <c r="AV335" t="n">
        <v>0.000190292</v>
      </c>
      <c r="AW335" t="n">
        <v>24.42863</v>
      </c>
      <c r="AX335" t="n">
        <v>3.219346</v>
      </c>
    </row>
    <row r="336">
      <c r="A336" s="92" t="n">
        <v>28065</v>
      </c>
      <c r="B336" t="n">
        <v>35.48783</v>
      </c>
      <c r="C336" t="n">
        <v>32.2806</v>
      </c>
      <c r="E336" t="n">
        <v>25.1251</v>
      </c>
      <c r="F336" t="n">
        <v>50.27941</v>
      </c>
      <c r="G336" t="n">
        <v>1.103373</v>
      </c>
      <c r="I336" t="n">
        <v>0.4242128</v>
      </c>
      <c r="J336" t="n">
        <v>0.5098446</v>
      </c>
      <c r="L336" t="n">
        <v>42.01319</v>
      </c>
      <c r="M336" t="n">
        <v>24.24344</v>
      </c>
      <c r="O336" t="n">
        <v>10.71437</v>
      </c>
      <c r="R336" t="n">
        <v>25.00696</v>
      </c>
      <c r="S336" t="n">
        <v>25.32549</v>
      </c>
      <c r="U336" t="n">
        <v>27.16779</v>
      </c>
      <c r="V336" t="n">
        <v>19.08054</v>
      </c>
      <c r="W336" t="n">
        <v>2.873747</v>
      </c>
      <c r="Y336" t="n">
        <v>2.674274</v>
      </c>
      <c r="Z336" t="n">
        <v>5.146214</v>
      </c>
      <c r="AA336" t="n">
        <v>17.89884</v>
      </c>
      <c r="AB336" t="n">
        <v>0.4675298</v>
      </c>
      <c r="AC336" t="n">
        <v>0.006312782</v>
      </c>
      <c r="AD336" t="n">
        <v>12.25123</v>
      </c>
      <c r="AE336" t="n">
        <v>60.77882</v>
      </c>
      <c r="AF336" t="n">
        <v>11.78599</v>
      </c>
      <c r="AH336" t="n">
        <v>32.20332</v>
      </c>
      <c r="AJ336" t="n">
        <v>0.03238612</v>
      </c>
      <c r="AK336" t="n">
        <v>38.93872</v>
      </c>
      <c r="AL336" t="n">
        <v>21.42974</v>
      </c>
      <c r="AM336" t="n">
        <v>12.5686</v>
      </c>
      <c r="AN336" t="n">
        <v>9.778942000000001</v>
      </c>
      <c r="AP336" t="n">
        <v>4.625419</v>
      </c>
      <c r="AU336" t="n">
        <v>22.05889</v>
      </c>
      <c r="AV336" t="n">
        <v>0.000191312</v>
      </c>
      <c r="AW336" t="n">
        <v>24.47082</v>
      </c>
      <c r="AX336" t="n">
        <v>3.219346</v>
      </c>
    </row>
    <row r="337">
      <c r="A337" s="92" t="n">
        <v>28095</v>
      </c>
      <c r="B337" t="n">
        <v>35.66676</v>
      </c>
      <c r="C337" t="n">
        <v>32.45694</v>
      </c>
      <c r="E337" t="n">
        <v>25.20411</v>
      </c>
      <c r="F337" t="n">
        <v>50.40058</v>
      </c>
      <c r="G337" t="n">
        <v>1.159954</v>
      </c>
      <c r="I337" t="n">
        <v>0.4242128</v>
      </c>
      <c r="J337" t="n">
        <v>0.5109202</v>
      </c>
      <c r="L337" t="n">
        <v>42.14367</v>
      </c>
      <c r="M337" t="n">
        <v>24.30894</v>
      </c>
      <c r="O337" t="n">
        <v>10.82538</v>
      </c>
      <c r="R337" t="n">
        <v>25.08949</v>
      </c>
      <c r="S337" t="n">
        <v>25.41322</v>
      </c>
      <c r="U337" t="n">
        <v>27.30493</v>
      </c>
      <c r="V337" t="n">
        <v>19.33372</v>
      </c>
      <c r="W337" t="n">
        <v>2.938568</v>
      </c>
      <c r="Y337" t="n">
        <v>2.668026</v>
      </c>
      <c r="Z337" t="n">
        <v>5.146214</v>
      </c>
      <c r="AA337" t="n">
        <v>17.89884</v>
      </c>
      <c r="AB337" t="n">
        <v>0.4909063</v>
      </c>
      <c r="AC337" t="n">
        <v>0.006482745</v>
      </c>
      <c r="AD337" t="n">
        <v>12.26479</v>
      </c>
      <c r="AE337" t="n">
        <v>61.49147</v>
      </c>
      <c r="AF337" t="n">
        <v>11.85589</v>
      </c>
      <c r="AH337" t="n">
        <v>32.42763</v>
      </c>
      <c r="AJ337" t="n">
        <v>0.03319822</v>
      </c>
      <c r="AK337" t="n">
        <v>38.93872</v>
      </c>
      <c r="AL337" t="n">
        <v>21.50142</v>
      </c>
      <c r="AM337" t="n">
        <v>12.65415</v>
      </c>
      <c r="AN337" t="n">
        <v>9.848814000000001</v>
      </c>
      <c r="AP337" t="n">
        <v>4.815794</v>
      </c>
      <c r="AU337" t="n">
        <v>22.0913</v>
      </c>
      <c r="AV337" t="n">
        <v>0.000197173</v>
      </c>
      <c r="AW337" t="n">
        <v>24.5552</v>
      </c>
      <c r="AX337" t="n">
        <v>3.265337</v>
      </c>
    </row>
    <row r="338">
      <c r="A338" s="92" t="n">
        <v>28126</v>
      </c>
      <c r="B338" t="n">
        <v>36.10415</v>
      </c>
      <c r="C338" t="n">
        <v>32.79033</v>
      </c>
      <c r="E338" t="n">
        <v>25.44114</v>
      </c>
      <c r="F338" t="n">
        <v>50.49014</v>
      </c>
      <c r="G338" t="n">
        <v>1.228643</v>
      </c>
      <c r="I338" t="n">
        <v>0.4323707</v>
      </c>
      <c r="J338" t="n">
        <v>0.5141471</v>
      </c>
      <c r="L338" t="n">
        <v>42.60033</v>
      </c>
      <c r="M338" t="n">
        <v>24.30852</v>
      </c>
      <c r="O338" t="n">
        <v>11.17799</v>
      </c>
      <c r="R338" t="n">
        <v>25.44713</v>
      </c>
      <c r="S338" t="n">
        <v>25.48633</v>
      </c>
      <c r="U338" t="n">
        <v>27.53268</v>
      </c>
      <c r="V338" t="n">
        <v>19.84008</v>
      </c>
      <c r="W338" t="n">
        <v>2.938568</v>
      </c>
      <c r="Y338" t="n">
        <v>2.711764</v>
      </c>
      <c r="Z338" t="n">
        <v>5.164424</v>
      </c>
      <c r="AA338" t="n">
        <v>18.55827</v>
      </c>
      <c r="AB338" t="n">
        <v>0.4909063</v>
      </c>
      <c r="AC338" t="n">
        <v>0.006467355</v>
      </c>
      <c r="AD338" t="n">
        <v>12.42363</v>
      </c>
      <c r="AE338" t="n">
        <v>62.00051</v>
      </c>
      <c r="AF338" t="n">
        <v>11.94576</v>
      </c>
      <c r="AH338" t="n">
        <v>32.75279</v>
      </c>
      <c r="AJ338" t="n">
        <v>0.03425593</v>
      </c>
      <c r="AK338" t="n">
        <v>38.99573</v>
      </c>
      <c r="AL338" t="n">
        <v>21.93144</v>
      </c>
      <c r="AM338" t="n">
        <v>12.7839</v>
      </c>
      <c r="AN338" t="n">
        <v>9.973962999999999</v>
      </c>
      <c r="AP338" t="n">
        <v>4.795816</v>
      </c>
      <c r="AU338" t="n">
        <v>22.36458</v>
      </c>
      <c r="AV338" t="n">
        <v>0.00019849</v>
      </c>
      <c r="AW338" t="n">
        <v>24.68177</v>
      </c>
      <c r="AX338" t="n">
        <v>3.311327</v>
      </c>
    </row>
    <row r="339">
      <c r="A339" s="92" t="n">
        <v>28157</v>
      </c>
      <c r="B339" t="n">
        <v>36.32284</v>
      </c>
      <c r="C339" t="n">
        <v>33.0383</v>
      </c>
      <c r="E339" t="n">
        <v>25.59916</v>
      </c>
      <c r="F339" t="n">
        <v>50.52176</v>
      </c>
      <c r="G339" t="n">
        <v>1.300222</v>
      </c>
      <c r="I339" t="n">
        <v>0.4486866</v>
      </c>
      <c r="J339" t="n">
        <v>0.5152227</v>
      </c>
      <c r="L339" t="n">
        <v>42.79605</v>
      </c>
      <c r="M339" t="n">
        <v>24.32971</v>
      </c>
      <c r="O339" t="n">
        <v>11.34505</v>
      </c>
      <c r="R339" t="n">
        <v>25.68846</v>
      </c>
      <c r="S339" t="n">
        <v>25.6618</v>
      </c>
      <c r="U339" t="n">
        <v>27.78912</v>
      </c>
      <c r="V339" t="n">
        <v>20.03572</v>
      </c>
      <c r="W339" t="n">
        <v>2.938568</v>
      </c>
      <c r="Y339" t="n">
        <v>2.718013</v>
      </c>
      <c r="Z339" t="n">
        <v>5.215413</v>
      </c>
      <c r="AA339" t="n">
        <v>18.55827</v>
      </c>
      <c r="AB339" t="n">
        <v>0.5142828</v>
      </c>
      <c r="AC339" t="n">
        <v>0.006528371</v>
      </c>
      <c r="AD339" t="n">
        <v>12.6619</v>
      </c>
      <c r="AE339" t="n">
        <v>62.40774</v>
      </c>
      <c r="AF339" t="n">
        <v>12.22537</v>
      </c>
      <c r="AH339" t="n">
        <v>32.96841</v>
      </c>
      <c r="AJ339" t="n">
        <v>0.03501237</v>
      </c>
      <c r="AK339" t="n">
        <v>39.28079</v>
      </c>
      <c r="AL339" t="n">
        <v>22.07479</v>
      </c>
      <c r="AM339" t="n">
        <v>12.91094</v>
      </c>
      <c r="AN339" t="n">
        <v>10.07099</v>
      </c>
      <c r="AP339" t="n">
        <v>4.930167</v>
      </c>
      <c r="AU339" t="n">
        <v>22.64512</v>
      </c>
      <c r="AV339" t="n">
        <v>0.000201591</v>
      </c>
      <c r="AW339" t="n">
        <v>24.93492</v>
      </c>
      <c r="AX339" t="n">
        <v>3.311327</v>
      </c>
    </row>
    <row r="340">
      <c r="A340" s="92" t="n">
        <v>28185</v>
      </c>
      <c r="B340" t="n">
        <v>36.42224</v>
      </c>
      <c r="C340" t="n">
        <v>33.00799</v>
      </c>
      <c r="E340" t="n">
        <v>25.9152</v>
      </c>
      <c r="F340" t="n">
        <v>50.43044</v>
      </c>
      <c r="G340" t="n">
        <v>1.379581</v>
      </c>
      <c r="I340" t="n">
        <v>0.4731604</v>
      </c>
      <c r="J340" t="n">
        <v>0.5195252</v>
      </c>
      <c r="L340" t="n">
        <v>42.86128</v>
      </c>
      <c r="M340" t="n">
        <v>24.68999</v>
      </c>
      <c r="O340" t="n">
        <v>11.61658</v>
      </c>
      <c r="R340" t="n">
        <v>26.03705</v>
      </c>
      <c r="S340" t="n">
        <v>25.89575</v>
      </c>
      <c r="U340" t="n">
        <v>27.98264</v>
      </c>
      <c r="V340" t="n">
        <v>20.23136</v>
      </c>
      <c r="W340" t="n">
        <v>3.003389</v>
      </c>
      <c r="Y340" t="n">
        <v>2.730509</v>
      </c>
      <c r="Z340" t="n">
        <v>5.248192</v>
      </c>
      <c r="AA340" t="n">
        <v>18.55827</v>
      </c>
      <c r="AB340" t="n">
        <v>0.5142828</v>
      </c>
      <c r="AC340" t="n">
        <v>0.006655941</v>
      </c>
      <c r="AD340" t="n">
        <v>12.82074</v>
      </c>
      <c r="AE340" t="n">
        <v>62.71316</v>
      </c>
      <c r="AF340" t="n">
        <v>12.39513</v>
      </c>
      <c r="AH340" t="n">
        <v>33.111</v>
      </c>
      <c r="AJ340" t="n">
        <v>0.03562309</v>
      </c>
      <c r="AK340" t="n">
        <v>39.45182</v>
      </c>
      <c r="AL340" t="n">
        <v>22.43314</v>
      </c>
      <c r="AM340" t="n">
        <v>13.02442</v>
      </c>
      <c r="AN340" t="n">
        <v>10.17872</v>
      </c>
      <c r="AP340" t="n">
        <v>5.318291</v>
      </c>
      <c r="AU340" t="n">
        <v>22.85748</v>
      </c>
      <c r="AV340" t="n">
        <v>0.000206645</v>
      </c>
      <c r="AW340" t="n">
        <v>25.10369</v>
      </c>
      <c r="AX340" t="n">
        <v>3.357318</v>
      </c>
    </row>
    <row r="341">
      <c r="A341" s="92" t="n">
        <v>28216</v>
      </c>
      <c r="B341" t="n">
        <v>36.50177</v>
      </c>
      <c r="C341" t="n">
        <v>33.18708</v>
      </c>
      <c r="E341" t="n">
        <v>26.07322</v>
      </c>
      <c r="F341" t="n">
        <v>50.49014</v>
      </c>
      <c r="G341" t="n">
        <v>1.444422</v>
      </c>
      <c r="I341" t="n">
        <v>0.5057921</v>
      </c>
      <c r="J341" t="n">
        <v>0.5259789</v>
      </c>
      <c r="L341" t="n">
        <v>43.057</v>
      </c>
      <c r="M341" t="n">
        <v>24.94431</v>
      </c>
      <c r="O341" t="n">
        <v>11.82771</v>
      </c>
      <c r="R341" t="n">
        <v>26.22475</v>
      </c>
      <c r="S341" t="n">
        <v>26.23206</v>
      </c>
      <c r="U341" t="n">
        <v>28.28298</v>
      </c>
      <c r="V341" t="n">
        <v>20.74923</v>
      </c>
      <c r="W341" t="n">
        <v>3.068211</v>
      </c>
      <c r="Y341" t="n">
        <v>2.755502</v>
      </c>
      <c r="Z341" t="n">
        <v>5.266402</v>
      </c>
      <c r="AA341" t="n">
        <v>19.2177</v>
      </c>
      <c r="AB341" t="n">
        <v>0.5376592</v>
      </c>
      <c r="AC341" t="n">
        <v>0.006816794</v>
      </c>
      <c r="AD341" t="n">
        <v>12.97958</v>
      </c>
      <c r="AE341" t="n">
        <v>63.73123</v>
      </c>
      <c r="AF341" t="n">
        <v>12.40511</v>
      </c>
      <c r="AH341" t="n">
        <v>33.31096</v>
      </c>
      <c r="AJ341" t="n">
        <v>0.03616177</v>
      </c>
      <c r="AK341" t="n">
        <v>40.13596</v>
      </c>
      <c r="AL341" t="n">
        <v>22.57649</v>
      </c>
      <c r="AM341" t="n">
        <v>13.17717</v>
      </c>
      <c r="AN341" t="n">
        <v>10.31176</v>
      </c>
      <c r="AP341" t="n">
        <v>5.499415</v>
      </c>
      <c r="AU341" t="n">
        <v>23.12908</v>
      </c>
      <c r="AV341" t="n">
        <v>0.000209152</v>
      </c>
      <c r="AW341" t="n">
        <v>25.31464</v>
      </c>
      <c r="AX341" t="n">
        <v>3.449299</v>
      </c>
    </row>
    <row r="342">
      <c r="A342" s="92" t="n">
        <v>28246</v>
      </c>
      <c r="B342" t="n">
        <v>36.60117</v>
      </c>
      <c r="C342" t="n">
        <v>33.52047</v>
      </c>
      <c r="E342" t="n">
        <v>26.38926</v>
      </c>
      <c r="F342" t="n">
        <v>50.46029</v>
      </c>
      <c r="G342" t="n">
        <v>1.499651</v>
      </c>
      <c r="I342" t="n">
        <v>0.522108</v>
      </c>
      <c r="J342" t="n">
        <v>0.5259789</v>
      </c>
      <c r="L342" t="n">
        <v>43.18747</v>
      </c>
      <c r="M342" t="n">
        <v>25.30459</v>
      </c>
      <c r="O342" t="n">
        <v>11.9311</v>
      </c>
      <c r="R342" t="n">
        <v>26.57335</v>
      </c>
      <c r="S342" t="n">
        <v>26.48063</v>
      </c>
      <c r="U342" t="n">
        <v>28.47406</v>
      </c>
      <c r="V342" t="n">
        <v>20.91034</v>
      </c>
      <c r="W342" t="n">
        <v>3.111425</v>
      </c>
      <c r="Y342" t="n">
        <v>2.799241</v>
      </c>
      <c r="Z342" t="n">
        <v>5.350169</v>
      </c>
      <c r="AA342" t="n">
        <v>19.2177</v>
      </c>
      <c r="AB342" t="n">
        <v>0.5376592</v>
      </c>
      <c r="AC342" t="n">
        <v>0.006977647</v>
      </c>
      <c r="AD342" t="n">
        <v>13.13842</v>
      </c>
      <c r="AE342" t="n">
        <v>64.34207000000001</v>
      </c>
      <c r="AF342" t="n">
        <v>12.53493</v>
      </c>
      <c r="AH342" t="n">
        <v>33.43616</v>
      </c>
      <c r="AJ342" t="n">
        <v>0.03647941</v>
      </c>
      <c r="AK342" t="n">
        <v>40.24998</v>
      </c>
      <c r="AL342" t="n">
        <v>22.71983</v>
      </c>
      <c r="AM342" t="n">
        <v>13.26925</v>
      </c>
      <c r="AN342" t="n">
        <v>10.39267</v>
      </c>
      <c r="AP342" t="n">
        <v>5.539222</v>
      </c>
      <c r="AU342" t="n">
        <v>23.41186</v>
      </c>
      <c r="AV342" t="n">
        <v>0.000212507</v>
      </c>
      <c r="AW342" t="n">
        <v>25.44121</v>
      </c>
      <c r="AX342" t="n">
        <v>3.449299</v>
      </c>
    </row>
    <row r="343">
      <c r="A343" s="92" t="n">
        <v>28277</v>
      </c>
      <c r="B343" t="n">
        <v>36.95903</v>
      </c>
      <c r="C343" t="n">
        <v>33.72987</v>
      </c>
      <c r="E343" t="n">
        <v>26.46826</v>
      </c>
      <c r="F343" t="n">
        <v>50.7922</v>
      </c>
      <c r="G343" t="n">
        <v>1.549592</v>
      </c>
      <c r="I343" t="n">
        <v>0.5384239</v>
      </c>
      <c r="J343" t="n">
        <v>0.5345839</v>
      </c>
      <c r="L343" t="n">
        <v>43.38319</v>
      </c>
      <c r="M343" t="n">
        <v>25.43175</v>
      </c>
      <c r="O343" t="n">
        <v>12.26466</v>
      </c>
      <c r="R343" t="n">
        <v>26.78786</v>
      </c>
      <c r="S343" t="n">
        <v>26.68534</v>
      </c>
      <c r="U343" t="n">
        <v>28.62679</v>
      </c>
      <c r="V343" t="n">
        <v>21.129</v>
      </c>
      <c r="W343" t="n">
        <v>3.133032</v>
      </c>
      <c r="Y343" t="n">
        <v>2.799241</v>
      </c>
      <c r="Z343" t="n">
        <v>5.382947</v>
      </c>
      <c r="AA343" t="n">
        <v>19.2177</v>
      </c>
      <c r="AB343" t="n">
        <v>0.5376592</v>
      </c>
      <c r="AC343" t="n">
        <v>0.007144038</v>
      </c>
      <c r="AD343" t="n">
        <v>13.22919</v>
      </c>
      <c r="AE343" t="n">
        <v>64.13845999999999</v>
      </c>
      <c r="AF343" t="n">
        <v>12.65476</v>
      </c>
      <c r="AH343" t="n">
        <v>33.60656</v>
      </c>
      <c r="AJ343" t="n">
        <v>0.03692639</v>
      </c>
      <c r="AK343" t="n">
        <v>40.24998</v>
      </c>
      <c r="AL343" t="n">
        <v>22.93484</v>
      </c>
      <c r="AM343" t="n">
        <v>13.35647</v>
      </c>
      <c r="AN343" t="n">
        <v>10.48386</v>
      </c>
      <c r="AP343" t="n">
        <v>5.533251</v>
      </c>
      <c r="AU343" t="n">
        <v>23.93774</v>
      </c>
      <c r="AV343" t="n">
        <v>0.000213909</v>
      </c>
      <c r="AW343" t="n">
        <v>25.60998</v>
      </c>
      <c r="AX343" t="n">
        <v>3.449299</v>
      </c>
    </row>
    <row r="344">
      <c r="A344" s="92" t="n">
        <v>28307</v>
      </c>
      <c r="B344" t="n">
        <v>37.0982</v>
      </c>
      <c r="C344" t="n">
        <v>33.83181</v>
      </c>
      <c r="E344" t="n">
        <v>26.7843</v>
      </c>
      <c r="F344" t="n">
        <v>50.82293</v>
      </c>
      <c r="G344" t="n">
        <v>1.610097</v>
      </c>
      <c r="I344" t="n">
        <v>0.5465818</v>
      </c>
      <c r="J344" t="n">
        <v>0.5356596</v>
      </c>
      <c r="L344" t="n">
        <v>43.31795</v>
      </c>
      <c r="M344" t="n">
        <v>25.6013</v>
      </c>
      <c r="O344" t="n">
        <v>12.66679</v>
      </c>
      <c r="R344" t="n">
        <v>26.97557</v>
      </c>
      <c r="S344" t="n">
        <v>26.9193</v>
      </c>
      <c r="U344" t="n">
        <v>28.72773</v>
      </c>
      <c r="V344" t="n">
        <v>21.15201</v>
      </c>
      <c r="W344" t="n">
        <v>3.111425</v>
      </c>
      <c r="Y344" t="n">
        <v>2.842979</v>
      </c>
      <c r="Z344" t="n">
        <v>5.466714</v>
      </c>
      <c r="AA344" t="n">
        <v>19.40611</v>
      </c>
      <c r="AB344" t="n">
        <v>0.5610358</v>
      </c>
      <c r="AC344" t="n">
        <v>0.007249424</v>
      </c>
      <c r="AD344" t="n">
        <v>13.30861</v>
      </c>
      <c r="AE344" t="n">
        <v>63.93484</v>
      </c>
      <c r="AF344" t="n">
        <v>12.8152</v>
      </c>
      <c r="AH344" t="n">
        <v>33.76306</v>
      </c>
      <c r="AJ344" t="n">
        <v>0.03734391</v>
      </c>
      <c r="AK344" t="n">
        <v>40.24998</v>
      </c>
      <c r="AL344" t="n">
        <v>23.22153</v>
      </c>
      <c r="AM344" t="n">
        <v>13.43722</v>
      </c>
      <c r="AN344" t="n">
        <v>10.55842</v>
      </c>
      <c r="AP344" t="n">
        <v>5.537232</v>
      </c>
      <c r="AU344" t="n">
        <v>24.15401</v>
      </c>
      <c r="AV344" t="n">
        <v>0.000221639</v>
      </c>
      <c r="AW344" t="n">
        <v>25.73655</v>
      </c>
      <c r="AX344" t="n">
        <v>3.49529</v>
      </c>
    </row>
    <row r="345">
      <c r="A345" s="92" t="n">
        <v>28338</v>
      </c>
      <c r="B345" t="n">
        <v>37.11808</v>
      </c>
      <c r="C345" t="n">
        <v>33.93927</v>
      </c>
      <c r="E345" t="n">
        <v>26.7843</v>
      </c>
      <c r="F345" t="n">
        <v>50.82293</v>
      </c>
      <c r="G345" t="n">
        <v>1.664827</v>
      </c>
      <c r="I345" t="n">
        <v>0.5465818</v>
      </c>
      <c r="J345" t="n">
        <v>0.5335083</v>
      </c>
      <c r="L345" t="n">
        <v>43.31795</v>
      </c>
      <c r="M345" t="n">
        <v>25.83442</v>
      </c>
      <c r="O345" t="n">
        <v>13.07763</v>
      </c>
      <c r="R345" t="n">
        <v>27.4046</v>
      </c>
      <c r="S345" t="n">
        <v>27.06552</v>
      </c>
      <c r="U345" t="n">
        <v>28.82256</v>
      </c>
      <c r="V345" t="n">
        <v>21.25559</v>
      </c>
      <c r="W345" t="n">
        <v>3.068211</v>
      </c>
      <c r="Y345" t="n">
        <v>2.861724</v>
      </c>
      <c r="Z345" t="n">
        <v>5.499493</v>
      </c>
      <c r="AA345" t="n">
        <v>19.40611</v>
      </c>
      <c r="AB345" t="n">
        <v>0.5610358</v>
      </c>
      <c r="AC345" t="n">
        <v>0.007532308</v>
      </c>
      <c r="AD345" t="n">
        <v>13.43341</v>
      </c>
      <c r="AE345" t="n">
        <v>64.03664999999999</v>
      </c>
      <c r="AF345" t="n">
        <v>12.98496</v>
      </c>
      <c r="AH345" t="n">
        <v>33.66742</v>
      </c>
      <c r="AJ345" t="n">
        <v>0.03811017</v>
      </c>
      <c r="AK345" t="n">
        <v>40.42102</v>
      </c>
      <c r="AL345" t="n">
        <v>23.22153</v>
      </c>
      <c r="AM345" t="n">
        <v>13.51079</v>
      </c>
      <c r="AN345" t="n">
        <v>10.63521</v>
      </c>
      <c r="AP345" t="n">
        <v>5.616847</v>
      </c>
      <c r="AU345" t="n">
        <v>24.22052</v>
      </c>
      <c r="AV345" t="n">
        <v>0.000225929</v>
      </c>
      <c r="AW345" t="n">
        <v>25.82093</v>
      </c>
      <c r="AX345" t="n">
        <v>3.541281</v>
      </c>
    </row>
    <row r="346">
      <c r="A346" s="92" t="n">
        <v>28369</v>
      </c>
      <c r="B346" t="n">
        <v>37.05844</v>
      </c>
      <c r="C346" t="n">
        <v>34.17897</v>
      </c>
      <c r="E346" t="n">
        <v>27.02133</v>
      </c>
      <c r="F346" t="n">
        <v>50.85279</v>
      </c>
      <c r="G346" t="n">
        <v>1.726925</v>
      </c>
      <c r="I346" t="n">
        <v>0.5465818</v>
      </c>
      <c r="J346" t="n">
        <v>0.531357</v>
      </c>
      <c r="L346" t="n">
        <v>43.38319</v>
      </c>
      <c r="M346" t="n">
        <v>26.10993</v>
      </c>
      <c r="O346" t="n">
        <v>13.25992</v>
      </c>
      <c r="R346" t="n">
        <v>27.51186</v>
      </c>
      <c r="S346" t="n">
        <v>27.29947</v>
      </c>
      <c r="U346" t="n">
        <v>29.00125</v>
      </c>
      <c r="V346" t="n">
        <v>21.37067</v>
      </c>
      <c r="W346" t="n">
        <v>3.133032</v>
      </c>
      <c r="Y346" t="n">
        <v>2.905462</v>
      </c>
      <c r="Z346" t="n">
        <v>5.568692</v>
      </c>
      <c r="AA346" t="n">
        <v>19.40611</v>
      </c>
      <c r="AB346" t="n">
        <v>0.5844122</v>
      </c>
      <c r="AC346" t="n">
        <v>0.007820732</v>
      </c>
      <c r="AD346" t="n">
        <v>13.6036</v>
      </c>
      <c r="AE346" t="n">
        <v>65.05472</v>
      </c>
      <c r="AF346" t="n">
        <v>13.0249</v>
      </c>
      <c r="AH346" t="n">
        <v>33.59439</v>
      </c>
      <c r="AJ346" t="n">
        <v>0.03878639</v>
      </c>
      <c r="AK346" t="n">
        <v>40.70607</v>
      </c>
      <c r="AL346" t="n">
        <v>23.36487</v>
      </c>
      <c r="AM346" t="n">
        <v>13.62005</v>
      </c>
      <c r="AN346" t="n">
        <v>10.74178</v>
      </c>
      <c r="AP346" t="n">
        <v>5.596943</v>
      </c>
      <c r="AU346" t="n">
        <v>24.46976</v>
      </c>
      <c r="AV346" t="n">
        <v>0.000242453</v>
      </c>
      <c r="AW346" t="n">
        <v>25.90532</v>
      </c>
      <c r="AX346" t="n">
        <v>3.541281</v>
      </c>
    </row>
    <row r="347">
      <c r="A347" s="92" t="n">
        <v>28399</v>
      </c>
      <c r="B347" t="n">
        <v>37.23737</v>
      </c>
      <c r="C347" t="n">
        <v>34.25061</v>
      </c>
      <c r="E347" t="n">
        <v>27.25836</v>
      </c>
      <c r="F347" t="n">
        <v>50.95465</v>
      </c>
      <c r="G347" t="n">
        <v>1.799452</v>
      </c>
      <c r="I347" t="n">
        <v>0.5465818</v>
      </c>
      <c r="J347" t="n">
        <v>0.531357</v>
      </c>
      <c r="L347" t="n">
        <v>43.38319</v>
      </c>
      <c r="M347" t="n">
        <v>26.42783</v>
      </c>
      <c r="O347" t="n">
        <v>13.46615</v>
      </c>
      <c r="R347" t="n">
        <v>27.64593</v>
      </c>
      <c r="S347" t="n">
        <v>27.5188</v>
      </c>
      <c r="U347" t="n">
        <v>29.13869</v>
      </c>
      <c r="V347" t="n">
        <v>21.46273</v>
      </c>
      <c r="W347" t="n">
        <v>3.21946</v>
      </c>
      <c r="Y347" t="n">
        <v>2.91171</v>
      </c>
      <c r="Z347" t="n">
        <v>5.550482</v>
      </c>
      <c r="AA347" t="n">
        <v>19.78293</v>
      </c>
      <c r="AB347" t="n">
        <v>0.6077887</v>
      </c>
      <c r="AC347" t="n">
        <v>0.008103605999999999</v>
      </c>
      <c r="AD347" t="n">
        <v>13.78513</v>
      </c>
      <c r="AE347" t="n">
        <v>65.46195</v>
      </c>
      <c r="AF347" t="n">
        <v>12.98496</v>
      </c>
      <c r="AH347" t="n">
        <v>33.7422</v>
      </c>
      <c r="AJ347" t="n">
        <v>0.03908274</v>
      </c>
      <c r="AK347" t="n">
        <v>40.87711</v>
      </c>
      <c r="AL347" t="n">
        <v>23.43654</v>
      </c>
      <c r="AM347" t="n">
        <v>13.72104</v>
      </c>
      <c r="AN347" t="n">
        <v>10.85374</v>
      </c>
      <c r="AP347" t="n">
        <v>5.714376</v>
      </c>
      <c r="AU347" t="n">
        <v>24.61562</v>
      </c>
      <c r="AV347" t="n">
        <v>0.000259953</v>
      </c>
      <c r="AW347" t="n">
        <v>25.9897</v>
      </c>
      <c r="AX347" t="n">
        <v>3.587271</v>
      </c>
    </row>
    <row r="348">
      <c r="A348" s="92" t="n">
        <v>28430</v>
      </c>
      <c r="B348" t="n">
        <v>37.05844</v>
      </c>
      <c r="C348" t="n">
        <v>34.3746</v>
      </c>
      <c r="E348" t="n">
        <v>27.41638</v>
      </c>
      <c r="F348" t="n">
        <v>50.90372</v>
      </c>
      <c r="G348" t="n">
        <v>1.839022</v>
      </c>
      <c r="I348" t="n">
        <v>0.5465818</v>
      </c>
      <c r="J348" t="n">
        <v>0.5335083</v>
      </c>
      <c r="L348" t="n">
        <v>43.44843</v>
      </c>
      <c r="M348" t="n">
        <v>27.25436</v>
      </c>
      <c r="O348" t="n">
        <v>13.57498</v>
      </c>
      <c r="R348" t="n">
        <v>27.69956</v>
      </c>
      <c r="S348" t="n">
        <v>27.62116</v>
      </c>
      <c r="U348" t="n">
        <v>29.22093</v>
      </c>
      <c r="V348" t="n">
        <v>21.56631</v>
      </c>
      <c r="W348" t="n">
        <v>3.262675</v>
      </c>
      <c r="Y348" t="n">
        <v>2.942952</v>
      </c>
      <c r="Z348" t="n">
        <v>5.550482</v>
      </c>
      <c r="AA348" t="n">
        <v>19.78293</v>
      </c>
      <c r="AB348" t="n">
        <v>0.6311652</v>
      </c>
      <c r="AC348" t="n">
        <v>0.009063175</v>
      </c>
      <c r="AD348" t="n">
        <v>13.92128</v>
      </c>
      <c r="AE348" t="n">
        <v>64.74930000000001</v>
      </c>
      <c r="AF348" t="n">
        <v>13.03489</v>
      </c>
      <c r="AH348" t="n">
        <v>33.90564</v>
      </c>
      <c r="AJ348" t="n">
        <v>0.03951008</v>
      </c>
      <c r="AK348" t="n">
        <v>40.93412</v>
      </c>
      <c r="AL348" t="n">
        <v>23.43654</v>
      </c>
      <c r="AM348" t="n">
        <v>13.78917</v>
      </c>
      <c r="AN348" t="n">
        <v>10.94351</v>
      </c>
      <c r="AP348" t="n">
        <v>5.782049</v>
      </c>
      <c r="AU348" t="n">
        <v>24.8101</v>
      </c>
      <c r="AV348" t="n">
        <v>0.000277283</v>
      </c>
      <c r="AW348" t="n">
        <v>26.11627</v>
      </c>
      <c r="AX348" t="n">
        <v>3.587271</v>
      </c>
    </row>
    <row r="349">
      <c r="A349" s="92" t="n">
        <v>28460</v>
      </c>
      <c r="B349" t="n">
        <v>37.15784</v>
      </c>
      <c r="C349" t="n">
        <v>34.50961</v>
      </c>
      <c r="E349" t="n">
        <v>27.5744</v>
      </c>
      <c r="F349" t="n">
        <v>51.00557</v>
      </c>
      <c r="G349" t="n">
        <v>1.896428</v>
      </c>
      <c r="I349" t="n">
        <v>0.5465818</v>
      </c>
      <c r="J349" t="n">
        <v>0.5378108</v>
      </c>
      <c r="L349" t="n">
        <v>43.5789</v>
      </c>
      <c r="M349" t="n">
        <v>27.27555</v>
      </c>
      <c r="O349" t="n">
        <v>13.68218</v>
      </c>
      <c r="R349" t="n">
        <v>27.80682</v>
      </c>
      <c r="S349" t="n">
        <v>27.69427</v>
      </c>
      <c r="U349" t="n">
        <v>29.30731</v>
      </c>
      <c r="V349" t="n">
        <v>21.68139</v>
      </c>
      <c r="W349" t="n">
        <v>3.305889</v>
      </c>
      <c r="Y349" t="n">
        <v>2.98669</v>
      </c>
      <c r="Z349" t="n">
        <v>5.550482</v>
      </c>
      <c r="AA349" t="n">
        <v>19.78293</v>
      </c>
      <c r="AB349" t="n">
        <v>0.6545417</v>
      </c>
      <c r="AC349" t="n">
        <v>0.009240664000000001</v>
      </c>
      <c r="AD349" t="n">
        <v>13.98935</v>
      </c>
      <c r="AE349" t="n">
        <v>64.64749</v>
      </c>
      <c r="AF349" t="n">
        <v>13.15472</v>
      </c>
      <c r="AH349" t="n">
        <v>33.83261</v>
      </c>
      <c r="AJ349" t="n">
        <v>0.04005694</v>
      </c>
      <c r="AK349" t="n">
        <v>40.93412</v>
      </c>
      <c r="AL349" t="n">
        <v>23.50821</v>
      </c>
      <c r="AM349" t="n">
        <v>13.85503</v>
      </c>
      <c r="AN349" t="n">
        <v>11.01622</v>
      </c>
      <c r="AP349" t="n">
        <v>5.896495</v>
      </c>
      <c r="AU349" t="n">
        <v>24.97384</v>
      </c>
      <c r="AV349" t="n">
        <v>0.000289389</v>
      </c>
      <c r="AW349" t="n">
        <v>26.20065</v>
      </c>
      <c r="AX349" t="n">
        <v>3.633262</v>
      </c>
    </row>
    <row r="350">
      <c r="A350" s="92" t="n">
        <v>28491</v>
      </c>
      <c r="B350" t="n">
        <v>37.53559</v>
      </c>
      <c r="C350" t="n">
        <v>34.68319</v>
      </c>
      <c r="E350" t="n">
        <v>27.73242</v>
      </c>
      <c r="F350" t="n">
        <v>51.00557</v>
      </c>
      <c r="G350" t="n">
        <v>1.930892</v>
      </c>
      <c r="I350" t="n">
        <v>0.5547398</v>
      </c>
      <c r="J350" t="n">
        <v>0.5431889</v>
      </c>
      <c r="L350" t="n">
        <v>43.90509</v>
      </c>
      <c r="M350" t="n">
        <v>27.38152</v>
      </c>
      <c r="O350" t="n">
        <v>13.90039</v>
      </c>
      <c r="R350" t="n">
        <v>27.88726</v>
      </c>
      <c r="S350" t="n">
        <v>27.82587</v>
      </c>
      <c r="U350" t="n">
        <v>29.48543</v>
      </c>
      <c r="V350" t="n">
        <v>21.80798</v>
      </c>
      <c r="W350" t="n">
        <v>3.349103</v>
      </c>
      <c r="Y350" t="n">
        <v>2.98669</v>
      </c>
      <c r="Z350" t="n">
        <v>5.466714</v>
      </c>
      <c r="AA350" t="n">
        <v>20.06554</v>
      </c>
      <c r="AB350" t="n">
        <v>0.6779182</v>
      </c>
      <c r="AC350" t="n">
        <v>0.009451434999999999</v>
      </c>
      <c r="AD350" t="n">
        <v>14.10281</v>
      </c>
      <c r="AE350" t="n">
        <v>64.8511</v>
      </c>
      <c r="AF350" t="n">
        <v>13.53418</v>
      </c>
      <c r="AH350" t="n">
        <v>33.98563</v>
      </c>
      <c r="AJ350" t="n">
        <v>0.04094765</v>
      </c>
      <c r="AK350" t="n">
        <v>40.8201</v>
      </c>
      <c r="AL350" t="n">
        <v>24.00991</v>
      </c>
      <c r="AM350" t="n">
        <v>13.97178</v>
      </c>
      <c r="AN350" t="n">
        <v>11.12058</v>
      </c>
      <c r="AP350" t="n">
        <v>6.039803</v>
      </c>
      <c r="AU350" t="n">
        <v>25.4986</v>
      </c>
      <c r="AV350" t="n">
        <v>0.000300942</v>
      </c>
      <c r="AW350" t="n">
        <v>26.36942</v>
      </c>
      <c r="AX350" t="n">
        <v>3.679253</v>
      </c>
    </row>
    <row r="351">
      <c r="A351" s="92" t="n">
        <v>28522</v>
      </c>
      <c r="B351" t="n">
        <v>37.71452</v>
      </c>
      <c r="C351" t="n">
        <v>34.82095</v>
      </c>
      <c r="E351" t="n">
        <v>27.96945</v>
      </c>
      <c r="F351" t="n">
        <v>51.05562</v>
      </c>
      <c r="G351" t="n">
        <v>1.977428</v>
      </c>
      <c r="I351" t="n">
        <v>0.5628976999999999</v>
      </c>
      <c r="J351" t="n">
        <v>0.5421132</v>
      </c>
      <c r="L351" t="n">
        <v>44.03556</v>
      </c>
      <c r="M351" t="n">
        <v>27.50868</v>
      </c>
      <c r="O351" t="n">
        <v>14.03697</v>
      </c>
      <c r="R351" t="n">
        <v>28.23586</v>
      </c>
      <c r="S351" t="n">
        <v>28.03058</v>
      </c>
      <c r="U351" t="n">
        <v>29.67383</v>
      </c>
      <c r="V351" t="n">
        <v>21.93457</v>
      </c>
      <c r="W351" t="n">
        <v>3.327496</v>
      </c>
      <c r="Y351" t="n">
        <v>2.992938</v>
      </c>
      <c r="Z351" t="n">
        <v>5.382947</v>
      </c>
      <c r="AA351" t="n">
        <v>20.06554</v>
      </c>
      <c r="AB351" t="n">
        <v>0.7012947</v>
      </c>
      <c r="AC351" t="n">
        <v>0.009601190000000001</v>
      </c>
      <c r="AD351" t="n">
        <v>14.25031</v>
      </c>
      <c r="AE351" t="n">
        <v>65.25834</v>
      </c>
      <c r="AF351" t="n">
        <v>13.81378</v>
      </c>
      <c r="AH351" t="n">
        <v>34.06388</v>
      </c>
      <c r="AJ351" t="n">
        <v>0.04153544</v>
      </c>
      <c r="AK351" t="n">
        <v>40.99113</v>
      </c>
      <c r="AL351" t="n">
        <v>24.08159</v>
      </c>
      <c r="AM351" t="n">
        <v>14.07787</v>
      </c>
      <c r="AN351" t="n">
        <v>11.21286</v>
      </c>
      <c r="AP351" t="n">
        <v>6.055726</v>
      </c>
      <c r="AU351" t="n">
        <v>25.78753</v>
      </c>
      <c r="AV351" t="n">
        <v>0.000316955</v>
      </c>
      <c r="AW351" t="n">
        <v>26.53818</v>
      </c>
      <c r="AX351" t="n">
        <v>3.679253</v>
      </c>
    </row>
    <row r="352">
      <c r="A352" s="92" t="n">
        <v>28550</v>
      </c>
      <c r="B352" t="n">
        <v>37.81392</v>
      </c>
      <c r="C352" t="n">
        <v>34.90912</v>
      </c>
      <c r="E352" t="n">
        <v>28.20648</v>
      </c>
      <c r="F352" t="n">
        <v>51.10655</v>
      </c>
      <c r="G352" t="n">
        <v>2.035305</v>
      </c>
      <c r="I352" t="n">
        <v>0.5792136</v>
      </c>
      <c r="J352" t="n">
        <v>0.5431889</v>
      </c>
      <c r="L352" t="n">
        <v>44.16604</v>
      </c>
      <c r="M352" t="n">
        <v>27.69942</v>
      </c>
      <c r="O352" t="n">
        <v>14.21708</v>
      </c>
      <c r="R352" t="n">
        <v>28.3163</v>
      </c>
      <c r="S352" t="n">
        <v>28.27915</v>
      </c>
      <c r="U352" t="n">
        <v>29.90108</v>
      </c>
      <c r="V352" t="n">
        <v>22.07267</v>
      </c>
      <c r="W352" t="n">
        <v>3.413924</v>
      </c>
      <c r="Y352" t="n">
        <v>3.005435</v>
      </c>
      <c r="Z352" t="n">
        <v>5.401158</v>
      </c>
      <c r="AA352" t="n">
        <v>20.06554</v>
      </c>
      <c r="AB352" t="n">
        <v>0.7246712</v>
      </c>
      <c r="AC352" t="n">
        <v>0.009956178</v>
      </c>
      <c r="AD352" t="n">
        <v>14.43184</v>
      </c>
      <c r="AE352" t="n">
        <v>65.76737</v>
      </c>
      <c r="AF352" t="n">
        <v>13.99353</v>
      </c>
      <c r="AH352" t="n">
        <v>34.15952</v>
      </c>
      <c r="AJ352" t="n">
        <v>0.04196769</v>
      </c>
      <c r="AK352" t="n">
        <v>41.33319</v>
      </c>
      <c r="AL352" t="n">
        <v>24.36827</v>
      </c>
      <c r="AM352" t="n">
        <v>14.19031</v>
      </c>
      <c r="AN352" t="n">
        <v>11.30335</v>
      </c>
      <c r="AP352" t="n">
        <v>6.110461</v>
      </c>
      <c r="AU352" t="n">
        <v>25.79535</v>
      </c>
      <c r="AV352" t="n">
        <v>0.00032286</v>
      </c>
      <c r="AW352" t="n">
        <v>26.74914</v>
      </c>
      <c r="AX352" t="n">
        <v>3.679253</v>
      </c>
    </row>
    <row r="353">
      <c r="A353" s="92" t="n">
        <v>28581</v>
      </c>
      <c r="B353" t="n">
        <v>37.93321</v>
      </c>
      <c r="C353" t="n">
        <v>34.93667</v>
      </c>
      <c r="E353" t="n">
        <v>28.28549</v>
      </c>
      <c r="F353" t="n">
        <v>51.20841</v>
      </c>
      <c r="G353" t="n">
        <v>2.088441</v>
      </c>
      <c r="I353" t="n">
        <v>0.5873715</v>
      </c>
      <c r="J353" t="n">
        <v>0.5496426</v>
      </c>
      <c r="L353" t="n">
        <v>44.36176</v>
      </c>
      <c r="M353" t="n">
        <v>27.80538</v>
      </c>
      <c r="O353" t="n">
        <v>14.51637</v>
      </c>
      <c r="R353" t="n">
        <v>28.47719</v>
      </c>
      <c r="S353" t="n">
        <v>28.58622</v>
      </c>
      <c r="U353" t="n">
        <v>30.15302</v>
      </c>
      <c r="V353" t="n">
        <v>22.3949</v>
      </c>
      <c r="W353" t="n">
        <v>3.478746</v>
      </c>
      <c r="Y353" t="n">
        <v>3.061669</v>
      </c>
      <c r="Z353" t="n">
        <v>5.415726</v>
      </c>
      <c r="AA353" t="n">
        <v>20.44236</v>
      </c>
      <c r="AB353" t="n">
        <v>0.7480476</v>
      </c>
      <c r="AC353" t="n">
        <v>0.01050529</v>
      </c>
      <c r="AD353" t="n">
        <v>14.56799</v>
      </c>
      <c r="AE353" t="n">
        <v>66.48002</v>
      </c>
      <c r="AF353" t="n">
        <v>13.97356</v>
      </c>
      <c r="AH353" t="n">
        <v>34.35253</v>
      </c>
      <c r="AJ353" t="n">
        <v>0.04243433</v>
      </c>
      <c r="AK353" t="n">
        <v>41.61825</v>
      </c>
      <c r="AL353" t="n">
        <v>24.43994</v>
      </c>
      <c r="AM353" t="n">
        <v>14.32951</v>
      </c>
      <c r="AN353" t="n">
        <v>11.43318</v>
      </c>
      <c r="AP353" t="n">
        <v>6.485647</v>
      </c>
      <c r="AU353" t="n">
        <v>25.95965</v>
      </c>
      <c r="AV353" t="n">
        <v>0.000332502</v>
      </c>
      <c r="AW353" t="n">
        <v>26.96009</v>
      </c>
      <c r="AX353" t="n">
        <v>3.771234</v>
      </c>
    </row>
    <row r="354">
      <c r="A354" s="92" t="n">
        <v>28611</v>
      </c>
      <c r="B354" t="n">
        <v>37.99285</v>
      </c>
      <c r="C354" t="n">
        <v>34.98351</v>
      </c>
      <c r="E354" t="n">
        <v>28.68054</v>
      </c>
      <c r="F354" t="n">
        <v>51.25934</v>
      </c>
      <c r="G354" t="n">
        <v>2.132568</v>
      </c>
      <c r="I354" t="n">
        <v>0.6036874</v>
      </c>
      <c r="J354" t="n">
        <v>0.5560964</v>
      </c>
      <c r="L354" t="n">
        <v>44.42699</v>
      </c>
      <c r="M354" t="n">
        <v>28.03851</v>
      </c>
      <c r="O354" t="n">
        <v>14.66166</v>
      </c>
      <c r="R354" t="n">
        <v>28.90622</v>
      </c>
      <c r="S354" t="n">
        <v>28.86404</v>
      </c>
      <c r="U354" t="n">
        <v>30.39293</v>
      </c>
      <c r="V354" t="n">
        <v>22.52148</v>
      </c>
      <c r="W354" t="n">
        <v>3.500353</v>
      </c>
      <c r="Y354" t="n">
        <v>3.049173</v>
      </c>
      <c r="Z354" t="n">
        <v>5.433936</v>
      </c>
      <c r="AA354" t="n">
        <v>20.44236</v>
      </c>
      <c r="AB354" t="n">
        <v>0.7714240999999999</v>
      </c>
      <c r="AC354" t="n">
        <v>0.01069943</v>
      </c>
      <c r="AD354" t="n">
        <v>14.70414</v>
      </c>
      <c r="AE354" t="n">
        <v>66.88724999999999</v>
      </c>
      <c r="AF354" t="n">
        <v>14.11336</v>
      </c>
      <c r="AH354" t="n">
        <v>34.40643</v>
      </c>
      <c r="AJ354" t="n">
        <v>0.0428502</v>
      </c>
      <c r="AK354" t="n">
        <v>41.67526</v>
      </c>
      <c r="AL354" t="n">
        <v>24.51161</v>
      </c>
      <c r="AM354" t="n">
        <v>14.45265</v>
      </c>
      <c r="AN354" t="n">
        <v>11.52851</v>
      </c>
      <c r="AP354" t="n">
        <v>6.556306</v>
      </c>
      <c r="AU354" t="n">
        <v>26.09937</v>
      </c>
      <c r="AV354" t="n">
        <v>0.000349704</v>
      </c>
      <c r="AW354" t="n">
        <v>27.21324</v>
      </c>
      <c r="AX354" t="n">
        <v>3.771234</v>
      </c>
    </row>
    <row r="355">
      <c r="A355" s="92" t="n">
        <v>28642</v>
      </c>
      <c r="B355" t="n">
        <v>38.13202</v>
      </c>
      <c r="C355" t="n">
        <v>34.98627</v>
      </c>
      <c r="E355" t="n">
        <v>28.91757</v>
      </c>
      <c r="F355" t="n">
        <v>51.36119</v>
      </c>
      <c r="G355" t="n">
        <v>2.175649</v>
      </c>
      <c r="I355" t="n">
        <v>0.6200033</v>
      </c>
      <c r="J355" t="n">
        <v>0.5647013</v>
      </c>
      <c r="L355" t="n">
        <v>44.55747</v>
      </c>
      <c r="M355" t="n">
        <v>28.10209</v>
      </c>
      <c r="O355" t="n">
        <v>14.80967</v>
      </c>
      <c r="R355" t="n">
        <v>28.90622</v>
      </c>
      <c r="S355" t="n">
        <v>29.08337</v>
      </c>
      <c r="U355" t="n">
        <v>30.61068</v>
      </c>
      <c r="V355" t="n">
        <v>22.69411</v>
      </c>
      <c r="W355" t="n">
        <v>3.565174</v>
      </c>
      <c r="Y355" t="n">
        <v>3.005435</v>
      </c>
      <c r="Z355" t="n">
        <v>5.499493</v>
      </c>
      <c r="AA355" t="n">
        <v>20.44236</v>
      </c>
      <c r="AB355" t="n">
        <v>0.7948006</v>
      </c>
      <c r="AC355" t="n">
        <v>0.0109102</v>
      </c>
      <c r="AD355" t="n">
        <v>14.82894</v>
      </c>
      <c r="AE355" t="n">
        <v>66.58183</v>
      </c>
      <c r="AF355" t="n">
        <v>14.50281</v>
      </c>
      <c r="AH355" t="n">
        <v>34.50381</v>
      </c>
      <c r="AJ355" t="n">
        <v>0.04343964</v>
      </c>
      <c r="AK355" t="n">
        <v>41.61825</v>
      </c>
      <c r="AL355" t="n">
        <v>24.65496</v>
      </c>
      <c r="AM355" t="n">
        <v>14.56834</v>
      </c>
      <c r="AN355" t="n">
        <v>11.61735</v>
      </c>
      <c r="AP355" t="n">
        <v>6.561282</v>
      </c>
      <c r="AU355" t="n">
        <v>26.12675</v>
      </c>
      <c r="AV355" t="n">
        <v>0.000364061</v>
      </c>
      <c r="AW355" t="n">
        <v>27.50858</v>
      </c>
      <c r="AX355" t="n">
        <v>3.771234</v>
      </c>
    </row>
    <row r="356">
      <c r="A356" s="92" t="n">
        <v>28672</v>
      </c>
      <c r="B356" t="n">
        <v>38.21154</v>
      </c>
      <c r="C356" t="n">
        <v>35.17913</v>
      </c>
      <c r="E356" t="n">
        <v>29.31261</v>
      </c>
      <c r="F356" t="n">
        <v>51.36119</v>
      </c>
      <c r="G356" t="n">
        <v>2.230416</v>
      </c>
      <c r="I356" t="n">
        <v>0.6200033</v>
      </c>
      <c r="J356" t="n">
        <v>0.5657769</v>
      </c>
      <c r="L356" t="n">
        <v>44.49223</v>
      </c>
      <c r="M356" t="n">
        <v>28.16567</v>
      </c>
      <c r="O356" t="n">
        <v>15.13072</v>
      </c>
      <c r="R356" t="n">
        <v>28.98667</v>
      </c>
      <c r="S356" t="n">
        <v>29.4343</v>
      </c>
      <c r="U356" t="n">
        <v>30.80159</v>
      </c>
      <c r="V356" t="n">
        <v>22.79768</v>
      </c>
      <c r="W356" t="n">
        <v>3.478746</v>
      </c>
      <c r="Y356" t="n">
        <v>3.055421</v>
      </c>
      <c r="Z356" t="n">
        <v>5.550482</v>
      </c>
      <c r="AA356" t="n">
        <v>21.00759</v>
      </c>
      <c r="AB356" t="n">
        <v>0.8181771</v>
      </c>
      <c r="AC356" t="n">
        <v>0.01117089</v>
      </c>
      <c r="AD356" t="n">
        <v>14.91971</v>
      </c>
      <c r="AE356" t="n">
        <v>66.78543999999999</v>
      </c>
      <c r="AF356" t="n">
        <v>14.71251</v>
      </c>
      <c r="AH356" t="n">
        <v>34.5664</v>
      </c>
      <c r="AJ356" t="n">
        <v>0.04417643</v>
      </c>
      <c r="AK356" t="n">
        <v>41.96032</v>
      </c>
      <c r="AL356" t="n">
        <v>24.94164</v>
      </c>
      <c r="AM356" t="n">
        <v>14.6873</v>
      </c>
      <c r="AN356" t="n">
        <v>11.70746</v>
      </c>
      <c r="AP356" t="n">
        <v>6.68568</v>
      </c>
      <c r="AU356" t="n">
        <v>26.23852</v>
      </c>
      <c r="AV356" t="n">
        <v>0.000377866</v>
      </c>
      <c r="AW356" t="n">
        <v>27.71953</v>
      </c>
      <c r="AX356" t="n">
        <v>3.909206</v>
      </c>
    </row>
    <row r="357">
      <c r="A357" s="92" t="n">
        <v>28703</v>
      </c>
      <c r="B357" t="n">
        <v>38.45012</v>
      </c>
      <c r="C357" t="n">
        <v>35.33894</v>
      </c>
      <c r="E357" t="n">
        <v>29.39162</v>
      </c>
      <c r="F357" t="n">
        <v>51.41212</v>
      </c>
      <c r="G357" t="n">
        <v>2.292956</v>
      </c>
      <c r="I357" t="n">
        <v>0.6200033</v>
      </c>
      <c r="J357" t="n">
        <v>0.5625501000000001</v>
      </c>
      <c r="L357" t="n">
        <v>44.42699</v>
      </c>
      <c r="M357" t="n">
        <v>28.29283</v>
      </c>
      <c r="O357" t="n">
        <v>15.39463</v>
      </c>
      <c r="R357" t="n">
        <v>29.12074</v>
      </c>
      <c r="S357" t="n">
        <v>29.60976</v>
      </c>
      <c r="U357" t="n">
        <v>30.92084</v>
      </c>
      <c r="V357" t="n">
        <v>22.94729</v>
      </c>
      <c r="W357" t="n">
        <v>3.435532</v>
      </c>
      <c r="Y357" t="n">
        <v>3.092911</v>
      </c>
      <c r="Z357" t="n">
        <v>5.568692</v>
      </c>
      <c r="AA357" t="n">
        <v>21.00759</v>
      </c>
      <c r="AB357" t="n">
        <v>0.8649301</v>
      </c>
      <c r="AC357" t="n">
        <v>0.01143713</v>
      </c>
      <c r="AD357" t="n">
        <v>14.99913</v>
      </c>
      <c r="AE357" t="n">
        <v>66.98905999999999</v>
      </c>
      <c r="AF357" t="n">
        <v>14.74247</v>
      </c>
      <c r="AH357" t="n">
        <v>34.6064</v>
      </c>
      <c r="AJ357" t="n">
        <v>0.04461687</v>
      </c>
      <c r="AK357" t="n">
        <v>42.13136</v>
      </c>
      <c r="AL357" t="n">
        <v>24.94164</v>
      </c>
      <c r="AM357" t="n">
        <v>14.75998</v>
      </c>
      <c r="AN357" t="n">
        <v>11.77467</v>
      </c>
      <c r="AP357" t="n">
        <v>6.76032</v>
      </c>
      <c r="AU357" t="n">
        <v>26.2212</v>
      </c>
      <c r="AV357" t="n">
        <v>0.000387848</v>
      </c>
      <c r="AW357" t="n">
        <v>27.8461</v>
      </c>
      <c r="AX357" t="n">
        <v>3.955197</v>
      </c>
    </row>
    <row r="358">
      <c r="A358" s="92" t="n">
        <v>28734</v>
      </c>
      <c r="B358" t="n">
        <v>38.31095</v>
      </c>
      <c r="C358" t="n">
        <v>35.49323</v>
      </c>
      <c r="E358" t="n">
        <v>29.31261</v>
      </c>
      <c r="F358" t="n">
        <v>51.25934</v>
      </c>
      <c r="G358" t="n">
        <v>2.358767</v>
      </c>
      <c r="I358" t="n">
        <v>0.6200033</v>
      </c>
      <c r="J358" t="n">
        <v>0.5679282</v>
      </c>
      <c r="L358" t="n">
        <v>44.36176</v>
      </c>
      <c r="M358" t="n">
        <v>28.48356</v>
      </c>
      <c r="O358" t="n">
        <v>15.52142</v>
      </c>
      <c r="R358" t="n">
        <v>29.30844</v>
      </c>
      <c r="S358" t="n">
        <v>29.79985</v>
      </c>
      <c r="U358" t="n">
        <v>31.12954</v>
      </c>
      <c r="V358" t="n">
        <v>23.03935</v>
      </c>
      <c r="W358" t="n">
        <v>3.52196</v>
      </c>
      <c r="Y358" t="n">
        <v>3.055421</v>
      </c>
      <c r="Z358" t="n">
        <v>5.652459</v>
      </c>
      <c r="AA358" t="n">
        <v>21.00759</v>
      </c>
      <c r="AB358" t="n">
        <v>0.8649301</v>
      </c>
      <c r="AC358" t="n">
        <v>0.01178102</v>
      </c>
      <c r="AD358" t="n">
        <v>15.23739</v>
      </c>
      <c r="AE358" t="n">
        <v>67.70171000000001</v>
      </c>
      <c r="AF358" t="n">
        <v>15.04205</v>
      </c>
      <c r="AH358" t="n">
        <v>34.66899</v>
      </c>
      <c r="AJ358" t="n">
        <v>0.04512608</v>
      </c>
      <c r="AK358" t="n">
        <v>42.47342</v>
      </c>
      <c r="AL358" t="n">
        <v>25.3</v>
      </c>
      <c r="AM358" t="n">
        <v>14.87821</v>
      </c>
      <c r="AN358" t="n">
        <v>11.87309</v>
      </c>
      <c r="AP358" t="n">
        <v>6.855858</v>
      </c>
      <c r="AU358" t="n">
        <v>26.40561</v>
      </c>
      <c r="AV358" t="n">
        <v>0.000405263</v>
      </c>
      <c r="AW358" t="n">
        <v>28.05706</v>
      </c>
      <c r="AX358" t="n">
        <v>4.001187</v>
      </c>
    </row>
    <row r="359">
      <c r="A359" s="92" t="n">
        <v>28764</v>
      </c>
      <c r="B359" t="n">
        <v>38.39048</v>
      </c>
      <c r="C359" t="n">
        <v>35.57589</v>
      </c>
      <c r="E359" t="n">
        <v>29.70766</v>
      </c>
      <c r="F359" t="n">
        <v>51.15836</v>
      </c>
      <c r="G359" t="n">
        <v>2.402443</v>
      </c>
      <c r="I359" t="n">
        <v>0.6363192</v>
      </c>
      <c r="J359" t="n">
        <v>0.5700794</v>
      </c>
      <c r="L359" t="n">
        <v>44.42699</v>
      </c>
      <c r="M359" t="n">
        <v>29.01339</v>
      </c>
      <c r="O359" t="n">
        <v>15.66344</v>
      </c>
      <c r="R359" t="n">
        <v>29.49615</v>
      </c>
      <c r="S359" t="n">
        <v>30.07767</v>
      </c>
      <c r="U359" t="n">
        <v>31.34968</v>
      </c>
      <c r="V359" t="n">
        <v>23.14293</v>
      </c>
      <c r="W359" t="n">
        <v>3.586782</v>
      </c>
      <c r="Y359" t="n">
        <v>3.080414</v>
      </c>
      <c r="Z359" t="n">
        <v>5.721658</v>
      </c>
      <c r="AA359" t="n">
        <v>21.38441</v>
      </c>
      <c r="AB359" t="n">
        <v>0.8883065999999999</v>
      </c>
      <c r="AC359" t="n">
        <v>0.0124577</v>
      </c>
      <c r="AD359" t="n">
        <v>15.37354</v>
      </c>
      <c r="AE359" t="n">
        <v>67.80351</v>
      </c>
      <c r="AF359" t="n">
        <v>15.17186</v>
      </c>
      <c r="AH359" t="n">
        <v>34.86027</v>
      </c>
      <c r="AJ359" t="n">
        <v>0.04567294</v>
      </c>
      <c r="AK359" t="n">
        <v>42.58744</v>
      </c>
      <c r="AL359" t="n">
        <v>25.3</v>
      </c>
      <c r="AM359" t="n">
        <v>15.01035</v>
      </c>
      <c r="AN359" t="n">
        <v>11.98064</v>
      </c>
      <c r="AP359" t="n">
        <v>7.063852</v>
      </c>
      <c r="AU359" t="n">
        <v>26.5403</v>
      </c>
      <c r="AV359" t="n">
        <v>0.000424844</v>
      </c>
      <c r="AW359" t="n">
        <v>28.31021</v>
      </c>
      <c r="AX359" t="n">
        <v>4.047178</v>
      </c>
    </row>
    <row r="360">
      <c r="A360" s="92" t="n">
        <v>28795</v>
      </c>
      <c r="B360" t="n">
        <v>38.41035</v>
      </c>
      <c r="C360" t="n">
        <v>35.6861</v>
      </c>
      <c r="E360" t="n">
        <v>29.86568</v>
      </c>
      <c r="F360" t="n">
        <v>51.25934</v>
      </c>
      <c r="G360" t="n">
        <v>2.434633</v>
      </c>
      <c r="I360" t="n">
        <v>0.6444771</v>
      </c>
      <c r="J360" t="n">
        <v>0.5722307</v>
      </c>
      <c r="L360" t="n">
        <v>44.55747</v>
      </c>
      <c r="M360" t="n">
        <v>29.20413</v>
      </c>
      <c r="O360" t="n">
        <v>15.73201</v>
      </c>
      <c r="R360" t="n">
        <v>29.65703</v>
      </c>
      <c r="S360" t="n">
        <v>30.23851</v>
      </c>
      <c r="U360" t="n">
        <v>31.45423</v>
      </c>
      <c r="V360" t="n">
        <v>23.30404</v>
      </c>
      <c r="W360" t="n">
        <v>3.629996</v>
      </c>
      <c r="Y360" t="n">
        <v>3.149146</v>
      </c>
      <c r="Z360" t="n">
        <v>5.721658</v>
      </c>
      <c r="AA360" t="n">
        <v>21.38441</v>
      </c>
      <c r="AB360" t="n">
        <v>0.9116831</v>
      </c>
      <c r="AC360" t="n">
        <v>0.01323423</v>
      </c>
      <c r="AD360" t="n">
        <v>15.53238</v>
      </c>
      <c r="AE360" t="n">
        <v>67.19267000000001</v>
      </c>
      <c r="AF360" t="n">
        <v>15.25175</v>
      </c>
      <c r="AH360" t="n">
        <v>34.97503</v>
      </c>
      <c r="AJ360" t="n">
        <v>0.04614285</v>
      </c>
      <c r="AK360" t="n">
        <v>42.58744</v>
      </c>
      <c r="AL360" t="n">
        <v>25.37167</v>
      </c>
      <c r="AM360" t="n">
        <v>15.07745</v>
      </c>
      <c r="AN360" t="n">
        <v>12.06583</v>
      </c>
      <c r="AP360" t="n">
        <v>7.145458</v>
      </c>
      <c r="AU360" t="n">
        <v>26.6476</v>
      </c>
      <c r="AV360" t="n">
        <v>0.000438224</v>
      </c>
      <c r="AW360" t="n">
        <v>28.43678</v>
      </c>
      <c r="AX360" t="n">
        <v>4.047178</v>
      </c>
    </row>
    <row r="361">
      <c r="A361" s="92" t="n">
        <v>28825</v>
      </c>
      <c r="B361" t="n">
        <v>38.52964</v>
      </c>
      <c r="C361" t="n">
        <v>35.84315</v>
      </c>
      <c r="E361" t="n">
        <v>29.94469</v>
      </c>
      <c r="F361" t="n">
        <v>51.36119</v>
      </c>
      <c r="G361" t="n">
        <v>2.47143</v>
      </c>
      <c r="I361" t="n">
        <v>0.652635</v>
      </c>
      <c r="J361" t="n">
        <v>0.5819113</v>
      </c>
      <c r="L361" t="n">
        <v>44.68795</v>
      </c>
      <c r="M361" t="n">
        <v>29.22532</v>
      </c>
      <c r="O361" t="n">
        <v>15.94531</v>
      </c>
      <c r="R361" t="n">
        <v>29.6034</v>
      </c>
      <c r="S361" t="n">
        <v>30.38474</v>
      </c>
      <c r="U361" t="n">
        <v>31.57404</v>
      </c>
      <c r="V361" t="n">
        <v>23.49968</v>
      </c>
      <c r="W361" t="n">
        <v>3.694817</v>
      </c>
      <c r="Y361" t="n">
        <v>3.186635</v>
      </c>
      <c r="Z361" t="n">
        <v>5.634249</v>
      </c>
      <c r="AA361" t="n">
        <v>21.38441</v>
      </c>
      <c r="AB361" t="n">
        <v>0.9116831</v>
      </c>
      <c r="AC361" t="n">
        <v>0.01368904</v>
      </c>
      <c r="AD361" t="n">
        <v>15.6118</v>
      </c>
      <c r="AE361" t="n">
        <v>67.09087</v>
      </c>
      <c r="AF361" t="n">
        <v>15.31167</v>
      </c>
      <c r="AH361" t="n">
        <v>34.97329</v>
      </c>
      <c r="AJ361" t="n">
        <v>0.04653417</v>
      </c>
      <c r="AK361" t="n">
        <v>42.53043</v>
      </c>
      <c r="AL361" t="n">
        <v>25.37167</v>
      </c>
      <c r="AM361" t="n">
        <v>15.14891</v>
      </c>
      <c r="AN361" t="n">
        <v>12.1437</v>
      </c>
      <c r="AP361" t="n">
        <v>7.274832</v>
      </c>
      <c r="AU361" t="n">
        <v>26.81469</v>
      </c>
      <c r="AV361" t="n">
        <v>0.000445572</v>
      </c>
      <c r="AW361" t="n">
        <v>28.56335</v>
      </c>
      <c r="AX361" t="n">
        <v>4.047178</v>
      </c>
    </row>
    <row r="362">
      <c r="A362" s="92" t="n">
        <v>28856</v>
      </c>
      <c r="B362" t="n">
        <v>38.86762</v>
      </c>
      <c r="C362" t="n">
        <v>36.05531</v>
      </c>
      <c r="E362" t="n">
        <v>30.10271</v>
      </c>
      <c r="F362" t="n">
        <v>51.56491</v>
      </c>
      <c r="G362" t="n">
        <v>2.526543</v>
      </c>
      <c r="I362" t="n">
        <v>0.6689509</v>
      </c>
      <c r="J362" t="n">
        <v>0.5851381</v>
      </c>
      <c r="L362" t="n">
        <v>45.14461</v>
      </c>
      <c r="M362" t="n">
        <v>29.22532</v>
      </c>
      <c r="O362" t="n">
        <v>16.21902</v>
      </c>
      <c r="R362" t="n">
        <v>29.84474</v>
      </c>
      <c r="S362" t="n">
        <v>30.66256</v>
      </c>
      <c r="U362" t="n">
        <v>31.85655</v>
      </c>
      <c r="V362" t="n">
        <v>23.84492</v>
      </c>
      <c r="W362" t="n">
        <v>3.846067</v>
      </c>
      <c r="Y362" t="n">
        <v>3.192884</v>
      </c>
      <c r="Z362" t="n">
        <v>5.586902</v>
      </c>
      <c r="AA362" t="n">
        <v>22.23224</v>
      </c>
      <c r="AB362" t="n">
        <v>0.9350595</v>
      </c>
      <c r="AC362" t="n">
        <v>0.01436574</v>
      </c>
      <c r="AD362" t="n">
        <v>15.87275</v>
      </c>
      <c r="AE362" t="n">
        <v>67.19267000000001</v>
      </c>
      <c r="AF362" t="n">
        <v>15.44148</v>
      </c>
      <c r="AH362" t="n">
        <v>35.24977</v>
      </c>
      <c r="AJ362" t="n">
        <v>0.04818622</v>
      </c>
      <c r="AK362" t="n">
        <v>42.47342</v>
      </c>
      <c r="AL362" t="n">
        <v>25.3</v>
      </c>
      <c r="AM362" t="n">
        <v>15.31215</v>
      </c>
      <c r="AN362" t="n">
        <v>12.29392</v>
      </c>
      <c r="AP362" t="n">
        <v>7.332553</v>
      </c>
      <c r="AU362" t="n">
        <v>26.99297</v>
      </c>
      <c r="AV362" t="n">
        <v>0.000455979</v>
      </c>
      <c r="AW362" t="n">
        <v>28.8165</v>
      </c>
      <c r="AX362" t="n">
        <v>4.093169</v>
      </c>
    </row>
    <row r="363">
      <c r="A363" s="92" t="n">
        <v>28887</v>
      </c>
      <c r="B363" t="n">
        <v>39.08632</v>
      </c>
      <c r="C363" t="n">
        <v>36.17378</v>
      </c>
      <c r="E363" t="n">
        <v>30.49776</v>
      </c>
      <c r="F363" t="n">
        <v>52.12424</v>
      </c>
      <c r="G363" t="n">
        <v>2.567568</v>
      </c>
      <c r="I363" t="n">
        <v>0.6852668</v>
      </c>
      <c r="J363" t="n">
        <v>0.5851381</v>
      </c>
      <c r="L363" t="n">
        <v>45.27509</v>
      </c>
      <c r="M363" t="n">
        <v>29.39487</v>
      </c>
      <c r="O363" t="n">
        <v>16.34472</v>
      </c>
      <c r="R363" t="n">
        <v>30.19333</v>
      </c>
      <c r="S363" t="n">
        <v>30.86727</v>
      </c>
      <c r="U363" t="n">
        <v>32.12463</v>
      </c>
      <c r="V363" t="n">
        <v>24.04056</v>
      </c>
      <c r="W363" t="n">
        <v>3.846067</v>
      </c>
      <c r="Y363" t="n">
        <v>3.267864</v>
      </c>
      <c r="Z363" t="n">
        <v>5.535913</v>
      </c>
      <c r="AA363" t="n">
        <v>22.23224</v>
      </c>
      <c r="AB363" t="n">
        <v>0.9584361</v>
      </c>
      <c r="AC363" t="n">
        <v>0.01471518</v>
      </c>
      <c r="AD363" t="n">
        <v>16.11102</v>
      </c>
      <c r="AE363" t="n">
        <v>66.98905999999999</v>
      </c>
      <c r="AF363" t="n">
        <v>15.98138</v>
      </c>
      <c r="AH363" t="n">
        <v>35.43409</v>
      </c>
      <c r="AJ363" t="n">
        <v>0.0488788</v>
      </c>
      <c r="AK363" t="n">
        <v>42.70147</v>
      </c>
      <c r="AL363" t="n">
        <v>25.4</v>
      </c>
      <c r="AM363" t="n">
        <v>15.44816</v>
      </c>
      <c r="AN363" t="n">
        <v>12.39247</v>
      </c>
      <c r="AP363" t="n">
        <v>7.455956</v>
      </c>
      <c r="AU363" t="n">
        <v>27.21259</v>
      </c>
      <c r="AV363" t="n">
        <v>0.000466173</v>
      </c>
      <c r="AW363" t="n">
        <v>29.15403</v>
      </c>
      <c r="AX363" t="n">
        <v>4.139159</v>
      </c>
    </row>
    <row r="364">
      <c r="A364" s="92" t="n">
        <v>28915</v>
      </c>
      <c r="B364" t="n">
        <v>39.14596</v>
      </c>
      <c r="C364" t="n">
        <v>36.19582</v>
      </c>
      <c r="E364" t="n">
        <v>30.8138</v>
      </c>
      <c r="F364" t="n">
        <v>52.378</v>
      </c>
      <c r="G364" t="n">
        <v>2.639735</v>
      </c>
      <c r="I364" t="n">
        <v>0.7097406000000001</v>
      </c>
      <c r="J364" t="n">
        <v>0.5851381</v>
      </c>
      <c r="L364" t="n">
        <v>45.53604</v>
      </c>
      <c r="M364" t="n">
        <v>29.64919</v>
      </c>
      <c r="O364" t="n">
        <v>16.5145</v>
      </c>
      <c r="R364" t="n">
        <v>30.40784</v>
      </c>
      <c r="S364" t="n">
        <v>31.14509</v>
      </c>
      <c r="U364" t="n">
        <v>32.42973</v>
      </c>
      <c r="V364" t="n">
        <v>24.2362</v>
      </c>
      <c r="W364" t="n">
        <v>3.97571</v>
      </c>
      <c r="Y364" t="n">
        <v>3.267864</v>
      </c>
      <c r="Z364" t="n">
        <v>5.586902</v>
      </c>
      <c r="AA364" t="n">
        <v>22.23224</v>
      </c>
      <c r="AB364" t="n">
        <v>0.9818125</v>
      </c>
      <c r="AC364" t="n">
        <v>0.01554162</v>
      </c>
      <c r="AD364" t="n">
        <v>16.32659</v>
      </c>
      <c r="AE364" t="n">
        <v>67.59990000000001</v>
      </c>
      <c r="AF364" t="n">
        <v>16.27098</v>
      </c>
      <c r="AH364" t="n">
        <v>35.49669</v>
      </c>
      <c r="AJ364" t="n">
        <v>0.04954191</v>
      </c>
      <c r="AK364" t="n">
        <v>43.10055</v>
      </c>
      <c r="AL364" t="n">
        <v>25.5</v>
      </c>
      <c r="AM364" t="n">
        <v>15.6004</v>
      </c>
      <c r="AN364" t="n">
        <v>12.51177</v>
      </c>
      <c r="AP364" t="n">
        <v>7.575379</v>
      </c>
      <c r="AU364" t="n">
        <v>27.35175</v>
      </c>
      <c r="AV364" t="n">
        <v>0.000477812</v>
      </c>
      <c r="AW364" t="n">
        <v>29.44936</v>
      </c>
      <c r="AX364" t="n">
        <v>4.18515</v>
      </c>
    </row>
    <row r="365">
      <c r="A365" s="92" t="n">
        <v>28946</v>
      </c>
      <c r="B365" t="n">
        <v>39.18572</v>
      </c>
      <c r="C365" t="n">
        <v>36.28124</v>
      </c>
      <c r="E365" t="n">
        <v>31.05083</v>
      </c>
      <c r="F365" t="n">
        <v>52.53079</v>
      </c>
      <c r="G365" t="n">
        <v>2.708193</v>
      </c>
      <c r="I365" t="n">
        <v>0.7260565</v>
      </c>
      <c r="J365" t="n">
        <v>0.5894406</v>
      </c>
      <c r="L365" t="n">
        <v>45.73175</v>
      </c>
      <c r="M365" t="n">
        <v>29.75515</v>
      </c>
      <c r="O365" t="n">
        <v>16.76372</v>
      </c>
      <c r="R365" t="n">
        <v>30.67599</v>
      </c>
      <c r="S365" t="n">
        <v>31.45215</v>
      </c>
      <c r="U365" t="n">
        <v>32.78156</v>
      </c>
      <c r="V365" t="n">
        <v>24.6505</v>
      </c>
      <c r="W365" t="n">
        <v>4.040531</v>
      </c>
      <c r="Y365" t="n">
        <v>3.367836</v>
      </c>
      <c r="Z365" t="n">
        <v>5.670669</v>
      </c>
      <c r="AA365" t="n">
        <v>22.98588</v>
      </c>
      <c r="AB365" t="n">
        <v>1.028566</v>
      </c>
      <c r="AC365" t="n">
        <v>0.01688945</v>
      </c>
      <c r="AD365" t="n">
        <v>16.53081</v>
      </c>
      <c r="AE365" t="n">
        <v>68.41435</v>
      </c>
      <c r="AF365" t="n">
        <v>16.67041</v>
      </c>
      <c r="AH365" t="n">
        <v>35.58363</v>
      </c>
      <c r="AJ365" t="n">
        <v>0.04998563</v>
      </c>
      <c r="AK365" t="n">
        <v>43.3856</v>
      </c>
      <c r="AL365" t="n">
        <v>25.6</v>
      </c>
      <c r="AM365" t="n">
        <v>15.78872</v>
      </c>
      <c r="AN365" t="n">
        <v>12.66286</v>
      </c>
      <c r="AP365" t="n">
        <v>7.792331</v>
      </c>
      <c r="AU365" t="n">
        <v>27.50487</v>
      </c>
      <c r="AV365" t="n">
        <v>0.00050215</v>
      </c>
      <c r="AW365" t="n">
        <v>29.78689</v>
      </c>
      <c r="AX365" t="n">
        <v>4.231141</v>
      </c>
    </row>
    <row r="366">
      <c r="A366" s="92" t="n">
        <v>28976</v>
      </c>
      <c r="B366" t="n">
        <v>39.18572</v>
      </c>
      <c r="C366" t="n">
        <v>36.38043</v>
      </c>
      <c r="E366" t="n">
        <v>31.36687</v>
      </c>
      <c r="F366" t="n">
        <v>52.7345</v>
      </c>
      <c r="G366" t="n">
        <v>2.776404</v>
      </c>
      <c r="I366" t="n">
        <v>0.7423723</v>
      </c>
      <c r="J366" t="n">
        <v>0.5948187</v>
      </c>
      <c r="L366" t="n">
        <v>45.86222</v>
      </c>
      <c r="M366" t="n">
        <v>30.24259</v>
      </c>
      <c r="O366" t="n">
        <v>16.95962</v>
      </c>
      <c r="R366" t="n">
        <v>30.78325</v>
      </c>
      <c r="S366" t="n">
        <v>31.78846</v>
      </c>
      <c r="U366" t="n">
        <v>33.12012</v>
      </c>
      <c r="V366" t="n">
        <v>24.84613</v>
      </c>
      <c r="W366" t="n">
        <v>4.083745</v>
      </c>
      <c r="Y366" t="n">
        <v>3.467809</v>
      </c>
      <c r="Z366" t="n">
        <v>5.703448</v>
      </c>
      <c r="AA366" t="n">
        <v>22.98588</v>
      </c>
      <c r="AB366" t="n">
        <v>1.075318</v>
      </c>
      <c r="AC366" t="n">
        <v>0.01769371</v>
      </c>
      <c r="AD366" t="n">
        <v>16.71234</v>
      </c>
      <c r="AE366" t="n">
        <v>69.0252</v>
      </c>
      <c r="AF366" t="n">
        <v>17.18967</v>
      </c>
      <c r="AH366" t="n">
        <v>35.78707</v>
      </c>
      <c r="AJ366" t="n">
        <v>0.05064056</v>
      </c>
      <c r="AK366" t="n">
        <v>43.3856</v>
      </c>
      <c r="AL366" t="n">
        <v>25.7</v>
      </c>
      <c r="AM366" t="n">
        <v>15.96055</v>
      </c>
      <c r="AN366" t="n">
        <v>12.78253</v>
      </c>
      <c r="AP366" t="n">
        <v>8.019234000000001</v>
      </c>
      <c r="AU366" t="n">
        <v>27.67085</v>
      </c>
      <c r="AV366" t="n">
        <v>0.00052428</v>
      </c>
      <c r="AW366" t="n">
        <v>30.16661</v>
      </c>
      <c r="AX366" t="n">
        <v>4.231141</v>
      </c>
    </row>
    <row r="367">
      <c r="A367" s="92" t="n">
        <v>29007</v>
      </c>
      <c r="B367" t="n">
        <v>39.36465</v>
      </c>
      <c r="C367" t="n">
        <v>36.57054</v>
      </c>
      <c r="E367" t="n">
        <v>31.52489</v>
      </c>
      <c r="F367" t="n">
        <v>53.44574</v>
      </c>
      <c r="G367" t="n">
        <v>2.846099</v>
      </c>
      <c r="I367" t="n">
        <v>0.7505302</v>
      </c>
      <c r="J367" t="n">
        <v>0.6098774</v>
      </c>
      <c r="L367" t="n">
        <v>46.12318</v>
      </c>
      <c r="M367" t="n">
        <v>30.5181</v>
      </c>
      <c r="O367" t="n">
        <v>17.10926</v>
      </c>
      <c r="R367" t="n">
        <v>30.99777</v>
      </c>
      <c r="S367" t="n">
        <v>32.05165</v>
      </c>
      <c r="U367" t="n">
        <v>33.41828</v>
      </c>
      <c r="V367" t="n">
        <v>25.27194</v>
      </c>
      <c r="W367" t="n">
        <v>4.213388</v>
      </c>
      <c r="Y367" t="n">
        <v>3.555285</v>
      </c>
      <c r="Z367" t="n">
        <v>5.805425</v>
      </c>
      <c r="AA367" t="n">
        <v>22.98588</v>
      </c>
      <c r="AB367" t="n">
        <v>1.122072</v>
      </c>
      <c r="AC367" t="n">
        <v>0.01832047</v>
      </c>
      <c r="AD367" t="n">
        <v>16.84849</v>
      </c>
      <c r="AE367" t="n">
        <v>69.12701</v>
      </c>
      <c r="AF367" t="n">
        <v>17.34945</v>
      </c>
      <c r="AH367" t="n">
        <v>35.9453</v>
      </c>
      <c r="AJ367" t="n">
        <v>0.05120216</v>
      </c>
      <c r="AK367" t="n">
        <v>43.3856</v>
      </c>
      <c r="AL367" t="n">
        <v>25.8</v>
      </c>
      <c r="AM367" t="n">
        <v>16.13623</v>
      </c>
      <c r="AN367" t="n">
        <v>12.96354</v>
      </c>
      <c r="AP367" t="n">
        <v>8.042123</v>
      </c>
      <c r="AU367" t="n">
        <v>27.7938</v>
      </c>
      <c r="AV367" t="n">
        <v>0.000581028</v>
      </c>
      <c r="AW367" t="n">
        <v>30.50414</v>
      </c>
      <c r="AX367" t="n">
        <v>4.277131</v>
      </c>
    </row>
    <row r="368">
      <c r="A368" s="92" t="n">
        <v>29037</v>
      </c>
      <c r="B368" t="n">
        <v>39.70263</v>
      </c>
      <c r="C368" t="n">
        <v>36.87362</v>
      </c>
      <c r="E368" t="n">
        <v>31.76192</v>
      </c>
      <c r="F368" t="n">
        <v>53.59853</v>
      </c>
      <c r="G368" t="n">
        <v>2.94891</v>
      </c>
      <c r="I368" t="n">
        <v>0.7586882</v>
      </c>
      <c r="J368" t="n">
        <v>0.6141799</v>
      </c>
      <c r="L368" t="n">
        <v>46.38413</v>
      </c>
      <c r="M368" t="n">
        <v>31.21748</v>
      </c>
      <c r="O368" t="n">
        <v>17.47874</v>
      </c>
      <c r="R368" t="n">
        <v>31.15866</v>
      </c>
      <c r="S368" t="n">
        <v>32.4757</v>
      </c>
      <c r="U368" t="n">
        <v>33.82695</v>
      </c>
      <c r="V368" t="n">
        <v>26.36521</v>
      </c>
      <c r="W368" t="n">
        <v>4.191781</v>
      </c>
      <c r="Y368" t="n">
        <v>3.642762</v>
      </c>
      <c r="Z368" t="n">
        <v>5.940181</v>
      </c>
      <c r="AA368" t="n">
        <v>23.92793</v>
      </c>
      <c r="AB368" t="n">
        <v>1.192201</v>
      </c>
      <c r="AC368" t="n">
        <v>0.01932996</v>
      </c>
      <c r="AD368" t="n">
        <v>16.99599</v>
      </c>
      <c r="AE368" t="n">
        <v>69.73784999999999</v>
      </c>
      <c r="AF368" t="n">
        <v>17.42933</v>
      </c>
      <c r="AH368" t="n">
        <v>36.1244</v>
      </c>
      <c r="AJ368" t="n">
        <v>0.0518227</v>
      </c>
      <c r="AK368" t="n">
        <v>43.55664</v>
      </c>
      <c r="AL368" t="n">
        <v>26</v>
      </c>
      <c r="AM368" t="n">
        <v>16.36434</v>
      </c>
      <c r="AN368" t="n">
        <v>13.20205</v>
      </c>
      <c r="AP368" t="n">
        <v>8.065011999999999</v>
      </c>
      <c r="AU368" t="n">
        <v>27.98436</v>
      </c>
      <c r="AV368" t="n">
        <v>0.000631362</v>
      </c>
      <c r="AW368" t="n">
        <v>30.84167</v>
      </c>
      <c r="AX368" t="n">
        <v>4.461094</v>
      </c>
    </row>
    <row r="369">
      <c r="A369" s="92" t="n">
        <v>29068</v>
      </c>
      <c r="B369" t="n">
        <v>39.70263</v>
      </c>
      <c r="C369" t="n">
        <v>37.0472</v>
      </c>
      <c r="E369" t="n">
        <v>31.84093</v>
      </c>
      <c r="F369" t="n">
        <v>53.49667</v>
      </c>
      <c r="G369" t="n">
        <v>3.088299</v>
      </c>
      <c r="I369" t="n">
        <v>0.7750041</v>
      </c>
      <c r="J369" t="n">
        <v>0.6131043</v>
      </c>
      <c r="L369" t="n">
        <v>46.44937</v>
      </c>
      <c r="M369" t="n">
        <v>31.7685</v>
      </c>
      <c r="O369" t="n">
        <v>17.65069</v>
      </c>
      <c r="R369" t="n">
        <v>31.29273</v>
      </c>
      <c r="S369" t="n">
        <v>32.812</v>
      </c>
      <c r="U369" t="n">
        <v>34.02847</v>
      </c>
      <c r="V369" t="n">
        <v>26.57236</v>
      </c>
      <c r="W369" t="n">
        <v>4.148567</v>
      </c>
      <c r="Y369" t="n">
        <v>3.72399</v>
      </c>
      <c r="Z369" t="n">
        <v>6.056726</v>
      </c>
      <c r="AA369" t="n">
        <v>23.92793</v>
      </c>
      <c r="AB369" t="n">
        <v>1.215577</v>
      </c>
      <c r="AC369" t="n">
        <v>0.02094957</v>
      </c>
      <c r="AD369" t="n">
        <v>17.20021</v>
      </c>
      <c r="AE369" t="n">
        <v>69.0252</v>
      </c>
      <c r="AF369" t="n">
        <v>17.48925</v>
      </c>
      <c r="AH369" t="n">
        <v>36.23743</v>
      </c>
      <c r="AJ369" t="n">
        <v>0.05260697</v>
      </c>
      <c r="AK369" t="n">
        <v>43.72767</v>
      </c>
      <c r="AL369" t="n">
        <v>26</v>
      </c>
      <c r="AM369" t="n">
        <v>16.48122</v>
      </c>
      <c r="AN369" t="n">
        <v>13.32022</v>
      </c>
      <c r="AP369" t="n">
        <v>8.236185000000001</v>
      </c>
      <c r="AU369" t="n">
        <v>28.37835</v>
      </c>
      <c r="AV369" t="n">
        <v>0.00065774</v>
      </c>
      <c r="AW369" t="n">
        <v>31.13701</v>
      </c>
      <c r="AX369" t="n">
        <v>4.507084</v>
      </c>
    </row>
    <row r="370">
      <c r="A370" s="92" t="n">
        <v>29099</v>
      </c>
      <c r="B370" t="n">
        <v>39.74239</v>
      </c>
      <c r="C370" t="n">
        <v>37.12435</v>
      </c>
      <c r="E370" t="n">
        <v>32.15697</v>
      </c>
      <c r="F370" t="n">
        <v>53.75131</v>
      </c>
      <c r="G370" t="n">
        <v>3.209399</v>
      </c>
      <c r="I370" t="n">
        <v>0.79132</v>
      </c>
      <c r="J370" t="n">
        <v>0.6195580000000001</v>
      </c>
      <c r="L370" t="n">
        <v>46.64508</v>
      </c>
      <c r="M370" t="n">
        <v>32.12878</v>
      </c>
      <c r="O370" t="n">
        <v>17.88304</v>
      </c>
      <c r="R370" t="n">
        <v>31.56088</v>
      </c>
      <c r="S370" t="n">
        <v>33.08982</v>
      </c>
      <c r="U370" t="n">
        <v>34.40982</v>
      </c>
      <c r="V370" t="n">
        <v>26.83705</v>
      </c>
      <c r="W370" t="n">
        <v>4.234995</v>
      </c>
      <c r="Y370" t="n">
        <v>3.755231</v>
      </c>
      <c r="Z370" t="n">
        <v>6.107715</v>
      </c>
      <c r="AA370" t="n">
        <v>23.92793</v>
      </c>
      <c r="AB370" t="n">
        <v>1.26233</v>
      </c>
      <c r="AC370" t="n">
        <v>0.02262465</v>
      </c>
      <c r="AD370" t="n">
        <v>17.6427</v>
      </c>
      <c r="AE370" t="n">
        <v>69.94146000000001</v>
      </c>
      <c r="AF370" t="n">
        <v>17.72891</v>
      </c>
      <c r="AH370" t="n">
        <v>36.4374</v>
      </c>
      <c r="AJ370" t="n">
        <v>0.05325207</v>
      </c>
      <c r="AK370" t="n">
        <v>44.12675</v>
      </c>
      <c r="AL370" t="n">
        <v>26.1</v>
      </c>
      <c r="AM370" t="n">
        <v>16.67602</v>
      </c>
      <c r="AN370" t="n">
        <v>13.49365</v>
      </c>
      <c r="AP370" t="n">
        <v>8.417310000000001</v>
      </c>
      <c r="AU370" t="n">
        <v>28.5013</v>
      </c>
      <c r="AV370" t="n">
        <v>0.00068828</v>
      </c>
      <c r="AW370" t="n">
        <v>31.47453</v>
      </c>
      <c r="AX370" t="n">
        <v>4.553075</v>
      </c>
    </row>
    <row r="371">
      <c r="A371" s="92" t="n">
        <v>29129</v>
      </c>
      <c r="B371" t="n">
        <v>39.9412</v>
      </c>
      <c r="C371" t="n">
        <v>37.3861</v>
      </c>
      <c r="E371" t="n">
        <v>32.39399</v>
      </c>
      <c r="F371" t="n">
        <v>53.70038</v>
      </c>
      <c r="G371" t="n">
        <v>3.287496</v>
      </c>
      <c r="I371" t="n">
        <v>0.7994779</v>
      </c>
      <c r="J371" t="n">
        <v>0.6335411</v>
      </c>
      <c r="L371" t="n">
        <v>46.71032</v>
      </c>
      <c r="M371" t="n">
        <v>32.29832</v>
      </c>
      <c r="O371" t="n">
        <v>18.12301</v>
      </c>
      <c r="R371" t="n">
        <v>31.74858</v>
      </c>
      <c r="S371" t="n">
        <v>33.48462</v>
      </c>
      <c r="U371" t="n">
        <v>34.71801</v>
      </c>
      <c r="V371" t="n">
        <v>27.11325</v>
      </c>
      <c r="W371" t="n">
        <v>4.364638</v>
      </c>
      <c r="Y371" t="n">
        <v>3.786473</v>
      </c>
      <c r="Z371" t="n">
        <v>6.140493</v>
      </c>
      <c r="AA371" t="n">
        <v>24.77576</v>
      </c>
      <c r="AB371" t="n">
        <v>1.355836</v>
      </c>
      <c r="AC371" t="n">
        <v>0.02439402</v>
      </c>
      <c r="AD371" t="n">
        <v>17.97172</v>
      </c>
      <c r="AE371" t="n">
        <v>70.75592</v>
      </c>
      <c r="AF371" t="n">
        <v>17.84874</v>
      </c>
      <c r="AH371" t="n">
        <v>36.67388</v>
      </c>
      <c r="AJ371" t="n">
        <v>0.05418207</v>
      </c>
      <c r="AK371" t="n">
        <v>44.46882</v>
      </c>
      <c r="AL371" t="n">
        <v>26.3</v>
      </c>
      <c r="AM371" t="n">
        <v>16.87223</v>
      </c>
      <c r="AN371" t="n">
        <v>13.68413</v>
      </c>
      <c r="AP371" t="n">
        <v>8.598433</v>
      </c>
      <c r="AU371" t="n">
        <v>28.77178</v>
      </c>
      <c r="AV371" t="n">
        <v>0.000735853</v>
      </c>
      <c r="AW371" t="n">
        <v>31.72768</v>
      </c>
      <c r="AX371" t="n">
        <v>4.599066</v>
      </c>
    </row>
    <row r="372">
      <c r="A372" s="92" t="n">
        <v>29160</v>
      </c>
      <c r="B372" t="n">
        <v>40.12013</v>
      </c>
      <c r="C372" t="n">
        <v>37.54314</v>
      </c>
      <c r="E372" t="n">
        <v>32.71003</v>
      </c>
      <c r="F372" t="n">
        <v>53.90409</v>
      </c>
      <c r="G372" t="n">
        <v>3.357932</v>
      </c>
      <c r="I372" t="n">
        <v>0.8239517</v>
      </c>
      <c r="J372" t="n">
        <v>0.6485997999999999</v>
      </c>
      <c r="L372" t="n">
        <v>46.97127</v>
      </c>
      <c r="M372" t="n">
        <v>32.61622</v>
      </c>
      <c r="O372" t="n">
        <v>18.16655</v>
      </c>
      <c r="R372" t="n">
        <v>31.98991</v>
      </c>
      <c r="S372" t="n">
        <v>33.70395</v>
      </c>
      <c r="U372" t="n">
        <v>34.97234</v>
      </c>
      <c r="V372" t="n">
        <v>27.35492</v>
      </c>
      <c r="W372" t="n">
        <v>4.451066</v>
      </c>
      <c r="Y372" t="n">
        <v>3.811466</v>
      </c>
      <c r="Z372" t="n">
        <v>6.191482</v>
      </c>
      <c r="AA372" t="n">
        <v>24.77576</v>
      </c>
      <c r="AB372" t="n">
        <v>1.425966</v>
      </c>
      <c r="AC372" t="n">
        <v>0.02676797</v>
      </c>
      <c r="AD372" t="n">
        <v>18.22133</v>
      </c>
      <c r="AE372" t="n">
        <v>70.45049</v>
      </c>
      <c r="AF372" t="n">
        <v>18.11836</v>
      </c>
      <c r="AH372" t="n">
        <v>36.91384</v>
      </c>
      <c r="AJ372" t="n">
        <v>0.05487957</v>
      </c>
      <c r="AK372" t="n">
        <v>44.52583</v>
      </c>
      <c r="AL372" t="n">
        <v>26.5</v>
      </c>
      <c r="AM372" t="n">
        <v>17.01871</v>
      </c>
      <c r="AN372" t="n">
        <v>13.83199</v>
      </c>
      <c r="AP372" t="n">
        <v>8.688995999999999</v>
      </c>
      <c r="AU372" t="n">
        <v>29.1898</v>
      </c>
      <c r="AV372" t="n">
        <v>0.000773996</v>
      </c>
      <c r="AW372" t="n">
        <v>32.02302</v>
      </c>
      <c r="AX372" t="n">
        <v>4.599066</v>
      </c>
    </row>
    <row r="373">
      <c r="A373" s="92" t="n">
        <v>29190</v>
      </c>
      <c r="B373" t="n">
        <v>40.33883</v>
      </c>
      <c r="C373" t="n">
        <v>37.68366</v>
      </c>
      <c r="D373" t="n">
        <v>0</v>
      </c>
      <c r="E373" t="n">
        <v>32.86805</v>
      </c>
      <c r="F373" t="n">
        <v>54.00507</v>
      </c>
      <c r="G373" t="n">
        <v>3.432816</v>
      </c>
      <c r="I373" t="n">
        <v>0.8321096</v>
      </c>
      <c r="J373" t="n">
        <v>0.6582804</v>
      </c>
      <c r="L373" t="n">
        <v>47.10175</v>
      </c>
      <c r="M373" t="n">
        <v>32.6798</v>
      </c>
      <c r="O373" t="n">
        <v>18.43155</v>
      </c>
      <c r="R373" t="n">
        <v>32.1508</v>
      </c>
      <c r="S373" t="n">
        <v>33.96715</v>
      </c>
      <c r="U373" t="n">
        <v>35.29172</v>
      </c>
      <c r="V373" t="n">
        <v>27.55055</v>
      </c>
      <c r="W373" t="n">
        <v>4.602316</v>
      </c>
      <c r="Y373" t="n">
        <v>3.842708</v>
      </c>
      <c r="Z373" t="n">
        <v>6.293459</v>
      </c>
      <c r="AA373" t="n">
        <v>24.77576</v>
      </c>
      <c r="AB373" t="n">
        <v>1.425966</v>
      </c>
      <c r="AC373" t="n">
        <v>0.0289367</v>
      </c>
      <c r="AD373" t="n">
        <v>18.55036</v>
      </c>
      <c r="AE373" t="n">
        <v>70.95953</v>
      </c>
      <c r="AF373" t="n">
        <v>18.5584</v>
      </c>
      <c r="AH373" t="n">
        <v>37.06686</v>
      </c>
      <c r="AJ373" t="n">
        <v>0.05585049</v>
      </c>
      <c r="AK373" t="n">
        <v>44.58284</v>
      </c>
      <c r="AL373" t="n">
        <v>26.5</v>
      </c>
      <c r="AM373" t="n">
        <v>17.20048</v>
      </c>
      <c r="AN373" t="n">
        <v>13.99013</v>
      </c>
      <c r="AP373" t="n">
        <v>8.802447000000001</v>
      </c>
      <c r="AU373" t="n">
        <v>29.43122</v>
      </c>
      <c r="AV373" t="n">
        <v>0.000810228</v>
      </c>
      <c r="AW373" t="n">
        <v>32.36055</v>
      </c>
      <c r="AX373" t="n">
        <v>4.645056</v>
      </c>
    </row>
    <row r="374">
      <c r="A374" s="92" t="n">
        <v>29221</v>
      </c>
      <c r="B374" t="n">
        <v>40.81597</v>
      </c>
      <c r="C374" t="n">
        <v>38.20992</v>
      </c>
      <c r="D374" t="n">
        <v>0</v>
      </c>
      <c r="E374" t="n">
        <v>33.02607</v>
      </c>
      <c r="F374" t="n">
        <v>54.15786</v>
      </c>
      <c r="G374" t="n">
        <v>3.505971</v>
      </c>
      <c r="I374" t="n">
        <v>0.8565835000000001</v>
      </c>
      <c r="J374" t="n">
        <v>0.6711878999999999</v>
      </c>
      <c r="L374" t="n">
        <v>47.3627</v>
      </c>
      <c r="M374" t="n">
        <v>32.95531</v>
      </c>
      <c r="O374" t="n">
        <v>18.9387</v>
      </c>
      <c r="R374" t="n">
        <v>32.5262</v>
      </c>
      <c r="S374" t="n">
        <v>34.62514</v>
      </c>
      <c r="U374" t="n">
        <v>35.80548</v>
      </c>
      <c r="V374" t="n">
        <v>28.22954</v>
      </c>
      <c r="W374" t="n">
        <v>4.753566</v>
      </c>
      <c r="X374" t="n">
        <v>2.975167</v>
      </c>
      <c r="Y374" t="n">
        <v>3.886446</v>
      </c>
      <c r="Z374" t="n">
        <v>6.242471</v>
      </c>
      <c r="AA374" t="n">
        <v>25.71781</v>
      </c>
      <c r="AB374" t="n">
        <v>1.496095</v>
      </c>
      <c r="AC374" t="n">
        <v>0.0310555</v>
      </c>
      <c r="AD374" t="n">
        <v>19.14034</v>
      </c>
      <c r="AE374" t="n">
        <v>71.57037</v>
      </c>
      <c r="AF374" t="n">
        <v>19.3626</v>
      </c>
      <c r="AH374" t="n">
        <v>37.25465</v>
      </c>
      <c r="AJ374" t="n">
        <v>0.05857335</v>
      </c>
      <c r="AK374" t="n">
        <v>44.81089</v>
      </c>
      <c r="AL374" t="n">
        <v>26.9</v>
      </c>
      <c r="AM374" t="n">
        <v>17.52246</v>
      </c>
      <c r="AN374" t="n">
        <v>14.30014</v>
      </c>
      <c r="AP374" t="n">
        <v>8.884053</v>
      </c>
      <c r="AT374" t="n">
        <v>0.000343517</v>
      </c>
      <c r="AU374" t="n">
        <v>30.41368</v>
      </c>
      <c r="AV374" t="n">
        <v>0.0008945859999999999</v>
      </c>
      <c r="AW374" t="n">
        <v>32.82465</v>
      </c>
      <c r="AX374" t="n">
        <v>4.645056</v>
      </c>
    </row>
    <row r="375">
      <c r="A375" s="92" t="n">
        <v>29252</v>
      </c>
      <c r="B375" t="n">
        <v>41.17383</v>
      </c>
      <c r="C375" t="n">
        <v>38.49874</v>
      </c>
      <c r="D375" t="n">
        <v>0</v>
      </c>
      <c r="E375" t="n">
        <v>33.42112</v>
      </c>
      <c r="F375" t="n">
        <v>54.25972</v>
      </c>
      <c r="G375" t="n">
        <v>3.569981</v>
      </c>
      <c r="I375" t="n">
        <v>0.8647414</v>
      </c>
      <c r="J375" t="n">
        <v>0.6744148</v>
      </c>
      <c r="L375" t="n">
        <v>47.94984</v>
      </c>
      <c r="M375" t="n">
        <v>33.2944</v>
      </c>
      <c r="O375" t="n">
        <v>19.10793</v>
      </c>
      <c r="R375" t="n">
        <v>33.00887</v>
      </c>
      <c r="S375" t="n">
        <v>34.99272</v>
      </c>
      <c r="U375" t="n">
        <v>36.27377</v>
      </c>
      <c r="V375" t="n">
        <v>28.63232</v>
      </c>
      <c r="W375" t="n">
        <v>4.753566</v>
      </c>
      <c r="X375" t="n">
        <v>2.971006</v>
      </c>
      <c r="Y375" t="n">
        <v>3.94268</v>
      </c>
      <c r="Z375" t="n">
        <v>6.20605</v>
      </c>
      <c r="AA375" t="n">
        <v>25.71781</v>
      </c>
      <c r="AB375" t="n">
        <v>1.542848</v>
      </c>
      <c r="AC375" t="n">
        <v>0.03258637</v>
      </c>
      <c r="AD375" t="n">
        <v>19.46937</v>
      </c>
      <c r="AE375" t="n">
        <v>72.18120999999999</v>
      </c>
      <c r="AF375" t="n">
        <v>20.20208</v>
      </c>
      <c r="AH375" t="n">
        <v>37.56069</v>
      </c>
      <c r="AJ375" t="n">
        <v>0.05992742</v>
      </c>
      <c r="AK375" t="n">
        <v>45.26698</v>
      </c>
      <c r="AL375" t="n">
        <v>27.4</v>
      </c>
      <c r="AM375" t="n">
        <v>17.79595</v>
      </c>
      <c r="AN375" t="n">
        <v>14.559</v>
      </c>
      <c r="AP375" t="n">
        <v>9.049253999999999</v>
      </c>
      <c r="AT375" t="n">
        <v>0.000359095</v>
      </c>
      <c r="AU375" t="n">
        <v>30.87643</v>
      </c>
      <c r="AV375" t="n">
        <v>0.001013476</v>
      </c>
      <c r="AW375" t="n">
        <v>33.28875</v>
      </c>
      <c r="AX375" t="n">
        <v>4.691047</v>
      </c>
    </row>
    <row r="376">
      <c r="A376" s="92" t="n">
        <v>29281</v>
      </c>
      <c r="B376" t="n">
        <v>41.313</v>
      </c>
      <c r="C376" t="n">
        <v>38.56919</v>
      </c>
      <c r="D376" t="n">
        <v>0</v>
      </c>
      <c r="E376" t="n">
        <v>33.65815</v>
      </c>
      <c r="F376" t="n">
        <v>54.4125</v>
      </c>
      <c r="G376" t="n">
        <v>3.675016</v>
      </c>
      <c r="I376" t="n">
        <v>0.8810573</v>
      </c>
      <c r="J376" t="n">
        <v>0.7002296</v>
      </c>
      <c r="L376" t="n">
        <v>48.14555</v>
      </c>
      <c r="M376" t="n">
        <v>33.76065</v>
      </c>
      <c r="O376" t="n">
        <v>19.21078</v>
      </c>
      <c r="R376" t="n">
        <v>33.33065</v>
      </c>
      <c r="S376" t="n">
        <v>35.39705</v>
      </c>
      <c r="U376" t="n">
        <v>36.6913</v>
      </c>
      <c r="V376" t="n">
        <v>29.0236</v>
      </c>
      <c r="W376" t="n">
        <v>4.904816</v>
      </c>
      <c r="X376" t="n">
        <v>3.000134</v>
      </c>
      <c r="Y376" t="n">
        <v>3.955177</v>
      </c>
      <c r="Z376" t="n">
        <v>6.275249</v>
      </c>
      <c r="AA376" t="n">
        <v>25.71781</v>
      </c>
      <c r="AB376" t="n">
        <v>1.589601</v>
      </c>
      <c r="AC376" t="n">
        <v>0.03425035</v>
      </c>
      <c r="AD376" t="n">
        <v>19.67359</v>
      </c>
      <c r="AE376" t="n">
        <v>72.58844999999999</v>
      </c>
      <c r="AF376" t="n">
        <v>20.95368</v>
      </c>
      <c r="AH376" t="n">
        <v>37.71718</v>
      </c>
      <c r="AJ376" t="n">
        <v>0.06116031</v>
      </c>
      <c r="AK376" t="n">
        <v>45.66605</v>
      </c>
      <c r="AL376" t="n">
        <v>27.8</v>
      </c>
      <c r="AM376" t="n">
        <v>18.01315</v>
      </c>
      <c r="AN376" t="n">
        <v>14.71103</v>
      </c>
      <c r="AP376" t="n">
        <v>9.164697</v>
      </c>
      <c r="AT376" t="n">
        <v>0.000369753</v>
      </c>
      <c r="AU376" t="n">
        <v>31.0328</v>
      </c>
      <c r="AV376" t="n">
        <v>0.001051704</v>
      </c>
      <c r="AW376" t="n">
        <v>33.79504</v>
      </c>
      <c r="AX376" t="n">
        <v>4.737038</v>
      </c>
    </row>
    <row r="377">
      <c r="A377" s="92" t="n">
        <v>29312</v>
      </c>
      <c r="B377" t="n">
        <v>41.49193</v>
      </c>
      <c r="C377" t="n">
        <v>38.6185</v>
      </c>
      <c r="D377" t="n">
        <v>0</v>
      </c>
      <c r="E377" t="n">
        <v>33.89518</v>
      </c>
      <c r="F377" t="n">
        <v>54.66714</v>
      </c>
      <c r="G377" t="n">
        <v>3.76819</v>
      </c>
      <c r="I377" t="n">
        <v>0.913689</v>
      </c>
      <c r="J377" t="n">
        <v>0.7023809</v>
      </c>
      <c r="L377" t="n">
        <v>48.4065</v>
      </c>
      <c r="M377" t="n">
        <v>34.01497</v>
      </c>
      <c r="O377" t="n">
        <v>19.39633</v>
      </c>
      <c r="R377" t="n">
        <v>33.9742</v>
      </c>
      <c r="S377" t="n">
        <v>35.83813</v>
      </c>
      <c r="U377" t="n">
        <v>37.1816</v>
      </c>
      <c r="V377" t="n">
        <v>30.0133</v>
      </c>
      <c r="W377" t="n">
        <v>5.056066</v>
      </c>
      <c r="X377" t="n">
        <v>3.012617</v>
      </c>
      <c r="Y377" t="n">
        <v>3.992667</v>
      </c>
      <c r="Z377" t="n">
        <v>6.308028</v>
      </c>
      <c r="AA377" t="n">
        <v>27.6019</v>
      </c>
      <c r="AB377" t="n">
        <v>1.683107</v>
      </c>
      <c r="AC377" t="n">
        <v>0.03774472</v>
      </c>
      <c r="AD377" t="n">
        <v>19.99127</v>
      </c>
      <c r="AE377" t="n">
        <v>73.91193</v>
      </c>
      <c r="AF377" t="n">
        <v>21.10813</v>
      </c>
      <c r="AH377" t="n">
        <v>37.9328</v>
      </c>
      <c r="AJ377" t="n">
        <v>0.06222948</v>
      </c>
      <c r="AK377" t="n">
        <v>46.12215</v>
      </c>
      <c r="AL377" t="n">
        <v>28</v>
      </c>
      <c r="AM377" t="n">
        <v>18.26846</v>
      </c>
      <c r="AN377" t="n">
        <v>14.93577</v>
      </c>
      <c r="AP377" t="n">
        <v>9.226398</v>
      </c>
      <c r="AT377" t="n">
        <v>0.000377951</v>
      </c>
      <c r="AU377" t="n">
        <v>31.24343</v>
      </c>
      <c r="AV377" t="n">
        <v>0.001091886</v>
      </c>
      <c r="AW377" t="n">
        <v>34.17476</v>
      </c>
      <c r="AX377" t="n">
        <v>4.783029</v>
      </c>
    </row>
    <row r="378">
      <c r="A378" s="92" t="n">
        <v>29342</v>
      </c>
      <c r="B378" t="n">
        <v>41.69074</v>
      </c>
      <c r="C378" t="n">
        <v>38.73122</v>
      </c>
      <c r="D378" t="n">
        <v>0</v>
      </c>
      <c r="E378" t="n">
        <v>34.29023</v>
      </c>
      <c r="F378" t="n">
        <v>55.02276</v>
      </c>
      <c r="G378" t="n">
        <v>3.855431</v>
      </c>
      <c r="I378" t="n">
        <v>0.9463208</v>
      </c>
      <c r="J378" t="n">
        <v>0.7045321</v>
      </c>
      <c r="L378" t="n">
        <v>48.66745</v>
      </c>
      <c r="M378" t="n">
        <v>34.48122</v>
      </c>
      <c r="O378" t="n">
        <v>19.53074</v>
      </c>
      <c r="R378" t="n">
        <v>34.3496</v>
      </c>
      <c r="S378" t="n">
        <v>36.13219</v>
      </c>
      <c r="U378" t="n">
        <v>37.51801</v>
      </c>
      <c r="V378" t="n">
        <v>30.2895</v>
      </c>
      <c r="W378" t="n">
        <v>5.120887</v>
      </c>
      <c r="X378" t="n">
        <v>2.987651</v>
      </c>
      <c r="Y378" t="n">
        <v>4.142626</v>
      </c>
      <c r="Z378" t="n">
        <v>6.428216</v>
      </c>
      <c r="AA378" t="n">
        <v>27.6019</v>
      </c>
      <c r="AB378" t="n">
        <v>1.753237</v>
      </c>
      <c r="AC378" t="n">
        <v>0.04131675</v>
      </c>
      <c r="AD378" t="n">
        <v>20.1955</v>
      </c>
      <c r="AE378" t="n">
        <v>74.52278</v>
      </c>
      <c r="AF378" t="n">
        <v>21.77119</v>
      </c>
      <c r="AH378" t="n">
        <v>38.17102</v>
      </c>
      <c r="AJ378" t="n">
        <v>0.06324462</v>
      </c>
      <c r="AK378" t="n">
        <v>46.23617</v>
      </c>
      <c r="AL378" t="n">
        <v>28.3</v>
      </c>
      <c r="AM378" t="n">
        <v>18.44401</v>
      </c>
      <c r="AN378" t="n">
        <v>15.06451</v>
      </c>
      <c r="AP378" t="n">
        <v>9.216445999999999</v>
      </c>
      <c r="AT378" t="n">
        <v>0.00038369</v>
      </c>
      <c r="AU378" t="n">
        <v>31.34237</v>
      </c>
      <c r="AV378" t="n">
        <v>0.001124805</v>
      </c>
      <c r="AW378" t="n">
        <v>34.51229</v>
      </c>
      <c r="AX378" t="n">
        <v>4.829019</v>
      </c>
    </row>
    <row r="379">
      <c r="A379" s="92" t="n">
        <v>29373</v>
      </c>
      <c r="B379" t="n">
        <v>42.14801</v>
      </c>
      <c r="C379" t="n">
        <v>38.8228</v>
      </c>
      <c r="D379" t="n">
        <v>0</v>
      </c>
      <c r="E379" t="n">
        <v>34.68528</v>
      </c>
      <c r="F379" t="n">
        <v>55.17555</v>
      </c>
      <c r="G379" t="n">
        <v>3.929079</v>
      </c>
      <c r="I379" t="n">
        <v>0.9626366</v>
      </c>
      <c r="J379" t="n">
        <v>0.7238933</v>
      </c>
      <c r="L379" t="n">
        <v>48.79793</v>
      </c>
      <c r="M379" t="n">
        <v>34.56599</v>
      </c>
      <c r="O379" t="n">
        <v>19.83383</v>
      </c>
      <c r="R379" t="n">
        <v>34.48368</v>
      </c>
      <c r="S379" t="n">
        <v>36.38948</v>
      </c>
      <c r="U379" t="n">
        <v>37.83916</v>
      </c>
      <c r="V379" t="n">
        <v>30.5772</v>
      </c>
      <c r="W379" t="n">
        <v>5.272137</v>
      </c>
      <c r="X379" t="n">
        <v>3.012617</v>
      </c>
      <c r="Y379" t="n">
        <v>4.205109</v>
      </c>
      <c r="Z379" t="n">
        <v>6.493772</v>
      </c>
      <c r="AA379" t="n">
        <v>27.6019</v>
      </c>
      <c r="AB379" t="n">
        <v>1.823366</v>
      </c>
      <c r="AC379" t="n">
        <v>0.04322478</v>
      </c>
      <c r="AD379" t="n">
        <v>20.37703</v>
      </c>
      <c r="AE379" t="n">
        <v>74.8282</v>
      </c>
      <c r="AF379" t="n">
        <v>22.03682</v>
      </c>
      <c r="AH379" t="n">
        <v>38.2597</v>
      </c>
      <c r="AJ379" t="n">
        <v>0.0644988</v>
      </c>
      <c r="AK379" t="n">
        <v>46.23617</v>
      </c>
      <c r="AL379" t="n">
        <v>28.7</v>
      </c>
      <c r="AM379" t="n">
        <v>18.62493</v>
      </c>
      <c r="AN379" t="n">
        <v>15.20456</v>
      </c>
      <c r="AP379" t="n">
        <v>9.31298</v>
      </c>
      <c r="AT379" t="n">
        <v>0.000397628</v>
      </c>
      <c r="AU379" t="n">
        <v>31.42534</v>
      </c>
      <c r="AV379" t="n">
        <v>0.001169914</v>
      </c>
      <c r="AW379" t="n">
        <v>34.89201</v>
      </c>
      <c r="AX379" t="n">
        <v>4.921</v>
      </c>
    </row>
    <row r="380">
      <c r="A380" s="92" t="n">
        <v>29403</v>
      </c>
      <c r="B380" t="n">
        <v>42.32694</v>
      </c>
      <c r="C380" t="n">
        <v>39.2807</v>
      </c>
      <c r="D380" t="n">
        <v>0</v>
      </c>
      <c r="E380" t="n">
        <v>34.92231</v>
      </c>
      <c r="F380" t="n">
        <v>55.37926</v>
      </c>
      <c r="G380" t="n">
        <v>4.008659</v>
      </c>
      <c r="I380" t="n">
        <v>0.9707946</v>
      </c>
      <c r="J380" t="n">
        <v>0.730347</v>
      </c>
      <c r="L380" t="n">
        <v>48.86317</v>
      </c>
      <c r="M380" t="n">
        <v>35.20179</v>
      </c>
      <c r="O380" t="n">
        <v>20.11407</v>
      </c>
      <c r="R380" t="n">
        <v>34.69819</v>
      </c>
      <c r="S380" t="n">
        <v>36.90408</v>
      </c>
      <c r="U380" t="n">
        <v>37.97892</v>
      </c>
      <c r="V380" t="n">
        <v>30.83038</v>
      </c>
      <c r="W380" t="n">
        <v>5.207315</v>
      </c>
      <c r="X380" t="n">
        <v>2.995973</v>
      </c>
      <c r="Y380" t="n">
        <v>4.255095</v>
      </c>
      <c r="Z380" t="n">
        <v>6.628528</v>
      </c>
      <c r="AA380" t="n">
        <v>28.35553</v>
      </c>
      <c r="AB380" t="n">
        <v>1.870119</v>
      </c>
      <c r="AC380" t="n">
        <v>0.04511618</v>
      </c>
      <c r="AD380" t="n">
        <v>20.7401</v>
      </c>
      <c r="AE380" t="n">
        <v>74.93001</v>
      </c>
      <c r="AF380" t="n">
        <v>22.2139</v>
      </c>
      <c r="AH380" t="n">
        <v>38.42141</v>
      </c>
      <c r="AJ380" t="n">
        <v>0.06629984999999999</v>
      </c>
      <c r="AK380" t="n">
        <v>46.63525</v>
      </c>
      <c r="AL380" t="n">
        <v>29</v>
      </c>
      <c r="AM380" t="n">
        <v>18.74187</v>
      </c>
      <c r="AN380" t="n">
        <v>15.35609</v>
      </c>
      <c r="AP380" t="n">
        <v>9.402547</v>
      </c>
      <c r="AT380" t="n">
        <v>0.000405826</v>
      </c>
      <c r="AU380" t="n">
        <v>31.69023</v>
      </c>
      <c r="AV380" t="n">
        <v>0.001194805</v>
      </c>
      <c r="AW380" t="n">
        <v>34.89201</v>
      </c>
      <c r="AX380" t="n">
        <v>5.012982</v>
      </c>
    </row>
    <row r="381">
      <c r="A381" s="92" t="n">
        <v>29434</v>
      </c>
      <c r="B381" t="n">
        <v>42.60527</v>
      </c>
      <c r="C381" t="n">
        <v>39.37932</v>
      </c>
      <c r="D381" t="n">
        <v>0</v>
      </c>
      <c r="E381" t="n">
        <v>35.31736</v>
      </c>
      <c r="F381" t="n">
        <v>55.73488</v>
      </c>
      <c r="G381" t="n">
        <v>4.096889</v>
      </c>
      <c r="I381" t="n">
        <v>0.9789525</v>
      </c>
      <c r="J381" t="n">
        <v>0.7314227</v>
      </c>
      <c r="L381" t="n">
        <v>48.92841</v>
      </c>
      <c r="M381" t="n">
        <v>35.32894</v>
      </c>
      <c r="O381" t="n">
        <v>20.34969</v>
      </c>
      <c r="R381" t="n">
        <v>35.15404</v>
      </c>
      <c r="S381" t="n">
        <v>37.27166</v>
      </c>
      <c r="U381" t="n">
        <v>38.19349</v>
      </c>
      <c r="V381" t="n">
        <v>30.89943</v>
      </c>
      <c r="W381" t="n">
        <v>5.142494</v>
      </c>
      <c r="X381" t="n">
        <v>2.975167</v>
      </c>
      <c r="Y381" t="n">
        <v>4.305082</v>
      </c>
      <c r="Z381" t="n">
        <v>6.679517</v>
      </c>
      <c r="AA381" t="n">
        <v>28.35553</v>
      </c>
      <c r="AB381" t="n">
        <v>1.916872</v>
      </c>
      <c r="AC381" t="n">
        <v>0.04883796</v>
      </c>
      <c r="AD381" t="n">
        <v>20.9897</v>
      </c>
      <c r="AE381" t="n">
        <v>74.72638999999999</v>
      </c>
      <c r="AF381" t="n">
        <v>22.58937</v>
      </c>
      <c r="AH381" t="n">
        <v>38.55009</v>
      </c>
      <c r="AJ381" t="n">
        <v>0.06767355999999999</v>
      </c>
      <c r="AK381" t="n">
        <v>46.86329</v>
      </c>
      <c r="AL381" t="n">
        <v>29.2</v>
      </c>
      <c r="AM381" t="n">
        <v>18.87719</v>
      </c>
      <c r="AN381" t="n">
        <v>15.47552</v>
      </c>
      <c r="AP381" t="n">
        <v>9.492113</v>
      </c>
      <c r="AT381" t="n">
        <v>0.000402547</v>
      </c>
      <c r="AU381" t="n">
        <v>31.86894</v>
      </c>
      <c r="AV381" t="n">
        <v>0.001237706</v>
      </c>
      <c r="AW381" t="n">
        <v>35.14516</v>
      </c>
      <c r="AX381" t="n">
        <v>5.012982</v>
      </c>
    </row>
    <row r="382">
      <c r="A382" s="92" t="n">
        <v>29465</v>
      </c>
      <c r="B382" t="n">
        <v>42.50587</v>
      </c>
      <c r="C382" t="n">
        <v>39.62588</v>
      </c>
      <c r="D382" t="n">
        <v>0</v>
      </c>
      <c r="E382" t="n">
        <v>35.55439</v>
      </c>
      <c r="F382" t="n">
        <v>55.78581</v>
      </c>
      <c r="G382" t="n">
        <v>4.184131</v>
      </c>
      <c r="I382" t="n">
        <v>0.9952684000000001</v>
      </c>
      <c r="J382" t="n">
        <v>0.7411033</v>
      </c>
      <c r="L382" t="n">
        <v>48.92841</v>
      </c>
      <c r="M382" t="n">
        <v>35.51968</v>
      </c>
      <c r="O382" t="n">
        <v>20.56626</v>
      </c>
      <c r="R382" t="n">
        <v>35.63671</v>
      </c>
      <c r="S382" t="n">
        <v>37.60247</v>
      </c>
      <c r="U382" t="n">
        <v>38.54445</v>
      </c>
      <c r="V382" t="n">
        <v>31.09507</v>
      </c>
      <c r="W382" t="n">
        <v>5.272137</v>
      </c>
      <c r="X382" t="n">
        <v>2.975167</v>
      </c>
      <c r="Y382" t="n">
        <v>4.317579</v>
      </c>
      <c r="Z382" t="n">
        <v>6.763284</v>
      </c>
      <c r="AA382" t="n">
        <v>28.35553</v>
      </c>
      <c r="AB382" t="n">
        <v>2.033755</v>
      </c>
      <c r="AC382" t="n">
        <v>0.05238779</v>
      </c>
      <c r="AD382" t="n">
        <v>21.4095</v>
      </c>
      <c r="AE382" t="n">
        <v>75.94808</v>
      </c>
      <c r="AF382" t="n">
        <v>23.00944</v>
      </c>
      <c r="AH382" t="n">
        <v>38.58313</v>
      </c>
      <c r="AJ382" t="n">
        <v>0.06842508999999999</v>
      </c>
      <c r="AK382" t="n">
        <v>47.20536</v>
      </c>
      <c r="AL382" t="n">
        <v>29.5</v>
      </c>
      <c r="AM382" t="n">
        <v>19.06705</v>
      </c>
      <c r="AN382" t="n">
        <v>15.63626</v>
      </c>
      <c r="AP382" t="n">
        <v>9.508037</v>
      </c>
      <c r="AT382" t="n">
        <v>0.000414844</v>
      </c>
      <c r="AU382" t="n">
        <v>32.77529</v>
      </c>
      <c r="AV382" t="n">
        <v>0.001284939</v>
      </c>
      <c r="AW382" t="n">
        <v>35.44049</v>
      </c>
      <c r="AX382" t="n">
        <v>5.150954</v>
      </c>
    </row>
    <row r="383">
      <c r="A383" s="92" t="n">
        <v>29495</v>
      </c>
      <c r="B383" t="n">
        <v>42.64504</v>
      </c>
      <c r="C383" t="n">
        <v>39.9922</v>
      </c>
      <c r="D383" t="n">
        <v>0</v>
      </c>
      <c r="E383" t="n">
        <v>35.87042</v>
      </c>
      <c r="F383" t="n">
        <v>55.68395</v>
      </c>
      <c r="G383" t="n">
        <v>4.306467</v>
      </c>
      <c r="I383" t="n">
        <v>1.011584</v>
      </c>
      <c r="J383" t="n">
        <v>0.7497082</v>
      </c>
      <c r="L383" t="n">
        <v>48.99364</v>
      </c>
      <c r="M383" t="n">
        <v>35.7528</v>
      </c>
      <c r="O383" t="n">
        <v>20.73114</v>
      </c>
      <c r="R383" t="n">
        <v>35.9853</v>
      </c>
      <c r="S383" t="n">
        <v>38.00679</v>
      </c>
      <c r="U383" t="n">
        <v>38.85745</v>
      </c>
      <c r="V383" t="n">
        <v>31.29071</v>
      </c>
      <c r="W383" t="n">
        <v>5.423387</v>
      </c>
      <c r="X383" t="n">
        <v>2.987651</v>
      </c>
      <c r="Y383" t="n">
        <v>4.392559</v>
      </c>
      <c r="Z383" t="n">
        <v>6.828841</v>
      </c>
      <c r="AA383" t="n">
        <v>29.29758</v>
      </c>
      <c r="AB383" t="n">
        <v>2.103884</v>
      </c>
      <c r="AC383" t="n">
        <v>0.05815072</v>
      </c>
      <c r="AD383" t="n">
        <v>21.77256</v>
      </c>
      <c r="AE383" t="n">
        <v>76.15170000000001</v>
      </c>
      <c r="AF383" t="n">
        <v>23.65053</v>
      </c>
      <c r="AH383" t="n">
        <v>38.87699</v>
      </c>
      <c r="AJ383" t="n">
        <v>0.0694615</v>
      </c>
      <c r="AK383" t="n">
        <v>47.43341</v>
      </c>
      <c r="AL383" t="n">
        <v>29.7</v>
      </c>
      <c r="AM383" t="n">
        <v>19.26225</v>
      </c>
      <c r="AN383" t="n">
        <v>15.80724</v>
      </c>
      <c r="AP383" t="n">
        <v>9.594618000000001</v>
      </c>
      <c r="AT383" t="n">
        <v>0.000432881</v>
      </c>
      <c r="AU383" t="n">
        <v>33.24123</v>
      </c>
      <c r="AV383" t="n">
        <v>0.001344236</v>
      </c>
      <c r="AW383" t="n">
        <v>35.77802</v>
      </c>
      <c r="AX383" t="n">
        <v>5.242935</v>
      </c>
    </row>
    <row r="384">
      <c r="A384" s="92" t="n">
        <v>29526</v>
      </c>
      <c r="B384" t="n">
        <v>42.66492</v>
      </c>
      <c r="C384" t="n">
        <v>40.40079</v>
      </c>
      <c r="D384" t="n">
        <v>0</v>
      </c>
      <c r="E384" t="n">
        <v>36.34448</v>
      </c>
      <c r="F384" t="n">
        <v>56.19236</v>
      </c>
      <c r="G384" t="n">
        <v>4.419658</v>
      </c>
      <c r="I384" t="n">
        <v>1.036058</v>
      </c>
      <c r="J384" t="n">
        <v>0.7626157</v>
      </c>
      <c r="L384" t="n">
        <v>49.31984</v>
      </c>
      <c r="M384" t="n">
        <v>36.0919</v>
      </c>
      <c r="O384" t="n">
        <v>20.94282</v>
      </c>
      <c r="R384" t="n">
        <v>36.30708</v>
      </c>
      <c r="S384" t="n">
        <v>38.2641</v>
      </c>
      <c r="U384" t="n">
        <v>39.17939</v>
      </c>
      <c r="V384" t="n">
        <v>31.54389</v>
      </c>
      <c r="W384" t="n">
        <v>5.617851</v>
      </c>
      <c r="X384" t="n">
        <v>2.98349</v>
      </c>
      <c r="Y384" t="n">
        <v>4.486283</v>
      </c>
      <c r="Z384" t="n">
        <v>6.912608</v>
      </c>
      <c r="AA384" t="n">
        <v>29.29758</v>
      </c>
      <c r="AB384" t="n">
        <v>2.12726</v>
      </c>
      <c r="AC384" t="n">
        <v>0.06360304</v>
      </c>
      <c r="AD384" t="n">
        <v>22.22639</v>
      </c>
      <c r="AE384" t="n">
        <v>76.2535</v>
      </c>
      <c r="AF384" t="n">
        <v>23.78301</v>
      </c>
      <c r="AH384" t="n">
        <v>39.23867</v>
      </c>
      <c r="AJ384" t="n">
        <v>0.07066657</v>
      </c>
      <c r="AK384" t="n">
        <v>47.49042</v>
      </c>
      <c r="AL384" t="n">
        <v>29.9</v>
      </c>
      <c r="AM384" t="n">
        <v>19.43202</v>
      </c>
      <c r="AN384" t="n">
        <v>15.97</v>
      </c>
      <c r="AP384" t="n">
        <v>9.653335</v>
      </c>
      <c r="AT384" t="n">
        <v>0.000445179</v>
      </c>
      <c r="AU384" t="n">
        <v>33.44547</v>
      </c>
      <c r="AV384" t="n">
        <v>0.001363987</v>
      </c>
      <c r="AW384" t="n">
        <v>36.07336</v>
      </c>
      <c r="AX384" t="n">
        <v>5.288926</v>
      </c>
    </row>
    <row r="385">
      <c r="A385" s="92" t="n">
        <v>29556</v>
      </c>
      <c r="B385" t="n">
        <v>43.02278</v>
      </c>
      <c r="C385" t="n">
        <v>40.52759</v>
      </c>
      <c r="D385" t="n">
        <v>0</v>
      </c>
      <c r="E385" t="n">
        <v>36.5025</v>
      </c>
      <c r="F385" t="n">
        <v>56.39519</v>
      </c>
      <c r="G385" t="n">
        <v>4.505169</v>
      </c>
      <c r="I385" t="n">
        <v>1.052374</v>
      </c>
      <c r="J385" t="n">
        <v>0.7755231</v>
      </c>
      <c r="L385" t="n">
        <v>49.71126</v>
      </c>
      <c r="M385" t="n">
        <v>36.24025</v>
      </c>
      <c r="O385" t="n">
        <v>21.23557</v>
      </c>
      <c r="R385" t="n">
        <v>36.57522</v>
      </c>
      <c r="S385" t="n">
        <v>38.63166</v>
      </c>
      <c r="U385" t="n">
        <v>39.42327</v>
      </c>
      <c r="V385" t="n">
        <v>31.71651</v>
      </c>
      <c r="W385" t="n">
        <v>5.812315</v>
      </c>
      <c r="X385" t="n">
        <v>3.008456</v>
      </c>
      <c r="Y385" t="n">
        <v>4.49878</v>
      </c>
      <c r="Z385" t="n">
        <v>6.865261</v>
      </c>
      <c r="AA385" t="n">
        <v>29.29758</v>
      </c>
      <c r="AB385" t="n">
        <v>2.220767</v>
      </c>
      <c r="AC385" t="n">
        <v>0.06740802999999999</v>
      </c>
      <c r="AD385" t="n">
        <v>22.1772</v>
      </c>
      <c r="AE385" t="n">
        <v>76.04989</v>
      </c>
      <c r="AF385" t="n">
        <v>24.53461</v>
      </c>
      <c r="AH385" t="n">
        <v>39.65947</v>
      </c>
      <c r="AJ385" t="n">
        <v>0.07252002</v>
      </c>
      <c r="AK385" t="n">
        <v>47.54743</v>
      </c>
      <c r="AL385" t="n">
        <v>30.1</v>
      </c>
      <c r="AM385" t="n">
        <v>19.60503</v>
      </c>
      <c r="AN385" t="n">
        <v>16.11735</v>
      </c>
      <c r="AP385" t="n">
        <v>9.917059</v>
      </c>
      <c r="AT385" t="n">
        <v>0.000468135</v>
      </c>
      <c r="AU385" t="n">
        <v>33.58908</v>
      </c>
      <c r="AV385" t="n">
        <v>0.001418484</v>
      </c>
      <c r="AW385" t="n">
        <v>36.41089</v>
      </c>
      <c r="AX385" t="n">
        <v>5.380907</v>
      </c>
    </row>
    <row r="386">
      <c r="A386" s="92" t="n">
        <v>29587</v>
      </c>
      <c r="B386" t="n">
        <v>43.67886</v>
      </c>
      <c r="C386" t="n">
        <v>40.87278</v>
      </c>
      <c r="D386" t="n">
        <v>0</v>
      </c>
      <c r="E386" t="n">
        <v>37.05557</v>
      </c>
      <c r="F386" t="n">
        <v>56.95541</v>
      </c>
      <c r="G386" t="n">
        <v>4.578571</v>
      </c>
      <c r="I386" t="n">
        <v>1.076848</v>
      </c>
      <c r="J386" t="n">
        <v>0.8142455</v>
      </c>
      <c r="L386" t="n">
        <v>50.16793</v>
      </c>
      <c r="M386" t="n">
        <v>36.48204</v>
      </c>
      <c r="O386" t="n">
        <v>21.66708</v>
      </c>
      <c r="R386" t="n">
        <v>36.897</v>
      </c>
      <c r="S386" t="n">
        <v>39.07275</v>
      </c>
      <c r="U386" t="n">
        <v>39.81184</v>
      </c>
      <c r="V386" t="n">
        <v>31.91215</v>
      </c>
      <c r="W386" t="n">
        <v>5.963564</v>
      </c>
      <c r="X386" t="n">
        <v>3.087516</v>
      </c>
      <c r="Y386" t="n">
        <v>4.561263</v>
      </c>
      <c r="Z386" t="n">
        <v>6.912608</v>
      </c>
      <c r="AA386" t="n">
        <v>31.08746</v>
      </c>
      <c r="AB386" t="n">
        <v>2.407779</v>
      </c>
      <c r="AC386" t="n">
        <v>0.0723313</v>
      </c>
      <c r="AD386" t="n">
        <v>22.59134</v>
      </c>
      <c r="AE386" t="n">
        <v>76.86434</v>
      </c>
      <c r="AF386" t="n">
        <v>24.93205</v>
      </c>
      <c r="AH386" t="n">
        <v>39.95855</v>
      </c>
      <c r="AJ386" t="n">
        <v>0.07485646999999999</v>
      </c>
      <c r="AK386" t="n">
        <v>48.00352</v>
      </c>
      <c r="AL386" t="n">
        <v>31</v>
      </c>
      <c r="AM386" t="n">
        <v>19.85506</v>
      </c>
      <c r="AN386" t="n">
        <v>16.34895</v>
      </c>
      <c r="AP386" t="n">
        <v>10.21462</v>
      </c>
      <c r="AT386" t="n">
        <v>0.000514866</v>
      </c>
      <c r="AU386" t="n">
        <v>34.21459</v>
      </c>
      <c r="AV386" t="n">
        <v>0.00146903</v>
      </c>
      <c r="AW386" t="n">
        <v>36.70623</v>
      </c>
      <c r="AX386" t="n">
        <v>5.380907</v>
      </c>
    </row>
    <row r="387">
      <c r="A387" s="92" t="n">
        <v>29618</v>
      </c>
      <c r="B387" t="n">
        <v>43.93731</v>
      </c>
      <c r="C387" t="n">
        <v>41.23205</v>
      </c>
      <c r="D387" t="n">
        <v>0</v>
      </c>
      <c r="E387" t="n">
        <v>37.45062</v>
      </c>
      <c r="F387" t="n">
        <v>57.51474</v>
      </c>
      <c r="G387" t="n">
        <v>4.592659</v>
      </c>
      <c r="I387" t="n">
        <v>1.10948</v>
      </c>
      <c r="J387" t="n">
        <v>0.8336067</v>
      </c>
      <c r="L387" t="n">
        <v>50.55935</v>
      </c>
      <c r="M387" t="n">
        <v>36.8646</v>
      </c>
      <c r="O387" t="n">
        <v>21.777</v>
      </c>
      <c r="R387" t="n">
        <v>37.08997</v>
      </c>
      <c r="S387" t="n">
        <v>39.44032</v>
      </c>
      <c r="U387" t="n">
        <v>40.17245</v>
      </c>
      <c r="V387" t="n">
        <v>32.19986</v>
      </c>
      <c r="W387" t="n">
        <v>6.028386</v>
      </c>
      <c r="X387" t="n">
        <v>3.099999</v>
      </c>
      <c r="Y387" t="n">
        <v>4.592504</v>
      </c>
      <c r="Z387" t="n">
        <v>7.032795</v>
      </c>
      <c r="AA387" t="n">
        <v>31.08746</v>
      </c>
      <c r="AB387" t="n">
        <v>2.431155</v>
      </c>
      <c r="AC387" t="n">
        <v>0.07631369</v>
      </c>
      <c r="AD387" t="n">
        <v>23.02619</v>
      </c>
      <c r="AE387" t="n">
        <v>76.76254</v>
      </c>
      <c r="AF387" t="n">
        <v>25.1311</v>
      </c>
      <c r="AH387" t="n">
        <v>40.18981</v>
      </c>
      <c r="AJ387" t="n">
        <v>0.07669516999999999</v>
      </c>
      <c r="AK387" t="n">
        <v>48.23156</v>
      </c>
      <c r="AL387" t="n">
        <v>31.3</v>
      </c>
      <c r="AM387" t="n">
        <v>20.04524</v>
      </c>
      <c r="AN387" t="n">
        <v>16.51797</v>
      </c>
      <c r="AP387" t="n">
        <v>10.35494</v>
      </c>
      <c r="AT387" t="n">
        <v>0.000524704</v>
      </c>
      <c r="AU387" t="n">
        <v>34.86563</v>
      </c>
      <c r="AV387" t="n">
        <v>0.001490056</v>
      </c>
      <c r="AW387" t="n">
        <v>37.08595</v>
      </c>
      <c r="AX387" t="n">
        <v>5.472888</v>
      </c>
    </row>
    <row r="388">
      <c r="A388" s="92" t="n">
        <v>29646</v>
      </c>
      <c r="B388" t="n">
        <v>44.27529</v>
      </c>
      <c r="C388" t="n">
        <v>41.49975</v>
      </c>
      <c r="D388" t="n">
        <v>0</v>
      </c>
      <c r="E388" t="n">
        <v>37.92468</v>
      </c>
      <c r="F388" t="n">
        <v>57.87036</v>
      </c>
      <c r="G388" t="n">
        <v>4.629483</v>
      </c>
      <c r="I388" t="n">
        <v>1.133953</v>
      </c>
      <c r="J388" t="n">
        <v>0.8486654</v>
      </c>
      <c r="L388" t="n">
        <v>50.95078</v>
      </c>
      <c r="M388" t="n">
        <v>37.59493</v>
      </c>
      <c r="O388" t="n">
        <v>22.21069</v>
      </c>
      <c r="R388" t="n">
        <v>37.47593</v>
      </c>
      <c r="S388" t="n">
        <v>39.80789</v>
      </c>
      <c r="U388" t="n">
        <v>40.49421</v>
      </c>
      <c r="V388" t="n">
        <v>32.6832</v>
      </c>
      <c r="W388" t="n">
        <v>6.158029</v>
      </c>
      <c r="X388" t="n">
        <v>3.162416</v>
      </c>
      <c r="Y388" t="n">
        <v>4.623745</v>
      </c>
      <c r="Z388" t="n">
        <v>7.065574</v>
      </c>
      <c r="AA388" t="n">
        <v>31.08746</v>
      </c>
      <c r="AB388" t="n">
        <v>2.501284</v>
      </c>
      <c r="AC388" t="n">
        <v>0.07997193</v>
      </c>
      <c r="AD388" t="n">
        <v>23.3575</v>
      </c>
      <c r="AE388" t="n">
        <v>76.96615</v>
      </c>
      <c r="AF388" t="n">
        <v>25.61775</v>
      </c>
      <c r="AH388" t="n">
        <v>40.49585</v>
      </c>
      <c r="AJ388" t="n">
        <v>0.07833576</v>
      </c>
      <c r="AK388" t="n">
        <v>48.57363</v>
      </c>
      <c r="AL388" t="n">
        <v>31.9</v>
      </c>
      <c r="AM388" t="n">
        <v>20.22901</v>
      </c>
      <c r="AN388" t="n">
        <v>16.70483</v>
      </c>
      <c r="AP388" t="n">
        <v>10.48332</v>
      </c>
      <c r="AT388" t="n">
        <v>0.000538642</v>
      </c>
      <c r="AU388" t="n">
        <v>35.05392</v>
      </c>
      <c r="AV388" t="n">
        <v>0.001500122</v>
      </c>
      <c r="AW388" t="n">
        <v>37.33909</v>
      </c>
      <c r="AX388" t="n">
        <v>5.472888</v>
      </c>
    </row>
    <row r="389">
      <c r="A389" s="92" t="n">
        <v>29677</v>
      </c>
      <c r="B389" t="n">
        <v>44.55363</v>
      </c>
      <c r="C389" t="n">
        <v>41.47861</v>
      </c>
      <c r="D389" t="n">
        <v>0</v>
      </c>
      <c r="E389" t="n">
        <v>38.16171</v>
      </c>
      <c r="F389" t="n">
        <v>57.76938</v>
      </c>
      <c r="G389" t="n">
        <v>4.686079</v>
      </c>
      <c r="I389" t="n">
        <v>1.166585</v>
      </c>
      <c r="J389" t="n">
        <v>0.8755559000000001</v>
      </c>
      <c r="L389" t="n">
        <v>51.21173</v>
      </c>
      <c r="M389" t="n">
        <v>38.01227</v>
      </c>
      <c r="O389" t="n">
        <v>22.43162</v>
      </c>
      <c r="R389" t="n">
        <v>37.82328</v>
      </c>
      <c r="S389" t="n">
        <v>40.35925</v>
      </c>
      <c r="U389" t="n">
        <v>40.8714</v>
      </c>
      <c r="V389" t="n">
        <v>33.62687</v>
      </c>
      <c r="W389" t="n">
        <v>6.287671</v>
      </c>
      <c r="X389" t="n">
        <v>3.112483</v>
      </c>
      <c r="Y389" t="n">
        <v>4.667484</v>
      </c>
      <c r="Z389" t="n">
        <v>7.182119</v>
      </c>
      <c r="AA389" t="n">
        <v>32.31212</v>
      </c>
      <c r="AB389" t="n">
        <v>2.618167</v>
      </c>
      <c r="AC389" t="n">
        <v>0.08849239</v>
      </c>
      <c r="AD389" t="n">
        <v>23.66811</v>
      </c>
      <c r="AE389" t="n">
        <v>77.57699</v>
      </c>
      <c r="AF389" t="n">
        <v>25.83877</v>
      </c>
      <c r="AH389" t="n">
        <v>40.74972</v>
      </c>
      <c r="AJ389" t="n">
        <v>0.08010243</v>
      </c>
      <c r="AK389" t="n">
        <v>48.97271</v>
      </c>
      <c r="AL389" t="n">
        <v>32.1</v>
      </c>
      <c r="AM389" t="n">
        <v>20.43581</v>
      </c>
      <c r="AN389" t="n">
        <v>16.90513</v>
      </c>
      <c r="AP389" t="n">
        <v>10.75103</v>
      </c>
      <c r="AT389" t="n">
        <v>0.00054684</v>
      </c>
      <c r="AU389" t="n">
        <v>35.26455</v>
      </c>
      <c r="AV389" t="n">
        <v>0.001508533</v>
      </c>
      <c r="AW389" t="n">
        <v>37.59224</v>
      </c>
      <c r="AX389" t="n">
        <v>5.518879</v>
      </c>
    </row>
    <row r="390">
      <c r="A390" s="92" t="n">
        <v>29707</v>
      </c>
      <c r="B390" t="n">
        <v>44.51386</v>
      </c>
      <c r="C390" t="n">
        <v>41.44339</v>
      </c>
      <c r="D390" t="n">
        <v>0</v>
      </c>
      <c r="E390" t="n">
        <v>38.47775</v>
      </c>
      <c r="F390" t="n">
        <v>58.27778</v>
      </c>
      <c r="G390" t="n">
        <v>4.748111</v>
      </c>
      <c r="I390" t="n">
        <v>1.191059</v>
      </c>
      <c r="J390" t="n">
        <v>0.9164296</v>
      </c>
      <c r="L390" t="n">
        <v>51.47268</v>
      </c>
      <c r="M390" t="n">
        <v>38.63827</v>
      </c>
      <c r="O390" t="n">
        <v>22.53609</v>
      </c>
      <c r="R390" t="n">
        <v>38.24783</v>
      </c>
      <c r="S390" t="n">
        <v>40.72682</v>
      </c>
      <c r="U390" t="n">
        <v>41.21343</v>
      </c>
      <c r="V390" t="n">
        <v>33.84552</v>
      </c>
      <c r="W390" t="n">
        <v>6.352492</v>
      </c>
      <c r="X390" t="n">
        <v>3.104161</v>
      </c>
      <c r="Y390" t="n">
        <v>4.673732</v>
      </c>
      <c r="Z390" t="n">
        <v>7.284097</v>
      </c>
      <c r="AA390" t="n">
        <v>32.31212</v>
      </c>
      <c r="AB390" t="n">
        <v>2.641543</v>
      </c>
      <c r="AC390" t="n">
        <v>0.09145602999999999</v>
      </c>
      <c r="AD390" t="n">
        <v>24.04083</v>
      </c>
      <c r="AE390" t="n">
        <v>78.28964000000001</v>
      </c>
      <c r="AF390" t="n">
        <v>26.41329</v>
      </c>
      <c r="AH390" t="n">
        <v>41.05923</v>
      </c>
      <c r="AJ390" t="n">
        <v>0.08131404</v>
      </c>
      <c r="AK390" t="n">
        <v>49.20076</v>
      </c>
      <c r="AL390" t="n">
        <v>32.2</v>
      </c>
      <c r="AM390" t="n">
        <v>20.61352</v>
      </c>
      <c r="AN390" t="n">
        <v>17.05125</v>
      </c>
      <c r="AP390" t="n">
        <v>10.80775</v>
      </c>
      <c r="AT390" t="n">
        <v>0.000565697</v>
      </c>
      <c r="AU390" t="n">
        <v>35.47837</v>
      </c>
      <c r="AV390" t="n">
        <v>0.001550117</v>
      </c>
      <c r="AW390" t="n">
        <v>37.88758</v>
      </c>
      <c r="AX390" t="n">
        <v>5.564869</v>
      </c>
    </row>
    <row r="391">
      <c r="A391" s="92" t="n">
        <v>29738</v>
      </c>
      <c r="B391" t="n">
        <v>44.7922</v>
      </c>
      <c r="C391" t="n">
        <v>41.67586</v>
      </c>
      <c r="D391" t="n">
        <v>0</v>
      </c>
      <c r="E391" t="n">
        <v>39.10983</v>
      </c>
      <c r="F391" t="n">
        <v>58.68433</v>
      </c>
      <c r="G391" t="n">
        <v>4.75256</v>
      </c>
      <c r="I391" t="n">
        <v>1.223691</v>
      </c>
      <c r="J391" t="n">
        <v>0.9443956999999999</v>
      </c>
      <c r="L391" t="n">
        <v>51.6684</v>
      </c>
      <c r="M391" t="n">
        <v>39.02083</v>
      </c>
      <c r="O391" t="n">
        <v>22.55569</v>
      </c>
      <c r="R391" t="n">
        <v>38.71097</v>
      </c>
      <c r="S391" t="n">
        <v>41.13115</v>
      </c>
      <c r="U391" t="n">
        <v>41.52869</v>
      </c>
      <c r="V391" t="n">
        <v>34.04116</v>
      </c>
      <c r="W391" t="n">
        <v>6.503742</v>
      </c>
      <c r="X391" t="n">
        <v>3.108322</v>
      </c>
      <c r="Y391" t="n">
        <v>4.692477</v>
      </c>
      <c r="Z391" t="n">
        <v>7.386074</v>
      </c>
      <c r="AA391" t="n">
        <v>32.31212</v>
      </c>
      <c r="AB391" t="n">
        <v>2.781802</v>
      </c>
      <c r="AC391" t="n">
        <v>0.0939566</v>
      </c>
      <c r="AD391" t="n">
        <v>24.31002</v>
      </c>
      <c r="AE391" t="n">
        <v>78.39145000000001</v>
      </c>
      <c r="AF391" t="n">
        <v>27.14226</v>
      </c>
      <c r="AH391" t="n">
        <v>41.48003</v>
      </c>
      <c r="AJ391" t="n">
        <v>0.08245034</v>
      </c>
      <c r="AK391" t="n">
        <v>49.31478</v>
      </c>
      <c r="AL391" t="n">
        <v>32.6</v>
      </c>
      <c r="AM391" t="n">
        <v>20.78858</v>
      </c>
      <c r="AN391" t="n">
        <v>17.19595</v>
      </c>
      <c r="AP391" t="n">
        <v>10.88239</v>
      </c>
      <c r="AT391" t="n">
        <v>0.000572256</v>
      </c>
      <c r="AU391" t="n">
        <v>35.60922</v>
      </c>
      <c r="AV391" t="n">
        <v>0.001611197</v>
      </c>
      <c r="AW391" t="n">
        <v>38.22511</v>
      </c>
      <c r="AX391" t="n">
        <v>5.61086</v>
      </c>
    </row>
    <row r="392">
      <c r="A392" s="92" t="n">
        <v>29768</v>
      </c>
      <c r="B392" t="n">
        <v>45.07054</v>
      </c>
      <c r="C392" t="n">
        <v>42.35214</v>
      </c>
      <c r="D392" t="n">
        <v>1e-09</v>
      </c>
      <c r="E392" t="n">
        <v>39.42586</v>
      </c>
      <c r="F392" t="n">
        <v>58.98903</v>
      </c>
      <c r="G392" t="n">
        <v>4.78197</v>
      </c>
      <c r="I392" t="n">
        <v>1.248164</v>
      </c>
      <c r="J392" t="n">
        <v>1.001404</v>
      </c>
      <c r="L392" t="n">
        <v>51.99459</v>
      </c>
      <c r="M392" t="n">
        <v>39.29905</v>
      </c>
      <c r="O392" t="n">
        <v>22.99754</v>
      </c>
      <c r="R392" t="n">
        <v>38.82676</v>
      </c>
      <c r="S392" t="n">
        <v>41.82953</v>
      </c>
      <c r="U392" t="n">
        <v>41.86636</v>
      </c>
      <c r="V392" t="n">
        <v>34.19077</v>
      </c>
      <c r="W392" t="n">
        <v>6.438921</v>
      </c>
      <c r="X392" t="n">
        <v>3.124966</v>
      </c>
      <c r="Y392" t="n">
        <v>4.748712</v>
      </c>
      <c r="Z392" t="n">
        <v>7.52083</v>
      </c>
      <c r="AA392" t="n">
        <v>34.10201</v>
      </c>
      <c r="AB392" t="n">
        <v>2.851932</v>
      </c>
      <c r="AC392" t="n">
        <v>0.09965234000000001</v>
      </c>
      <c r="AD392" t="n">
        <v>24.45497</v>
      </c>
      <c r="AE392" t="n">
        <v>78.18783999999999</v>
      </c>
      <c r="AF392" t="n">
        <v>27.40788</v>
      </c>
      <c r="AH392" t="n">
        <v>41.68869</v>
      </c>
      <c r="AJ392" t="n">
        <v>0.08390263000000001</v>
      </c>
      <c r="AK392" t="n">
        <v>49.77087</v>
      </c>
      <c r="AL392" t="n">
        <v>33.1</v>
      </c>
      <c r="AM392" t="n">
        <v>20.98875</v>
      </c>
      <c r="AN392" t="n">
        <v>17.36395</v>
      </c>
      <c r="AP392" t="n">
        <v>11.16901</v>
      </c>
      <c r="AT392" t="n">
        <v>0.000573075</v>
      </c>
      <c r="AU392" t="n">
        <v>35.93474</v>
      </c>
      <c r="AV392" t="n">
        <v>0.001633284</v>
      </c>
      <c r="AW392" t="n">
        <v>38.64702</v>
      </c>
      <c r="AX392" t="n">
        <v>5.748832</v>
      </c>
    </row>
    <row r="393">
      <c r="A393" s="92" t="n">
        <v>29799</v>
      </c>
      <c r="B393" t="n">
        <v>45.32899</v>
      </c>
      <c r="C393" t="n">
        <v>42.55644</v>
      </c>
      <c r="D393" t="n">
        <v>1e-09</v>
      </c>
      <c r="E393" t="n">
        <v>39.7419</v>
      </c>
      <c r="F393" t="n">
        <v>59.90485</v>
      </c>
      <c r="G393" t="n">
        <v>4.840295</v>
      </c>
      <c r="I393" t="n">
        <v>1.26448</v>
      </c>
      <c r="J393" t="n">
        <v>1.017538</v>
      </c>
      <c r="L393" t="n">
        <v>52.12506</v>
      </c>
      <c r="M393" t="n">
        <v>39.43816</v>
      </c>
      <c r="O393" t="n">
        <v>23.27778</v>
      </c>
      <c r="R393" t="n">
        <v>38.94254</v>
      </c>
      <c r="S393" t="n">
        <v>42.34413</v>
      </c>
      <c r="U393" t="n">
        <v>42.11902</v>
      </c>
      <c r="V393" t="n">
        <v>34.44395</v>
      </c>
      <c r="W393" t="n">
        <v>6.3741</v>
      </c>
      <c r="X393" t="n">
        <v>3.120805</v>
      </c>
      <c r="Y393" t="n">
        <v>4.773705</v>
      </c>
      <c r="Z393" t="n">
        <v>7.637375</v>
      </c>
      <c r="AA393" t="n">
        <v>34.10201</v>
      </c>
      <c r="AB393" t="n">
        <v>2.875308</v>
      </c>
      <c r="AC393" t="n">
        <v>0.1035421</v>
      </c>
      <c r="AD393" t="n">
        <v>24.68275</v>
      </c>
      <c r="AE393" t="n">
        <v>77.88242</v>
      </c>
      <c r="AF393" t="n">
        <v>27.69547</v>
      </c>
      <c r="AH393" t="n">
        <v>41.83475</v>
      </c>
      <c r="AJ393" t="n">
        <v>0.08563165</v>
      </c>
      <c r="AK393" t="n">
        <v>49.88489</v>
      </c>
      <c r="AL393" t="n">
        <v>33.1</v>
      </c>
      <c r="AM393" t="n">
        <v>21.13405</v>
      </c>
      <c r="AN393" t="n">
        <v>17.49191</v>
      </c>
      <c r="AP393" t="n">
        <v>11.4606</v>
      </c>
      <c r="AT393" t="n">
        <v>0.000573075</v>
      </c>
      <c r="AU393" t="n">
        <v>36.206</v>
      </c>
      <c r="AV393" t="n">
        <v>0.001646834</v>
      </c>
      <c r="AW393" t="n">
        <v>38.94236</v>
      </c>
      <c r="AX393" t="n">
        <v>5.840814</v>
      </c>
    </row>
    <row r="394">
      <c r="A394" s="92" t="n">
        <v>29830</v>
      </c>
      <c r="B394" t="n">
        <v>45.4284</v>
      </c>
      <c r="C394" t="n">
        <v>42.95094</v>
      </c>
      <c r="D394" t="n">
        <v>1e-09</v>
      </c>
      <c r="E394" t="n">
        <v>40.05794</v>
      </c>
      <c r="F394" t="n">
        <v>59.95578</v>
      </c>
      <c r="G394" t="n">
        <v>4.885028</v>
      </c>
      <c r="I394" t="n">
        <v>1.272638</v>
      </c>
      <c r="J394" t="n">
        <v>1.042277</v>
      </c>
      <c r="L394" t="n">
        <v>52.38601</v>
      </c>
      <c r="M394" t="n">
        <v>39.78594</v>
      </c>
      <c r="O394" t="n">
        <v>23.46279</v>
      </c>
      <c r="R394" t="n">
        <v>39.36709</v>
      </c>
      <c r="S394" t="n">
        <v>42.82197</v>
      </c>
      <c r="U394" t="n">
        <v>42.5362</v>
      </c>
      <c r="V394" t="n">
        <v>34.63959</v>
      </c>
      <c r="W394" t="n">
        <v>6.633385</v>
      </c>
      <c r="X394" t="n">
        <v>3.124966</v>
      </c>
      <c r="Y394" t="n">
        <v>4.767457</v>
      </c>
      <c r="Z394" t="n">
        <v>7.670154</v>
      </c>
      <c r="AA394" t="n">
        <v>34.10201</v>
      </c>
      <c r="AB394" t="n">
        <v>2.992191</v>
      </c>
      <c r="AC394" t="n">
        <v>0.11197</v>
      </c>
      <c r="AD394" t="n">
        <v>25.03477</v>
      </c>
      <c r="AE394" t="n">
        <v>79.00229</v>
      </c>
      <c r="AF394" t="n">
        <v>28.04897</v>
      </c>
      <c r="AH394" t="n">
        <v>42.19469</v>
      </c>
      <c r="AJ394" t="n">
        <v>0.08722475</v>
      </c>
      <c r="AK394" t="n">
        <v>50.34098</v>
      </c>
      <c r="AL394" t="n">
        <v>33.4</v>
      </c>
      <c r="AM394" t="n">
        <v>21.3665</v>
      </c>
      <c r="AN394" t="n">
        <v>17.68621</v>
      </c>
      <c r="AP394" t="n">
        <v>11.63575</v>
      </c>
      <c r="AT394" t="n">
        <v>0.000582094</v>
      </c>
      <c r="AU394" t="n">
        <v>36.46769</v>
      </c>
      <c r="AV394" t="n">
        <v>0.001725372</v>
      </c>
      <c r="AW394" t="n">
        <v>39.32207</v>
      </c>
      <c r="AX394" t="n">
        <v>5.978786</v>
      </c>
    </row>
    <row r="395">
      <c r="A395" s="92" t="n">
        <v>29860</v>
      </c>
      <c r="B395" t="n">
        <v>45.70673</v>
      </c>
      <c r="C395" t="n">
        <v>43.12001</v>
      </c>
      <c r="D395" t="n">
        <v>1e-09</v>
      </c>
      <c r="E395" t="n">
        <v>40.45299</v>
      </c>
      <c r="F395" t="n">
        <v>59.75207</v>
      </c>
      <c r="G395" t="n">
        <v>4.900599</v>
      </c>
      <c r="I395" t="n">
        <v>1.288954</v>
      </c>
      <c r="J395" t="n">
        <v>1.116495</v>
      </c>
      <c r="L395" t="n">
        <v>52.64697</v>
      </c>
      <c r="M395" t="n">
        <v>39.99461</v>
      </c>
      <c r="O395" t="n">
        <v>23.7267</v>
      </c>
      <c r="R395" t="n">
        <v>39.86883</v>
      </c>
      <c r="S395" t="n">
        <v>43.37333</v>
      </c>
      <c r="U395" t="n">
        <v>42.77633</v>
      </c>
      <c r="V395" t="n">
        <v>34.95031</v>
      </c>
      <c r="W395" t="n">
        <v>6.806242</v>
      </c>
      <c r="X395" t="n">
        <v>3.133288</v>
      </c>
      <c r="Y395" t="n">
        <v>4.823691</v>
      </c>
      <c r="Z395" t="n">
        <v>7.739353</v>
      </c>
      <c r="AA395" t="n">
        <v>36.0803</v>
      </c>
      <c r="AB395" t="n">
        <v>3.06232</v>
      </c>
      <c r="AC395" t="n">
        <v>0.1220649</v>
      </c>
      <c r="AD395" t="n">
        <v>25.46961</v>
      </c>
      <c r="AE395" t="n">
        <v>79.30771</v>
      </c>
      <c r="AF395" t="n">
        <v>27.9824</v>
      </c>
      <c r="AH395" t="n">
        <v>42.30772</v>
      </c>
      <c r="AJ395" t="n">
        <v>0.08916006</v>
      </c>
      <c r="AK395" t="n">
        <v>50.79707</v>
      </c>
      <c r="AL395" t="n">
        <v>33.5</v>
      </c>
      <c r="AM395" t="n">
        <v>21.53999</v>
      </c>
      <c r="AN395" t="n">
        <v>17.88325</v>
      </c>
      <c r="AP395" t="n">
        <v>11.8318</v>
      </c>
      <c r="AT395" t="n">
        <v>0.00060587</v>
      </c>
      <c r="AU395" t="n">
        <v>36.70385</v>
      </c>
      <c r="AV395" t="n">
        <v>0.001766064</v>
      </c>
      <c r="AW395" t="n">
        <v>39.40646</v>
      </c>
      <c r="AX395" t="n">
        <v>6.024776</v>
      </c>
    </row>
    <row r="396">
      <c r="A396" s="92" t="n">
        <v>29891</v>
      </c>
      <c r="B396" t="n">
        <v>45.64709</v>
      </c>
      <c r="C396" t="n">
        <v>43.54972</v>
      </c>
      <c r="D396" t="n">
        <v>1e-09</v>
      </c>
      <c r="E396" t="n">
        <v>40.76903</v>
      </c>
      <c r="F396" t="n">
        <v>60.10769</v>
      </c>
      <c r="G396" t="n">
        <v>4.909495</v>
      </c>
      <c r="I396" t="n">
        <v>1.313428</v>
      </c>
      <c r="J396" t="n">
        <v>1.188562</v>
      </c>
      <c r="L396" t="n">
        <v>52.90792</v>
      </c>
      <c r="M396" t="n">
        <v>40.4815</v>
      </c>
      <c r="O396" t="n">
        <v>23.93239</v>
      </c>
      <c r="R396" t="n">
        <v>39.86883</v>
      </c>
      <c r="S396" t="n">
        <v>43.7409</v>
      </c>
      <c r="U396" t="n">
        <v>43.00017</v>
      </c>
      <c r="V396" t="n">
        <v>35.31857</v>
      </c>
      <c r="W396" t="n">
        <v>6.957492</v>
      </c>
      <c r="X396" t="n">
        <v>3.170738</v>
      </c>
      <c r="Y396" t="n">
        <v>4.804946</v>
      </c>
      <c r="Z396" t="n">
        <v>7.772131</v>
      </c>
      <c r="AA396" t="n">
        <v>36.0803</v>
      </c>
      <c r="AB396" t="n">
        <v>3.155826</v>
      </c>
      <c r="AC396" t="n">
        <v>0.1291498</v>
      </c>
      <c r="AD396" t="n">
        <v>25.92517</v>
      </c>
      <c r="AE396" t="n">
        <v>79.2059</v>
      </c>
      <c r="AF396" t="n">
        <v>27.73941</v>
      </c>
      <c r="AH396" t="n">
        <v>42.57203</v>
      </c>
      <c r="AJ396" t="n">
        <v>0.09087597</v>
      </c>
      <c r="AK396" t="n">
        <v>50.96811</v>
      </c>
      <c r="AL396" t="n">
        <v>33.6</v>
      </c>
      <c r="AM396" t="n">
        <v>21.67622</v>
      </c>
      <c r="AN396" t="n">
        <v>18.05887</v>
      </c>
      <c r="AP396" t="n">
        <v>11.97013</v>
      </c>
      <c r="AT396" t="n">
        <v>0.000614888</v>
      </c>
      <c r="AU396" t="n">
        <v>36.84108</v>
      </c>
      <c r="AV396" t="n">
        <v>0.001803528</v>
      </c>
      <c r="AW396" t="n">
        <v>39.53303</v>
      </c>
      <c r="AX396" t="n">
        <v>6.070767</v>
      </c>
    </row>
    <row r="397">
      <c r="A397" s="92" t="n">
        <v>29921</v>
      </c>
      <c r="B397" t="n">
        <v>45.78626</v>
      </c>
      <c r="C397" t="n">
        <v>43.82447</v>
      </c>
      <c r="D397" t="n">
        <v>1e-09</v>
      </c>
      <c r="E397" t="n">
        <v>40.92705</v>
      </c>
      <c r="F397" t="n">
        <v>60.10769</v>
      </c>
      <c r="G397" t="n">
        <v>4.934952</v>
      </c>
      <c r="I397" t="n">
        <v>1.329744</v>
      </c>
      <c r="J397" t="n">
        <v>1.27999</v>
      </c>
      <c r="L397" t="n">
        <v>53.03839</v>
      </c>
      <c r="M397" t="n">
        <v>40.69017</v>
      </c>
      <c r="O397" t="n">
        <v>24.2948</v>
      </c>
      <c r="R397" t="n">
        <v>39.94602</v>
      </c>
      <c r="S397" t="n">
        <v>43.9982</v>
      </c>
      <c r="U397" t="n">
        <v>43.16986</v>
      </c>
      <c r="V397" t="n">
        <v>35.53722</v>
      </c>
      <c r="W397" t="n">
        <v>7.108742</v>
      </c>
      <c r="X397" t="n">
        <v>3.208187</v>
      </c>
      <c r="Y397" t="n">
        <v>4.82994</v>
      </c>
      <c r="Z397" t="n">
        <v>7.739353</v>
      </c>
      <c r="AA397" t="n">
        <v>36.0803</v>
      </c>
      <c r="AB397" t="n">
        <v>3.319462</v>
      </c>
      <c r="AC397" t="n">
        <v>0.135818</v>
      </c>
      <c r="AD397" t="n">
        <v>26.19436</v>
      </c>
      <c r="AE397" t="n">
        <v>79.30771</v>
      </c>
      <c r="AF397" t="n">
        <v>27.89386</v>
      </c>
      <c r="AH397" t="n">
        <v>42.8485</v>
      </c>
      <c r="AJ397" t="n">
        <v>0.09332211</v>
      </c>
      <c r="AK397" t="n">
        <v>51.02512</v>
      </c>
      <c r="AL397" t="n">
        <v>33.7</v>
      </c>
      <c r="AM397" t="n">
        <v>21.80233</v>
      </c>
      <c r="AN397" t="n">
        <v>18.18375</v>
      </c>
      <c r="AP397" t="n">
        <v>12.26571</v>
      </c>
      <c r="AT397" t="n">
        <v>0.000635384</v>
      </c>
      <c r="AU397" t="n">
        <v>36.65598</v>
      </c>
      <c r="AV397" t="n">
        <v>0.001824129</v>
      </c>
      <c r="AW397" t="n">
        <v>39.6596</v>
      </c>
      <c r="AX397" t="n">
        <v>6.116757</v>
      </c>
    </row>
    <row r="398">
      <c r="A398" s="92" t="n">
        <v>29952</v>
      </c>
      <c r="B398" t="n">
        <v>46.36281</v>
      </c>
      <c r="C398" t="n">
        <v>44.24714</v>
      </c>
      <c r="D398" t="n">
        <v>1e-09</v>
      </c>
      <c r="E398" t="n">
        <v>41.24309</v>
      </c>
      <c r="F398" t="n">
        <v>60.41326</v>
      </c>
      <c r="G398" t="n">
        <v>4.969305</v>
      </c>
      <c r="I398" t="n">
        <v>1.354218</v>
      </c>
      <c r="J398" t="n">
        <v>1.405837</v>
      </c>
      <c r="L398" t="n">
        <v>53.49506</v>
      </c>
      <c r="M398" t="n">
        <v>40.96839</v>
      </c>
      <c r="O398" t="n">
        <v>24.79814</v>
      </c>
      <c r="R398" t="n">
        <v>40.67933</v>
      </c>
      <c r="S398" t="n">
        <v>44.47604</v>
      </c>
      <c r="U398" t="n">
        <v>43.39782</v>
      </c>
      <c r="V398" t="n">
        <v>35.74437</v>
      </c>
      <c r="W398" t="n">
        <v>7.216777</v>
      </c>
      <c r="X398" t="n">
        <v>3.274765</v>
      </c>
      <c r="Y398" t="n">
        <v>5.054879</v>
      </c>
      <c r="Z398" t="n">
        <v>7.721142</v>
      </c>
      <c r="AA398" t="n">
        <v>36.92813</v>
      </c>
      <c r="AB398" t="n">
        <v>3.389591</v>
      </c>
      <c r="AC398" t="n">
        <v>0.1471169</v>
      </c>
      <c r="AD398" t="n">
        <v>26.56709</v>
      </c>
      <c r="AE398" t="n">
        <v>79.30771</v>
      </c>
      <c r="AF398" t="n">
        <v>28.027</v>
      </c>
      <c r="AH398" t="n">
        <v>43.43101</v>
      </c>
      <c r="AJ398" t="n">
        <v>0.097959</v>
      </c>
      <c r="AK398" t="n">
        <v>51.36719</v>
      </c>
      <c r="AL398" t="n">
        <v>34.8</v>
      </c>
      <c r="AM398" t="n">
        <v>22.01663</v>
      </c>
      <c r="AN398" t="n">
        <v>18.42323</v>
      </c>
      <c r="AP398" t="n">
        <v>12.50853</v>
      </c>
      <c r="AT398" t="n">
        <v>0.000649321</v>
      </c>
      <c r="AU398" t="n">
        <v>37.46021</v>
      </c>
      <c r="AV398" t="n">
        <v>0.001912054</v>
      </c>
      <c r="AW398" t="n">
        <v>39.78617</v>
      </c>
      <c r="AX398" t="n">
        <v>6.116757</v>
      </c>
    </row>
    <row r="399">
      <c r="A399" s="92" t="n">
        <v>29983</v>
      </c>
      <c r="B399" t="n">
        <v>46.54174</v>
      </c>
      <c r="C399" t="n">
        <v>44.35281</v>
      </c>
      <c r="D399" t="n">
        <v>1e-09</v>
      </c>
      <c r="E399" t="n">
        <v>41.71714</v>
      </c>
      <c r="F399" t="n">
        <v>60.51512</v>
      </c>
      <c r="G399" t="n">
        <v>4.930008</v>
      </c>
      <c r="I399" t="n">
        <v>1.386849</v>
      </c>
      <c r="J399" t="n">
        <v>1.453165</v>
      </c>
      <c r="L399" t="n">
        <v>53.5603</v>
      </c>
      <c r="M399" t="n">
        <v>41.21184</v>
      </c>
      <c r="O399" t="n">
        <v>24.99131</v>
      </c>
      <c r="R399" t="n">
        <v>40.8723</v>
      </c>
      <c r="S399" t="n">
        <v>44.91712</v>
      </c>
      <c r="U399" t="n">
        <v>43.57013</v>
      </c>
      <c r="V399" t="n">
        <v>35.75588</v>
      </c>
      <c r="W399" t="n">
        <v>7.216777</v>
      </c>
      <c r="X399" t="n">
        <v>3.25812</v>
      </c>
      <c r="Y399" t="n">
        <v>5.08612</v>
      </c>
      <c r="Z399" t="n">
        <v>7.706574</v>
      </c>
      <c r="AA399" t="n">
        <v>36.92813</v>
      </c>
      <c r="AB399" t="n">
        <v>3.45972</v>
      </c>
      <c r="AC399" t="n">
        <v>0.1554984</v>
      </c>
      <c r="AD399" t="n">
        <v>26.96052</v>
      </c>
      <c r="AE399" t="n">
        <v>79.2059</v>
      </c>
      <c r="AF399" t="n">
        <v>28.15948</v>
      </c>
      <c r="AH399" t="n">
        <v>43.85007</v>
      </c>
      <c r="AJ399" t="n">
        <v>0.1018083</v>
      </c>
      <c r="AK399" t="n">
        <v>51.59523</v>
      </c>
      <c r="AL399" t="n">
        <v>35</v>
      </c>
      <c r="AM399" t="n">
        <v>22.15753</v>
      </c>
      <c r="AN399" t="n">
        <v>18.55391</v>
      </c>
      <c r="AP399" t="n">
        <v>12.85187</v>
      </c>
      <c r="AT399" t="n">
        <v>0.000663259</v>
      </c>
      <c r="AU399" t="n">
        <v>37.98997</v>
      </c>
      <c r="AV399" t="n">
        <v>0.001955591</v>
      </c>
      <c r="AW399" t="n">
        <v>39.91275</v>
      </c>
      <c r="AX399" t="n">
        <v>6.208739</v>
      </c>
    </row>
    <row r="400">
      <c r="A400" s="92" t="n">
        <v>30011</v>
      </c>
      <c r="B400" t="n">
        <v>46.91948</v>
      </c>
      <c r="C400" t="n">
        <v>44.42326</v>
      </c>
      <c r="D400" t="n">
        <v>1e-09</v>
      </c>
      <c r="E400" t="n">
        <v>42.27021</v>
      </c>
      <c r="F400" t="n">
        <v>60.6161</v>
      </c>
      <c r="G400" t="n">
        <v>4.951757</v>
      </c>
      <c r="I400" t="n">
        <v>1.419481</v>
      </c>
      <c r="J400" t="n">
        <v>1.546744</v>
      </c>
      <c r="L400" t="n">
        <v>53.5603</v>
      </c>
      <c r="M400" t="n">
        <v>41.55962</v>
      </c>
      <c r="O400" t="n">
        <v>25.23673</v>
      </c>
      <c r="R400" t="n">
        <v>41.41263</v>
      </c>
      <c r="S400" t="n">
        <v>45.46848</v>
      </c>
      <c r="U400" t="n">
        <v>43.67768</v>
      </c>
      <c r="V400" t="n">
        <v>36.0666</v>
      </c>
      <c r="W400" t="n">
        <v>7.432848</v>
      </c>
      <c r="X400" t="n">
        <v>3.283087</v>
      </c>
      <c r="Y400" t="n">
        <v>5.092369</v>
      </c>
      <c r="Z400" t="n">
        <v>7.688364</v>
      </c>
      <c r="AA400" t="n">
        <v>36.92813</v>
      </c>
      <c r="AB400" t="n">
        <v>3.646732</v>
      </c>
      <c r="AC400" t="n">
        <v>0.1633706</v>
      </c>
      <c r="AD400" t="n">
        <v>27.1883</v>
      </c>
      <c r="AE400" t="n">
        <v>79.30771</v>
      </c>
      <c r="AF400" t="n">
        <v>28.42444</v>
      </c>
      <c r="AH400" t="n">
        <v>43.8918</v>
      </c>
      <c r="AJ400" t="n">
        <v>0.1055267</v>
      </c>
      <c r="AK400" t="n">
        <v>51.99431</v>
      </c>
      <c r="AL400" t="n">
        <v>35.6</v>
      </c>
      <c r="AM400" t="n">
        <v>22.28175</v>
      </c>
      <c r="AN400" t="n">
        <v>18.70609</v>
      </c>
      <c r="AP400" t="n">
        <v>13.16834</v>
      </c>
      <c r="AT400" t="n">
        <v>0.000693594</v>
      </c>
      <c r="AU400" t="n">
        <v>38.08572</v>
      </c>
      <c r="AV400" t="n">
        <v>0.002000153</v>
      </c>
      <c r="AW400" t="n">
        <v>39.87056</v>
      </c>
      <c r="AX400" t="n">
        <v>6.346711</v>
      </c>
    </row>
    <row r="401">
      <c r="A401" s="92" t="n">
        <v>30042</v>
      </c>
      <c r="B401" t="n">
        <v>47.13818</v>
      </c>
      <c r="C401" t="n">
        <v>44.97274</v>
      </c>
      <c r="D401" t="n">
        <v>1e-09</v>
      </c>
      <c r="E401" t="n">
        <v>42.50724</v>
      </c>
      <c r="F401" t="n">
        <v>60.9726</v>
      </c>
      <c r="G401" t="n">
        <v>4.946815</v>
      </c>
      <c r="I401" t="n">
        <v>1.452113</v>
      </c>
      <c r="J401" t="n">
        <v>1.610206</v>
      </c>
      <c r="L401" t="n">
        <v>53.75601</v>
      </c>
      <c r="M401" t="n">
        <v>41.80306</v>
      </c>
      <c r="O401" t="n">
        <v>25.56866</v>
      </c>
      <c r="R401" t="n">
        <v>41.6442</v>
      </c>
      <c r="S401" t="n">
        <v>45.98308</v>
      </c>
      <c r="U401" t="n">
        <v>43.96894</v>
      </c>
      <c r="V401" t="n">
        <v>36.79161</v>
      </c>
      <c r="W401" t="n">
        <v>7.64892</v>
      </c>
      <c r="X401" t="n">
        <v>3.291409</v>
      </c>
      <c r="Y401" t="n">
        <v>5.092369</v>
      </c>
      <c r="Z401" t="n">
        <v>7.721142</v>
      </c>
      <c r="AA401" t="n">
        <v>39.09484</v>
      </c>
      <c r="AB401" t="n">
        <v>3.810368</v>
      </c>
      <c r="AC401" t="n">
        <v>0.1807819</v>
      </c>
      <c r="AD401" t="n">
        <v>27.41607</v>
      </c>
      <c r="AE401" t="n">
        <v>79.91856</v>
      </c>
      <c r="AF401" t="n">
        <v>28.46905</v>
      </c>
      <c r="AH401" t="n">
        <v>44.04134</v>
      </c>
      <c r="AJ401" t="n">
        <v>0.1112458</v>
      </c>
      <c r="AK401" t="n">
        <v>52.16534</v>
      </c>
      <c r="AL401" t="n">
        <v>35.7</v>
      </c>
      <c r="AM401" t="n">
        <v>22.51144</v>
      </c>
      <c r="AN401" t="n">
        <v>18.89752</v>
      </c>
      <c r="AP401" t="n">
        <v>13.40918</v>
      </c>
      <c r="AT401" t="n">
        <v>0.000696873</v>
      </c>
      <c r="AU401" t="n">
        <v>38.34102</v>
      </c>
      <c r="AV401" t="n">
        <v>0.002019104</v>
      </c>
      <c r="AW401" t="n">
        <v>40.03932</v>
      </c>
      <c r="AX401" t="n">
        <v>6.438692</v>
      </c>
    </row>
    <row r="402">
      <c r="A402" s="92" t="n">
        <v>30072</v>
      </c>
      <c r="B402" t="n">
        <v>47.2177</v>
      </c>
      <c r="C402" t="n">
        <v>45.37428</v>
      </c>
      <c r="D402" t="n">
        <v>1e-09</v>
      </c>
      <c r="E402" t="n">
        <v>43.06031</v>
      </c>
      <c r="F402" t="n">
        <v>61.73564</v>
      </c>
      <c r="G402" t="n">
        <v>4.921853</v>
      </c>
      <c r="I402" t="n">
        <v>1.492903</v>
      </c>
      <c r="J402" t="n">
        <v>1.688726</v>
      </c>
      <c r="L402" t="n">
        <v>54.14744</v>
      </c>
      <c r="M402" t="n">
        <v>42.28995</v>
      </c>
      <c r="O402" t="n">
        <v>25.93868</v>
      </c>
      <c r="R402" t="n">
        <v>42.4547</v>
      </c>
      <c r="S402" t="n">
        <v>46.35065</v>
      </c>
      <c r="U402" t="n">
        <v>44.34221</v>
      </c>
      <c r="V402" t="n">
        <v>37.0563</v>
      </c>
      <c r="W402" t="n">
        <v>7.756955</v>
      </c>
      <c r="X402" t="n">
        <v>3.283087</v>
      </c>
      <c r="Y402" t="n">
        <v>5.098617</v>
      </c>
      <c r="Z402" t="n">
        <v>7.772131</v>
      </c>
      <c r="AA402" t="n">
        <v>39.09484</v>
      </c>
      <c r="AB402" t="n">
        <v>3.833744</v>
      </c>
      <c r="AC402" t="n">
        <v>0.1920345</v>
      </c>
      <c r="AD402" t="n">
        <v>27.72668</v>
      </c>
      <c r="AE402" t="n">
        <v>80.22398</v>
      </c>
      <c r="AF402" t="n">
        <v>28.69007</v>
      </c>
      <c r="AH402" t="n">
        <v>44.64994</v>
      </c>
      <c r="AJ402" t="n">
        <v>0.1174987</v>
      </c>
      <c r="AK402" t="n">
        <v>52.33638</v>
      </c>
      <c r="AL402" t="n">
        <v>35.8</v>
      </c>
      <c r="AM402" t="n">
        <v>22.75832</v>
      </c>
      <c r="AN402" t="n">
        <v>19.05478</v>
      </c>
      <c r="AP402" t="n">
        <v>13.42013</v>
      </c>
      <c r="AT402" t="n">
        <v>0.000728847</v>
      </c>
      <c r="AU402" t="n">
        <v>38.50378</v>
      </c>
      <c r="AV402" t="n">
        <v>0.002025251</v>
      </c>
      <c r="AW402" t="n">
        <v>40.41904</v>
      </c>
      <c r="AX402" t="n">
        <v>6.484683</v>
      </c>
    </row>
    <row r="403">
      <c r="A403" s="92" t="n">
        <v>30103</v>
      </c>
      <c r="B403" t="n">
        <v>47.45627</v>
      </c>
      <c r="C403" t="n">
        <v>45.78286</v>
      </c>
      <c r="D403" t="n">
        <v>1e-09</v>
      </c>
      <c r="E403" t="n">
        <v>43.53437</v>
      </c>
      <c r="F403" t="n">
        <v>62.29498</v>
      </c>
      <c r="G403" t="n">
        <v>4.954476</v>
      </c>
      <c r="I403" t="n">
        <v>1.525534</v>
      </c>
      <c r="J403" t="n">
        <v>1.799515</v>
      </c>
      <c r="L403" t="n">
        <v>54.73458</v>
      </c>
      <c r="M403" t="n">
        <v>42.60295</v>
      </c>
      <c r="O403" t="n">
        <v>26.18791</v>
      </c>
      <c r="R403" t="n">
        <v>42.60909</v>
      </c>
      <c r="S403" t="n">
        <v>46.68146</v>
      </c>
      <c r="U403" t="n">
        <v>44.75586</v>
      </c>
      <c r="V403" t="n">
        <v>37.15987</v>
      </c>
      <c r="W403" t="n">
        <v>7.994634</v>
      </c>
      <c r="X403" t="n">
        <v>3.328859</v>
      </c>
      <c r="Y403" t="n">
        <v>5.117362</v>
      </c>
      <c r="Z403" t="n">
        <v>7.906887</v>
      </c>
      <c r="AA403" t="n">
        <v>39.09484</v>
      </c>
      <c r="AB403" t="n">
        <v>4.044133</v>
      </c>
      <c r="AC403" t="n">
        <v>0.2036112</v>
      </c>
      <c r="AD403" t="n">
        <v>28.01658</v>
      </c>
      <c r="AE403" t="n">
        <v>80.22398</v>
      </c>
      <c r="AF403" t="n">
        <v>28.86648</v>
      </c>
      <c r="AH403" t="n">
        <v>45.15942</v>
      </c>
      <c r="AJ403" t="n">
        <v>0.1231589</v>
      </c>
      <c r="AK403" t="n">
        <v>52.39339</v>
      </c>
      <c r="AL403" t="n">
        <v>36.1</v>
      </c>
      <c r="AM403" t="n">
        <v>23.01926</v>
      </c>
      <c r="AN403" t="n">
        <v>19.22362</v>
      </c>
      <c r="AP403" t="n">
        <v>13.55249</v>
      </c>
      <c r="AT403" t="n">
        <v>0.000746064</v>
      </c>
      <c r="AU403" t="n">
        <v>38.63463</v>
      </c>
      <c r="AV403" t="n">
        <v>0.002059568</v>
      </c>
      <c r="AW403" t="n">
        <v>40.92533</v>
      </c>
      <c r="AX403" t="n">
        <v>6.530674</v>
      </c>
    </row>
    <row r="404">
      <c r="A404" s="92" t="n">
        <v>30133</v>
      </c>
      <c r="B404" t="n">
        <v>47.55568</v>
      </c>
      <c r="C404" t="n">
        <v>46.11396</v>
      </c>
      <c r="D404" t="n">
        <v>1e-09</v>
      </c>
      <c r="E404" t="n">
        <v>43.7714</v>
      </c>
      <c r="F404" t="n">
        <v>62.54874</v>
      </c>
      <c r="G404" t="n">
        <v>5.052592</v>
      </c>
      <c r="I404" t="n">
        <v>1.54185</v>
      </c>
      <c r="J404" t="n">
        <v>1.993127</v>
      </c>
      <c r="L404" t="n">
        <v>54.79982</v>
      </c>
      <c r="M404" t="n">
        <v>42.95073</v>
      </c>
      <c r="O404" t="n">
        <v>26.52419</v>
      </c>
      <c r="R404" t="n">
        <v>42.95644</v>
      </c>
      <c r="S404" t="n">
        <v>46.82849</v>
      </c>
      <c r="U404" t="n">
        <v>44.904</v>
      </c>
      <c r="V404" t="n">
        <v>37.17138</v>
      </c>
      <c r="W404" t="n">
        <v>7.908205</v>
      </c>
      <c r="X404" t="n">
        <v>3.320536</v>
      </c>
      <c r="Y404" t="n">
        <v>5.173596</v>
      </c>
      <c r="Z404" t="n">
        <v>8.041643000000001</v>
      </c>
      <c r="AA404" t="n">
        <v>39.94268</v>
      </c>
      <c r="AB404" t="n">
        <v>4.161015</v>
      </c>
      <c r="AC404" t="n">
        <v>0.2223655</v>
      </c>
      <c r="AD404" t="n">
        <v>28.3686</v>
      </c>
      <c r="AE404" t="n">
        <v>79.71494</v>
      </c>
      <c r="AF404" t="n">
        <v>28.93306</v>
      </c>
      <c r="AH404" t="n">
        <v>45.62717</v>
      </c>
      <c r="AJ404" t="n">
        <v>0.1295052</v>
      </c>
      <c r="AK404" t="n">
        <v>52.73546</v>
      </c>
      <c r="AL404" t="n">
        <v>36.7</v>
      </c>
      <c r="AM404" t="n">
        <v>23.1929</v>
      </c>
      <c r="AN404" t="n">
        <v>19.32509</v>
      </c>
      <c r="AP404" t="n">
        <v>13.53855</v>
      </c>
      <c r="AT404" t="n">
        <v>0.0007682</v>
      </c>
      <c r="AU404" t="n">
        <v>38.9027</v>
      </c>
      <c r="AV404" t="n">
        <v>0.002080569</v>
      </c>
      <c r="AW404" t="n">
        <v>41.13629</v>
      </c>
      <c r="AX404" t="n">
        <v>6.576664</v>
      </c>
    </row>
    <row r="405">
      <c r="A405" s="92" t="n">
        <v>30164</v>
      </c>
      <c r="B405" t="n">
        <v>47.6352</v>
      </c>
      <c r="C405" t="n">
        <v>46.39574</v>
      </c>
      <c r="D405" t="n">
        <v>1e-09</v>
      </c>
      <c r="E405" t="n">
        <v>43.92942</v>
      </c>
      <c r="F405" t="n">
        <v>63.00621</v>
      </c>
      <c r="G405" t="n">
        <v>5.215706</v>
      </c>
      <c r="I405" t="n">
        <v>1.566324</v>
      </c>
      <c r="J405" t="n">
        <v>2.065193</v>
      </c>
      <c r="L405" t="n">
        <v>54.73458</v>
      </c>
      <c r="M405" t="n">
        <v>43.22896</v>
      </c>
      <c r="O405" t="n">
        <v>26.70812</v>
      </c>
      <c r="R405" t="n">
        <v>42.76347</v>
      </c>
      <c r="S405" t="n">
        <v>46.97552</v>
      </c>
      <c r="U405" t="n">
        <v>45.07432</v>
      </c>
      <c r="V405" t="n">
        <v>37.18289</v>
      </c>
      <c r="W405" t="n">
        <v>7.778563</v>
      </c>
      <c r="X405" t="n">
        <v>3.345503</v>
      </c>
      <c r="Y405" t="n">
        <v>5.148603</v>
      </c>
      <c r="Z405" t="n">
        <v>8.209177</v>
      </c>
      <c r="AA405" t="n">
        <v>39.94268</v>
      </c>
      <c r="AB405" t="n">
        <v>4.301274</v>
      </c>
      <c r="AC405" t="n">
        <v>0.2398695</v>
      </c>
      <c r="AD405" t="n">
        <v>28.88627</v>
      </c>
      <c r="AE405" t="n">
        <v>80.32577999999999</v>
      </c>
      <c r="AF405" t="n">
        <v>29.0216</v>
      </c>
      <c r="AH405" t="n">
        <v>45.87756</v>
      </c>
      <c r="AJ405" t="n">
        <v>0.144038</v>
      </c>
      <c r="AK405" t="n">
        <v>52.79247</v>
      </c>
      <c r="AL405" t="n">
        <v>36.7</v>
      </c>
      <c r="AM405" t="n">
        <v>23.44423</v>
      </c>
      <c r="AN405" t="n">
        <v>19.41789</v>
      </c>
      <c r="AP405" t="n">
        <v>13.76844</v>
      </c>
      <c r="AT405" t="n">
        <v>0.00076492</v>
      </c>
      <c r="AU405" t="n">
        <v>39.00483</v>
      </c>
      <c r="AV405" t="n">
        <v>0.00210874</v>
      </c>
      <c r="AW405" t="n">
        <v>41.22067</v>
      </c>
      <c r="AX405" t="n">
        <v>6.668645</v>
      </c>
    </row>
    <row r="406">
      <c r="A406" s="92" t="n">
        <v>30195</v>
      </c>
      <c r="B406" t="n">
        <v>47.65508</v>
      </c>
      <c r="C406" t="n">
        <v>46.96636</v>
      </c>
      <c r="D406" t="n">
        <v>1e-09</v>
      </c>
      <c r="E406" t="n">
        <v>44.16645</v>
      </c>
      <c r="F406" t="n">
        <v>63.26086</v>
      </c>
      <c r="G406" t="n">
        <v>5.439371</v>
      </c>
      <c r="I406" t="n">
        <v>1.590798</v>
      </c>
      <c r="J406" t="n">
        <v>2.175982</v>
      </c>
      <c r="L406" t="n">
        <v>54.93029</v>
      </c>
      <c r="M406" t="n">
        <v>43.71585</v>
      </c>
      <c r="O406" t="n">
        <v>26.73913</v>
      </c>
      <c r="R406" t="n">
        <v>42.68628</v>
      </c>
      <c r="S406" t="n">
        <v>47.1593</v>
      </c>
      <c r="U406" t="n">
        <v>45.30746</v>
      </c>
      <c r="V406" t="n">
        <v>37.15987</v>
      </c>
      <c r="W406" t="n">
        <v>7.973026</v>
      </c>
      <c r="X406" t="n">
        <v>3.407919</v>
      </c>
      <c r="Y406" t="n">
        <v>5.192341</v>
      </c>
      <c r="Z406" t="n">
        <v>8.227387</v>
      </c>
      <c r="AA406" t="n">
        <v>39.94268</v>
      </c>
      <c r="AB406" t="n">
        <v>4.651921</v>
      </c>
      <c r="AC406" t="n">
        <v>0.2580681</v>
      </c>
      <c r="AD406" t="n">
        <v>29.32112</v>
      </c>
      <c r="AE406" t="n">
        <v>81.54747</v>
      </c>
      <c r="AF406" t="n">
        <v>29.15408</v>
      </c>
      <c r="AH406" t="n">
        <v>46.21489</v>
      </c>
      <c r="AJ406" t="n">
        <v>0.1517268</v>
      </c>
      <c r="AK406" t="n">
        <v>53.07753</v>
      </c>
      <c r="AL406" t="n">
        <v>37</v>
      </c>
      <c r="AM406" t="n">
        <v>23.65826</v>
      </c>
      <c r="AN406" t="n">
        <v>19.55584</v>
      </c>
      <c r="AP406" t="n">
        <v>13.94459</v>
      </c>
      <c r="AT406" t="n">
        <v>0.000776398</v>
      </c>
      <c r="AU406" t="n">
        <v>39.21546</v>
      </c>
      <c r="AV406" t="n">
        <v>0.002174302</v>
      </c>
      <c r="AW406" t="n">
        <v>41.30505</v>
      </c>
      <c r="AX406" t="n">
        <v>6.760627</v>
      </c>
    </row>
    <row r="407">
      <c r="A407" s="92" t="n">
        <v>30225</v>
      </c>
      <c r="B407" t="n">
        <v>47.79425</v>
      </c>
      <c r="C407" t="n">
        <v>47.35381</v>
      </c>
      <c r="D407" t="n">
        <v>1e-09</v>
      </c>
      <c r="E407" t="n">
        <v>44.48249</v>
      </c>
      <c r="F407" t="n">
        <v>63.41364</v>
      </c>
      <c r="G407" t="n">
        <v>5.700353</v>
      </c>
      <c r="I407" t="n">
        <v>1.615272</v>
      </c>
      <c r="J407" t="n">
        <v>2.242671</v>
      </c>
      <c r="L407" t="n">
        <v>55.19124</v>
      </c>
      <c r="M407" t="n">
        <v>44.23752</v>
      </c>
      <c r="O407" t="n">
        <v>27.00686</v>
      </c>
      <c r="R407" t="n">
        <v>42.87925</v>
      </c>
      <c r="S407" t="n">
        <v>47.4166</v>
      </c>
      <c r="U407" t="n">
        <v>45.52893</v>
      </c>
      <c r="V407" t="n">
        <v>37.34401</v>
      </c>
      <c r="W407" t="n">
        <v>8.167490000000001</v>
      </c>
      <c r="X407" t="n">
        <v>3.420402</v>
      </c>
      <c r="Y407" t="n">
        <v>5.254825</v>
      </c>
      <c r="Z407" t="n">
        <v>8.260165000000001</v>
      </c>
      <c r="AA407" t="n">
        <v>40.5079</v>
      </c>
      <c r="AB407" t="n">
        <v>4.86231</v>
      </c>
      <c r="AC407" t="n">
        <v>0.2797397</v>
      </c>
      <c r="AD407" t="n">
        <v>29.81808</v>
      </c>
      <c r="AE407" t="n">
        <v>81.75108</v>
      </c>
      <c r="AF407" t="n">
        <v>29.0875</v>
      </c>
      <c r="AH407" t="n">
        <v>46.70872</v>
      </c>
      <c r="AJ407" t="n">
        <v>0.1595925</v>
      </c>
      <c r="AK407" t="n">
        <v>53.30557</v>
      </c>
      <c r="AL407" t="n">
        <v>37.3</v>
      </c>
      <c r="AM407" t="n">
        <v>23.88977</v>
      </c>
      <c r="AN407" t="n">
        <v>19.73625</v>
      </c>
      <c r="AP407" t="n">
        <v>14.02819</v>
      </c>
      <c r="AT407" t="n">
        <v>0.000790336</v>
      </c>
      <c r="AU407" t="n">
        <v>39.76118</v>
      </c>
      <c r="AV407" t="n">
        <v>0.002233205</v>
      </c>
      <c r="AW407" t="n">
        <v>41.43163</v>
      </c>
      <c r="AX407" t="n">
        <v>6.852608</v>
      </c>
    </row>
    <row r="408">
      <c r="A408" s="92" t="n">
        <v>30256</v>
      </c>
      <c r="B408" t="n">
        <v>47.79425</v>
      </c>
      <c r="C408" t="n">
        <v>47.40312</v>
      </c>
      <c r="D408" t="n">
        <v>1e-09</v>
      </c>
      <c r="E408" t="n">
        <v>44.71952</v>
      </c>
      <c r="F408" t="n">
        <v>63.61735</v>
      </c>
      <c r="G408" t="n">
        <v>5.889665</v>
      </c>
      <c r="I408" t="n">
        <v>1.639745</v>
      </c>
      <c r="J408" t="n">
        <v>2.277091</v>
      </c>
      <c r="L408" t="n">
        <v>55.32172</v>
      </c>
      <c r="M408" t="n">
        <v>44.5853</v>
      </c>
      <c r="O408" t="n">
        <v>27.09501</v>
      </c>
      <c r="R408" t="n">
        <v>42.99504</v>
      </c>
      <c r="S408" t="n">
        <v>47.85769</v>
      </c>
      <c r="U408" t="n">
        <v>45.56056</v>
      </c>
      <c r="V408" t="n">
        <v>37.52814</v>
      </c>
      <c r="W408" t="n">
        <v>8.340347</v>
      </c>
      <c r="X408" t="n">
        <v>3.432885</v>
      </c>
      <c r="Y408" t="n">
        <v>5.279818</v>
      </c>
      <c r="Z408" t="n">
        <v>8.343933</v>
      </c>
      <c r="AA408" t="n">
        <v>40.52855</v>
      </c>
      <c r="AB408" t="n">
        <v>5.049322</v>
      </c>
      <c r="AC408" t="n">
        <v>0.297892</v>
      </c>
      <c r="AD408" t="n">
        <v>30.23223</v>
      </c>
      <c r="AE408" t="n">
        <v>81.03843000000001</v>
      </c>
      <c r="AF408" t="n">
        <v>28.91109</v>
      </c>
      <c r="AH408" t="n">
        <v>47.15213</v>
      </c>
      <c r="AJ408" t="n">
        <v>0.1676612</v>
      </c>
      <c r="AK408" t="n">
        <v>53.30557</v>
      </c>
      <c r="AL408" t="n">
        <v>37.5</v>
      </c>
      <c r="AM408" t="n">
        <v>24.01863</v>
      </c>
      <c r="AN408" t="n">
        <v>19.88026</v>
      </c>
      <c r="AP408" t="n">
        <v>14.14363</v>
      </c>
      <c r="AT408" t="n">
        <v>0.000808372</v>
      </c>
      <c r="AU408" t="n">
        <v>40.07713</v>
      </c>
      <c r="AV408" t="n">
        <v>0.002284938</v>
      </c>
      <c r="AW408" t="n">
        <v>41.34724</v>
      </c>
      <c r="AX408" t="n">
        <v>6.944589</v>
      </c>
    </row>
    <row r="409">
      <c r="A409" s="92" t="n">
        <v>30286</v>
      </c>
      <c r="B409" t="n">
        <v>47.93342</v>
      </c>
      <c r="C409" t="n">
        <v>47.37494</v>
      </c>
      <c r="D409" t="n">
        <v>1e-09</v>
      </c>
      <c r="E409" t="n">
        <v>44.71952</v>
      </c>
      <c r="F409" t="n">
        <v>63.41338</v>
      </c>
      <c r="G409" t="n">
        <v>5.958124</v>
      </c>
      <c r="I409" t="n">
        <v>1.647903</v>
      </c>
      <c r="J409" t="n">
        <v>2.32657</v>
      </c>
      <c r="L409" t="n">
        <v>55.45219</v>
      </c>
      <c r="M409" t="n">
        <v>44.34185</v>
      </c>
      <c r="O409" t="n">
        <v>27.69793</v>
      </c>
      <c r="R409" t="n">
        <v>43.49677</v>
      </c>
      <c r="S409" t="n">
        <v>48.26201</v>
      </c>
      <c r="U409" t="n">
        <v>45.53973</v>
      </c>
      <c r="V409" t="n">
        <v>37.45909</v>
      </c>
      <c r="W409" t="n">
        <v>8.469989999999999</v>
      </c>
      <c r="X409" t="n">
        <v>3.478657</v>
      </c>
      <c r="Y409" t="n">
        <v>5.311059</v>
      </c>
      <c r="Z409" t="n">
        <v>8.362143</v>
      </c>
      <c r="AA409" t="n">
        <v>40.52855</v>
      </c>
      <c r="AB409" t="n">
        <v>5.32984</v>
      </c>
      <c r="AC409" t="n">
        <v>0.3144235</v>
      </c>
      <c r="AD409" t="n">
        <v>30.50142</v>
      </c>
      <c r="AE409" t="n">
        <v>80.93662</v>
      </c>
      <c r="AF409" t="n">
        <v>29.24262</v>
      </c>
      <c r="AH409" t="n">
        <v>47.31558</v>
      </c>
      <c r="AJ409" t="n">
        <v>0.1855652</v>
      </c>
      <c r="AK409" t="n">
        <v>53.19155</v>
      </c>
      <c r="AL409" t="n">
        <v>37.7</v>
      </c>
      <c r="AM409" t="n">
        <v>24.26393</v>
      </c>
      <c r="AN409" t="n">
        <v>20.02822</v>
      </c>
      <c r="AP409" t="n">
        <v>14.50588</v>
      </c>
      <c r="AT409" t="n">
        <v>0.00082313</v>
      </c>
      <c r="AU409" t="n">
        <v>40.19201</v>
      </c>
      <c r="AV409" t="n">
        <v>0.002364842</v>
      </c>
      <c r="AW409" t="n">
        <v>41.17848</v>
      </c>
      <c r="AX409" t="n">
        <v>6.944589</v>
      </c>
    </row>
    <row r="410">
      <c r="A410" s="92" t="n">
        <v>30317</v>
      </c>
      <c r="B410" t="n">
        <v>48.25152</v>
      </c>
      <c r="C410" t="n">
        <v>47.9526</v>
      </c>
      <c r="D410" t="n">
        <v>2e-09</v>
      </c>
      <c r="E410" t="n">
        <v>44.64051</v>
      </c>
      <c r="F410" t="n">
        <v>63.31865</v>
      </c>
      <c r="G410" t="n">
        <v>6.062912</v>
      </c>
      <c r="I410" t="n">
        <v>1.664219</v>
      </c>
      <c r="J410" t="n">
        <v>2.38788</v>
      </c>
      <c r="L410" t="n">
        <v>55.71315</v>
      </c>
      <c r="M410" t="n">
        <v>44.72441</v>
      </c>
      <c r="O410" t="n">
        <v>28.1659</v>
      </c>
      <c r="R410" t="n">
        <v>43.95992</v>
      </c>
      <c r="S410" t="n">
        <v>48.73986</v>
      </c>
      <c r="U410" t="n">
        <v>45.69871</v>
      </c>
      <c r="V410" t="n">
        <v>37.50512</v>
      </c>
      <c r="W410" t="n">
        <v>8.599633000000001</v>
      </c>
      <c r="X410" t="n">
        <v>3.545234</v>
      </c>
      <c r="Y410" t="n">
        <v>5.554743</v>
      </c>
      <c r="Z410" t="n">
        <v>8.325723</v>
      </c>
      <c r="AA410" t="n">
        <v>41.51225</v>
      </c>
      <c r="AB410" t="n">
        <v>5.540228</v>
      </c>
      <c r="AC410" t="n">
        <v>0.3410963</v>
      </c>
      <c r="AD410" t="n">
        <v>30.87414</v>
      </c>
      <c r="AE410" t="n">
        <v>81.03843000000001</v>
      </c>
      <c r="AF410" t="n">
        <v>29.46364</v>
      </c>
      <c r="AH410" t="n">
        <v>47.86158</v>
      </c>
      <c r="AJ410" t="n">
        <v>0.2057566</v>
      </c>
      <c r="AK410" t="n">
        <v>53.19155</v>
      </c>
      <c r="AL410" t="n">
        <v>38.3</v>
      </c>
      <c r="AM410" t="n">
        <v>24.52547</v>
      </c>
      <c r="AN410" t="n">
        <v>20.2363</v>
      </c>
      <c r="AP410" t="n">
        <v>15.07512</v>
      </c>
      <c r="AT410" t="n">
        <v>0.000832148</v>
      </c>
      <c r="AU410" t="n">
        <v>41.07921</v>
      </c>
      <c r="AV410" t="n">
        <v>0.002464209</v>
      </c>
      <c r="AW410" t="n">
        <v>41.26286</v>
      </c>
      <c r="AX410" t="n">
        <v>6.99058</v>
      </c>
    </row>
    <row r="411">
      <c r="A411" s="92" t="n">
        <v>30348</v>
      </c>
      <c r="B411" t="n">
        <v>48.47021</v>
      </c>
      <c r="C411" t="n">
        <v>48.22029</v>
      </c>
      <c r="D411" t="n">
        <v>2e-09</v>
      </c>
      <c r="E411" t="n">
        <v>44.87754</v>
      </c>
      <c r="F411" t="n">
        <v>63.40616</v>
      </c>
      <c r="G411" t="n">
        <v>6.070079</v>
      </c>
      <c r="I411" t="n">
        <v>1.688693</v>
      </c>
      <c r="J411" t="n">
        <v>2.412619</v>
      </c>
      <c r="L411" t="n">
        <v>55.71315</v>
      </c>
      <c r="M411" t="n">
        <v>44.82874</v>
      </c>
      <c r="O411" t="n">
        <v>28.30738</v>
      </c>
      <c r="R411" t="n">
        <v>44.15289</v>
      </c>
      <c r="S411" t="n">
        <v>49.07067</v>
      </c>
      <c r="U411" t="n">
        <v>45.79451</v>
      </c>
      <c r="V411" t="n">
        <v>37.66623</v>
      </c>
      <c r="W411" t="n">
        <v>8.729276</v>
      </c>
      <c r="X411" t="n">
        <v>3.545234</v>
      </c>
      <c r="Y411" t="n">
        <v>5.56724</v>
      </c>
      <c r="Z411" t="n">
        <v>8.413131999999999</v>
      </c>
      <c r="AA411" t="n">
        <v>41.51225</v>
      </c>
      <c r="AB411" t="n">
        <v>5.797369</v>
      </c>
      <c r="AC411" t="n">
        <v>0.3617954</v>
      </c>
      <c r="AD411" t="n">
        <v>31.28828</v>
      </c>
      <c r="AE411" t="n">
        <v>80.73300999999999</v>
      </c>
      <c r="AF411" t="n">
        <v>29.66202</v>
      </c>
      <c r="AH411" t="n">
        <v>48.00242</v>
      </c>
      <c r="AJ411" t="n">
        <v>0.2167987</v>
      </c>
      <c r="AK411" t="n">
        <v>53.30557</v>
      </c>
      <c r="AL411" t="n">
        <v>38.5</v>
      </c>
      <c r="AM411" t="n">
        <v>24.66439</v>
      </c>
      <c r="AN411" t="n">
        <v>20.36716</v>
      </c>
      <c r="AP411" t="n">
        <v>15.38264</v>
      </c>
      <c r="AT411" t="n">
        <v>0.000869861</v>
      </c>
      <c r="AU411" t="n">
        <v>41.09517</v>
      </c>
      <c r="AV411" t="n">
        <v>0.002526185</v>
      </c>
      <c r="AW411" t="n">
        <v>41.30505</v>
      </c>
      <c r="AX411" t="n">
        <v>7.128552</v>
      </c>
    </row>
    <row r="412">
      <c r="A412" s="92" t="n">
        <v>30376</v>
      </c>
      <c r="B412" t="n">
        <v>48.56961</v>
      </c>
      <c r="C412" t="n">
        <v>48.39641</v>
      </c>
      <c r="D412" t="n">
        <v>2e-09</v>
      </c>
      <c r="E412" t="n">
        <v>45.35159</v>
      </c>
      <c r="F412" t="n">
        <v>63.52715</v>
      </c>
      <c r="G412" t="n">
        <v>6.185001</v>
      </c>
      <c r="I412" t="n">
        <v>1.721325</v>
      </c>
      <c r="J412" t="n">
        <v>2.43198</v>
      </c>
      <c r="L412" t="n">
        <v>55.71315</v>
      </c>
      <c r="M412" t="n">
        <v>44.72441</v>
      </c>
      <c r="O412" t="n">
        <v>28.47933</v>
      </c>
      <c r="R412" t="n">
        <v>44.53885</v>
      </c>
      <c r="S412" t="n">
        <v>49.54851</v>
      </c>
      <c r="U412" t="n">
        <v>45.92145</v>
      </c>
      <c r="V412" t="n">
        <v>37.73528</v>
      </c>
      <c r="W412" t="n">
        <v>9.096596999999999</v>
      </c>
      <c r="X412" t="n">
        <v>3.570201</v>
      </c>
      <c r="Y412" t="n">
        <v>5.535998</v>
      </c>
      <c r="Z412" t="n">
        <v>8.44591</v>
      </c>
      <c r="AA412" t="n">
        <v>41.51225</v>
      </c>
      <c r="AB412" t="n">
        <v>6.405158</v>
      </c>
      <c r="AC412" t="n">
        <v>0.3822168</v>
      </c>
      <c r="AD412" t="n">
        <v>31.57818</v>
      </c>
      <c r="AE412" t="n">
        <v>81.14024000000001</v>
      </c>
      <c r="AF412" t="n">
        <v>29.77254</v>
      </c>
      <c r="AH412" t="n">
        <v>48.07893</v>
      </c>
      <c r="AJ412" t="n">
        <v>0.2272923</v>
      </c>
      <c r="AK412" t="n">
        <v>53.36258</v>
      </c>
      <c r="AL412" t="n">
        <v>38.9</v>
      </c>
      <c r="AM412" t="n">
        <v>24.81769</v>
      </c>
      <c r="AN412" t="n">
        <v>20.50004</v>
      </c>
      <c r="AP412" t="n">
        <v>15.74091</v>
      </c>
      <c r="AT412" t="n">
        <v>0.000912494</v>
      </c>
      <c r="AU412" t="n">
        <v>41.24836</v>
      </c>
      <c r="AV412" t="n">
        <v>0.002577406</v>
      </c>
      <c r="AW412" t="n">
        <v>41.30505</v>
      </c>
      <c r="AX412" t="n">
        <v>7.174542</v>
      </c>
    </row>
    <row r="413">
      <c r="A413" s="92" t="n">
        <v>30407</v>
      </c>
      <c r="B413" t="n">
        <v>48.52985</v>
      </c>
      <c r="C413" t="n">
        <v>48.55139</v>
      </c>
      <c r="D413" t="n">
        <v>2e-09</v>
      </c>
      <c r="E413" t="n">
        <v>45.35159</v>
      </c>
      <c r="F413" t="n">
        <v>63.72573</v>
      </c>
      <c r="G413" t="n">
        <v>6.368875</v>
      </c>
      <c r="I413" t="n">
        <v>1.77843</v>
      </c>
      <c r="J413" t="n">
        <v>2.471778</v>
      </c>
      <c r="L413" t="n">
        <v>55.84362</v>
      </c>
      <c r="M413" t="n">
        <v>45.03741</v>
      </c>
      <c r="O413" t="n">
        <v>28.87058</v>
      </c>
      <c r="R413" t="n">
        <v>44.8862</v>
      </c>
      <c r="S413" t="n">
        <v>50.17338</v>
      </c>
      <c r="U413" t="n">
        <v>46.25133</v>
      </c>
      <c r="V413" t="n">
        <v>38.26466</v>
      </c>
      <c r="W413" t="n">
        <v>9.226239</v>
      </c>
      <c r="X413" t="n">
        <v>3.56604</v>
      </c>
      <c r="Y413" t="n">
        <v>5.667212</v>
      </c>
      <c r="Z413" t="n">
        <v>8.547888</v>
      </c>
      <c r="AA413" t="n">
        <v>42.69269</v>
      </c>
      <c r="AB413" t="n">
        <v>6.849311</v>
      </c>
      <c r="AC413" t="n">
        <v>0.4329228</v>
      </c>
      <c r="AD413" t="n">
        <v>31.90949</v>
      </c>
      <c r="AE413" t="n">
        <v>81.54747</v>
      </c>
      <c r="AF413" t="n">
        <v>29.68466</v>
      </c>
      <c r="AH413" t="n">
        <v>48.22847</v>
      </c>
      <c r="AJ413" t="n">
        <v>0.2416826</v>
      </c>
      <c r="AK413" t="n">
        <v>53.59063</v>
      </c>
      <c r="AL413" t="n">
        <v>39</v>
      </c>
      <c r="AM413" t="n">
        <v>25.08816</v>
      </c>
      <c r="AN413" t="n">
        <v>20.69015</v>
      </c>
      <c r="AP413" t="n">
        <v>16.07828</v>
      </c>
      <c r="AT413" t="n">
        <v>0.000946107</v>
      </c>
      <c r="AU413" t="n">
        <v>41.57387</v>
      </c>
      <c r="AV413" t="n">
        <v>0.002615309</v>
      </c>
      <c r="AW413" t="n">
        <v>41.60039</v>
      </c>
      <c r="AX413" t="n">
        <v>7.266524</v>
      </c>
    </row>
    <row r="414">
      <c r="A414" s="92" t="n">
        <v>30437</v>
      </c>
      <c r="B414" t="n">
        <v>48.39069</v>
      </c>
      <c r="C414" t="n">
        <v>48.805</v>
      </c>
      <c r="D414" t="n">
        <v>2e-09</v>
      </c>
      <c r="E414" t="n">
        <v>45.4306</v>
      </c>
      <c r="F414" t="n">
        <v>63.78036</v>
      </c>
      <c r="G414" t="n">
        <v>6.456611</v>
      </c>
      <c r="I414" t="n">
        <v>1.81922</v>
      </c>
      <c r="J414" t="n">
        <v>2.534164</v>
      </c>
      <c r="L414" t="n">
        <v>55.9741</v>
      </c>
      <c r="M414" t="n">
        <v>45.5243</v>
      </c>
      <c r="O414" t="n">
        <v>28.99029</v>
      </c>
      <c r="R414" t="n">
        <v>45.61951</v>
      </c>
      <c r="S414" t="n">
        <v>50.5042</v>
      </c>
      <c r="U414" t="n">
        <v>46.53428</v>
      </c>
      <c r="V414" t="n">
        <v>38.42577</v>
      </c>
      <c r="W414" t="n">
        <v>9.377489000000001</v>
      </c>
      <c r="X414" t="n">
        <v>3.557718</v>
      </c>
      <c r="Y414" t="n">
        <v>5.717199</v>
      </c>
      <c r="Z414" t="n">
        <v>8.76641</v>
      </c>
      <c r="AA414" t="n">
        <v>42.69269</v>
      </c>
      <c r="AB414" t="n">
        <v>7.176582</v>
      </c>
      <c r="AC414" t="n">
        <v>0.4568171</v>
      </c>
      <c r="AD414" t="n">
        <v>32.17868</v>
      </c>
      <c r="AE414" t="n">
        <v>82.36192</v>
      </c>
      <c r="AF414" t="n">
        <v>29.77254</v>
      </c>
      <c r="AH414" t="n">
        <v>48.47191</v>
      </c>
      <c r="AJ414" t="n">
        <v>0.2521647</v>
      </c>
      <c r="AK414" t="n">
        <v>53.64764</v>
      </c>
      <c r="AL414" t="n">
        <v>39.1</v>
      </c>
      <c r="AM414" t="n">
        <v>25.28828</v>
      </c>
      <c r="AN414" t="n">
        <v>20.79387</v>
      </c>
      <c r="AP414" t="n">
        <v>16.04941</v>
      </c>
      <c r="AT414" t="n">
        <v>0.0009780819999999999</v>
      </c>
      <c r="AU414" t="n">
        <v>41.83556</v>
      </c>
      <c r="AV414" t="n">
        <v>0.002632724</v>
      </c>
      <c r="AW414" t="n">
        <v>41.85354</v>
      </c>
      <c r="AX414" t="n">
        <v>7.312514</v>
      </c>
    </row>
    <row r="415">
      <c r="A415" s="92" t="n">
        <v>30468</v>
      </c>
      <c r="B415" t="n">
        <v>48.62926</v>
      </c>
      <c r="C415" t="n">
        <v>49.12201</v>
      </c>
      <c r="D415" t="n">
        <v>2e-09</v>
      </c>
      <c r="E415" t="n">
        <v>45.90466</v>
      </c>
      <c r="F415" t="n">
        <v>64.04389</v>
      </c>
      <c r="G415" t="n">
        <v>6.557198</v>
      </c>
      <c r="I415" t="n">
        <v>1.835536</v>
      </c>
      <c r="J415" t="n">
        <v>2.555677</v>
      </c>
      <c r="L415" t="n">
        <v>56.16981</v>
      </c>
      <c r="M415" t="n">
        <v>45.62863</v>
      </c>
      <c r="O415" t="n">
        <v>29.16007</v>
      </c>
      <c r="R415" t="n">
        <v>46.12125</v>
      </c>
      <c r="S415" t="n">
        <v>50.79825</v>
      </c>
      <c r="U415" t="n">
        <v>46.65128</v>
      </c>
      <c r="V415" t="n">
        <v>38.51784</v>
      </c>
      <c r="W415" t="n">
        <v>9.442310000000001</v>
      </c>
      <c r="X415" t="n">
        <v>3.570201</v>
      </c>
      <c r="Y415" t="n">
        <v>5.804675</v>
      </c>
      <c r="Z415" t="n">
        <v>8.966722000000001</v>
      </c>
      <c r="AA415" t="n">
        <v>42.69269</v>
      </c>
      <c r="AB415" t="n">
        <v>7.8545</v>
      </c>
      <c r="AC415" t="n">
        <v>0.473256</v>
      </c>
      <c r="AD415" t="n">
        <v>32.36505</v>
      </c>
      <c r="AE415" t="n">
        <v>81.85289</v>
      </c>
      <c r="AF415" t="n">
        <v>29.75057</v>
      </c>
      <c r="AH415" t="n">
        <v>48.60754</v>
      </c>
      <c r="AJ415" t="n">
        <v>0.2617136</v>
      </c>
      <c r="AK415" t="n">
        <v>53.70465</v>
      </c>
      <c r="AL415" t="n">
        <v>39.3</v>
      </c>
      <c r="AM415" t="n">
        <v>25.42106</v>
      </c>
      <c r="AN415" t="n">
        <v>20.90413</v>
      </c>
      <c r="AP415" t="n">
        <v>16.32409</v>
      </c>
      <c r="AT415" t="n">
        <v>0.001008416</v>
      </c>
      <c r="AU415" t="n">
        <v>42.06215</v>
      </c>
      <c r="AV415" t="n">
        <v>0.002667553</v>
      </c>
      <c r="AW415" t="n">
        <v>41.98011</v>
      </c>
      <c r="AX415" t="n">
        <v>7.312514</v>
      </c>
    </row>
    <row r="416">
      <c r="A416" s="92" t="n">
        <v>30498</v>
      </c>
      <c r="B416" t="n">
        <v>48.88771</v>
      </c>
      <c r="C416" t="n">
        <v>49.58695</v>
      </c>
      <c r="D416" t="n">
        <v>2e-09</v>
      </c>
      <c r="E416" t="n">
        <v>46.14169</v>
      </c>
      <c r="F416" t="n">
        <v>63.91909</v>
      </c>
      <c r="G416" t="n">
        <v>6.682747</v>
      </c>
      <c r="I416" t="n">
        <v>1.851852</v>
      </c>
      <c r="J416" t="n">
        <v>2.511576</v>
      </c>
      <c r="L416" t="n">
        <v>56.36552</v>
      </c>
      <c r="M416" t="n">
        <v>45.66341</v>
      </c>
      <c r="O416" t="n">
        <v>29.264</v>
      </c>
      <c r="R416" t="n">
        <v>46.31422</v>
      </c>
      <c r="S416" t="n">
        <v>51.23933</v>
      </c>
      <c r="U416" t="n">
        <v>46.82723</v>
      </c>
      <c r="V416" t="n">
        <v>38.72499</v>
      </c>
      <c r="W416" t="n">
        <v>9.355881999999999</v>
      </c>
      <c r="X416" t="n">
        <v>3.574362</v>
      </c>
      <c r="Y416" t="n">
        <v>5.854662</v>
      </c>
      <c r="Z416" t="n">
        <v>9.101478999999999</v>
      </c>
      <c r="AA416" t="n">
        <v>43.87313</v>
      </c>
      <c r="AB416" t="n">
        <v>8.158395000000001</v>
      </c>
      <c r="AC416" t="n">
        <v>0.5028461</v>
      </c>
      <c r="AD416" t="n">
        <v>32.63424</v>
      </c>
      <c r="AE416" t="n">
        <v>81.54747</v>
      </c>
      <c r="AF416" t="n">
        <v>29.75057</v>
      </c>
      <c r="AH416" t="n">
        <v>49.33785</v>
      </c>
      <c r="AJ416" t="n">
        <v>0.2746533</v>
      </c>
      <c r="AK416" t="n">
        <v>53.98971</v>
      </c>
      <c r="AL416" t="n">
        <v>39.6</v>
      </c>
      <c r="AM416" t="n">
        <v>25.6042</v>
      </c>
      <c r="AN416" t="n">
        <v>21.03142</v>
      </c>
      <c r="AP416" t="n">
        <v>16.66146</v>
      </c>
      <c r="AT416" t="n">
        <v>0.001010056</v>
      </c>
      <c r="AU416" t="n">
        <v>42.39724</v>
      </c>
      <c r="AV416" t="n">
        <v>0.002695212</v>
      </c>
      <c r="AW416" t="n">
        <v>42.14888</v>
      </c>
      <c r="AX416" t="n">
        <v>7.404496</v>
      </c>
    </row>
    <row r="417">
      <c r="A417" s="92" t="n">
        <v>30529</v>
      </c>
      <c r="B417" t="n">
        <v>49.16605</v>
      </c>
      <c r="C417" t="n">
        <v>50.05894</v>
      </c>
      <c r="D417" t="n">
        <v>3e-09</v>
      </c>
      <c r="E417" t="n">
        <v>46.37872</v>
      </c>
      <c r="F417" t="n">
        <v>64.0912</v>
      </c>
      <c r="G417" t="n">
        <v>6.86242</v>
      </c>
      <c r="I417" t="n">
        <v>1.851852</v>
      </c>
      <c r="J417" t="n">
        <v>2.502971</v>
      </c>
      <c r="L417" t="n">
        <v>56.56124</v>
      </c>
      <c r="M417" t="n">
        <v>45.87208</v>
      </c>
      <c r="O417" t="n">
        <v>29.65688</v>
      </c>
      <c r="R417" t="n">
        <v>46.35282</v>
      </c>
      <c r="S417" t="n">
        <v>51.53339</v>
      </c>
      <c r="U417" t="n">
        <v>46.96265</v>
      </c>
      <c r="V417" t="n">
        <v>38.89761</v>
      </c>
      <c r="W417" t="n">
        <v>9.334275</v>
      </c>
      <c r="X417" t="n">
        <v>3.578523</v>
      </c>
      <c r="Y417" t="n">
        <v>5.848413</v>
      </c>
      <c r="Z417" t="n">
        <v>9.236235000000001</v>
      </c>
      <c r="AA417" t="n">
        <v>43.87313</v>
      </c>
      <c r="AB417" t="n">
        <v>8.696054</v>
      </c>
      <c r="AC417" t="n">
        <v>0.5388728</v>
      </c>
      <c r="AD417" t="n">
        <v>32.79989</v>
      </c>
      <c r="AE417" t="n">
        <v>81.34386000000001</v>
      </c>
      <c r="AF417" t="n">
        <v>29.77254</v>
      </c>
      <c r="AH417" t="n">
        <v>49.69257</v>
      </c>
      <c r="AJ417" t="n">
        <v>0.2853138</v>
      </c>
      <c r="AK417" t="n">
        <v>54.16074</v>
      </c>
      <c r="AL417" t="n">
        <v>39.5</v>
      </c>
      <c r="AM417" t="n">
        <v>25.76409</v>
      </c>
      <c r="AN417" t="n">
        <v>21.1695</v>
      </c>
      <c r="AP417" t="n">
        <v>17.17497</v>
      </c>
      <c r="AT417" t="n">
        <v>0.001078923</v>
      </c>
      <c r="AU417" t="n">
        <v>42.61426</v>
      </c>
      <c r="AV417" t="n">
        <v>0.002758213</v>
      </c>
      <c r="AW417" t="n">
        <v>42.27545</v>
      </c>
      <c r="AX417" t="n">
        <v>7.496477</v>
      </c>
    </row>
    <row r="418">
      <c r="A418" s="92" t="n">
        <v>30560</v>
      </c>
      <c r="B418" t="n">
        <v>49.22569</v>
      </c>
      <c r="C418" t="n">
        <v>50.41117</v>
      </c>
      <c r="D418" t="n">
        <v>3e-09</v>
      </c>
      <c r="E418" t="n">
        <v>46.37872</v>
      </c>
      <c r="F418" t="n">
        <v>64.1708</v>
      </c>
      <c r="G418" t="n">
        <v>7.022569</v>
      </c>
      <c r="I418" t="n">
        <v>1.86001</v>
      </c>
      <c r="J418" t="n">
        <v>2.50082</v>
      </c>
      <c r="L418" t="n">
        <v>56.69172</v>
      </c>
      <c r="M418" t="n">
        <v>46.32419</v>
      </c>
      <c r="O418" t="n">
        <v>29.89413</v>
      </c>
      <c r="R418" t="n">
        <v>46.70017</v>
      </c>
      <c r="S418" t="n">
        <v>51.93772</v>
      </c>
      <c r="U418" t="n">
        <v>47.25461</v>
      </c>
      <c r="V418" t="n">
        <v>39.07023</v>
      </c>
      <c r="W418" t="n">
        <v>9.636774000000001</v>
      </c>
      <c r="X418" t="n">
        <v>3.620134</v>
      </c>
      <c r="Y418" t="n">
        <v>5.8984</v>
      </c>
      <c r="Z418" t="n">
        <v>9.320002000000001</v>
      </c>
      <c r="AA418" t="n">
        <v>43.87313</v>
      </c>
      <c r="AB418" t="n">
        <v>8.766184000000001</v>
      </c>
      <c r="AC418" t="n">
        <v>0.5873098</v>
      </c>
      <c r="AD418" t="n">
        <v>33.23474</v>
      </c>
      <c r="AE418" t="n">
        <v>82.26012</v>
      </c>
      <c r="AF418" t="n">
        <v>29.81714</v>
      </c>
      <c r="AH418" t="n">
        <v>50.17075</v>
      </c>
      <c r="AJ418" t="n">
        <v>0.2940948</v>
      </c>
      <c r="AK418" t="n">
        <v>54.38879</v>
      </c>
      <c r="AL418" t="n">
        <v>39.9</v>
      </c>
      <c r="AM418" t="n">
        <v>25.98799</v>
      </c>
      <c r="AN418" t="n">
        <v>21.35769</v>
      </c>
      <c r="AP418" t="n">
        <v>17.74024</v>
      </c>
      <c r="AT418" t="n">
        <v>0.001122375</v>
      </c>
      <c r="AU418" t="n">
        <v>42.92382</v>
      </c>
      <c r="AV418" t="n">
        <v>0.002847337</v>
      </c>
      <c r="AW418" t="n">
        <v>42.4864</v>
      </c>
      <c r="AX418" t="n">
        <v>7.542468</v>
      </c>
    </row>
    <row r="419">
      <c r="A419" s="92" t="n">
        <v>30590</v>
      </c>
      <c r="B419" t="n">
        <v>49.50403</v>
      </c>
      <c r="C419" t="n">
        <v>50.41821</v>
      </c>
      <c r="D419" t="n">
        <v>3e-09</v>
      </c>
      <c r="E419" t="n">
        <v>46.69476</v>
      </c>
      <c r="F419" t="n">
        <v>64.32446</v>
      </c>
      <c r="G419" t="n">
        <v>7.192603</v>
      </c>
      <c r="I419" t="n">
        <v>1.892642</v>
      </c>
      <c r="J419" t="n">
        <v>2.525559</v>
      </c>
      <c r="L419" t="n">
        <v>56.69172</v>
      </c>
      <c r="M419" t="n">
        <v>46.60242</v>
      </c>
      <c r="O419" t="n">
        <v>30.29953</v>
      </c>
      <c r="R419" t="n">
        <v>46.81596</v>
      </c>
      <c r="S419" t="n">
        <v>52.34205</v>
      </c>
      <c r="U419" t="n">
        <v>47.49089</v>
      </c>
      <c r="V419" t="n">
        <v>39.20833</v>
      </c>
      <c r="W419" t="n">
        <v>9.874453000000001</v>
      </c>
      <c r="X419" t="n">
        <v>3.628456</v>
      </c>
      <c r="Y419" t="n">
        <v>5.8984</v>
      </c>
      <c r="Z419" t="n">
        <v>9.385558</v>
      </c>
      <c r="AA419" t="n">
        <v>44.75846</v>
      </c>
      <c r="AB419" t="n">
        <v>9.046701000000001</v>
      </c>
      <c r="AC419" t="n">
        <v>0.7110417</v>
      </c>
      <c r="AD419" t="n">
        <v>33.73171</v>
      </c>
      <c r="AE419" t="n">
        <v>82.97275999999999</v>
      </c>
      <c r="AF419" t="n">
        <v>29.79517</v>
      </c>
      <c r="AH419" t="n">
        <v>50.62807</v>
      </c>
      <c r="AJ419" t="n">
        <v>0.3038532</v>
      </c>
      <c r="AK419" t="n">
        <v>54.61683</v>
      </c>
      <c r="AL419" t="n">
        <v>40.1</v>
      </c>
      <c r="AM419" t="n">
        <v>26.21924</v>
      </c>
      <c r="AN419" t="n">
        <v>21.56329</v>
      </c>
      <c r="AP419" t="n">
        <v>18.0587</v>
      </c>
      <c r="AT419" t="n">
        <v>0.001176485</v>
      </c>
      <c r="AU419" t="n">
        <v>43.27487</v>
      </c>
      <c r="AV419" t="n">
        <v>0.002998437</v>
      </c>
      <c r="AW419" t="n">
        <v>42.61298</v>
      </c>
      <c r="AX419" t="n">
        <v>7.588459</v>
      </c>
    </row>
    <row r="420">
      <c r="A420" s="92" t="n">
        <v>30621</v>
      </c>
      <c r="B420" t="n">
        <v>49.58355</v>
      </c>
      <c r="C420" t="n">
        <v>50.67182</v>
      </c>
      <c r="D420" t="n">
        <v>3e-09</v>
      </c>
      <c r="E420" t="n">
        <v>46.69476</v>
      </c>
      <c r="F420" t="n">
        <v>64.73204</v>
      </c>
      <c r="G420" t="n">
        <v>7.288</v>
      </c>
      <c r="I420" t="n">
        <v>1.917115</v>
      </c>
      <c r="J420" t="n">
        <v>2.541694</v>
      </c>
      <c r="L420" t="n">
        <v>56.82219</v>
      </c>
      <c r="M420" t="n">
        <v>47.01975</v>
      </c>
      <c r="O420" t="n">
        <v>30.60806</v>
      </c>
      <c r="R420" t="n">
        <v>47.24051</v>
      </c>
      <c r="S420" t="n">
        <v>52.56259</v>
      </c>
      <c r="U420" t="n">
        <v>47.58912</v>
      </c>
      <c r="V420" t="n">
        <v>39.34643</v>
      </c>
      <c r="W420" t="n">
        <v>10.0041</v>
      </c>
      <c r="X420" t="n">
        <v>3.628456</v>
      </c>
      <c r="Y420" t="n">
        <v>5.910896</v>
      </c>
      <c r="Z420" t="n">
        <v>9.436546999999999</v>
      </c>
      <c r="AA420" t="n">
        <v>44.75846</v>
      </c>
      <c r="AB420" t="n">
        <v>9.280466000000001</v>
      </c>
      <c r="AC420" t="n">
        <v>0.8272718999999999</v>
      </c>
      <c r="AD420" t="n">
        <v>34.10443</v>
      </c>
      <c r="AE420" t="n">
        <v>82.56554</v>
      </c>
      <c r="AF420" t="n">
        <v>29.7286</v>
      </c>
      <c r="AH420" t="n">
        <v>50.88194</v>
      </c>
      <c r="AJ420" t="n">
        <v>0.3216983</v>
      </c>
      <c r="AK420" t="n">
        <v>54.78786</v>
      </c>
      <c r="AL420" t="n">
        <v>40.2</v>
      </c>
      <c r="AM420" t="n">
        <v>26.41795</v>
      </c>
      <c r="AN420" t="n">
        <v>21.73132</v>
      </c>
      <c r="AP420" t="n">
        <v>18.46374</v>
      </c>
      <c r="AT420" t="n">
        <v>0.001240434</v>
      </c>
      <c r="AU420" t="n">
        <v>43.53656</v>
      </c>
      <c r="AV420" t="n">
        <v>0.003110609</v>
      </c>
      <c r="AW420" t="n">
        <v>42.69736</v>
      </c>
      <c r="AX420" t="n">
        <v>7.68044</v>
      </c>
    </row>
    <row r="421">
      <c r="A421" s="92" t="n">
        <v>30651</v>
      </c>
      <c r="B421" t="n">
        <v>49.76249</v>
      </c>
      <c r="C421" t="n">
        <v>50.7634</v>
      </c>
      <c r="D421" t="n">
        <v>4e-09</v>
      </c>
      <c r="E421" t="n">
        <v>46.77377</v>
      </c>
      <c r="F421" t="n">
        <v>64.76813</v>
      </c>
      <c r="G421" t="n">
        <v>7.333969</v>
      </c>
      <c r="I421" t="n">
        <v>1.925273</v>
      </c>
      <c r="J421" t="n">
        <v>2.576114</v>
      </c>
      <c r="L421" t="n">
        <v>56.95266</v>
      </c>
      <c r="M421" t="n">
        <v>47.01975</v>
      </c>
      <c r="O421" t="n">
        <v>31.08311</v>
      </c>
      <c r="R421" t="n">
        <v>47.20191</v>
      </c>
      <c r="S421" t="n">
        <v>52.74638</v>
      </c>
      <c r="U421" t="n">
        <v>47.64313</v>
      </c>
      <c r="V421" t="n">
        <v>39.45</v>
      </c>
      <c r="W421" t="n">
        <v>10.17695</v>
      </c>
      <c r="X421" t="n">
        <v>3.661744</v>
      </c>
      <c r="Y421" t="n">
        <v>5.948386</v>
      </c>
      <c r="Z421" t="n">
        <v>9.403769</v>
      </c>
      <c r="AA421" t="n">
        <v>44.75846</v>
      </c>
      <c r="AB421" t="n">
        <v>9.397347999999999</v>
      </c>
      <c r="AC421" t="n">
        <v>0.9140045999999999</v>
      </c>
      <c r="AD421" t="n">
        <v>34.24939</v>
      </c>
      <c r="AE421" t="n">
        <v>82.26012</v>
      </c>
      <c r="AF421" t="n">
        <v>29.81714</v>
      </c>
      <c r="AH421" t="n">
        <v>51.11147</v>
      </c>
      <c r="AJ421" t="n">
        <v>0.3354616</v>
      </c>
      <c r="AK421" t="n">
        <v>54.78786</v>
      </c>
      <c r="AL421" t="n">
        <v>40.4</v>
      </c>
      <c r="AM421" t="n">
        <v>26.58286</v>
      </c>
      <c r="AN421" t="n">
        <v>21.88815</v>
      </c>
      <c r="AP421" t="n">
        <v>19.1763</v>
      </c>
      <c r="AT421" t="n">
        <v>0.00131668</v>
      </c>
      <c r="AU421" t="n">
        <v>43.8908</v>
      </c>
      <c r="AV421" t="n">
        <v>0.003241221</v>
      </c>
      <c r="AW421" t="n">
        <v>42.73955</v>
      </c>
      <c r="AX421" t="n">
        <v>7.68044</v>
      </c>
    </row>
    <row r="422">
      <c r="A422" s="92" t="n">
        <v>30682</v>
      </c>
      <c r="B422" t="n">
        <v>50.97523</v>
      </c>
      <c r="C422" t="n">
        <v>51.23539</v>
      </c>
      <c r="D422" t="n">
        <v>4e-09</v>
      </c>
      <c r="E422" t="n">
        <v>47.08981</v>
      </c>
      <c r="F422" t="n">
        <v>65.00078999999999</v>
      </c>
      <c r="G422" t="n">
        <v>7.33916</v>
      </c>
      <c r="I422" t="n">
        <v>1.949747</v>
      </c>
      <c r="J422" t="n">
        <v>2.614836</v>
      </c>
      <c r="L422" t="n">
        <v>57.14838</v>
      </c>
      <c r="M422" t="n">
        <v>47.15886</v>
      </c>
      <c r="O422" t="n">
        <v>31.56468</v>
      </c>
      <c r="R422" t="n">
        <v>47.58786</v>
      </c>
      <c r="S422" t="n">
        <v>53.11395</v>
      </c>
      <c r="U422" t="n">
        <v>47.90418</v>
      </c>
      <c r="V422" t="n">
        <v>39.42698</v>
      </c>
      <c r="W422" t="n">
        <v>10.3282</v>
      </c>
      <c r="X422" t="n">
        <v>3.753288</v>
      </c>
      <c r="Y422" t="n">
        <v>6.154581</v>
      </c>
      <c r="Z422" t="n">
        <v>9.472968</v>
      </c>
      <c r="AA422" t="n">
        <v>45.84054</v>
      </c>
      <c r="AB422" t="n">
        <v>9.467478</v>
      </c>
      <c r="AC422" t="n">
        <v>1.050378</v>
      </c>
      <c r="AD422" t="n">
        <v>34.66352</v>
      </c>
      <c r="AE422" t="n">
        <v>82.56554</v>
      </c>
      <c r="AF422" t="n">
        <v>29.99356</v>
      </c>
      <c r="AH422" t="n">
        <v>51.40707</v>
      </c>
      <c r="AJ422" t="n">
        <v>0.3567729</v>
      </c>
      <c r="AK422" t="n">
        <v>54.9589</v>
      </c>
      <c r="AL422" t="n">
        <v>40.7</v>
      </c>
      <c r="AM422" t="n">
        <v>26.82696</v>
      </c>
      <c r="AN422" t="n">
        <v>22.08097</v>
      </c>
      <c r="AP422" t="n">
        <v>19.58234</v>
      </c>
      <c r="AT422" t="n">
        <v>0.001347834</v>
      </c>
      <c r="AU422" t="n">
        <v>44.49716</v>
      </c>
      <c r="AV422" t="n">
        <v>0.003352881</v>
      </c>
      <c r="AW422" t="n">
        <v>42.99269</v>
      </c>
      <c r="AX422" t="n">
        <v>7.72643</v>
      </c>
    </row>
    <row r="423">
      <c r="A423" s="92" t="n">
        <v>30713</v>
      </c>
      <c r="B423" t="n">
        <v>51.21381</v>
      </c>
      <c r="C423" t="n">
        <v>51.62284</v>
      </c>
      <c r="D423" t="n">
        <v>4e-09</v>
      </c>
      <c r="E423" t="n">
        <v>47.32684</v>
      </c>
      <c r="F423" t="n">
        <v>65.23545</v>
      </c>
      <c r="G423" t="n">
        <v>7.327548</v>
      </c>
      <c r="I423" t="n">
        <v>1.974221</v>
      </c>
      <c r="J423" t="n">
        <v>2.635273</v>
      </c>
      <c r="L423" t="n">
        <v>57.34409</v>
      </c>
      <c r="M423" t="n">
        <v>47.68053</v>
      </c>
      <c r="O423" t="n">
        <v>31.6844</v>
      </c>
      <c r="R423" t="n">
        <v>47.78084</v>
      </c>
      <c r="S423" t="n">
        <v>53.44476</v>
      </c>
      <c r="U423" t="n">
        <v>48.16819</v>
      </c>
      <c r="V423" t="n">
        <v>39.5881</v>
      </c>
      <c r="W423" t="n">
        <v>10.39302</v>
      </c>
      <c r="X423" t="n">
        <v>3.836509</v>
      </c>
      <c r="Y423" t="n">
        <v>6.254553</v>
      </c>
      <c r="Z423" t="n">
        <v>9.436546999999999</v>
      </c>
      <c r="AA423" t="n">
        <v>45.84054</v>
      </c>
      <c r="AB423" t="n">
        <v>9.537607</v>
      </c>
      <c r="AC423" t="n">
        <v>1.176101</v>
      </c>
      <c r="AD423" t="n">
        <v>35.07766</v>
      </c>
      <c r="AE423" t="n">
        <v>83.07458</v>
      </c>
      <c r="AF423" t="n">
        <v>30.25918</v>
      </c>
      <c r="AH423" t="n">
        <v>51.774</v>
      </c>
      <c r="AJ423" t="n">
        <v>0.375602</v>
      </c>
      <c r="AK423" t="n">
        <v>55.24395</v>
      </c>
      <c r="AL423" t="n">
        <v>40.9</v>
      </c>
      <c r="AM423" t="n">
        <v>27.03461</v>
      </c>
      <c r="AN423" t="n">
        <v>22.21918</v>
      </c>
      <c r="AP423" t="n">
        <v>19.89084</v>
      </c>
      <c r="AT423" t="n">
        <v>0.001356852</v>
      </c>
      <c r="AU423" t="n">
        <v>44.31525</v>
      </c>
      <c r="AV423" t="n">
        <v>0.003404101</v>
      </c>
      <c r="AW423" t="n">
        <v>43.20365</v>
      </c>
      <c r="AX423" t="n">
        <v>7.818412</v>
      </c>
    </row>
    <row r="424">
      <c r="A424" s="92" t="n">
        <v>30742</v>
      </c>
      <c r="B424" t="n">
        <v>51.39274</v>
      </c>
      <c r="C424" t="n">
        <v>51.84122</v>
      </c>
      <c r="D424" t="n">
        <v>5e-09</v>
      </c>
      <c r="E424" t="n">
        <v>47.40585</v>
      </c>
      <c r="F424" t="n">
        <v>65.65967000000001</v>
      </c>
      <c r="G424" t="n">
        <v>7.513395</v>
      </c>
      <c r="I424" t="n">
        <v>2.015011</v>
      </c>
      <c r="J424" t="n">
        <v>2.668617</v>
      </c>
      <c r="L424" t="n">
        <v>57.40933</v>
      </c>
      <c r="M424" t="n">
        <v>47.85442</v>
      </c>
      <c r="O424" t="n">
        <v>31.9396</v>
      </c>
      <c r="R424" t="n">
        <v>48.1282</v>
      </c>
      <c r="S424" t="n">
        <v>53.81233</v>
      </c>
      <c r="U424" t="n">
        <v>48.29407</v>
      </c>
      <c r="V424" t="n">
        <v>39.71469</v>
      </c>
      <c r="W424" t="n">
        <v>10.69552</v>
      </c>
      <c r="X424" t="n">
        <v>3.882281</v>
      </c>
      <c r="Y424" t="n">
        <v>6.26705</v>
      </c>
      <c r="Z424" t="n">
        <v>9.385558</v>
      </c>
      <c r="AA424" t="n">
        <v>45.84054</v>
      </c>
      <c r="AB424" t="n">
        <v>9.631114</v>
      </c>
      <c r="AC424" t="n">
        <v>1.301547</v>
      </c>
      <c r="AD424" t="n">
        <v>35.32615</v>
      </c>
      <c r="AE424" t="n">
        <v>83.17637999999999</v>
      </c>
      <c r="AF424" t="n">
        <v>30.36969</v>
      </c>
      <c r="AH424" t="n">
        <v>51.96271</v>
      </c>
      <c r="AJ424" t="n">
        <v>0.3916559</v>
      </c>
      <c r="AK424" t="n">
        <v>55.472</v>
      </c>
      <c r="AL424" t="n">
        <v>41.4</v>
      </c>
      <c r="AM424" t="n">
        <v>27.19645</v>
      </c>
      <c r="AN424" t="n">
        <v>22.38263</v>
      </c>
      <c r="AP424" t="n">
        <v>20.61932</v>
      </c>
      <c r="AT424" t="n">
        <v>0.00137079</v>
      </c>
      <c r="AU424" t="n">
        <v>44.95353</v>
      </c>
      <c r="AV424" t="n">
        <v>0.003509615</v>
      </c>
      <c r="AW424" t="n">
        <v>43.28803</v>
      </c>
      <c r="AX424" t="n">
        <v>7.910393</v>
      </c>
    </row>
    <row r="425">
      <c r="A425" s="92" t="n">
        <v>30773</v>
      </c>
      <c r="B425" t="n">
        <v>51.39274</v>
      </c>
      <c r="C425" t="n">
        <v>52.18641</v>
      </c>
      <c r="D425" t="n">
        <v>5e-09</v>
      </c>
      <c r="E425" t="n">
        <v>47.56387</v>
      </c>
      <c r="F425" t="n">
        <v>65.7563</v>
      </c>
      <c r="G425" t="n">
        <v>7.625599</v>
      </c>
      <c r="I425" t="n">
        <v>2.0558</v>
      </c>
      <c r="J425" t="n">
        <v>2.701961</v>
      </c>
      <c r="L425" t="n">
        <v>57.47457</v>
      </c>
      <c r="M425" t="n">
        <v>47.99353</v>
      </c>
      <c r="O425" t="n">
        <v>32.09033</v>
      </c>
      <c r="R425" t="n">
        <v>48.47555</v>
      </c>
      <c r="S425" t="n">
        <v>54.14314</v>
      </c>
      <c r="U425" t="n">
        <v>48.53236</v>
      </c>
      <c r="V425" t="n">
        <v>40.24406</v>
      </c>
      <c r="W425" t="n">
        <v>10.88999</v>
      </c>
      <c r="X425" t="n">
        <v>3.898926</v>
      </c>
      <c r="Y425" t="n">
        <v>6.354526</v>
      </c>
      <c r="Z425" t="n">
        <v>9.403769</v>
      </c>
      <c r="AA425" t="n">
        <v>46.82424</v>
      </c>
      <c r="AB425" t="n">
        <v>9.771373000000001</v>
      </c>
      <c r="AC425" t="n">
        <v>1.569663</v>
      </c>
      <c r="AD425" t="n">
        <v>35.59534</v>
      </c>
      <c r="AE425" t="n">
        <v>83.38</v>
      </c>
      <c r="AF425" t="n">
        <v>30.45823</v>
      </c>
      <c r="AH425" t="n">
        <v>52.14618</v>
      </c>
      <c r="AJ425" t="n">
        <v>0.4085988</v>
      </c>
      <c r="AK425" t="n">
        <v>55.64304</v>
      </c>
      <c r="AL425" t="n">
        <v>41.6</v>
      </c>
      <c r="AM425" t="n">
        <v>27.41966</v>
      </c>
      <c r="AN425" t="n">
        <v>22.5881</v>
      </c>
      <c r="AP425" t="n">
        <v>21.00944</v>
      </c>
      <c r="AT425" t="n">
        <v>0.001392926</v>
      </c>
      <c r="AU425" t="n">
        <v>45.24394</v>
      </c>
      <c r="AV425" t="n">
        <v>0.003728326</v>
      </c>
      <c r="AW425" t="n">
        <v>43.49899</v>
      </c>
      <c r="AX425" t="n">
        <v>8.048365</v>
      </c>
    </row>
    <row r="426">
      <c r="A426" s="92" t="n">
        <v>30803</v>
      </c>
      <c r="B426" t="n">
        <v>51.25357</v>
      </c>
      <c r="C426" t="n">
        <v>52.29912</v>
      </c>
      <c r="D426" t="n">
        <v>6e-09</v>
      </c>
      <c r="E426" t="n">
        <v>47.56387</v>
      </c>
      <c r="F426" t="n">
        <v>65.61967</v>
      </c>
      <c r="G426" t="n">
        <v>7.717043</v>
      </c>
      <c r="I426" t="n">
        <v>2.080274</v>
      </c>
      <c r="J426" t="n">
        <v>2.733155</v>
      </c>
      <c r="L426" t="n">
        <v>57.53981</v>
      </c>
      <c r="M426" t="n">
        <v>48.48042</v>
      </c>
      <c r="O426" t="n">
        <v>32.26392</v>
      </c>
      <c r="R426" t="n">
        <v>48.97729</v>
      </c>
      <c r="S426" t="n">
        <v>54.4372</v>
      </c>
      <c r="U426" t="n">
        <v>48.71316</v>
      </c>
      <c r="V426" t="n">
        <v>40.39367</v>
      </c>
      <c r="W426" t="n">
        <v>11.04124</v>
      </c>
      <c r="X426" t="n">
        <v>3.890603</v>
      </c>
      <c r="Y426" t="n">
        <v>6.392016</v>
      </c>
      <c r="Z426" t="n">
        <v>9.454758</v>
      </c>
      <c r="AA426" t="n">
        <v>46.82424</v>
      </c>
      <c r="AB426" t="n">
        <v>9.864879</v>
      </c>
      <c r="AC426" t="n">
        <v>1.794066</v>
      </c>
      <c r="AD426" t="n">
        <v>35.82312</v>
      </c>
      <c r="AE426" t="n">
        <v>83.99084000000001</v>
      </c>
      <c r="AF426" t="n">
        <v>30.41363</v>
      </c>
      <c r="AH426" t="n">
        <v>52.32964</v>
      </c>
      <c r="AJ426" t="n">
        <v>0.4221476</v>
      </c>
      <c r="AK426" t="n">
        <v>55.64304</v>
      </c>
      <c r="AL426" t="n">
        <v>41.6</v>
      </c>
      <c r="AM426" t="n">
        <v>27.58431</v>
      </c>
      <c r="AN426" t="n">
        <v>22.72516</v>
      </c>
      <c r="AP426" t="n">
        <v>20.82732</v>
      </c>
      <c r="AT426" t="n">
        <v>0.001463433</v>
      </c>
      <c r="AU426" t="n">
        <v>45.56308</v>
      </c>
      <c r="AV426" t="n">
        <v>0.003909134</v>
      </c>
      <c r="AW426" t="n">
        <v>43.62556</v>
      </c>
      <c r="AX426" t="n">
        <v>8.140347</v>
      </c>
    </row>
    <row r="427">
      <c r="A427" s="92" t="n">
        <v>30834</v>
      </c>
      <c r="B427" t="n">
        <v>51.71083</v>
      </c>
      <c r="C427" t="n">
        <v>52.44001</v>
      </c>
      <c r="D427" t="n">
        <v>6e-09</v>
      </c>
      <c r="E427" t="n">
        <v>47.87991</v>
      </c>
      <c r="F427" t="n">
        <v>65.83087999999999</v>
      </c>
      <c r="G427" t="n">
        <v>7.815151</v>
      </c>
      <c r="I427" t="n">
        <v>2.112906</v>
      </c>
      <c r="J427" t="n">
        <v>2.779406</v>
      </c>
      <c r="L427" t="n">
        <v>57.73552</v>
      </c>
      <c r="M427" t="n">
        <v>48.75865</v>
      </c>
      <c r="O427" t="n">
        <v>32.49246</v>
      </c>
      <c r="R427" t="n">
        <v>49.09307</v>
      </c>
      <c r="S427" t="n">
        <v>54.6945</v>
      </c>
      <c r="U427" t="n">
        <v>48.81296</v>
      </c>
      <c r="V427" t="n">
        <v>40.49724</v>
      </c>
      <c r="W427" t="n">
        <v>11.25731</v>
      </c>
      <c r="X427" t="n">
        <v>3.903087</v>
      </c>
      <c r="Y427" t="n">
        <v>6.410761</v>
      </c>
      <c r="Z427" t="n">
        <v>9.65507</v>
      </c>
      <c r="AA427" t="n">
        <v>46.82424</v>
      </c>
      <c r="AB427" t="n">
        <v>10.09864</v>
      </c>
      <c r="AC427" t="n">
        <v>2.033658</v>
      </c>
      <c r="AD427" t="n">
        <v>36.03019</v>
      </c>
      <c r="AE427" t="n">
        <v>83.38</v>
      </c>
      <c r="AF427" t="n">
        <v>30.25918</v>
      </c>
      <c r="AH427" t="n">
        <v>52.34537</v>
      </c>
      <c r="AJ427" t="n">
        <v>0.4374254</v>
      </c>
      <c r="AK427" t="n">
        <v>55.64304</v>
      </c>
      <c r="AL427" t="n">
        <v>41.8</v>
      </c>
      <c r="AM427" t="n">
        <v>27.74236</v>
      </c>
      <c r="AN427" t="n">
        <v>22.91494</v>
      </c>
      <c r="AP427" t="n">
        <v>21.46026</v>
      </c>
      <c r="AT427" t="n">
        <v>0.001565094</v>
      </c>
      <c r="AU427" t="n">
        <v>45.45457</v>
      </c>
      <c r="AV427" t="n">
        <v>0.004162674</v>
      </c>
      <c r="AW427" t="n">
        <v>43.75214</v>
      </c>
      <c r="AX427" t="n">
        <v>8.186337</v>
      </c>
    </row>
    <row r="428">
      <c r="A428" s="92" t="n">
        <v>30864</v>
      </c>
      <c r="B428" t="n">
        <v>51.61143</v>
      </c>
      <c r="C428" t="n">
        <v>52.72884</v>
      </c>
      <c r="D428" t="n">
        <v>7e-09</v>
      </c>
      <c r="E428" t="n">
        <v>48.03793</v>
      </c>
      <c r="F428" t="n">
        <v>65.7144</v>
      </c>
      <c r="G428" t="n">
        <v>7.884116</v>
      </c>
      <c r="I428" t="n">
        <v>2.13738</v>
      </c>
      <c r="J428" t="n">
        <v>2.810599</v>
      </c>
      <c r="L428" t="n">
        <v>57.67028</v>
      </c>
      <c r="M428" t="n">
        <v>48.65431</v>
      </c>
      <c r="O428" t="n">
        <v>32.99145</v>
      </c>
      <c r="R428" t="n">
        <v>49.28605</v>
      </c>
      <c r="S428" t="n">
        <v>55.06207</v>
      </c>
      <c r="U428" t="n">
        <v>48.95084</v>
      </c>
      <c r="V428" t="n">
        <v>40.45121</v>
      </c>
      <c r="W428" t="n">
        <v>11.17088</v>
      </c>
      <c r="X428" t="n">
        <v>3.948858</v>
      </c>
      <c r="Y428" t="n">
        <v>6.435754</v>
      </c>
      <c r="Z428" t="n">
        <v>9.840814999999999</v>
      </c>
      <c r="AA428" t="n">
        <v>47.41446</v>
      </c>
      <c r="AB428" t="n">
        <v>10.19215</v>
      </c>
      <c r="AC428" t="n">
        <v>2.284826</v>
      </c>
      <c r="AD428" t="n">
        <v>36.11301</v>
      </c>
      <c r="AE428" t="n">
        <v>83.58360999999999</v>
      </c>
      <c r="AF428" t="n">
        <v>30.25918</v>
      </c>
      <c r="AH428" t="n">
        <v>52.46069</v>
      </c>
      <c r="AJ428" t="n">
        <v>0.4517651</v>
      </c>
      <c r="AK428" t="n">
        <v>55.64304</v>
      </c>
      <c r="AL428" t="n">
        <v>42</v>
      </c>
      <c r="AM428" t="n">
        <v>27.88711</v>
      </c>
      <c r="AN428" t="n">
        <v>22.98905</v>
      </c>
      <c r="AP428" t="n">
        <v>22.02055</v>
      </c>
      <c r="AT428" t="n">
        <v>0.001615105</v>
      </c>
      <c r="AU428" t="n">
        <v>45.57265</v>
      </c>
      <c r="AV428" t="n">
        <v>0.004201089</v>
      </c>
      <c r="AW428" t="n">
        <v>43.9209</v>
      </c>
      <c r="AX428" t="n">
        <v>8.278318000000001</v>
      </c>
    </row>
    <row r="429">
      <c r="A429" s="92" t="n">
        <v>30895</v>
      </c>
      <c r="B429" t="n">
        <v>52.08858</v>
      </c>
      <c r="C429" t="n">
        <v>52.93314</v>
      </c>
      <c r="D429" t="n">
        <v>8e-09</v>
      </c>
      <c r="E429" t="n">
        <v>48.03793</v>
      </c>
      <c r="F429" t="n">
        <v>65.94756</v>
      </c>
      <c r="G429" t="n">
        <v>7.904131</v>
      </c>
      <c r="I429" t="n">
        <v>2.145538</v>
      </c>
      <c r="J429" t="n">
        <v>2.822431</v>
      </c>
      <c r="L429" t="n">
        <v>57.53981</v>
      </c>
      <c r="M429" t="n">
        <v>48.86298</v>
      </c>
      <c r="O429" t="n">
        <v>33.22054</v>
      </c>
      <c r="R429" t="n">
        <v>49.47903</v>
      </c>
      <c r="S429" t="n">
        <v>55.35612</v>
      </c>
      <c r="U429" t="n">
        <v>49.044</v>
      </c>
      <c r="V429" t="n">
        <v>40.83098</v>
      </c>
      <c r="W429" t="n">
        <v>11.08445</v>
      </c>
      <c r="X429" t="n">
        <v>3.903087</v>
      </c>
      <c r="Y429" t="n">
        <v>6.423257</v>
      </c>
      <c r="Z429" t="n">
        <v>9.859025000000001</v>
      </c>
      <c r="AA429" t="n">
        <v>47.41446</v>
      </c>
      <c r="AB429" t="n">
        <v>10.33241</v>
      </c>
      <c r="AC429" t="n">
        <v>2.661208</v>
      </c>
      <c r="AD429" t="n">
        <v>36.29938</v>
      </c>
      <c r="AE429" t="n">
        <v>82.87096</v>
      </c>
      <c r="AF429" t="n">
        <v>30.41363</v>
      </c>
      <c r="AH429" t="n">
        <v>52.59174</v>
      </c>
      <c r="AJ429" t="n">
        <v>0.4646065</v>
      </c>
      <c r="AK429" t="n">
        <v>55.70005</v>
      </c>
      <c r="AL429" t="n">
        <v>42</v>
      </c>
      <c r="AM429" t="n">
        <v>28.00694</v>
      </c>
      <c r="AN429" t="n">
        <v>23.10857</v>
      </c>
      <c r="AP429" t="n">
        <v>22.41365</v>
      </c>
      <c r="AT429" t="n">
        <v>0.001647899</v>
      </c>
      <c r="AU429" t="n">
        <v>45.91413</v>
      </c>
      <c r="AV429" t="n">
        <v>0.004305579</v>
      </c>
      <c r="AW429" t="n">
        <v>44.08966</v>
      </c>
      <c r="AX429" t="n">
        <v>8.370298999999999</v>
      </c>
    </row>
    <row r="430">
      <c r="A430" s="92" t="n">
        <v>30926</v>
      </c>
      <c r="B430" t="n">
        <v>51.98917</v>
      </c>
      <c r="C430" t="n">
        <v>53.09516</v>
      </c>
      <c r="D430" t="n">
        <v>9e-09</v>
      </c>
      <c r="E430" t="n">
        <v>48.11694</v>
      </c>
      <c r="F430" t="n">
        <v>65.90736</v>
      </c>
      <c r="G430" t="n">
        <v>8.134459</v>
      </c>
      <c r="I430" t="n">
        <v>2.170012</v>
      </c>
      <c r="J430" t="n">
        <v>2.852548</v>
      </c>
      <c r="L430" t="n">
        <v>57.60505</v>
      </c>
      <c r="M430" t="n">
        <v>49.21076</v>
      </c>
      <c r="O430" t="n">
        <v>33.28801</v>
      </c>
      <c r="R430" t="n">
        <v>49.78779</v>
      </c>
      <c r="S430" t="n">
        <v>55.61343</v>
      </c>
      <c r="U430" t="n">
        <v>49.32899</v>
      </c>
      <c r="V430" t="n">
        <v>40.91154</v>
      </c>
      <c r="W430" t="n">
        <v>11.36534</v>
      </c>
      <c r="X430" t="n">
        <v>3.911409</v>
      </c>
      <c r="Y430" t="n">
        <v>6.417009</v>
      </c>
      <c r="Z430" t="n">
        <v>9.910012999999999</v>
      </c>
      <c r="AA430" t="n">
        <v>47.41446</v>
      </c>
      <c r="AB430" t="n">
        <v>10.40254</v>
      </c>
      <c r="AC430" t="n">
        <v>3.229903</v>
      </c>
      <c r="AD430" t="n">
        <v>36.58928</v>
      </c>
      <c r="AE430" t="n">
        <v>84.19445</v>
      </c>
      <c r="AF430" t="n">
        <v>30.76779</v>
      </c>
      <c r="AH430" t="n">
        <v>52.64415</v>
      </c>
      <c r="AJ430" t="n">
        <v>0.4784468</v>
      </c>
      <c r="AK430" t="n">
        <v>55.92809</v>
      </c>
      <c r="AL430" t="n">
        <v>42.3</v>
      </c>
      <c r="AM430" t="n">
        <v>28.21304</v>
      </c>
      <c r="AN430" t="n">
        <v>23.22426</v>
      </c>
      <c r="AP430" t="n">
        <v>22.48132</v>
      </c>
      <c r="AT430" t="n">
        <v>0.001727425</v>
      </c>
      <c r="AU430" t="n">
        <v>46.21092</v>
      </c>
      <c r="AV430" t="n">
        <v>0.004394702</v>
      </c>
      <c r="AW430" t="n">
        <v>44.30062</v>
      </c>
      <c r="AX430" t="n">
        <v>8.41629</v>
      </c>
    </row>
    <row r="431">
      <c r="A431" s="92" t="n">
        <v>30956</v>
      </c>
      <c r="B431" t="n">
        <v>52.08858</v>
      </c>
      <c r="C431" t="n">
        <v>53.34172</v>
      </c>
      <c r="D431" t="n">
        <v>9e-09</v>
      </c>
      <c r="E431" t="n">
        <v>48.27496</v>
      </c>
      <c r="F431" t="n">
        <v>66.32417</v>
      </c>
      <c r="G431" t="n">
        <v>8.800518</v>
      </c>
      <c r="I431" t="n">
        <v>2.186327</v>
      </c>
      <c r="J431" t="n">
        <v>2.921388</v>
      </c>
      <c r="L431" t="n">
        <v>57.93123</v>
      </c>
      <c r="M431" t="n">
        <v>49.41943</v>
      </c>
      <c r="O431" t="n">
        <v>33.48881</v>
      </c>
      <c r="R431" t="n">
        <v>50.01936</v>
      </c>
      <c r="S431" t="n">
        <v>55.981</v>
      </c>
      <c r="U431" t="n">
        <v>49.56035</v>
      </c>
      <c r="V431" t="n">
        <v>41.16472</v>
      </c>
      <c r="W431" t="n">
        <v>11.64624</v>
      </c>
      <c r="X431" t="n">
        <v>3.903087</v>
      </c>
      <c r="Y431" t="n">
        <v>6.423257</v>
      </c>
      <c r="Z431" t="n">
        <v>9.961002000000001</v>
      </c>
      <c r="AA431" t="n">
        <v>47.70957</v>
      </c>
      <c r="AB431" t="n">
        <v>10.51942</v>
      </c>
      <c r="AC431" t="n">
        <v>4.016008</v>
      </c>
      <c r="AD431" t="n">
        <v>36.9413</v>
      </c>
      <c r="AE431" t="n">
        <v>84.70348</v>
      </c>
      <c r="AF431" t="n">
        <v>30.61268</v>
      </c>
      <c r="AH431" t="n">
        <v>53.05302</v>
      </c>
      <c r="AJ431" t="n">
        <v>0.4951637</v>
      </c>
      <c r="AK431" t="n">
        <v>56.32717</v>
      </c>
      <c r="AL431" t="n">
        <v>42.5</v>
      </c>
      <c r="AM431" t="n">
        <v>28.43457</v>
      </c>
      <c r="AN431" t="n">
        <v>23.43987</v>
      </c>
      <c r="AP431" t="n">
        <v>22.66941</v>
      </c>
      <c r="AT431" t="n">
        <v>0.001812689</v>
      </c>
      <c r="AU431" t="n">
        <v>46.43751</v>
      </c>
      <c r="AV431" t="n">
        <v>0.004586266</v>
      </c>
      <c r="AW431" t="n">
        <v>44.42719</v>
      </c>
      <c r="AX431" t="n">
        <v>8.554262</v>
      </c>
    </row>
    <row r="432">
      <c r="A432" s="92" t="n">
        <v>30987</v>
      </c>
      <c r="B432" t="n">
        <v>52.22775</v>
      </c>
      <c r="C432" t="n">
        <v>53.36285</v>
      </c>
      <c r="D432" t="n">
        <v>1e-08</v>
      </c>
      <c r="E432" t="n">
        <v>48.51198</v>
      </c>
      <c r="F432" t="n">
        <v>66.67039</v>
      </c>
      <c r="G432" t="n">
        <v>8.902828</v>
      </c>
      <c r="I432" t="n">
        <v>2.227117</v>
      </c>
      <c r="J432" t="n">
        <v>2.968715</v>
      </c>
      <c r="L432" t="n">
        <v>57.99647</v>
      </c>
      <c r="M432" t="n">
        <v>49.7672</v>
      </c>
      <c r="O432" t="n">
        <v>33.66076</v>
      </c>
      <c r="R432" t="n">
        <v>50.05796</v>
      </c>
      <c r="S432" t="n">
        <v>56.16478</v>
      </c>
      <c r="U432" t="n">
        <v>49.59805</v>
      </c>
      <c r="V432" t="n">
        <v>41.29131</v>
      </c>
      <c r="W432" t="n">
        <v>11.79749</v>
      </c>
      <c r="X432" t="n">
        <v>3.911409</v>
      </c>
      <c r="Y432" t="n">
        <v>6.423257</v>
      </c>
      <c r="Z432" t="n">
        <v>10.00835</v>
      </c>
      <c r="AA432" t="n">
        <v>47.70957</v>
      </c>
      <c r="AB432" t="n">
        <v>10.65968</v>
      </c>
      <c r="AC432" t="n">
        <v>4.800817</v>
      </c>
      <c r="AD432" t="n">
        <v>37.23119</v>
      </c>
      <c r="AE432" t="n">
        <v>84.29626</v>
      </c>
      <c r="AF432" t="n">
        <v>30.54677</v>
      </c>
      <c r="AH432" t="n">
        <v>53.19979</v>
      </c>
      <c r="AJ432" t="n">
        <v>0.5121574</v>
      </c>
      <c r="AK432" t="n">
        <v>56.38418</v>
      </c>
      <c r="AL432" t="n">
        <v>42.6</v>
      </c>
      <c r="AM432" t="n">
        <v>28.55515</v>
      </c>
      <c r="AN432" t="n">
        <v>23.5881</v>
      </c>
      <c r="AP432" t="n">
        <v>23.02768</v>
      </c>
      <c r="AT432" t="n">
        <v>0.001905332</v>
      </c>
      <c r="AU432" t="n">
        <v>46.72473</v>
      </c>
      <c r="AV432" t="n">
        <v>0.004762976</v>
      </c>
      <c r="AW432" t="n">
        <v>44.42719</v>
      </c>
      <c r="AX432" t="n">
        <v>8.646243999999999</v>
      </c>
    </row>
    <row r="433">
      <c r="A433" s="92" t="n">
        <v>31017</v>
      </c>
      <c r="B433" t="n">
        <v>52.26751</v>
      </c>
      <c r="C433" t="n">
        <v>53.47557</v>
      </c>
      <c r="D433" t="n">
        <v>1.2e-08</v>
      </c>
      <c r="E433" t="n">
        <v>48.51198</v>
      </c>
      <c r="F433" t="n">
        <v>66.64895</v>
      </c>
      <c r="G433" t="n">
        <v>9.023683</v>
      </c>
      <c r="I433" t="n">
        <v>2.276065</v>
      </c>
      <c r="J433" t="n">
        <v>3.022497</v>
      </c>
      <c r="L433" t="n">
        <v>58.06171</v>
      </c>
      <c r="M433" t="n">
        <v>49.66287</v>
      </c>
      <c r="O433" t="n">
        <v>33.88876</v>
      </c>
      <c r="R433" t="n">
        <v>50.09655</v>
      </c>
      <c r="S433" t="n">
        <v>56.27505</v>
      </c>
      <c r="U433" t="n">
        <v>49.65014</v>
      </c>
      <c r="V433" t="n">
        <v>41.25678</v>
      </c>
      <c r="W433" t="n">
        <v>12.01356</v>
      </c>
      <c r="X433" t="n">
        <v>3.948858</v>
      </c>
      <c r="Y433" t="n">
        <v>6.485741</v>
      </c>
      <c r="Z433" t="n">
        <v>9.891802999999999</v>
      </c>
      <c r="AA433" t="n">
        <v>47.70957</v>
      </c>
      <c r="AB433" t="n">
        <v>11.17396</v>
      </c>
      <c r="AC433" t="n">
        <v>4.980209</v>
      </c>
      <c r="AD433" t="n">
        <v>37.45897</v>
      </c>
      <c r="AE433" t="n">
        <v>84.49987</v>
      </c>
      <c r="AF433" t="n">
        <v>30.54677</v>
      </c>
      <c r="AH433" t="n">
        <v>53.19979</v>
      </c>
      <c r="AJ433" t="n">
        <v>0.5339092</v>
      </c>
      <c r="AK433" t="n">
        <v>56.32717</v>
      </c>
      <c r="AL433" t="n">
        <v>42.8</v>
      </c>
      <c r="AM433" t="n">
        <v>28.68568</v>
      </c>
      <c r="AN433" t="n">
        <v>23.68651</v>
      </c>
      <c r="AP433" t="n">
        <v>23.23966</v>
      </c>
      <c r="AT433" t="n">
        <v>0.001991417</v>
      </c>
      <c r="AU433" t="n">
        <v>47.47151</v>
      </c>
      <c r="AV433" t="n">
        <v>0.004851587</v>
      </c>
      <c r="AW433" t="n">
        <v>44.42719</v>
      </c>
      <c r="AX433" t="n">
        <v>8.692233999999999</v>
      </c>
    </row>
    <row r="434">
      <c r="A434" s="92" t="n">
        <v>31048</v>
      </c>
      <c r="B434" t="n">
        <v>52.68501</v>
      </c>
      <c r="C434" t="n">
        <v>53.82076</v>
      </c>
      <c r="D434" t="n">
        <v>1.3e-08</v>
      </c>
      <c r="E434" t="n">
        <v>48.74901</v>
      </c>
      <c r="F434" t="n">
        <v>67.30051</v>
      </c>
      <c r="G434" t="n">
        <v>9.306914000000001</v>
      </c>
      <c r="I434" t="n">
        <v>2.325012</v>
      </c>
      <c r="J434" t="n">
        <v>3.131135</v>
      </c>
      <c r="L434" t="n">
        <v>58.3879</v>
      </c>
      <c r="M434" t="n">
        <v>49.90632</v>
      </c>
      <c r="O434" t="n">
        <v>34.51998</v>
      </c>
      <c r="R434" t="n">
        <v>50.63688</v>
      </c>
      <c r="S434" t="n">
        <v>56.56911</v>
      </c>
      <c r="U434" t="n">
        <v>49.82779</v>
      </c>
      <c r="V434" t="n">
        <v>41.40639</v>
      </c>
      <c r="W434" t="n">
        <v>12.29445</v>
      </c>
      <c r="X434" t="n">
        <v>4.023758</v>
      </c>
      <c r="Y434" t="n">
        <v>6.516982</v>
      </c>
      <c r="Z434" t="n">
        <v>9.891802999999999</v>
      </c>
      <c r="AA434" t="n">
        <v>48.59491</v>
      </c>
      <c r="AB434" t="n">
        <v>11.66487</v>
      </c>
      <c r="AC434" t="n">
        <v>5.241935</v>
      </c>
      <c r="AD434" t="n">
        <v>37.87193</v>
      </c>
      <c r="AE434" t="n">
        <v>84.70348</v>
      </c>
      <c r="AF434" t="n">
        <v>30.62666</v>
      </c>
      <c r="AH434" t="n">
        <v>53.36229</v>
      </c>
      <c r="AJ434" t="n">
        <v>0.5735142</v>
      </c>
      <c r="AK434" t="n">
        <v>56.27016</v>
      </c>
      <c r="AL434" t="n">
        <v>43.1</v>
      </c>
      <c r="AM434" t="n">
        <v>28.94687</v>
      </c>
      <c r="AN434" t="n">
        <v>23.94381</v>
      </c>
      <c r="AP434" t="n">
        <v>24.31147</v>
      </c>
      <c r="AT434" t="n">
        <v>0.002236552</v>
      </c>
      <c r="AU434" t="n">
        <v>47.75235</v>
      </c>
      <c r="AV434" t="n">
        <v>0.005122031</v>
      </c>
      <c r="AW434" t="n">
        <v>44.51157</v>
      </c>
      <c r="AX434" t="n">
        <v>8.784216000000001</v>
      </c>
    </row>
    <row r="435">
      <c r="A435" s="92" t="n">
        <v>31079</v>
      </c>
      <c r="B435" t="n">
        <v>52.96335</v>
      </c>
      <c r="C435" t="n">
        <v>54.37728</v>
      </c>
      <c r="D435" t="n">
        <v>1.5e-08</v>
      </c>
      <c r="E435" t="n">
        <v>49.06505</v>
      </c>
      <c r="F435" t="n">
        <v>67.84953</v>
      </c>
      <c r="G435" t="n">
        <v>9.494002</v>
      </c>
      <c r="I435" t="n">
        <v>2.398434</v>
      </c>
      <c r="J435" t="n">
        <v>3.121454</v>
      </c>
      <c r="L435" t="n">
        <v>58.64885</v>
      </c>
      <c r="M435" t="n">
        <v>50.21932</v>
      </c>
      <c r="O435" t="n">
        <v>34.77029</v>
      </c>
      <c r="R435" t="n">
        <v>50.79174</v>
      </c>
      <c r="S435" t="n">
        <v>56.86317</v>
      </c>
      <c r="U435" t="n">
        <v>50.05042</v>
      </c>
      <c r="V435" t="n">
        <v>41.7242</v>
      </c>
      <c r="W435" t="n">
        <v>12.29445</v>
      </c>
      <c r="X435" t="n">
        <v>4.11114</v>
      </c>
      <c r="Y435" t="n">
        <v>6.485741</v>
      </c>
      <c r="Z435" t="n">
        <v>9.840814999999999</v>
      </c>
      <c r="AA435" t="n">
        <v>48.59491</v>
      </c>
      <c r="AB435" t="n">
        <v>12.06227</v>
      </c>
      <c r="AC435" t="n">
        <v>5.947581</v>
      </c>
      <c r="AD435" t="n">
        <v>38.34484</v>
      </c>
      <c r="AE435" t="n">
        <v>84.39806</v>
      </c>
      <c r="AF435" t="n">
        <v>30.84435</v>
      </c>
      <c r="AH435" t="n">
        <v>53.69253</v>
      </c>
      <c r="AJ435" t="n">
        <v>0.5973405000000001</v>
      </c>
      <c r="AK435" t="n">
        <v>56.44119</v>
      </c>
      <c r="AL435" t="n">
        <v>43.2</v>
      </c>
      <c r="AM435" t="n">
        <v>29.15113</v>
      </c>
      <c r="AN435" t="n">
        <v>24.14844</v>
      </c>
      <c r="AP435" t="n">
        <v>24.95039</v>
      </c>
      <c r="AT435" t="n">
        <v>0.0023005</v>
      </c>
      <c r="AU435" t="n">
        <v>48.17361</v>
      </c>
      <c r="AV435" t="n">
        <v>0.005291057</v>
      </c>
      <c r="AW435" t="n">
        <v>44.72253</v>
      </c>
      <c r="AX435" t="n">
        <v>9.106151000000001</v>
      </c>
    </row>
    <row r="436">
      <c r="A436" s="92" t="n">
        <v>31107</v>
      </c>
      <c r="B436" t="n">
        <v>53.24168</v>
      </c>
      <c r="C436" t="n">
        <v>54.81404</v>
      </c>
      <c r="D436" t="n">
        <v>1.6e-08</v>
      </c>
      <c r="E436" t="n">
        <v>49.14406</v>
      </c>
      <c r="F436" t="n">
        <v>68.22694</v>
      </c>
      <c r="G436" t="n">
        <v>9.760922000000001</v>
      </c>
      <c r="I436" t="n">
        <v>2.471855</v>
      </c>
      <c r="J436" t="n">
        <v>3.14942</v>
      </c>
      <c r="L436" t="n">
        <v>58.84456</v>
      </c>
      <c r="M436" t="n">
        <v>50.60188</v>
      </c>
      <c r="O436" t="n">
        <v>34.98686</v>
      </c>
      <c r="R436" t="n">
        <v>51.25629</v>
      </c>
      <c r="S436" t="n">
        <v>57.26749</v>
      </c>
      <c r="U436" t="n">
        <v>50.28165</v>
      </c>
      <c r="V436" t="n">
        <v>42.13282</v>
      </c>
      <c r="W436" t="n">
        <v>12.64016</v>
      </c>
      <c r="X436" t="n">
        <v>4.152751</v>
      </c>
      <c r="Y436" t="n">
        <v>6.498237</v>
      </c>
      <c r="Z436" t="n">
        <v>9.859025000000001</v>
      </c>
      <c r="AA436" t="n">
        <v>48.59491</v>
      </c>
      <c r="AB436" t="n">
        <v>12.38954</v>
      </c>
      <c r="AC436" t="n">
        <v>6.754032</v>
      </c>
      <c r="AD436" t="n">
        <v>38.66011</v>
      </c>
      <c r="AE436" t="n">
        <v>84.70348</v>
      </c>
      <c r="AF436" t="n">
        <v>30.87564</v>
      </c>
      <c r="AH436" t="n">
        <v>53.97559</v>
      </c>
      <c r="AJ436" t="n">
        <v>0.6204872</v>
      </c>
      <c r="AK436" t="n">
        <v>56.84027</v>
      </c>
      <c r="AL436" t="n">
        <v>43.7</v>
      </c>
      <c r="AM436" t="n">
        <v>29.37175</v>
      </c>
      <c r="AN436" t="n">
        <v>24.37989</v>
      </c>
      <c r="AP436" t="n">
        <v>25.33453</v>
      </c>
      <c r="AT436" t="n">
        <v>0.002462011</v>
      </c>
      <c r="AU436" t="n">
        <v>48.54381</v>
      </c>
      <c r="AV436" t="n">
        <v>0.005544086</v>
      </c>
      <c r="AW436" t="n">
        <v>44.8913</v>
      </c>
      <c r="AX436" t="n">
        <v>9.106151000000001</v>
      </c>
    </row>
    <row r="437">
      <c r="A437" s="92" t="n">
        <v>31138</v>
      </c>
      <c r="B437" t="n">
        <v>53.34109</v>
      </c>
      <c r="C437" t="n">
        <v>55.03242</v>
      </c>
      <c r="D437" t="n">
        <v>1.7e-08</v>
      </c>
      <c r="E437" t="n">
        <v>49.38109</v>
      </c>
      <c r="F437" t="n">
        <v>68.14373999999999</v>
      </c>
      <c r="G437" t="n">
        <v>9.983591000000001</v>
      </c>
      <c r="I437" t="n">
        <v>2.537119</v>
      </c>
      <c r="J437" t="n">
        <v>3.14942</v>
      </c>
      <c r="L437" t="n">
        <v>58.9098</v>
      </c>
      <c r="M437" t="n">
        <v>50.77576</v>
      </c>
      <c r="O437" t="n">
        <v>35.34763</v>
      </c>
      <c r="R437" t="n">
        <v>51.566</v>
      </c>
      <c r="S437" t="n">
        <v>57.67182</v>
      </c>
      <c r="U437" t="n">
        <v>50.59045</v>
      </c>
      <c r="V437" t="n">
        <v>43.04085</v>
      </c>
      <c r="W437" t="n">
        <v>12.81302</v>
      </c>
      <c r="X437" t="n">
        <v>4.165234</v>
      </c>
      <c r="Y437" t="n">
        <v>6.666941</v>
      </c>
      <c r="Z437" t="n">
        <v>9.993779999999999</v>
      </c>
      <c r="AA437" t="n">
        <v>49.2835</v>
      </c>
      <c r="AB437" t="n">
        <v>12.59993</v>
      </c>
      <c r="AC437" t="n">
        <v>8.064515999999999</v>
      </c>
      <c r="AD437" t="n">
        <v>38.93597</v>
      </c>
      <c r="AE437" t="n">
        <v>85.31433</v>
      </c>
      <c r="AF437" t="n">
        <v>30.90693</v>
      </c>
      <c r="AH437" t="n">
        <v>54.44736</v>
      </c>
      <c r="AJ437" t="n">
        <v>0.63958</v>
      </c>
      <c r="AK437" t="n">
        <v>57.06832</v>
      </c>
      <c r="AL437" t="n">
        <v>43.9</v>
      </c>
      <c r="AM437" t="n">
        <v>29.6017</v>
      </c>
      <c r="AN437" t="n">
        <v>24.56398</v>
      </c>
      <c r="AP437" t="n">
        <v>25.61418</v>
      </c>
      <c r="AT437" t="n">
        <v>0.002594827</v>
      </c>
      <c r="AU437" t="n">
        <v>48.73848</v>
      </c>
      <c r="AV437" t="n">
        <v>0.005590184</v>
      </c>
      <c r="AW437" t="n">
        <v>45.10225</v>
      </c>
      <c r="AX437" t="n">
        <v>9.336103</v>
      </c>
    </row>
    <row r="438">
      <c r="A438" s="92" t="n">
        <v>31168</v>
      </c>
      <c r="B438" t="n">
        <v>53.20192</v>
      </c>
      <c r="C438" t="n">
        <v>55.08878</v>
      </c>
      <c r="D438" t="n">
        <v>1.9e-08</v>
      </c>
      <c r="E438" t="n">
        <v>49.53911</v>
      </c>
      <c r="F438" t="n">
        <v>68.09641999999999</v>
      </c>
      <c r="G438" t="n">
        <v>10.18476</v>
      </c>
      <c r="I438" t="n">
        <v>2.659488</v>
      </c>
      <c r="J438" t="n">
        <v>3.155874</v>
      </c>
      <c r="L438" t="n">
        <v>58.9098</v>
      </c>
      <c r="M438" t="n">
        <v>51.12355</v>
      </c>
      <c r="O438" t="n">
        <v>35.45864</v>
      </c>
      <c r="R438" t="n">
        <v>51.66924</v>
      </c>
      <c r="S438" t="n">
        <v>57.96588</v>
      </c>
      <c r="U438" t="n">
        <v>50.75974</v>
      </c>
      <c r="V438" t="n">
        <v>43.22246</v>
      </c>
      <c r="W438" t="n">
        <v>12.92106</v>
      </c>
      <c r="X438" t="n">
        <v>4.14859</v>
      </c>
      <c r="Y438" t="n">
        <v>6.685686</v>
      </c>
      <c r="Z438" t="n">
        <v>10.09212</v>
      </c>
      <c r="AA438" t="n">
        <v>49.2835</v>
      </c>
      <c r="AB438" t="n">
        <v>12.85707</v>
      </c>
      <c r="AC438" t="n">
        <v>8.568548</v>
      </c>
      <c r="AD438" t="n">
        <v>39.21183</v>
      </c>
      <c r="AE438" t="n">
        <v>85.41614</v>
      </c>
      <c r="AF438" t="n">
        <v>31.12529</v>
      </c>
      <c r="AH438" t="n">
        <v>54.5155</v>
      </c>
      <c r="AJ438" t="n">
        <v>0.6547317</v>
      </c>
      <c r="AK438" t="n">
        <v>57.12533</v>
      </c>
      <c r="AL438" t="n">
        <v>44</v>
      </c>
      <c r="AM438" t="n">
        <v>29.74352</v>
      </c>
      <c r="AN438" t="n">
        <v>24.67797</v>
      </c>
      <c r="AP438" t="n">
        <v>25.69479</v>
      </c>
      <c r="AT438" t="n">
        <v>0.002642378</v>
      </c>
      <c r="AU438" t="n">
        <v>49.29059</v>
      </c>
      <c r="AV438" t="n">
        <v>0.005724381</v>
      </c>
      <c r="AW438" t="n">
        <v>45.27102</v>
      </c>
      <c r="AX438" t="n">
        <v>9.428084</v>
      </c>
    </row>
    <row r="439">
      <c r="A439" s="92" t="n">
        <v>31199</v>
      </c>
      <c r="B439" t="n">
        <v>53.38085</v>
      </c>
      <c r="C439" t="n">
        <v>55.09583</v>
      </c>
      <c r="D439" t="n">
        <v>2e-08</v>
      </c>
      <c r="E439" t="n">
        <v>49.77614</v>
      </c>
      <c r="F439" t="n">
        <v>68.06283999999999</v>
      </c>
      <c r="G439" t="n">
        <v>10.55993</v>
      </c>
      <c r="I439" t="n">
        <v>2.708435</v>
      </c>
      <c r="J439" t="n">
        <v>3.191369</v>
      </c>
      <c r="L439" t="n">
        <v>58.9098</v>
      </c>
      <c r="M439" t="n">
        <v>51.12355</v>
      </c>
      <c r="O439" t="n">
        <v>35.39824</v>
      </c>
      <c r="R439" t="n">
        <v>51.77247</v>
      </c>
      <c r="S439" t="n">
        <v>58.18642</v>
      </c>
      <c r="U439" t="n">
        <v>50.88464</v>
      </c>
      <c r="V439" t="n">
        <v>43.31326</v>
      </c>
      <c r="W439" t="n">
        <v>13.20195</v>
      </c>
      <c r="X439" t="n">
        <v>4.156912</v>
      </c>
      <c r="Y439" t="n">
        <v>6.748169</v>
      </c>
      <c r="Z439" t="n">
        <v>10.19409</v>
      </c>
      <c r="AA439" t="n">
        <v>49.2835</v>
      </c>
      <c r="AB439" t="n">
        <v>13.09083</v>
      </c>
      <c r="AC439" t="n">
        <v>9.879032</v>
      </c>
      <c r="AD439" t="n">
        <v>39.44829</v>
      </c>
      <c r="AE439" t="n">
        <v>85.41614</v>
      </c>
      <c r="AF439" t="n">
        <v>31.15591</v>
      </c>
      <c r="AH439" t="n">
        <v>54.63083</v>
      </c>
      <c r="AJ439" t="n">
        <v>0.6711294</v>
      </c>
      <c r="AK439" t="n">
        <v>57.06832</v>
      </c>
      <c r="AL439" t="n">
        <v>44.3</v>
      </c>
      <c r="AM439" t="n">
        <v>29.83872</v>
      </c>
      <c r="AN439" t="n">
        <v>24.72097</v>
      </c>
      <c r="AP439" t="n">
        <v>25.7326</v>
      </c>
      <c r="AT439" t="n">
        <v>0.002700587</v>
      </c>
      <c r="AU439" t="n">
        <v>49.12783</v>
      </c>
      <c r="AV439" t="n">
        <v>0.005680844</v>
      </c>
      <c r="AW439" t="n">
        <v>45.39759</v>
      </c>
      <c r="AX439" t="n">
        <v>9.566057000000001</v>
      </c>
    </row>
    <row r="440">
      <c r="A440" s="92" t="n">
        <v>31229</v>
      </c>
      <c r="B440" t="n">
        <v>53.42061</v>
      </c>
      <c r="C440" t="n">
        <v>55.39875</v>
      </c>
      <c r="D440" t="n">
        <v>2.2e-08</v>
      </c>
      <c r="E440" t="n">
        <v>50.01317</v>
      </c>
      <c r="F440" t="n">
        <v>67.9175</v>
      </c>
      <c r="G440" t="n">
        <v>10.69635</v>
      </c>
      <c r="I440" t="n">
        <v>2.692119</v>
      </c>
      <c r="J440" t="n">
        <v>3.231167</v>
      </c>
      <c r="L440" t="n">
        <v>58.9098</v>
      </c>
      <c r="M440" t="n">
        <v>50.91488</v>
      </c>
      <c r="O440" t="n">
        <v>35.59958</v>
      </c>
      <c r="R440" t="n">
        <v>51.72085</v>
      </c>
      <c r="S440" t="n">
        <v>58.40696</v>
      </c>
      <c r="U440" t="n">
        <v>50.97198</v>
      </c>
      <c r="V440" t="n">
        <v>43.22246</v>
      </c>
      <c r="W440" t="n">
        <v>13.02909</v>
      </c>
      <c r="X440" t="n">
        <v>4.186039</v>
      </c>
      <c r="Y440" t="n">
        <v>6.741921</v>
      </c>
      <c r="Z440" t="n">
        <v>10.34706</v>
      </c>
      <c r="AA440" t="n">
        <v>49.97209</v>
      </c>
      <c r="AB440" t="n">
        <v>13.41811</v>
      </c>
      <c r="AC440" t="n">
        <v>12.60081</v>
      </c>
      <c r="AD440" t="n">
        <v>39.52711</v>
      </c>
      <c r="AE440" t="n">
        <v>85.61975</v>
      </c>
      <c r="AF440" t="n">
        <v>31.15591</v>
      </c>
      <c r="AH440" t="n">
        <v>54.91913</v>
      </c>
      <c r="AJ440" t="n">
        <v>0.6945021</v>
      </c>
      <c r="AK440" t="n">
        <v>56.95429</v>
      </c>
      <c r="AL440" t="n">
        <v>44.5</v>
      </c>
      <c r="AM440" t="n">
        <v>29.96132</v>
      </c>
      <c r="AN440" t="n">
        <v>24.76305</v>
      </c>
      <c r="AP440" t="n">
        <v>25.81819</v>
      </c>
      <c r="AT440" t="n">
        <v>0.002857179</v>
      </c>
      <c r="AU440" t="n">
        <v>49.09591</v>
      </c>
      <c r="AV440" t="n">
        <v>0.005761772</v>
      </c>
      <c r="AW440" t="n">
        <v>45.48197</v>
      </c>
      <c r="AX440" t="n">
        <v>9.612047</v>
      </c>
    </row>
    <row r="441">
      <c r="A441" s="92" t="n">
        <v>31260</v>
      </c>
      <c r="B441" t="n">
        <v>53.46038</v>
      </c>
      <c r="C441" t="n">
        <v>55.39875</v>
      </c>
      <c r="D441" t="n">
        <v>2.5e-08</v>
      </c>
      <c r="E441" t="n">
        <v>50.01317</v>
      </c>
      <c r="F441" t="n">
        <v>67.90285</v>
      </c>
      <c r="G441" t="n">
        <v>10.79125</v>
      </c>
      <c r="I441" t="n">
        <v>2.675804</v>
      </c>
      <c r="J441" t="n">
        <v>3.233319</v>
      </c>
      <c r="L441" t="n">
        <v>58.71409</v>
      </c>
      <c r="M441" t="n">
        <v>50.84532</v>
      </c>
      <c r="O441" t="n">
        <v>35.6529</v>
      </c>
      <c r="R441" t="n">
        <v>51.77247</v>
      </c>
      <c r="S441" t="n">
        <v>58.48048</v>
      </c>
      <c r="U441" t="n">
        <v>51.00666</v>
      </c>
      <c r="V441" t="n">
        <v>43.35867</v>
      </c>
      <c r="W441" t="n">
        <v>13.0507</v>
      </c>
      <c r="X441" t="n">
        <v>4.14859</v>
      </c>
      <c r="Y441" t="n">
        <v>6.735673</v>
      </c>
      <c r="Z441" t="n">
        <v>10.39805</v>
      </c>
      <c r="AA441" t="n">
        <v>49.97209</v>
      </c>
      <c r="AB441" t="n">
        <v>13.81551</v>
      </c>
      <c r="AC441" t="n">
        <v>13.00403</v>
      </c>
      <c r="AD441" t="n">
        <v>39.60592</v>
      </c>
      <c r="AE441" t="n">
        <v>85.41614</v>
      </c>
      <c r="AF441" t="n">
        <v>31.21849</v>
      </c>
      <c r="AH441" t="n">
        <v>54.71994</v>
      </c>
      <c r="AJ441" t="n">
        <v>0.7248645</v>
      </c>
      <c r="AK441" t="n">
        <v>56.95429</v>
      </c>
      <c r="AL441" t="n">
        <v>44.3</v>
      </c>
      <c r="AM441" t="n">
        <v>30.0701</v>
      </c>
      <c r="AN441" t="n">
        <v>24.81168</v>
      </c>
      <c r="AP441" t="n">
        <v>26.01822</v>
      </c>
      <c r="AT441" t="n">
        <v>0.00290801</v>
      </c>
      <c r="AU441" t="n">
        <v>49.07677</v>
      </c>
      <c r="AV441" t="n">
        <v>0.005910823</v>
      </c>
      <c r="AW441" t="n">
        <v>45.56635</v>
      </c>
      <c r="AX441" t="n">
        <v>9.704029</v>
      </c>
    </row>
    <row r="442">
      <c r="A442" s="92" t="n">
        <v>31291</v>
      </c>
      <c r="B442" t="n">
        <v>53.48026</v>
      </c>
      <c r="C442" t="n">
        <v>55.51146</v>
      </c>
      <c r="D442" t="n">
        <v>2.8e-08</v>
      </c>
      <c r="E442" t="n">
        <v>50.09218</v>
      </c>
      <c r="F442" t="n">
        <v>68.11226000000001</v>
      </c>
      <c r="G442" t="n">
        <v>10.92249</v>
      </c>
      <c r="I442" t="n">
        <v>2.700277</v>
      </c>
      <c r="J442" t="n">
        <v>3.267738</v>
      </c>
      <c r="L442" t="n">
        <v>58.77933</v>
      </c>
      <c r="M442" t="n">
        <v>51.12355</v>
      </c>
      <c r="O442" t="n">
        <v>36.04415</v>
      </c>
      <c r="R442" t="n">
        <v>51.97894</v>
      </c>
      <c r="S442" t="n">
        <v>58.55399</v>
      </c>
      <c r="U442" t="n">
        <v>51.11925</v>
      </c>
      <c r="V442" t="n">
        <v>43.31326</v>
      </c>
      <c r="W442" t="n">
        <v>13.6557</v>
      </c>
      <c r="X442" t="n">
        <v>4.181879</v>
      </c>
      <c r="Y442" t="n">
        <v>6.723176</v>
      </c>
      <c r="Z442" t="n">
        <v>10.41262</v>
      </c>
      <c r="AA442" t="n">
        <v>49.97209</v>
      </c>
      <c r="AB442" t="n">
        <v>14.16615</v>
      </c>
      <c r="AC442" t="n">
        <v>13.40726</v>
      </c>
      <c r="AD442" t="n">
        <v>39.84238</v>
      </c>
      <c r="AE442" t="n">
        <v>85.51794</v>
      </c>
      <c r="AF442" t="n">
        <v>31.56134</v>
      </c>
      <c r="AH442" t="n">
        <v>54.71469</v>
      </c>
      <c r="AJ442" t="n">
        <v>0.7538139</v>
      </c>
      <c r="AK442" t="n">
        <v>57.23935</v>
      </c>
      <c r="AL442" t="n">
        <v>44.8</v>
      </c>
      <c r="AM442" t="n">
        <v>30.2585</v>
      </c>
      <c r="AN442" t="n">
        <v>24.97671</v>
      </c>
      <c r="AP442" t="n">
        <v>26.04808</v>
      </c>
      <c r="AT442" t="n">
        <v>0.00301541</v>
      </c>
      <c r="AU442" t="n">
        <v>49.29378</v>
      </c>
      <c r="AV442" t="n">
        <v>0.00619151</v>
      </c>
      <c r="AW442" t="n">
        <v>45.69292</v>
      </c>
      <c r="AX442" t="n">
        <v>9.842001</v>
      </c>
    </row>
    <row r="443">
      <c r="A443" s="92" t="n">
        <v>31321</v>
      </c>
      <c r="B443" t="n">
        <v>53.48026</v>
      </c>
      <c r="C443" t="n">
        <v>55.48328</v>
      </c>
      <c r="D443" t="n">
        <v>3.1e-08</v>
      </c>
      <c r="E443" t="n">
        <v>50.2502</v>
      </c>
      <c r="F443" t="n">
        <v>68.28176999999999</v>
      </c>
      <c r="G443" t="n">
        <v>11.08708</v>
      </c>
      <c r="I443" t="n">
        <v>2.724751</v>
      </c>
      <c r="J443" t="n">
        <v>3.291402</v>
      </c>
      <c r="L443" t="n">
        <v>58.84456</v>
      </c>
      <c r="M443" t="n">
        <v>51.26266</v>
      </c>
      <c r="O443" t="n">
        <v>36.22971</v>
      </c>
      <c r="R443" t="n">
        <v>52.03056</v>
      </c>
      <c r="S443" t="n">
        <v>58.73777</v>
      </c>
      <c r="U443" t="n">
        <v>51.34991</v>
      </c>
      <c r="V443" t="n">
        <v>43.40406</v>
      </c>
      <c r="W443" t="n">
        <v>14.10945</v>
      </c>
      <c r="X443" t="n">
        <v>4.190201</v>
      </c>
      <c r="Y443" t="n">
        <v>6.729424</v>
      </c>
      <c r="Z443" t="n">
        <v>10.51459</v>
      </c>
      <c r="AA443" t="n">
        <v>50.07046</v>
      </c>
      <c r="AB443" t="n">
        <v>14.49342</v>
      </c>
      <c r="AC443" t="n">
        <v>14.21371</v>
      </c>
      <c r="AD443" t="n">
        <v>40.23647</v>
      </c>
      <c r="AE443" t="n">
        <v>86.33240000000001</v>
      </c>
      <c r="AF443" t="n">
        <v>31.65454</v>
      </c>
      <c r="AH443" t="n">
        <v>55.17598</v>
      </c>
      <c r="AJ443" t="n">
        <v>0.7824489</v>
      </c>
      <c r="AK443" t="n">
        <v>57.41039</v>
      </c>
      <c r="AL443" t="n">
        <v>44.9</v>
      </c>
      <c r="AM443" t="n">
        <v>30.5131</v>
      </c>
      <c r="AN443" t="n">
        <v>25.18136</v>
      </c>
      <c r="AP443" t="n">
        <v>26.30583</v>
      </c>
      <c r="AT443" t="n">
        <v>0.003429434</v>
      </c>
      <c r="AU443" t="n">
        <v>49.61292</v>
      </c>
      <c r="AV443" t="n">
        <v>0.006579248</v>
      </c>
      <c r="AW443" t="n">
        <v>45.86169</v>
      </c>
      <c r="AX443" t="n">
        <v>9.979972999999999</v>
      </c>
    </row>
    <row r="444">
      <c r="A444" s="92" t="n">
        <v>31352</v>
      </c>
      <c r="B444" t="n">
        <v>53.59954</v>
      </c>
      <c r="C444" t="n">
        <v>55.61008</v>
      </c>
      <c r="D444" t="n">
        <v>3.5e-08</v>
      </c>
      <c r="E444" t="n">
        <v>50.40822</v>
      </c>
      <c r="F444" t="n">
        <v>68.76463</v>
      </c>
      <c r="G444" t="n">
        <v>11.26453</v>
      </c>
      <c r="I444" t="n">
        <v>2.749225</v>
      </c>
      <c r="J444" t="n">
        <v>3.305385</v>
      </c>
      <c r="L444" t="n">
        <v>58.9098</v>
      </c>
      <c r="M444" t="n">
        <v>51.47132</v>
      </c>
      <c r="O444" t="n">
        <v>36.50886</v>
      </c>
      <c r="R444" t="n">
        <v>52.03056</v>
      </c>
      <c r="S444" t="n">
        <v>58.84805</v>
      </c>
      <c r="U444" t="n">
        <v>51.42517</v>
      </c>
      <c r="V444" t="n">
        <v>43.54027</v>
      </c>
      <c r="W444" t="n">
        <v>14.49838</v>
      </c>
      <c r="X444" t="n">
        <v>4.211006</v>
      </c>
      <c r="Y444" t="n">
        <v>6.748169</v>
      </c>
      <c r="Z444" t="n">
        <v>10.59836</v>
      </c>
      <c r="AA444" t="n">
        <v>50.07046</v>
      </c>
      <c r="AB444" t="n">
        <v>14.82069</v>
      </c>
      <c r="AC444" t="n">
        <v>14.21371</v>
      </c>
      <c r="AD444" t="n">
        <v>40.55174</v>
      </c>
      <c r="AE444" t="n">
        <v>85.61975</v>
      </c>
      <c r="AF444" t="n">
        <v>31.28107</v>
      </c>
      <c r="AH444" t="n">
        <v>55.31227</v>
      </c>
      <c r="AJ444" t="n">
        <v>0.8185484</v>
      </c>
      <c r="AK444" t="n">
        <v>57.41039</v>
      </c>
      <c r="AL444" t="n">
        <v>45</v>
      </c>
      <c r="AM444" t="n">
        <v>30.68883</v>
      </c>
      <c r="AN444" t="n">
        <v>25.36405</v>
      </c>
      <c r="AP444" t="n">
        <v>26.71386</v>
      </c>
      <c r="AT444" t="n">
        <v>0.003572088</v>
      </c>
      <c r="AU444" t="n">
        <v>49.93843</v>
      </c>
      <c r="AV444" t="n">
        <v>0.006884521</v>
      </c>
      <c r="AW444" t="n">
        <v>45.98826</v>
      </c>
      <c r="AX444" t="n">
        <v>10.11794</v>
      </c>
    </row>
    <row r="445">
      <c r="A445" s="92" t="n">
        <v>31382</v>
      </c>
      <c r="B445" t="n">
        <v>53.73871</v>
      </c>
      <c r="C445" t="n">
        <v>55.63122</v>
      </c>
      <c r="D445" t="n">
        <v>4e-08</v>
      </c>
      <c r="E445" t="n">
        <v>50.64524</v>
      </c>
      <c r="F445" t="n">
        <v>68.80713</v>
      </c>
      <c r="G445" t="n">
        <v>11.40738</v>
      </c>
      <c r="I445" t="n">
        <v>2.790015</v>
      </c>
      <c r="J445" t="n">
        <v>3.352712</v>
      </c>
      <c r="L445" t="n">
        <v>58.97504</v>
      </c>
      <c r="M445" t="n">
        <v>51.43655</v>
      </c>
      <c r="O445" t="n">
        <v>36.66013</v>
      </c>
      <c r="R445" t="n">
        <v>52.13379</v>
      </c>
      <c r="S445" t="n">
        <v>58.92156</v>
      </c>
      <c r="U445" t="n">
        <v>51.55138</v>
      </c>
      <c r="V445" t="n">
        <v>43.58567</v>
      </c>
      <c r="W445" t="n">
        <v>14.99534</v>
      </c>
      <c r="X445" t="n">
        <v>4.256778</v>
      </c>
      <c r="Y445" t="n">
        <v>6.773162</v>
      </c>
      <c r="Z445" t="n">
        <v>10.59836</v>
      </c>
      <c r="AA445" t="n">
        <v>50.07046</v>
      </c>
      <c r="AB445" t="n">
        <v>15.19472</v>
      </c>
      <c r="AC445" t="n">
        <v>14.41532</v>
      </c>
      <c r="AD445" t="n">
        <v>40.78819</v>
      </c>
      <c r="AE445" t="n">
        <v>85.72156</v>
      </c>
      <c r="AF445" t="n">
        <v>31.46747</v>
      </c>
      <c r="AH445" t="n">
        <v>55.40138</v>
      </c>
      <c r="AJ445" t="n">
        <v>0.8742729</v>
      </c>
      <c r="AK445" t="n">
        <v>57.23935</v>
      </c>
      <c r="AL445" t="n">
        <v>45.2</v>
      </c>
      <c r="AM445" t="n">
        <v>30.91162</v>
      </c>
      <c r="AN445" t="n">
        <v>25.46911</v>
      </c>
      <c r="AP445" t="n">
        <v>27.15174</v>
      </c>
      <c r="AT445" t="n">
        <v>0.003721301</v>
      </c>
      <c r="AU445" t="n">
        <v>50.14268</v>
      </c>
      <c r="AV445" t="n">
        <v>0.006995669</v>
      </c>
      <c r="AW445" t="n">
        <v>46.11483</v>
      </c>
      <c r="AX445" t="n">
        <v>10.30191</v>
      </c>
    </row>
    <row r="446">
      <c r="A446" s="92" t="n">
        <v>31413</v>
      </c>
      <c r="B446" t="n">
        <v>54.21586</v>
      </c>
      <c r="C446" t="n">
        <v>55.69462</v>
      </c>
      <c r="D446" t="n">
        <v>4.6e-08</v>
      </c>
      <c r="E446" t="n">
        <v>50.88227</v>
      </c>
      <c r="F446" t="n">
        <v>68.77785</v>
      </c>
      <c r="G446" t="n">
        <v>11.71309</v>
      </c>
      <c r="I446" t="n">
        <v>2.871594</v>
      </c>
      <c r="J446" t="n">
        <v>3.3753</v>
      </c>
      <c r="L446" t="n">
        <v>59.17075</v>
      </c>
      <c r="M446" t="n">
        <v>51.29744</v>
      </c>
      <c r="O446" t="n">
        <v>37.71415</v>
      </c>
      <c r="R446" t="n">
        <v>52.49512</v>
      </c>
      <c r="S446" t="n">
        <v>58.95832</v>
      </c>
      <c r="U446" t="n">
        <v>51.70388</v>
      </c>
      <c r="V446" t="n">
        <v>43.67648</v>
      </c>
      <c r="W446" t="n">
        <v>15.36266</v>
      </c>
      <c r="X446" t="n">
        <v>4.315033</v>
      </c>
      <c r="Y446" t="n">
        <v>6.854391</v>
      </c>
      <c r="Z446" t="n">
        <v>10.58015</v>
      </c>
      <c r="AA446" t="n">
        <v>50.85742</v>
      </c>
      <c r="AB446" t="n">
        <v>15.63887</v>
      </c>
      <c r="AC446" t="n">
        <v>14.21371</v>
      </c>
      <c r="AD446" t="n">
        <v>40.98523</v>
      </c>
      <c r="AE446" t="n">
        <v>86.02697999999999</v>
      </c>
      <c r="AF446" t="n">
        <v>31.74841</v>
      </c>
      <c r="AH446" t="n">
        <v>55.30178</v>
      </c>
      <c r="AJ446" t="n">
        <v>0.9515673</v>
      </c>
      <c r="AK446" t="n">
        <v>57.01131</v>
      </c>
      <c r="AL446" t="n">
        <v>45.6</v>
      </c>
      <c r="AM446" t="n">
        <v>31.18493</v>
      </c>
      <c r="AN446" t="n">
        <v>25.65132</v>
      </c>
      <c r="AP446" t="n">
        <v>27.8643</v>
      </c>
      <c r="AT446" t="n">
        <v>0.004032025</v>
      </c>
      <c r="AU446" t="n">
        <v>50.70755</v>
      </c>
      <c r="AV446" t="n">
        <v>0.007219502</v>
      </c>
      <c r="AW446" t="n">
        <v>46.24141</v>
      </c>
      <c r="AX446" t="n">
        <v>10.62384</v>
      </c>
    </row>
    <row r="447">
      <c r="A447" s="92" t="n">
        <v>31444</v>
      </c>
      <c r="B447" t="n">
        <v>54.29538</v>
      </c>
      <c r="C447" t="n">
        <v>55.73689</v>
      </c>
      <c r="D447" t="n">
        <v>5.2e-08</v>
      </c>
      <c r="E447" t="n">
        <v>51.1193</v>
      </c>
      <c r="F447" t="n">
        <v>68.76092</v>
      </c>
      <c r="G447" t="n">
        <v>11.81913</v>
      </c>
      <c r="I447" t="n">
        <v>2.961331</v>
      </c>
      <c r="J447" t="n">
        <v>3.38283</v>
      </c>
      <c r="L447" t="n">
        <v>59.10551</v>
      </c>
      <c r="M447" t="n">
        <v>51.26266</v>
      </c>
      <c r="O447" t="n">
        <v>37.8823</v>
      </c>
      <c r="R447" t="n">
        <v>52.70159</v>
      </c>
      <c r="S447" t="n">
        <v>58.81129</v>
      </c>
      <c r="U447" t="n">
        <v>51.64862</v>
      </c>
      <c r="V447" t="n">
        <v>43.85808</v>
      </c>
      <c r="W447" t="n">
        <v>15.27623</v>
      </c>
      <c r="X447" t="n">
        <v>4.331677</v>
      </c>
      <c r="Y447" t="n">
        <v>6.904377</v>
      </c>
      <c r="Z447" t="n">
        <v>10.64935</v>
      </c>
      <c r="AA447" t="n">
        <v>50.85742</v>
      </c>
      <c r="AB447" t="n">
        <v>15.98952</v>
      </c>
      <c r="AC447" t="n">
        <v>14.41532</v>
      </c>
      <c r="AD447" t="n">
        <v>41.14287</v>
      </c>
      <c r="AE447" t="n">
        <v>85.92516999999999</v>
      </c>
      <c r="AF447" t="n">
        <v>31.93481</v>
      </c>
      <c r="AH447" t="n">
        <v>55.07114</v>
      </c>
      <c r="AJ447" t="n">
        <v>0.9938723</v>
      </c>
      <c r="AK447" t="n">
        <v>57.12533</v>
      </c>
      <c r="AL447" t="n">
        <v>45.8</v>
      </c>
      <c r="AM447" t="n">
        <v>31.24558</v>
      </c>
      <c r="AN447" t="n">
        <v>25.7053</v>
      </c>
      <c r="AP447" t="n">
        <v>28.22655</v>
      </c>
      <c r="AT447" t="n">
        <v>0.004255844</v>
      </c>
      <c r="AU447" t="n">
        <v>50.73946</v>
      </c>
      <c r="AV447" t="n">
        <v>0.007344991</v>
      </c>
      <c r="AW447" t="n">
        <v>46.11483</v>
      </c>
      <c r="AX447" t="n">
        <v>10.71582</v>
      </c>
    </row>
    <row r="448">
      <c r="A448" s="92" t="n">
        <v>31472</v>
      </c>
      <c r="B448" t="n">
        <v>54.19598</v>
      </c>
      <c r="C448" t="n">
        <v>55.65235</v>
      </c>
      <c r="D448" t="n">
        <v>5.4e-08</v>
      </c>
      <c r="E448" t="n">
        <v>51.27732</v>
      </c>
      <c r="F448" t="n">
        <v>68.84572</v>
      </c>
      <c r="G448" t="n">
        <v>11.99657</v>
      </c>
      <c r="I448" t="n">
        <v>3.034753</v>
      </c>
      <c r="J448" t="n">
        <v>3.412947</v>
      </c>
      <c r="L448" t="n">
        <v>58.9098</v>
      </c>
      <c r="M448" t="n">
        <v>51.47132</v>
      </c>
      <c r="O448" t="n">
        <v>38.01017</v>
      </c>
      <c r="R448" t="n">
        <v>52.70159</v>
      </c>
      <c r="S448" t="n">
        <v>58.95832</v>
      </c>
      <c r="U448" t="n">
        <v>51.54232</v>
      </c>
      <c r="V448" t="n">
        <v>43.90348</v>
      </c>
      <c r="W448" t="n">
        <v>15.75159</v>
      </c>
      <c r="X448" t="n">
        <v>4.369127</v>
      </c>
      <c r="Y448" t="n">
        <v>6.879384</v>
      </c>
      <c r="Z448" t="n">
        <v>10.73312</v>
      </c>
      <c r="AA448" t="n">
        <v>50.85742</v>
      </c>
      <c r="AB448" t="n">
        <v>15.75575</v>
      </c>
      <c r="AC448" t="n">
        <v>14.71774</v>
      </c>
      <c r="AD448" t="n">
        <v>41.33992</v>
      </c>
      <c r="AE448" t="n">
        <v>85.82335999999999</v>
      </c>
      <c r="AF448" t="n">
        <v>31.99739</v>
      </c>
      <c r="AH448" t="n">
        <v>54.78808</v>
      </c>
      <c r="AJ448" t="n">
        <v>1.040068</v>
      </c>
      <c r="AK448" t="n">
        <v>57.12533</v>
      </c>
      <c r="AL448" t="n">
        <v>46.1</v>
      </c>
      <c r="AM448" t="n">
        <v>31.2896</v>
      </c>
      <c r="AN448" t="n">
        <v>25.76507</v>
      </c>
      <c r="AP448" t="n">
        <v>28.55198</v>
      </c>
      <c r="AT448" t="n">
        <v>0.004519836</v>
      </c>
      <c r="AU448" t="n">
        <v>50.6533</v>
      </c>
      <c r="AV448" t="n">
        <v>0.007440774</v>
      </c>
      <c r="AW448" t="n">
        <v>45.90388</v>
      </c>
      <c r="AX448" t="n">
        <v>10.8538</v>
      </c>
    </row>
    <row r="449">
      <c r="A449" s="92" t="n">
        <v>31503</v>
      </c>
      <c r="B449" t="n">
        <v>54.07669</v>
      </c>
      <c r="C449" t="n">
        <v>55.82846</v>
      </c>
      <c r="D449" t="n">
        <v>5.5e-08</v>
      </c>
      <c r="E449" t="n">
        <v>51.27732</v>
      </c>
      <c r="F449" t="n">
        <v>68.80803</v>
      </c>
      <c r="G449" t="n">
        <v>12.16315</v>
      </c>
      <c r="I449" t="n">
        <v>3.116332</v>
      </c>
      <c r="J449" t="n">
        <v>3.435535</v>
      </c>
      <c r="L449" t="n">
        <v>58.9098</v>
      </c>
      <c r="M449" t="n">
        <v>52.79288</v>
      </c>
      <c r="O449" t="n">
        <v>38.10268</v>
      </c>
      <c r="R449" t="n">
        <v>52.90806</v>
      </c>
      <c r="S449" t="n">
        <v>59.17886</v>
      </c>
      <c r="U449" t="n">
        <v>51.57819</v>
      </c>
      <c r="V449" t="n">
        <v>44.3575</v>
      </c>
      <c r="W449" t="n">
        <v>15.98927</v>
      </c>
      <c r="X449" t="n">
        <v>4.38161</v>
      </c>
      <c r="Y449" t="n">
        <v>6.885632</v>
      </c>
      <c r="Z449" t="n">
        <v>10.81688</v>
      </c>
      <c r="AA449" t="n">
        <v>51.44764</v>
      </c>
      <c r="AB449" t="n">
        <v>15.84926</v>
      </c>
      <c r="AC449" t="n">
        <v>15.12097</v>
      </c>
      <c r="AD449" t="n">
        <v>41.41873</v>
      </c>
      <c r="AE449" t="n">
        <v>86.12878000000001</v>
      </c>
      <c r="AF449" t="n">
        <v>31.9661</v>
      </c>
      <c r="AH449" t="n">
        <v>54.72518</v>
      </c>
      <c r="AJ449" t="n">
        <v>1.094368</v>
      </c>
      <c r="AK449" t="n">
        <v>57.29636</v>
      </c>
      <c r="AL449" t="n">
        <v>46.4</v>
      </c>
      <c r="AM449" t="n">
        <v>31.42299</v>
      </c>
      <c r="AN449" t="n">
        <v>25.86692</v>
      </c>
      <c r="AP449" t="n">
        <v>28.9192</v>
      </c>
      <c r="AT449" t="n">
        <v>0.004859254</v>
      </c>
      <c r="AU449" t="n">
        <v>50.96286</v>
      </c>
      <c r="AV449" t="n">
        <v>0.007468945</v>
      </c>
      <c r="AW449" t="n">
        <v>45.8195</v>
      </c>
      <c r="AX449" t="n">
        <v>11.03776</v>
      </c>
    </row>
    <row r="450">
      <c r="A450" s="92" t="n">
        <v>31533</v>
      </c>
      <c r="B450" t="n">
        <v>54.01705</v>
      </c>
      <c r="C450" t="n">
        <v>55.70166</v>
      </c>
      <c r="D450" t="n">
        <v>5.5e-08</v>
      </c>
      <c r="E450" t="n">
        <v>51.59336</v>
      </c>
      <c r="F450" t="n">
        <v>68.59833</v>
      </c>
      <c r="G450" t="n">
        <v>12.24989</v>
      </c>
      <c r="I450" t="n">
        <v>3.091858</v>
      </c>
      <c r="J450" t="n">
        <v>3.464577</v>
      </c>
      <c r="L450" t="n">
        <v>58.9098</v>
      </c>
      <c r="M450" t="n">
        <v>53.17544</v>
      </c>
      <c r="O450" t="n">
        <v>38.20879</v>
      </c>
      <c r="R450" t="n">
        <v>52.80482</v>
      </c>
      <c r="S450" t="n">
        <v>59.32589</v>
      </c>
      <c r="U450" t="n">
        <v>51.70974</v>
      </c>
      <c r="V450" t="n">
        <v>44.4029</v>
      </c>
      <c r="W450" t="n">
        <v>16.0757</v>
      </c>
      <c r="X450" t="n">
        <v>4.352482</v>
      </c>
      <c r="Y450" t="n">
        <v>6.973108</v>
      </c>
      <c r="Z450" t="n">
        <v>10.95164</v>
      </c>
      <c r="AA450" t="n">
        <v>51.44764</v>
      </c>
      <c r="AB450" t="n">
        <v>16.12978</v>
      </c>
      <c r="AC450" t="n">
        <v>15.32258</v>
      </c>
      <c r="AD450" t="n">
        <v>41.61578</v>
      </c>
      <c r="AE450" t="n">
        <v>86.33240000000001</v>
      </c>
      <c r="AF450" t="n">
        <v>32.15316</v>
      </c>
      <c r="AH450" t="n">
        <v>54.73042</v>
      </c>
      <c r="AJ450" t="n">
        <v>1.155182</v>
      </c>
      <c r="AK450" t="n">
        <v>57.29636</v>
      </c>
      <c r="AL450" t="n">
        <v>46.5</v>
      </c>
      <c r="AM450" t="n">
        <v>31.59594</v>
      </c>
      <c r="AN450" t="n">
        <v>25.93013</v>
      </c>
      <c r="AP450" t="n">
        <v>28.78883</v>
      </c>
      <c r="AT450" t="n">
        <v>0.005174896</v>
      </c>
      <c r="AU450" t="n">
        <v>50.95967</v>
      </c>
      <c r="AV450" t="n">
        <v>0.007610825</v>
      </c>
      <c r="AW450" t="n">
        <v>45.94607</v>
      </c>
      <c r="AX450" t="n">
        <v>11.03776</v>
      </c>
    </row>
    <row r="451">
      <c r="A451" s="92" t="n">
        <v>31564</v>
      </c>
      <c r="B451" t="n">
        <v>54.19598</v>
      </c>
      <c r="C451" t="n">
        <v>55.77211</v>
      </c>
      <c r="D451" t="n">
        <v>5.6e-08</v>
      </c>
      <c r="E451" t="n">
        <v>51.67237</v>
      </c>
      <c r="F451" t="n">
        <v>68.58459000000001</v>
      </c>
      <c r="G451" t="n">
        <v>12.41349</v>
      </c>
      <c r="I451" t="n">
        <v>3.067384</v>
      </c>
      <c r="J451" t="n">
        <v>3.562459</v>
      </c>
      <c r="L451" t="n">
        <v>58.9098</v>
      </c>
      <c r="M451" t="n">
        <v>53.10589</v>
      </c>
      <c r="O451" t="n">
        <v>38.55977</v>
      </c>
      <c r="R451" t="n">
        <v>53.11453</v>
      </c>
      <c r="S451" t="n">
        <v>59.50967</v>
      </c>
      <c r="U451" t="n">
        <v>51.83901</v>
      </c>
      <c r="V451" t="n">
        <v>44.4029</v>
      </c>
      <c r="W451" t="n">
        <v>16.42141</v>
      </c>
      <c r="X451" t="n">
        <v>4.331677</v>
      </c>
      <c r="Y451" t="n">
        <v>6.985605</v>
      </c>
      <c r="Z451" t="n">
        <v>11.06818</v>
      </c>
      <c r="AA451" t="n">
        <v>51.44764</v>
      </c>
      <c r="AB451" t="n">
        <v>16.22328</v>
      </c>
      <c r="AC451" t="n">
        <v>15.52419</v>
      </c>
      <c r="AD451" t="n">
        <v>41.6946</v>
      </c>
      <c r="AE451" t="n">
        <v>85.92516999999999</v>
      </c>
      <c r="AF451" t="n">
        <v>32.09059</v>
      </c>
      <c r="AH451" t="n">
        <v>54.69373</v>
      </c>
      <c r="AJ451" t="n">
        <v>1.229333</v>
      </c>
      <c r="AK451" t="n">
        <v>57.06832</v>
      </c>
      <c r="AL451" t="n">
        <v>47.3</v>
      </c>
      <c r="AM451" t="n">
        <v>31.80326</v>
      </c>
      <c r="AN451" t="n">
        <v>26.01992</v>
      </c>
      <c r="AP451" t="n">
        <v>28.88039</v>
      </c>
      <c r="AT451" t="n">
        <v>0.005458564</v>
      </c>
      <c r="AU451" t="n">
        <v>50.96286</v>
      </c>
      <c r="AV451" t="n">
        <v>0.007792657</v>
      </c>
      <c r="AW451" t="n">
        <v>46.19922</v>
      </c>
      <c r="AX451" t="n">
        <v>11.17573</v>
      </c>
    </row>
    <row r="452">
      <c r="A452" s="92" t="n">
        <v>31594</v>
      </c>
      <c r="B452" t="n">
        <v>54.21586</v>
      </c>
      <c r="C452" t="n">
        <v>55.77211</v>
      </c>
      <c r="D452" t="n">
        <v>5.7e-08</v>
      </c>
      <c r="E452" t="n">
        <v>52.06742</v>
      </c>
      <c r="F452" t="n">
        <v>68.26062</v>
      </c>
      <c r="G452" t="n">
        <v>12.53683</v>
      </c>
      <c r="I452" t="n">
        <v>3.067384</v>
      </c>
      <c r="J452" t="n">
        <v>3.663567</v>
      </c>
      <c r="L452" t="n">
        <v>58.71409</v>
      </c>
      <c r="M452" t="n">
        <v>52.75811</v>
      </c>
      <c r="O452" t="n">
        <v>38.94503</v>
      </c>
      <c r="R452" t="n">
        <v>53.11453</v>
      </c>
      <c r="S452" t="n">
        <v>59.58319</v>
      </c>
      <c r="U452" t="n">
        <v>51.81276</v>
      </c>
      <c r="V452" t="n">
        <v>44.2667</v>
      </c>
      <c r="W452" t="n">
        <v>16.24855</v>
      </c>
      <c r="X452" t="n">
        <v>4.373288</v>
      </c>
      <c r="Y452" t="n">
        <v>6.973108</v>
      </c>
      <c r="Z452" t="n">
        <v>11.23936</v>
      </c>
      <c r="AA452" t="n">
        <v>51.54601</v>
      </c>
      <c r="AB452" t="n">
        <v>16.29341</v>
      </c>
      <c r="AC452" t="n">
        <v>15.52419</v>
      </c>
      <c r="AD452" t="n">
        <v>41.6946</v>
      </c>
      <c r="AE452" t="n">
        <v>85.72156</v>
      </c>
      <c r="AF452" t="n">
        <v>32.12188</v>
      </c>
      <c r="AH452" t="n">
        <v>54.59413</v>
      </c>
      <c r="AJ452" t="n">
        <v>1.290672</v>
      </c>
      <c r="AK452" t="n">
        <v>56.61222</v>
      </c>
      <c r="AL452" t="n">
        <v>47.8</v>
      </c>
      <c r="AM452" t="n">
        <v>31.91934</v>
      </c>
      <c r="AN452" t="n">
        <v>26.02737</v>
      </c>
      <c r="AP452" t="n">
        <v>28.8784</v>
      </c>
      <c r="AT452" t="n">
        <v>0.005570884</v>
      </c>
      <c r="AU452" t="n">
        <v>51.08094</v>
      </c>
      <c r="AV452" t="n">
        <v>0.007938634999999999</v>
      </c>
      <c r="AW452" t="n">
        <v>46.19922</v>
      </c>
      <c r="AX452" t="n">
        <v>11.40568</v>
      </c>
    </row>
    <row r="453">
      <c r="A453" s="92" t="n">
        <v>31625</v>
      </c>
      <c r="B453" t="n">
        <v>54.35503</v>
      </c>
      <c r="C453" t="n">
        <v>55.82142</v>
      </c>
      <c r="D453" t="n">
        <v>5.9e-08</v>
      </c>
      <c r="E453" t="n">
        <v>52.14643</v>
      </c>
      <c r="F453" t="n">
        <v>68.39223</v>
      </c>
      <c r="G453" t="n">
        <v>12.61591</v>
      </c>
      <c r="I453" t="n">
        <v>3.108174</v>
      </c>
      <c r="J453" t="n">
        <v>3.691533</v>
      </c>
      <c r="L453" t="n">
        <v>58.51838</v>
      </c>
      <c r="M453" t="n">
        <v>53.03633</v>
      </c>
      <c r="O453" t="n">
        <v>39.05549</v>
      </c>
      <c r="R453" t="n">
        <v>53.26938</v>
      </c>
      <c r="S453" t="n">
        <v>59.6567</v>
      </c>
      <c r="U453" t="n">
        <v>51.85366</v>
      </c>
      <c r="V453" t="n">
        <v>44.4029</v>
      </c>
      <c r="W453" t="n">
        <v>16.20534</v>
      </c>
      <c r="X453" t="n">
        <v>4.356644</v>
      </c>
      <c r="Y453" t="n">
        <v>6.985605</v>
      </c>
      <c r="Z453" t="n">
        <v>11.30492</v>
      </c>
      <c r="AA453" t="n">
        <v>51.54601</v>
      </c>
      <c r="AB453" t="n">
        <v>16.48042</v>
      </c>
      <c r="AC453" t="n">
        <v>15.72581</v>
      </c>
      <c r="AD453" t="n">
        <v>41.81282</v>
      </c>
      <c r="AE453" t="n">
        <v>85.51794</v>
      </c>
      <c r="AF453" t="n">
        <v>32.09059</v>
      </c>
      <c r="AH453" t="n">
        <v>54.42639</v>
      </c>
      <c r="AJ453" t="n">
        <v>1.393574</v>
      </c>
      <c r="AK453" t="n">
        <v>56.72625</v>
      </c>
      <c r="AL453" t="n">
        <v>47.9</v>
      </c>
      <c r="AM453" t="n">
        <v>32.10971</v>
      </c>
      <c r="AN453" t="n">
        <v>26.06409</v>
      </c>
      <c r="AP453" t="n">
        <v>29.14809</v>
      </c>
      <c r="AT453" t="n">
        <v>0.005926699</v>
      </c>
      <c r="AU453" t="n">
        <v>51.01392</v>
      </c>
      <c r="AV453" t="n">
        <v>0.008007782999999999</v>
      </c>
      <c r="AW453" t="n">
        <v>46.2836</v>
      </c>
      <c r="AX453" t="n">
        <v>11.54366</v>
      </c>
    </row>
    <row r="454">
      <c r="A454" s="92" t="n">
        <v>31656</v>
      </c>
      <c r="B454" t="n">
        <v>54.39479</v>
      </c>
      <c r="C454" t="n">
        <v>56.01867</v>
      </c>
      <c r="D454" t="n">
        <v>5.999999999999999e-08</v>
      </c>
      <c r="E454" t="n">
        <v>52.14643</v>
      </c>
      <c r="F454" t="n">
        <v>68.51121999999999</v>
      </c>
      <c r="G454" t="n">
        <v>12.80917</v>
      </c>
      <c r="I454" t="n">
        <v>3.157122</v>
      </c>
      <c r="J454" t="n">
        <v>3.749617</v>
      </c>
      <c r="L454" t="n">
        <v>58.58361</v>
      </c>
      <c r="M454" t="n">
        <v>53.45367</v>
      </c>
      <c r="O454" t="n">
        <v>39.4598</v>
      </c>
      <c r="R454" t="n">
        <v>53.52747</v>
      </c>
      <c r="S454" t="n">
        <v>59.87724</v>
      </c>
      <c r="U454" t="n">
        <v>52.05399</v>
      </c>
      <c r="V454" t="n">
        <v>44.62991</v>
      </c>
      <c r="W454" t="n">
        <v>16.76712</v>
      </c>
      <c r="X454" t="n">
        <v>4.402415</v>
      </c>
      <c r="Y454" t="n">
        <v>7.185551</v>
      </c>
      <c r="Z454" t="n">
        <v>11.37412</v>
      </c>
      <c r="AA454" t="n">
        <v>51.54601</v>
      </c>
      <c r="AB454" t="n">
        <v>16.66744</v>
      </c>
      <c r="AC454" t="n">
        <v>16.02822</v>
      </c>
      <c r="AD454" t="n">
        <v>41.93105</v>
      </c>
      <c r="AE454" t="n">
        <v>85.92516999999999</v>
      </c>
      <c r="AF454" t="n">
        <v>32.27766</v>
      </c>
      <c r="AH454" t="n">
        <v>54.56792</v>
      </c>
      <c r="AJ454" t="n">
        <v>1.477175</v>
      </c>
      <c r="AK454" t="n">
        <v>56.95429</v>
      </c>
      <c r="AL454" t="n">
        <v>48.6</v>
      </c>
      <c r="AM454" t="n">
        <v>32.38229</v>
      </c>
      <c r="AN454" t="n">
        <v>26.21278</v>
      </c>
      <c r="AP454" t="n">
        <v>29.26851</v>
      </c>
      <c r="AT454" t="n">
        <v>0.00635958</v>
      </c>
      <c r="AU454" t="n">
        <v>51.48624</v>
      </c>
      <c r="AV454" t="n">
        <v>0.008192174999999999</v>
      </c>
      <c r="AW454" t="n">
        <v>46.49456</v>
      </c>
      <c r="AX454" t="n">
        <v>11.77361</v>
      </c>
    </row>
    <row r="455">
      <c r="A455" s="92" t="n">
        <v>31686</v>
      </c>
      <c r="B455" t="n">
        <v>54.35503</v>
      </c>
      <c r="C455" t="n">
        <v>55.95527</v>
      </c>
      <c r="D455" t="n">
        <v>6.1e-08</v>
      </c>
      <c r="E455" t="n">
        <v>52.46247</v>
      </c>
      <c r="F455" t="n">
        <v>68.52795999999999</v>
      </c>
      <c r="G455" t="n">
        <v>13.00367</v>
      </c>
      <c r="I455" t="n">
        <v>3.222385</v>
      </c>
      <c r="J455" t="n">
        <v>3.74639</v>
      </c>
      <c r="L455" t="n">
        <v>58.3879</v>
      </c>
      <c r="M455" t="n">
        <v>53.558</v>
      </c>
      <c r="O455" t="n">
        <v>39.60726</v>
      </c>
      <c r="R455" t="n">
        <v>53.6307</v>
      </c>
      <c r="S455" t="n">
        <v>60.02427</v>
      </c>
      <c r="U455" t="n">
        <v>52.1148</v>
      </c>
      <c r="V455" t="n">
        <v>44.72071</v>
      </c>
      <c r="W455" t="n">
        <v>17.22087</v>
      </c>
      <c r="X455" t="n">
        <v>4.423221</v>
      </c>
      <c r="Y455" t="n">
        <v>7.329262</v>
      </c>
      <c r="Z455" t="n">
        <v>11.52344</v>
      </c>
      <c r="AA455" t="n">
        <v>51.64438</v>
      </c>
      <c r="AB455" t="n">
        <v>16.73757</v>
      </c>
      <c r="AC455" t="n">
        <v>16.43145</v>
      </c>
      <c r="AD455" t="n">
        <v>42.12809</v>
      </c>
      <c r="AE455" t="n">
        <v>86.02697999999999</v>
      </c>
      <c r="AF455" t="n">
        <v>31.9661</v>
      </c>
      <c r="AH455" t="n">
        <v>54.63607</v>
      </c>
      <c r="AJ455" t="n">
        <v>1.561612</v>
      </c>
      <c r="AK455" t="n">
        <v>57.12533</v>
      </c>
      <c r="AL455" t="n">
        <v>48.8</v>
      </c>
      <c r="AM455" t="n">
        <v>32.63064</v>
      </c>
      <c r="AN455" t="n">
        <v>26.37369</v>
      </c>
      <c r="AP455" t="n">
        <v>29.45461</v>
      </c>
      <c r="AT455" t="n">
        <v>0.006761306</v>
      </c>
      <c r="AU455" t="n">
        <v>51.67134</v>
      </c>
      <c r="AV455" t="n">
        <v>0.008793502</v>
      </c>
      <c r="AW455" t="n">
        <v>46.53675</v>
      </c>
      <c r="AX455" t="n">
        <v>11.91158</v>
      </c>
    </row>
    <row r="456">
      <c r="A456" s="92" t="n">
        <v>31717</v>
      </c>
      <c r="B456" t="n">
        <v>54.25562</v>
      </c>
      <c r="C456" t="n">
        <v>55.913</v>
      </c>
      <c r="D456" t="n">
        <v>6.5e-08</v>
      </c>
      <c r="E456" t="n">
        <v>52.6995</v>
      </c>
      <c r="F456" t="n">
        <v>68.69746000000001</v>
      </c>
      <c r="G456" t="n">
        <v>13.18656</v>
      </c>
      <c r="I456" t="n">
        <v>3.287649</v>
      </c>
      <c r="J456" t="n">
        <v>3.791566</v>
      </c>
      <c r="L456" t="n">
        <v>58.32266</v>
      </c>
      <c r="M456" t="n">
        <v>53.69711</v>
      </c>
      <c r="O456" t="n">
        <v>39.51639</v>
      </c>
      <c r="R456" t="n">
        <v>53.57909</v>
      </c>
      <c r="S456" t="n">
        <v>60.09779</v>
      </c>
      <c r="U456" t="n">
        <v>52.16013</v>
      </c>
      <c r="V456" t="n">
        <v>45.08393</v>
      </c>
      <c r="W456" t="n">
        <v>17.35052</v>
      </c>
      <c r="X456" t="n">
        <v>4.452348</v>
      </c>
      <c r="Y456" t="n">
        <v>7.366752</v>
      </c>
      <c r="Z456" t="n">
        <v>11.63999</v>
      </c>
      <c r="AA456" t="n">
        <v>51.64438</v>
      </c>
      <c r="AB456" t="n">
        <v>17.08821</v>
      </c>
      <c r="AC456" t="n">
        <v>16.83468</v>
      </c>
      <c r="AD456" t="n">
        <v>42.32514</v>
      </c>
      <c r="AE456" t="n">
        <v>85.61975</v>
      </c>
      <c r="AF456" t="n">
        <v>31.90418</v>
      </c>
      <c r="AH456" t="n">
        <v>54.64655</v>
      </c>
      <c r="AJ456" t="n">
        <v>1.667117</v>
      </c>
      <c r="AK456" t="n">
        <v>57.18234</v>
      </c>
      <c r="AL456" t="n">
        <v>49</v>
      </c>
      <c r="AM456" t="n">
        <v>32.83389</v>
      </c>
      <c r="AN456" t="n">
        <v>26.46358</v>
      </c>
      <c r="AP456" t="n">
        <v>29.7044</v>
      </c>
      <c r="AT456" t="n">
        <v>0.007140078</v>
      </c>
      <c r="AU456" t="n">
        <v>51.68092</v>
      </c>
      <c r="AV456" t="n">
        <v>0.008993773</v>
      </c>
      <c r="AW456" t="n">
        <v>46.57894</v>
      </c>
      <c r="AX456" t="n">
        <v>12.04955</v>
      </c>
    </row>
    <row r="457">
      <c r="A457" s="92" t="n">
        <v>31747</v>
      </c>
      <c r="B457" t="n">
        <v>54.33515</v>
      </c>
      <c r="C457" t="n">
        <v>55.95527</v>
      </c>
      <c r="D457" t="n">
        <v>7.2e-08</v>
      </c>
      <c r="E457" t="n">
        <v>52.77851</v>
      </c>
      <c r="F457" t="n">
        <v>68.83468999999999</v>
      </c>
      <c r="G457" t="n">
        <v>13.38724</v>
      </c>
      <c r="I457" t="n">
        <v>3.369228</v>
      </c>
      <c r="J457" t="n">
        <v>3.870086</v>
      </c>
      <c r="L457" t="n">
        <v>58.3879</v>
      </c>
      <c r="M457" t="n">
        <v>53.66233</v>
      </c>
      <c r="O457" t="n">
        <v>39.68508</v>
      </c>
      <c r="R457" t="n">
        <v>53.68232</v>
      </c>
      <c r="S457" t="n">
        <v>60.1713</v>
      </c>
      <c r="U457" t="n">
        <v>52.20693</v>
      </c>
      <c r="V457" t="n">
        <v>45.22013</v>
      </c>
      <c r="W457" t="n">
        <v>17.54498</v>
      </c>
      <c r="X457" t="n">
        <v>4.485637</v>
      </c>
      <c r="Y457" t="n">
        <v>7.391745</v>
      </c>
      <c r="Z457" t="n">
        <v>11.57443</v>
      </c>
      <c r="AA457" t="n">
        <v>51.64438</v>
      </c>
      <c r="AB457" t="n">
        <v>17.25185</v>
      </c>
      <c r="AC457" t="n">
        <v>17.03629</v>
      </c>
      <c r="AD457" t="n">
        <v>42.48277</v>
      </c>
      <c r="AE457" t="n">
        <v>85.41614</v>
      </c>
      <c r="AF457" t="n">
        <v>31.90418</v>
      </c>
      <c r="AH457" t="n">
        <v>54.6151</v>
      </c>
      <c r="AJ457" t="n">
        <v>1.798805</v>
      </c>
      <c r="AK457" t="n">
        <v>57.06832</v>
      </c>
      <c r="AL457" t="n">
        <v>49.2</v>
      </c>
      <c r="AM457" t="n">
        <v>33.08371</v>
      </c>
      <c r="AN457" t="n">
        <v>26.55473</v>
      </c>
      <c r="AP457" t="n">
        <v>30.19802</v>
      </c>
      <c r="AT457" t="n">
        <v>0.007404889</v>
      </c>
      <c r="AU457" t="n">
        <v>51.80857</v>
      </c>
      <c r="AV457" t="n">
        <v>0.009141287999999999</v>
      </c>
      <c r="AW457" t="n">
        <v>46.62113</v>
      </c>
      <c r="AX457" t="n">
        <v>12.18752</v>
      </c>
    </row>
    <row r="458">
      <c r="A458" s="92" t="n">
        <v>31778</v>
      </c>
      <c r="B458" t="n">
        <v>54.39479</v>
      </c>
      <c r="C458" t="n">
        <v>56.18774</v>
      </c>
      <c r="D458" t="n">
        <v>8.200000000000001e-08</v>
      </c>
      <c r="E458" t="n">
        <v>52.93653</v>
      </c>
      <c r="F458" t="n">
        <v>69.23295</v>
      </c>
      <c r="G458" t="n">
        <v>13.65342</v>
      </c>
      <c r="I458" t="n">
        <v>3.483439</v>
      </c>
      <c r="J458" t="n">
        <v>3.97227</v>
      </c>
      <c r="L458" t="n">
        <v>58.71409</v>
      </c>
      <c r="M458" t="n">
        <v>53.76667</v>
      </c>
      <c r="O458" t="n">
        <v>39.98926</v>
      </c>
      <c r="R458" t="n">
        <v>54.35335</v>
      </c>
      <c r="S458" t="n">
        <v>60.72266</v>
      </c>
      <c r="U458" t="n">
        <v>52.45518</v>
      </c>
      <c r="V458" t="n">
        <v>45.40174</v>
      </c>
      <c r="W458" t="n">
        <v>17.76105</v>
      </c>
      <c r="X458" t="n">
        <v>4.560536</v>
      </c>
      <c r="Y458" t="n">
        <v>7.416738</v>
      </c>
      <c r="Z458" t="n">
        <v>11.57443</v>
      </c>
      <c r="AA458" t="n">
        <v>52.62809</v>
      </c>
      <c r="AB458" t="n">
        <v>17.64925</v>
      </c>
      <c r="AC458" t="n">
        <v>17.43952</v>
      </c>
      <c r="AD458" t="n">
        <v>42.71923</v>
      </c>
      <c r="AE458" t="n">
        <v>85.11072</v>
      </c>
      <c r="AF458" t="n">
        <v>32.02868</v>
      </c>
      <c r="AH458" t="n">
        <v>54.69897</v>
      </c>
      <c r="AJ458" t="n">
        <v>1.944452</v>
      </c>
      <c r="AK458" t="n">
        <v>56.32717</v>
      </c>
      <c r="AL458" t="n">
        <v>49.9</v>
      </c>
      <c r="AM458" t="n">
        <v>33.37245</v>
      </c>
      <c r="AN458" t="n">
        <v>26.74111</v>
      </c>
      <c r="AP458" t="n">
        <v>30.65282</v>
      </c>
      <c r="AT458" t="n">
        <v>0.007878763</v>
      </c>
      <c r="AU458" t="n">
        <v>52.28408</v>
      </c>
      <c r="AV458" t="n">
        <v>0.009410194</v>
      </c>
      <c r="AW458" t="n">
        <v>46.91647</v>
      </c>
      <c r="AX458" t="n">
        <v>12.3255</v>
      </c>
    </row>
    <row r="459">
      <c r="A459" s="92" t="n">
        <v>31809</v>
      </c>
      <c r="B459" t="n">
        <v>54.33515</v>
      </c>
      <c r="C459" t="n">
        <v>56.30045</v>
      </c>
      <c r="D459" t="n">
        <v>9.2e-08</v>
      </c>
      <c r="E459" t="n">
        <v>53.17356</v>
      </c>
      <c r="F459" t="n">
        <v>69.43613999999999</v>
      </c>
      <c r="G459" t="n">
        <v>13.88969</v>
      </c>
      <c r="I459" t="n">
        <v>3.548703</v>
      </c>
      <c r="J459" t="n">
        <v>3.974422</v>
      </c>
      <c r="L459" t="n">
        <v>58.77933</v>
      </c>
      <c r="M459" t="n">
        <v>53.73189</v>
      </c>
      <c r="O459" t="n">
        <v>40.15958</v>
      </c>
      <c r="R459" t="n">
        <v>54.55982</v>
      </c>
      <c r="S459" t="n">
        <v>60.83293</v>
      </c>
      <c r="U459" t="n">
        <v>52.60802</v>
      </c>
      <c r="V459" t="n">
        <v>45.58335</v>
      </c>
      <c r="W459" t="n">
        <v>17.84748</v>
      </c>
      <c r="X459" t="n">
        <v>4.589664</v>
      </c>
      <c r="Y459" t="n">
        <v>7.522959</v>
      </c>
      <c r="Z459" t="n">
        <v>11.54165</v>
      </c>
      <c r="AA459" t="n">
        <v>52.62809</v>
      </c>
      <c r="AB459" t="n">
        <v>17.90639</v>
      </c>
      <c r="AC459" t="n">
        <v>17.54032</v>
      </c>
      <c r="AD459" t="n">
        <v>42.95568</v>
      </c>
      <c r="AE459" t="n">
        <v>85.11072</v>
      </c>
      <c r="AF459" t="n">
        <v>32.09059</v>
      </c>
      <c r="AH459" t="n">
        <v>54.78284</v>
      </c>
      <c r="AJ459" t="n">
        <v>2.084759</v>
      </c>
      <c r="AK459" t="n">
        <v>56.38418</v>
      </c>
      <c r="AL459" t="n">
        <v>50.4</v>
      </c>
      <c r="AM459" t="n">
        <v>33.58607</v>
      </c>
      <c r="AN459" t="n">
        <v>26.85637</v>
      </c>
      <c r="AP459" t="n">
        <v>31.00711</v>
      </c>
      <c r="AT459" t="n">
        <v>0.008444459</v>
      </c>
      <c r="AU459" t="n">
        <v>52.45004</v>
      </c>
      <c r="AV459" t="n">
        <v>0.009664247000000001</v>
      </c>
      <c r="AW459" t="n">
        <v>47.08523</v>
      </c>
      <c r="AX459" t="n">
        <v>12.50946</v>
      </c>
    </row>
    <row r="460">
      <c r="A460" s="92" t="n">
        <v>31837</v>
      </c>
      <c r="B460" t="n">
        <v>54.45443</v>
      </c>
      <c r="C460" t="n">
        <v>56.35681</v>
      </c>
      <c r="D460" t="n">
        <v>1.07e-07</v>
      </c>
      <c r="E460" t="n">
        <v>53.33158</v>
      </c>
      <c r="F460" t="n">
        <v>69.53317</v>
      </c>
      <c r="G460" t="n">
        <v>14.11755</v>
      </c>
      <c r="I460" t="n">
        <v>3.646598</v>
      </c>
      <c r="J460" t="n">
        <v>4.040035</v>
      </c>
      <c r="L460" t="n">
        <v>58.77933</v>
      </c>
      <c r="M460" t="n">
        <v>54.21878</v>
      </c>
      <c r="O460" t="n">
        <v>40.39302</v>
      </c>
      <c r="R460" t="n">
        <v>54.86953</v>
      </c>
      <c r="S460" t="n">
        <v>60.90644</v>
      </c>
      <c r="U460" t="n">
        <v>52.77968</v>
      </c>
      <c r="V460" t="n">
        <v>45.67415</v>
      </c>
      <c r="W460" t="n">
        <v>18.40926</v>
      </c>
      <c r="X460" t="n">
        <v>4.606308</v>
      </c>
      <c r="Y460" t="n">
        <v>7.504214</v>
      </c>
      <c r="Z460" t="n">
        <v>11.54165</v>
      </c>
      <c r="AA460" t="n">
        <v>52.62809</v>
      </c>
      <c r="AB460" t="n">
        <v>18.18691</v>
      </c>
      <c r="AC460" t="n">
        <v>17.84274</v>
      </c>
      <c r="AD460" t="n">
        <v>43.07391</v>
      </c>
      <c r="AE460" t="n">
        <v>85.41614</v>
      </c>
      <c r="AF460" t="n">
        <v>32.34023</v>
      </c>
      <c r="AH460" t="n">
        <v>54.76711</v>
      </c>
      <c r="AJ460" t="n">
        <v>2.222534</v>
      </c>
      <c r="AK460" t="n">
        <v>56.4982</v>
      </c>
      <c r="AL460" t="n">
        <v>50.9</v>
      </c>
      <c r="AM460" t="n">
        <v>33.82933</v>
      </c>
      <c r="AN460" t="n">
        <v>26.98301</v>
      </c>
      <c r="AP460" t="n">
        <v>31.42509</v>
      </c>
      <c r="AT460" t="n">
        <v>0.00937171</v>
      </c>
      <c r="AU460" t="n">
        <v>52.55535</v>
      </c>
      <c r="AV460" t="n">
        <v>0.01002535</v>
      </c>
      <c r="AW460" t="n">
        <v>47.29618</v>
      </c>
      <c r="AX460" t="n">
        <v>12.69342</v>
      </c>
    </row>
    <row r="461">
      <c r="A461" s="92" t="n">
        <v>31868</v>
      </c>
      <c r="B461" t="n">
        <v>54.55384</v>
      </c>
      <c r="C461" t="n">
        <v>56.61746</v>
      </c>
      <c r="D461" t="n">
        <v>1.28e-07</v>
      </c>
      <c r="E461" t="n">
        <v>53.64762</v>
      </c>
      <c r="F461" t="n">
        <v>69.61998</v>
      </c>
      <c r="G461" t="n">
        <v>14.45046</v>
      </c>
      <c r="I461" t="n">
        <v>3.728178</v>
      </c>
      <c r="J461" t="n">
        <v>4.126084</v>
      </c>
      <c r="L461" t="n">
        <v>58.9098</v>
      </c>
      <c r="M461" t="n">
        <v>54.42745</v>
      </c>
      <c r="O461" t="n">
        <v>40.48444</v>
      </c>
      <c r="R461" t="n">
        <v>55.12762</v>
      </c>
      <c r="S461" t="n">
        <v>61.23726</v>
      </c>
      <c r="U461" t="n">
        <v>53.092</v>
      </c>
      <c r="V461" t="n">
        <v>46.21898</v>
      </c>
      <c r="W461" t="n">
        <v>18.79819</v>
      </c>
      <c r="X461" t="n">
        <v>4.668724</v>
      </c>
      <c r="Y461" t="n">
        <v>7.510463</v>
      </c>
      <c r="Z461" t="n">
        <v>11.62542</v>
      </c>
      <c r="AA461" t="n">
        <v>52.92319</v>
      </c>
      <c r="AB461" t="n">
        <v>18.42067</v>
      </c>
      <c r="AC461" t="n">
        <v>18.14516</v>
      </c>
      <c r="AD461" t="n">
        <v>43.23154</v>
      </c>
      <c r="AE461" t="n">
        <v>86.23059000000001</v>
      </c>
      <c r="AF461" t="n">
        <v>32.5273</v>
      </c>
      <c r="AH461" t="n">
        <v>54.63083</v>
      </c>
      <c r="AJ461" t="n">
        <v>2.416995</v>
      </c>
      <c r="AK461" t="n">
        <v>56.61222</v>
      </c>
      <c r="AL461" t="n">
        <v>51.1</v>
      </c>
      <c r="AM461" t="n">
        <v>34.17761</v>
      </c>
      <c r="AN461" t="n">
        <v>27.1402</v>
      </c>
      <c r="AP461" t="n">
        <v>31.58332</v>
      </c>
      <c r="AT461" t="n">
        <v>0.009967742</v>
      </c>
      <c r="AU461" t="n">
        <v>52.69258</v>
      </c>
      <c r="AV461" t="n">
        <v>0.01023535</v>
      </c>
      <c r="AW461" t="n">
        <v>47.54933</v>
      </c>
      <c r="AX461" t="n">
        <v>12.87738</v>
      </c>
    </row>
    <row r="462">
      <c r="A462" s="92" t="n">
        <v>31898</v>
      </c>
      <c r="B462" t="n">
        <v>54.73277</v>
      </c>
      <c r="C462" t="n">
        <v>56.64564</v>
      </c>
      <c r="D462" t="n">
        <v>1.55e-07</v>
      </c>
      <c r="E462" t="n">
        <v>53.96366</v>
      </c>
      <c r="F462" t="n">
        <v>69.23425</v>
      </c>
      <c r="G462" t="n">
        <v>14.66917</v>
      </c>
      <c r="I462" t="n">
        <v>3.793441</v>
      </c>
      <c r="J462" t="n">
        <v>4.172336</v>
      </c>
      <c r="L462" t="n">
        <v>58.9098</v>
      </c>
      <c r="M462" t="n">
        <v>54.94912</v>
      </c>
      <c r="O462" t="n">
        <v>40.43438</v>
      </c>
      <c r="R462" t="n">
        <v>55.17923</v>
      </c>
      <c r="S462" t="n">
        <v>61.34753</v>
      </c>
      <c r="U462" t="n">
        <v>53.23542</v>
      </c>
      <c r="V462" t="n">
        <v>46.26437</v>
      </c>
      <c r="W462" t="n">
        <v>18.92784</v>
      </c>
      <c r="X462" t="n">
        <v>4.73114</v>
      </c>
      <c r="Y462" t="n">
        <v>7.654173</v>
      </c>
      <c r="Z462" t="n">
        <v>11.82573</v>
      </c>
      <c r="AA462" t="n">
        <v>52.92319</v>
      </c>
      <c r="AB462" t="n">
        <v>18.65444</v>
      </c>
      <c r="AC462" t="n">
        <v>18.34678</v>
      </c>
      <c r="AD462" t="n">
        <v>43.42859</v>
      </c>
      <c r="AE462" t="n">
        <v>86.33240000000001</v>
      </c>
      <c r="AF462" t="n">
        <v>33.02526</v>
      </c>
      <c r="AH462" t="n">
        <v>54.55744</v>
      </c>
      <c r="AJ462" t="n">
        <v>2.599209</v>
      </c>
      <c r="AK462" t="n">
        <v>56.55521</v>
      </c>
      <c r="AL462" t="n">
        <v>51.2</v>
      </c>
      <c r="AM462" t="n">
        <v>34.43232</v>
      </c>
      <c r="AN462" t="n">
        <v>27.24938</v>
      </c>
      <c r="AP462" t="n">
        <v>31.61716</v>
      </c>
      <c r="AT462" t="n">
        <v>0.01027191</v>
      </c>
      <c r="AU462" t="n">
        <v>52.73407</v>
      </c>
      <c r="AV462" t="n">
        <v>0.01074039</v>
      </c>
      <c r="AW462" t="n">
        <v>47.7181</v>
      </c>
      <c r="AX462" t="n">
        <v>12.96937</v>
      </c>
    </row>
    <row r="463">
      <c r="A463" s="92" t="n">
        <v>31929</v>
      </c>
      <c r="B463" t="n">
        <v>55.20992</v>
      </c>
      <c r="C463" t="n">
        <v>56.70904</v>
      </c>
      <c r="D463" t="n">
        <v>1.86e-07</v>
      </c>
      <c r="E463" t="n">
        <v>54.12167</v>
      </c>
      <c r="F463" t="n">
        <v>69.45528</v>
      </c>
      <c r="G463" t="n">
        <v>14.77173</v>
      </c>
      <c r="I463" t="n">
        <v>3.826073</v>
      </c>
      <c r="J463" t="n">
        <v>4.189546</v>
      </c>
      <c r="L463" t="n">
        <v>58.97504</v>
      </c>
      <c r="M463" t="n">
        <v>54.91434</v>
      </c>
      <c r="O463" t="n">
        <v>40.44417</v>
      </c>
      <c r="R463" t="n">
        <v>55.3857</v>
      </c>
      <c r="S463" t="n">
        <v>61.4578</v>
      </c>
      <c r="U463" t="n">
        <v>53.35499</v>
      </c>
      <c r="V463" t="n">
        <v>46.26437</v>
      </c>
      <c r="W463" t="n">
        <v>19.38158</v>
      </c>
      <c r="X463" t="n">
        <v>4.726979</v>
      </c>
      <c r="Y463" t="n">
        <v>7.672918</v>
      </c>
      <c r="Z463" t="n">
        <v>12.02969</v>
      </c>
      <c r="AA463" t="n">
        <v>52.92319</v>
      </c>
      <c r="AB463" t="n">
        <v>19.02846</v>
      </c>
      <c r="AC463" t="n">
        <v>18.44758</v>
      </c>
      <c r="AD463" t="n">
        <v>43.58622</v>
      </c>
      <c r="AE463" t="n">
        <v>86.23059000000001</v>
      </c>
      <c r="AF463" t="n">
        <v>32.99464</v>
      </c>
      <c r="AH463" t="n">
        <v>54.48929</v>
      </c>
      <c r="AJ463" t="n">
        <v>2.787243</v>
      </c>
      <c r="AK463" t="n">
        <v>56.55521</v>
      </c>
      <c r="AL463" t="n">
        <v>51.5</v>
      </c>
      <c r="AM463" t="n">
        <v>34.64242</v>
      </c>
      <c r="AN463" t="n">
        <v>27.29958</v>
      </c>
      <c r="AP463" t="n">
        <v>31.53257</v>
      </c>
      <c r="AT463" t="n">
        <v>0.01136805</v>
      </c>
      <c r="AU463" t="n">
        <v>52.63832</v>
      </c>
      <c r="AV463" t="n">
        <v>0.01072912</v>
      </c>
      <c r="AW463" t="n">
        <v>47.88686</v>
      </c>
      <c r="AX463" t="n">
        <v>13.10734</v>
      </c>
    </row>
    <row r="464">
      <c r="A464" s="92" t="n">
        <v>31959</v>
      </c>
      <c r="B464" t="n">
        <v>55.48825</v>
      </c>
      <c r="C464" t="n">
        <v>56.90629</v>
      </c>
      <c r="D464" t="n">
        <v>2.03e-07</v>
      </c>
      <c r="E464" t="n">
        <v>54.43771</v>
      </c>
      <c r="F464" t="n">
        <v>69.47313</v>
      </c>
      <c r="G464" t="n">
        <v>15.01988</v>
      </c>
      <c r="I464" t="n">
        <v>3.883178</v>
      </c>
      <c r="J464" t="n">
        <v>4.202454</v>
      </c>
      <c r="L464" t="n">
        <v>58.97504</v>
      </c>
      <c r="M464" t="n">
        <v>54.91434</v>
      </c>
      <c r="O464" t="n">
        <v>40.85392</v>
      </c>
      <c r="R464" t="n">
        <v>55.33409</v>
      </c>
      <c r="S464" t="n">
        <v>61.60482</v>
      </c>
      <c r="U464" t="n">
        <v>53.41653</v>
      </c>
      <c r="V464" t="n">
        <v>46.21898</v>
      </c>
      <c r="W464" t="n">
        <v>18.99266</v>
      </c>
      <c r="X464" t="n">
        <v>4.806039</v>
      </c>
      <c r="Y464" t="n">
        <v>7.70416</v>
      </c>
      <c r="Z464" t="n">
        <v>12.17901</v>
      </c>
      <c r="AA464" t="n">
        <v>53.21831</v>
      </c>
      <c r="AB464" t="n">
        <v>19.35573</v>
      </c>
      <c r="AC464" t="n">
        <v>18.54839</v>
      </c>
      <c r="AD464" t="n">
        <v>43.66504</v>
      </c>
      <c r="AE464" t="n">
        <v>85.82335999999999</v>
      </c>
      <c r="AF464" t="n">
        <v>32.90078</v>
      </c>
      <c r="AH464" t="n">
        <v>54.48929</v>
      </c>
      <c r="AJ464" t="n">
        <v>3.012988</v>
      </c>
      <c r="AK464" t="n">
        <v>56.55521</v>
      </c>
      <c r="AL464" t="n">
        <v>51.6</v>
      </c>
      <c r="AM464" t="n">
        <v>34.87964</v>
      </c>
      <c r="AN464" t="n">
        <v>27.36822</v>
      </c>
      <c r="AP464" t="n">
        <v>31.63009</v>
      </c>
      <c r="AT464" t="n">
        <v>0.01232891</v>
      </c>
      <c r="AU464" t="n">
        <v>53.27021</v>
      </c>
      <c r="AV464" t="n">
        <v>0.01093451</v>
      </c>
      <c r="AW464" t="n">
        <v>48.01344</v>
      </c>
      <c r="AX464" t="n">
        <v>13.19932</v>
      </c>
    </row>
    <row r="465">
      <c r="A465" s="92" t="n">
        <v>31990</v>
      </c>
      <c r="B465" t="n">
        <v>55.7467</v>
      </c>
      <c r="C465" t="n">
        <v>57.08241</v>
      </c>
      <c r="D465" t="n">
        <v>2.12e-07</v>
      </c>
      <c r="E465" t="n">
        <v>54.51672</v>
      </c>
      <c r="F465" t="n">
        <v>69.74328</v>
      </c>
      <c r="G465" t="n">
        <v>15.23464</v>
      </c>
      <c r="I465" t="n">
        <v>3.899494</v>
      </c>
      <c r="J465" t="n">
        <v>4.229344</v>
      </c>
      <c r="L465" t="n">
        <v>58.9098</v>
      </c>
      <c r="M465" t="n">
        <v>55.08823</v>
      </c>
      <c r="O465" t="n">
        <v>40.83596</v>
      </c>
      <c r="R465" t="n">
        <v>55.48894</v>
      </c>
      <c r="S465" t="n">
        <v>61.75185</v>
      </c>
      <c r="U465" t="n">
        <v>53.5885</v>
      </c>
      <c r="V465" t="n">
        <v>46.35518</v>
      </c>
      <c r="W465" t="n">
        <v>18.88462</v>
      </c>
      <c r="X465" t="n">
        <v>4.814362</v>
      </c>
      <c r="Y465" t="n">
        <v>7.747898</v>
      </c>
      <c r="Z465" t="n">
        <v>12.38296</v>
      </c>
      <c r="AA465" t="n">
        <v>53.21831</v>
      </c>
      <c r="AB465" t="n">
        <v>19.84664</v>
      </c>
      <c r="AC465" t="n">
        <v>18.75</v>
      </c>
      <c r="AD465" t="n">
        <v>43.82267</v>
      </c>
      <c r="AE465" t="n">
        <v>85.82335999999999</v>
      </c>
      <c r="AF465" t="n">
        <v>33.36811</v>
      </c>
      <c r="AH465" t="n">
        <v>54.67276</v>
      </c>
      <c r="AJ465" t="n">
        <v>3.259238</v>
      </c>
      <c r="AK465" t="n">
        <v>56.72625</v>
      </c>
      <c r="AL465" t="n">
        <v>51.7</v>
      </c>
      <c r="AM465" t="n">
        <v>35.1794</v>
      </c>
      <c r="AN465" t="n">
        <v>27.44296</v>
      </c>
      <c r="AP465" t="n">
        <v>31.96846</v>
      </c>
      <c r="AT465" t="n">
        <v>0.01390876</v>
      </c>
      <c r="AU465" t="n">
        <v>53.54467</v>
      </c>
      <c r="AV465" t="n">
        <v>0.01112198</v>
      </c>
      <c r="AW465" t="n">
        <v>48.26658</v>
      </c>
      <c r="AX465" t="n">
        <v>13.42927</v>
      </c>
    </row>
    <row r="466">
      <c r="A466" s="92" t="n">
        <v>32021</v>
      </c>
      <c r="B466" t="n">
        <v>55.42861</v>
      </c>
      <c r="C466" t="n">
        <v>56.98378</v>
      </c>
      <c r="D466" t="n">
        <v>2.29e-07</v>
      </c>
      <c r="E466" t="n">
        <v>54.51672</v>
      </c>
      <c r="F466" t="n">
        <v>69.57747999999999</v>
      </c>
      <c r="G466" t="n">
        <v>15.52454</v>
      </c>
      <c r="I466" t="n">
        <v>3.948442</v>
      </c>
      <c r="J466" t="n">
        <v>4.278822</v>
      </c>
      <c r="L466" t="n">
        <v>58.84456</v>
      </c>
      <c r="M466" t="n">
        <v>55.40123</v>
      </c>
      <c r="O466" t="n">
        <v>41.21251</v>
      </c>
      <c r="R466" t="n">
        <v>55.79865</v>
      </c>
      <c r="S466" t="n">
        <v>61.78861</v>
      </c>
      <c r="U466" t="n">
        <v>53.82957</v>
      </c>
      <c r="V466" t="n">
        <v>46.49138</v>
      </c>
      <c r="W466" t="n">
        <v>19.23034</v>
      </c>
      <c r="X466" t="n">
        <v>4.84765</v>
      </c>
      <c r="Y466" t="n">
        <v>7.804133</v>
      </c>
      <c r="Z466" t="n">
        <v>12.53229</v>
      </c>
      <c r="AA466" t="n">
        <v>53.21831</v>
      </c>
      <c r="AB466" t="n">
        <v>20.05703</v>
      </c>
      <c r="AC466" t="n">
        <v>18.95161</v>
      </c>
      <c r="AD466" t="n">
        <v>44.09854</v>
      </c>
      <c r="AE466" t="n">
        <v>86.63782999999999</v>
      </c>
      <c r="AF466" t="n">
        <v>33.58647</v>
      </c>
      <c r="AH466" t="n">
        <v>54.74615</v>
      </c>
      <c r="AJ466" t="n">
        <v>3.473956</v>
      </c>
      <c r="AK466" t="n">
        <v>56.89728</v>
      </c>
      <c r="AL466" t="n">
        <v>52.4</v>
      </c>
      <c r="AM466" t="n">
        <v>35.50789</v>
      </c>
      <c r="AN466" t="n">
        <v>27.56637</v>
      </c>
      <c r="AP466" t="n">
        <v>32.05703</v>
      </c>
      <c r="AT466" t="n">
        <v>0.01540991</v>
      </c>
      <c r="AU466" t="n">
        <v>54.04572</v>
      </c>
      <c r="AV466" t="n">
        <v>0.01144723</v>
      </c>
      <c r="AW466" t="n">
        <v>48.51973</v>
      </c>
      <c r="AX466" t="n">
        <v>13.61323</v>
      </c>
    </row>
    <row r="467">
      <c r="A467" s="92" t="n">
        <v>32051</v>
      </c>
      <c r="B467" t="n">
        <v>55.3292</v>
      </c>
      <c r="C467" t="n">
        <v>56.92038</v>
      </c>
      <c r="D467" t="n">
        <v>2.55e-07</v>
      </c>
      <c r="E467" t="n">
        <v>54.67474</v>
      </c>
      <c r="F467" t="n">
        <v>69.88432</v>
      </c>
      <c r="G467" t="n">
        <v>15.89896</v>
      </c>
      <c r="I467" t="n">
        <v>4.021863</v>
      </c>
      <c r="J467" t="n">
        <v>4.311091</v>
      </c>
      <c r="L467" t="n">
        <v>58.9098</v>
      </c>
      <c r="M467" t="n">
        <v>55.64468</v>
      </c>
      <c r="O467" t="n">
        <v>41.45738</v>
      </c>
      <c r="R467" t="n">
        <v>55.90188</v>
      </c>
      <c r="S467" t="n">
        <v>61.93564</v>
      </c>
      <c r="U467" t="n">
        <v>53.97289</v>
      </c>
      <c r="V467" t="n">
        <v>46.71839</v>
      </c>
      <c r="W467" t="n">
        <v>19.83533</v>
      </c>
      <c r="X467" t="n">
        <v>4.8851</v>
      </c>
      <c r="Y467" t="n">
        <v>7.910354</v>
      </c>
      <c r="Z467" t="n">
        <v>12.61606</v>
      </c>
      <c r="AA467" t="n">
        <v>53.21831</v>
      </c>
      <c r="AB467" t="n">
        <v>20.3843</v>
      </c>
      <c r="AC467" t="n">
        <v>19.25403</v>
      </c>
      <c r="AD467" t="n">
        <v>44.45322</v>
      </c>
      <c r="AE467" t="n">
        <v>86.63782999999999</v>
      </c>
      <c r="AF467" t="n">
        <v>33.61776</v>
      </c>
      <c r="AH467" t="n">
        <v>54.75139</v>
      </c>
      <c r="AJ467" t="n">
        <v>3.76346</v>
      </c>
      <c r="AK467" t="n">
        <v>57.01131</v>
      </c>
      <c r="AL467" t="n">
        <v>52.5</v>
      </c>
      <c r="AM467" t="n">
        <v>35.87149</v>
      </c>
      <c r="AN467" t="n">
        <v>27.76211</v>
      </c>
      <c r="AP467" t="n">
        <v>32.4153</v>
      </c>
      <c r="AT467" t="n">
        <v>0.0168717</v>
      </c>
      <c r="AU467" t="n">
        <v>54.29464</v>
      </c>
      <c r="AV467" t="n">
        <v>0.01199682</v>
      </c>
      <c r="AW467" t="n">
        <v>48.6463</v>
      </c>
      <c r="AX467" t="n">
        <v>13.75121</v>
      </c>
    </row>
    <row r="468">
      <c r="A468" s="92" t="n">
        <v>32082</v>
      </c>
      <c r="B468" t="n">
        <v>55.15027</v>
      </c>
      <c r="C468" t="n">
        <v>56.75131</v>
      </c>
      <c r="D468" t="n">
        <v>2.93e-07</v>
      </c>
      <c r="E468" t="n">
        <v>54.91177</v>
      </c>
      <c r="F468" t="n">
        <v>70.13853</v>
      </c>
      <c r="G468" t="n">
        <v>16.20591</v>
      </c>
      <c r="I468" t="n">
        <v>4.103443</v>
      </c>
      <c r="J468" t="n">
        <v>4.411124</v>
      </c>
      <c r="L468" t="n">
        <v>58.9098</v>
      </c>
      <c r="M468" t="n">
        <v>55.81857</v>
      </c>
      <c r="O468" t="n">
        <v>41.36216</v>
      </c>
      <c r="R468" t="n">
        <v>55.79865</v>
      </c>
      <c r="S468" t="n">
        <v>62.00915</v>
      </c>
      <c r="U468" t="n">
        <v>54.0088</v>
      </c>
      <c r="V468" t="n">
        <v>46.9454</v>
      </c>
      <c r="W468" t="n">
        <v>20.00819</v>
      </c>
      <c r="X468" t="n">
        <v>4.92255</v>
      </c>
      <c r="Y468" t="n">
        <v>8.047815999999999</v>
      </c>
      <c r="Z468" t="n">
        <v>12.69982</v>
      </c>
      <c r="AA468" t="n">
        <v>53.21831</v>
      </c>
      <c r="AB468" t="n">
        <v>21.03884</v>
      </c>
      <c r="AC468" t="n">
        <v>19.55645</v>
      </c>
      <c r="AD468" t="n">
        <v>44.61085</v>
      </c>
      <c r="AE468" t="n">
        <v>86.23059000000001</v>
      </c>
      <c r="AF468" t="n">
        <v>33.55518</v>
      </c>
      <c r="AH468" t="n">
        <v>54.86671</v>
      </c>
      <c r="AJ468" t="n">
        <v>4.06198</v>
      </c>
      <c r="AK468" t="n">
        <v>56.95429</v>
      </c>
      <c r="AL468" t="n">
        <v>52.6</v>
      </c>
      <c r="AM468" t="n">
        <v>36.16809</v>
      </c>
      <c r="AN468" t="n">
        <v>27.91618</v>
      </c>
      <c r="AP468" t="n">
        <v>32.53472</v>
      </c>
      <c r="AT468" t="n">
        <v>0.0197502</v>
      </c>
      <c r="AU468" t="n">
        <v>54.46059</v>
      </c>
      <c r="AV468" t="n">
        <v>0.01274617</v>
      </c>
      <c r="AW468" t="n">
        <v>48.68849</v>
      </c>
      <c r="AX468" t="n">
        <v>13.88918</v>
      </c>
    </row>
    <row r="469">
      <c r="A469" s="92" t="n">
        <v>32112</v>
      </c>
      <c r="B469" t="n">
        <v>55.20992</v>
      </c>
      <c r="C469" t="n">
        <v>56.7654</v>
      </c>
      <c r="D469" t="n">
        <v>3.35e-07</v>
      </c>
      <c r="E469" t="n">
        <v>54.99078</v>
      </c>
      <c r="F469" t="n">
        <v>70.13361</v>
      </c>
      <c r="G469" t="n">
        <v>16.25904</v>
      </c>
      <c r="I469" t="n">
        <v>4.176864</v>
      </c>
      <c r="J469" t="n">
        <v>4.505779</v>
      </c>
      <c r="L469" t="n">
        <v>58.97504</v>
      </c>
      <c r="M469" t="n">
        <v>55.85334</v>
      </c>
      <c r="O469" t="n">
        <v>41.51017</v>
      </c>
      <c r="R469" t="n">
        <v>55.9535</v>
      </c>
      <c r="S469" t="n">
        <v>62.04591</v>
      </c>
      <c r="U469" t="n">
        <v>54.01595</v>
      </c>
      <c r="V469" t="n">
        <v>46.9</v>
      </c>
      <c r="W469" t="n">
        <v>20.31069</v>
      </c>
      <c r="X469" t="n">
        <v>4.976644</v>
      </c>
      <c r="Y469" t="n">
        <v>8.079059000000001</v>
      </c>
      <c r="Z469" t="n">
        <v>12.65248</v>
      </c>
      <c r="AA469" t="n">
        <v>53.21831</v>
      </c>
      <c r="AB469" t="n">
        <v>21.45962</v>
      </c>
      <c r="AC469" t="n">
        <v>19.75806</v>
      </c>
      <c r="AD469" t="n">
        <v>44.68967</v>
      </c>
      <c r="AE469" t="n">
        <v>86.12878000000001</v>
      </c>
      <c r="AF469" t="n">
        <v>33.83545</v>
      </c>
      <c r="AH469" t="n">
        <v>54.97155</v>
      </c>
      <c r="AJ469" t="n">
        <v>4.661928</v>
      </c>
      <c r="AK469" t="n">
        <v>56.78326</v>
      </c>
      <c r="AL469" t="n">
        <v>52.8</v>
      </c>
      <c r="AM469" t="n">
        <v>36.73999</v>
      </c>
      <c r="AN469" t="n">
        <v>28.16584</v>
      </c>
      <c r="AP469" t="n">
        <v>32.97758</v>
      </c>
      <c r="AT469" t="n">
        <v>0.02099309</v>
      </c>
      <c r="AU469" t="n">
        <v>54.46378</v>
      </c>
      <c r="AV469" t="n">
        <v>0.01417368</v>
      </c>
      <c r="AW469" t="n">
        <v>48.68849</v>
      </c>
      <c r="AX469" t="n">
        <v>13.98116</v>
      </c>
    </row>
    <row r="470">
      <c r="A470" s="92" t="n">
        <v>32143</v>
      </c>
      <c r="B470" t="n">
        <v>55.42861</v>
      </c>
      <c r="C470" t="n">
        <v>56.72313</v>
      </c>
      <c r="D470" t="n">
        <v>3.98e-07</v>
      </c>
      <c r="E470" t="n">
        <v>55.06979</v>
      </c>
      <c r="F470" t="n">
        <v>70.31264</v>
      </c>
      <c r="G470" t="n">
        <v>16.37694</v>
      </c>
      <c r="I470" t="n">
        <v>4.307391</v>
      </c>
      <c r="J470" t="n">
        <v>4.575694</v>
      </c>
      <c r="L470" t="n">
        <v>59.23599</v>
      </c>
      <c r="M470" t="n">
        <v>56.09679</v>
      </c>
      <c r="O470" t="n">
        <v>41.77354</v>
      </c>
      <c r="R470" t="n">
        <v>56.62453</v>
      </c>
      <c r="S470" t="n">
        <v>62.15618</v>
      </c>
      <c r="U470" t="n">
        <v>54.11742</v>
      </c>
      <c r="V470" t="n">
        <v>46.9</v>
      </c>
      <c r="W470" t="n">
        <v>20.28908</v>
      </c>
      <c r="X470" t="n">
        <v>5.371945</v>
      </c>
      <c r="Y470" t="n">
        <v>8.104051999999999</v>
      </c>
      <c r="Z470" t="n">
        <v>12.66704</v>
      </c>
      <c r="AA470" t="n">
        <v>53.61179</v>
      </c>
      <c r="AB470" t="n">
        <v>22.25442</v>
      </c>
      <c r="AC470" t="n">
        <v>20.06048</v>
      </c>
      <c r="AD470" t="n">
        <v>44.92612</v>
      </c>
      <c r="AE470" t="n">
        <v>85.82335999999999</v>
      </c>
      <c r="AF470" t="n">
        <v>34.02252</v>
      </c>
      <c r="AH470" t="n">
        <v>55.04493</v>
      </c>
      <c r="AJ470" t="n">
        <v>5.382772</v>
      </c>
      <c r="AK470" t="n">
        <v>56.44119</v>
      </c>
      <c r="AL470" t="n">
        <v>53.5</v>
      </c>
      <c r="AM470" t="n">
        <v>37.09268</v>
      </c>
      <c r="AN470" t="n">
        <v>28.3396</v>
      </c>
      <c r="AP470" t="n">
        <v>33.45029</v>
      </c>
      <c r="AT470" t="n">
        <v>0.02157682</v>
      </c>
      <c r="AU470" t="n">
        <v>54.76058</v>
      </c>
      <c r="AV470" t="n">
        <v>0.01502189</v>
      </c>
      <c r="AW470" t="n">
        <v>48.81506</v>
      </c>
      <c r="AX470" t="n">
        <v>14.07314</v>
      </c>
    </row>
    <row r="471">
      <c r="A471" s="92" t="n">
        <v>32174</v>
      </c>
      <c r="B471" t="n">
        <v>55.52802</v>
      </c>
      <c r="C471" t="n">
        <v>56.87811</v>
      </c>
      <c r="D471" t="n">
        <v>4.6e-07</v>
      </c>
      <c r="E471" t="n">
        <v>55.30682</v>
      </c>
      <c r="F471" t="n">
        <v>70.65617</v>
      </c>
      <c r="G471" t="n">
        <v>16.43805</v>
      </c>
      <c r="I471" t="n">
        <v>4.478708</v>
      </c>
      <c r="J471" t="n">
        <v>4.749945</v>
      </c>
      <c r="L471" t="n">
        <v>59.36647</v>
      </c>
      <c r="M471" t="n">
        <v>56.5489</v>
      </c>
      <c r="O471" t="n">
        <v>41.88781</v>
      </c>
      <c r="R471" t="n">
        <v>56.77938</v>
      </c>
      <c r="S471" t="n">
        <v>62.26645</v>
      </c>
      <c r="U471" t="n">
        <v>54.23357</v>
      </c>
      <c r="V471" t="n">
        <v>47</v>
      </c>
      <c r="W471" t="n">
        <v>20.22426</v>
      </c>
      <c r="X471" t="n">
        <v>5.405234</v>
      </c>
      <c r="Y471" t="n">
        <v>8.147790000000001</v>
      </c>
      <c r="Z471" t="n">
        <v>12.60149</v>
      </c>
      <c r="AA471" t="n">
        <v>53.61179</v>
      </c>
      <c r="AB471" t="n">
        <v>22.44143</v>
      </c>
      <c r="AC471" t="n">
        <v>20.2621</v>
      </c>
      <c r="AD471" t="n">
        <v>45.12317</v>
      </c>
      <c r="AE471" t="n">
        <v>85.72156</v>
      </c>
      <c r="AF471" t="n">
        <v>34.58306</v>
      </c>
      <c r="AH471" t="n">
        <v>55.08687</v>
      </c>
      <c r="AJ471" t="n">
        <v>5.831736</v>
      </c>
      <c r="AK471" t="n">
        <v>56.55521</v>
      </c>
      <c r="AL471" t="n">
        <v>53.8</v>
      </c>
      <c r="AM471" t="n">
        <v>37.34745</v>
      </c>
      <c r="AN471" t="n">
        <v>28.47365</v>
      </c>
      <c r="AP471" t="n">
        <v>33.91306</v>
      </c>
      <c r="AT471" t="n">
        <v>0.02281644</v>
      </c>
      <c r="AU471" t="n">
        <v>55.16908</v>
      </c>
      <c r="AV471" t="n">
        <v>0.01558305</v>
      </c>
      <c r="AW471" t="n">
        <v>48.94164</v>
      </c>
      <c r="AX471" t="n">
        <v>14.16512</v>
      </c>
    </row>
    <row r="472">
      <c r="A472" s="92" t="n">
        <v>32203</v>
      </c>
      <c r="B472" t="n">
        <v>55.70694</v>
      </c>
      <c r="C472" t="n">
        <v>56.89925</v>
      </c>
      <c r="D472" t="n">
        <v>5.41e-07</v>
      </c>
      <c r="E472" t="n">
        <v>55.62286</v>
      </c>
      <c r="F472" t="n">
        <v>70.81976</v>
      </c>
      <c r="G472" t="n">
        <v>16.74745</v>
      </c>
      <c r="I472" t="n">
        <v>4.609235</v>
      </c>
      <c r="J472" t="n">
        <v>4.838146</v>
      </c>
      <c r="L472" t="n">
        <v>59.36647</v>
      </c>
      <c r="M472" t="n">
        <v>56.75757</v>
      </c>
      <c r="O472" t="n">
        <v>42.19144</v>
      </c>
      <c r="R472" t="n">
        <v>57.08908</v>
      </c>
      <c r="S472" t="n">
        <v>62.45024</v>
      </c>
      <c r="U472" t="n">
        <v>54.43345</v>
      </c>
      <c r="V472" t="n">
        <v>47.2</v>
      </c>
      <c r="W472" t="n">
        <v>20.82926</v>
      </c>
      <c r="X472" t="n">
        <v>5.426039</v>
      </c>
      <c r="Y472" t="n">
        <v>8.154037000000001</v>
      </c>
      <c r="Z472" t="n">
        <v>12.66704</v>
      </c>
      <c r="AA472" t="n">
        <v>53.61179</v>
      </c>
      <c r="AB472" t="n">
        <v>22.65182</v>
      </c>
      <c r="AC472" t="n">
        <v>20.56452</v>
      </c>
      <c r="AD472" t="n">
        <v>45.32021</v>
      </c>
      <c r="AE472" t="n">
        <v>86.02697999999999</v>
      </c>
      <c r="AF472" t="n">
        <v>35.08169</v>
      </c>
      <c r="AH472" t="n">
        <v>55.1917</v>
      </c>
      <c r="AJ472" t="n">
        <v>6.130368</v>
      </c>
      <c r="AK472" t="n">
        <v>56.84027</v>
      </c>
      <c r="AL472" t="n">
        <v>54.6</v>
      </c>
      <c r="AM472" t="n">
        <v>37.62822</v>
      </c>
      <c r="AN472" t="n">
        <v>28.66243</v>
      </c>
      <c r="AP472" t="n">
        <v>34.14096</v>
      </c>
      <c r="AT472" t="n">
        <v>0.02451271</v>
      </c>
      <c r="AU472" t="n">
        <v>55.418</v>
      </c>
      <c r="AV472" t="n">
        <v>0.01644638</v>
      </c>
      <c r="AW472" t="n">
        <v>49.15259</v>
      </c>
      <c r="AX472" t="n">
        <v>14.39508</v>
      </c>
    </row>
    <row r="473">
      <c r="A473" s="92" t="n">
        <v>32234</v>
      </c>
      <c r="B473" t="n">
        <v>55.7467</v>
      </c>
      <c r="C473" t="n">
        <v>57.1599</v>
      </c>
      <c r="D473" t="n">
        <v>6.46e-07</v>
      </c>
      <c r="E473" t="n">
        <v>55.78088</v>
      </c>
      <c r="F473" t="n">
        <v>70.95499</v>
      </c>
      <c r="G473" t="n">
        <v>16.87732</v>
      </c>
      <c r="I473" t="n">
        <v>4.78871</v>
      </c>
      <c r="J473" t="n">
        <v>4.925271</v>
      </c>
      <c r="L473" t="n">
        <v>59.49694</v>
      </c>
      <c r="M473" t="n">
        <v>56.96624</v>
      </c>
      <c r="O473" t="n">
        <v>42.04453</v>
      </c>
      <c r="R473" t="n">
        <v>57.50203</v>
      </c>
      <c r="S473" t="n">
        <v>62.74429</v>
      </c>
      <c r="U473" t="n">
        <v>54.70418</v>
      </c>
      <c r="V473" t="n">
        <v>47.8</v>
      </c>
      <c r="W473" t="n">
        <v>21.2398</v>
      </c>
      <c r="X473" t="n">
        <v>5.459328</v>
      </c>
      <c r="Y473" t="n">
        <v>8.210273000000001</v>
      </c>
      <c r="Z473" t="n">
        <v>12.83458</v>
      </c>
      <c r="AA473" t="n">
        <v>53.9069</v>
      </c>
      <c r="AB473" t="n">
        <v>22.97909</v>
      </c>
      <c r="AC473" t="n">
        <v>21.16936</v>
      </c>
      <c r="AD473" t="n">
        <v>45.43844</v>
      </c>
      <c r="AE473" t="n">
        <v>86.4342</v>
      </c>
      <c r="AF473" t="n">
        <v>35.01978</v>
      </c>
      <c r="AH473" t="n">
        <v>55.1655</v>
      </c>
      <c r="AJ473" t="n">
        <v>6.319056</v>
      </c>
      <c r="AK473" t="n">
        <v>56.95429</v>
      </c>
      <c r="AL473" t="n">
        <v>54.7</v>
      </c>
      <c r="AM473" t="n">
        <v>37.90813</v>
      </c>
      <c r="AN473" t="n">
        <v>28.88227</v>
      </c>
      <c r="AP473" t="n">
        <v>34.26834</v>
      </c>
      <c r="AT473" t="n">
        <v>0.0258548</v>
      </c>
      <c r="AU473" t="n">
        <v>55.91266</v>
      </c>
      <c r="AV473" t="n">
        <v>0.01747158</v>
      </c>
      <c r="AW473" t="n">
        <v>49.40574</v>
      </c>
      <c r="AX473" t="n">
        <v>14.53305</v>
      </c>
    </row>
    <row r="474">
      <c r="A474" s="92" t="n">
        <v>32264</v>
      </c>
      <c r="B474" t="n">
        <v>55.6473</v>
      </c>
      <c r="C474" t="n">
        <v>57.20921</v>
      </c>
      <c r="D474" t="n">
        <v>7.58e-07</v>
      </c>
      <c r="E474" t="n">
        <v>56.09692</v>
      </c>
      <c r="F474" t="n">
        <v>70.78267</v>
      </c>
      <c r="G474" t="n">
        <v>16.95562</v>
      </c>
      <c r="I474" t="n">
        <v>4.870289</v>
      </c>
      <c r="J474" t="n">
        <v>4.955389</v>
      </c>
      <c r="L474" t="n">
        <v>59.62742</v>
      </c>
      <c r="M474" t="n">
        <v>57.45313</v>
      </c>
      <c r="O474" t="n">
        <v>42.04235</v>
      </c>
      <c r="R474" t="n">
        <v>57.96658</v>
      </c>
      <c r="S474" t="n">
        <v>62.89132</v>
      </c>
      <c r="U474" t="n">
        <v>54.87072</v>
      </c>
      <c r="V474" t="n">
        <v>48</v>
      </c>
      <c r="W474" t="n">
        <v>21.30462</v>
      </c>
      <c r="X474" t="n">
        <v>5.434361</v>
      </c>
      <c r="Y474" t="n">
        <v>8.285253000000001</v>
      </c>
      <c r="Z474" t="n">
        <v>12.96933</v>
      </c>
      <c r="AA474" t="n">
        <v>53.9069</v>
      </c>
      <c r="AB474" t="n">
        <v>23.37649</v>
      </c>
      <c r="AC474" t="n">
        <v>21.47178</v>
      </c>
      <c r="AD474" t="n">
        <v>45.59607</v>
      </c>
      <c r="AE474" t="n">
        <v>86.53601</v>
      </c>
      <c r="AF474" t="n">
        <v>35.20618</v>
      </c>
      <c r="AH474" t="n">
        <v>55.2284</v>
      </c>
      <c r="AJ474" t="n">
        <v>6.441317</v>
      </c>
      <c r="AK474" t="n">
        <v>57.01131</v>
      </c>
      <c r="AL474" t="n">
        <v>54.8</v>
      </c>
      <c r="AM474" t="n">
        <v>38.07496</v>
      </c>
      <c r="AN474" t="n">
        <v>29.00849</v>
      </c>
      <c r="AP474" t="n">
        <v>34.38378</v>
      </c>
      <c r="AT474" t="n">
        <v>0.02753878</v>
      </c>
      <c r="AU474" t="n">
        <v>56.11372</v>
      </c>
      <c r="AV474" t="n">
        <v>0.01807591</v>
      </c>
      <c r="AW474" t="n">
        <v>49.5745</v>
      </c>
      <c r="AX474" t="n">
        <v>14.67102</v>
      </c>
    </row>
    <row r="475">
      <c r="A475" s="92" t="n">
        <v>32295</v>
      </c>
      <c r="B475" t="n">
        <v>55.9654</v>
      </c>
      <c r="C475" t="n">
        <v>57.30783</v>
      </c>
      <c r="D475" t="n">
        <v>9.25e-07</v>
      </c>
      <c r="E475" t="n">
        <v>56.25494</v>
      </c>
      <c r="F475" t="n">
        <v>70.89284000000001</v>
      </c>
      <c r="G475" t="n">
        <v>17.05875</v>
      </c>
      <c r="I475" t="n">
        <v>4.992658</v>
      </c>
      <c r="J475" t="n">
        <v>5.01885</v>
      </c>
      <c r="L475" t="n">
        <v>59.69266</v>
      </c>
      <c r="M475" t="n">
        <v>57.41835</v>
      </c>
      <c r="O475" t="n">
        <v>42.20559</v>
      </c>
      <c r="R475" t="n">
        <v>58.27629</v>
      </c>
      <c r="S475" t="n">
        <v>63.07511</v>
      </c>
      <c r="U475" t="n">
        <v>55.02371</v>
      </c>
      <c r="V475" t="n">
        <v>48.2</v>
      </c>
      <c r="W475" t="n">
        <v>21.67194</v>
      </c>
      <c r="X475" t="n">
        <v>5.359462</v>
      </c>
      <c r="Y475" t="n">
        <v>8.316494</v>
      </c>
      <c r="Z475" t="n">
        <v>13.15508</v>
      </c>
      <c r="AA475" t="n">
        <v>53.9069</v>
      </c>
      <c r="AB475" t="n">
        <v>24.17129</v>
      </c>
      <c r="AC475" t="n">
        <v>21.47178</v>
      </c>
      <c r="AD475" t="n">
        <v>45.75371</v>
      </c>
      <c r="AE475" t="n">
        <v>86.33240000000001</v>
      </c>
      <c r="AF475" t="n">
        <v>35.42454</v>
      </c>
      <c r="AH475" t="n">
        <v>55.33324</v>
      </c>
      <c r="AJ475" t="n">
        <v>6.572723</v>
      </c>
      <c r="AK475" t="n">
        <v>56.95429</v>
      </c>
      <c r="AL475" t="n">
        <v>55.1</v>
      </c>
      <c r="AM475" t="n">
        <v>38.2261</v>
      </c>
      <c r="AN475" t="n">
        <v>29.10722</v>
      </c>
      <c r="AP475" t="n">
        <v>34.56391</v>
      </c>
      <c r="AT475" t="n">
        <v>0.03365732</v>
      </c>
      <c r="AU475" t="n">
        <v>56.25095</v>
      </c>
      <c r="AV475" t="n">
        <v>0.01823778</v>
      </c>
      <c r="AW475" t="n">
        <v>49.78546</v>
      </c>
      <c r="AX475" t="n">
        <v>14.71701</v>
      </c>
    </row>
    <row r="476">
      <c r="A476" s="92" t="n">
        <v>32325</v>
      </c>
      <c r="B476" t="n">
        <v>56.62148</v>
      </c>
      <c r="C476" t="n">
        <v>57.48395</v>
      </c>
      <c r="D476" t="n">
        <v>1.128e-06</v>
      </c>
      <c r="E476" t="n">
        <v>56.57098</v>
      </c>
      <c r="F476" t="n">
        <v>70.73125</v>
      </c>
      <c r="G476" t="n">
        <v>17.08167</v>
      </c>
      <c r="I476" t="n">
        <v>5.057921</v>
      </c>
      <c r="J476" t="n">
        <v>5.071556</v>
      </c>
      <c r="L476" t="n">
        <v>59.69266</v>
      </c>
      <c r="M476" t="n">
        <v>57.1749</v>
      </c>
      <c r="O476" t="n">
        <v>42.76281</v>
      </c>
      <c r="R476" t="n">
        <v>58.27629</v>
      </c>
      <c r="S476" t="n">
        <v>63.29565</v>
      </c>
      <c r="U476" t="n">
        <v>55.16388</v>
      </c>
      <c r="V476" t="n">
        <v>48.2</v>
      </c>
      <c r="W476" t="n">
        <v>21.49908</v>
      </c>
      <c r="X476" t="n">
        <v>5.517583</v>
      </c>
      <c r="Y476" t="n">
        <v>8.410218</v>
      </c>
      <c r="Z476" t="n">
        <v>13.3736</v>
      </c>
      <c r="AA476" t="n">
        <v>54.30038</v>
      </c>
      <c r="AB476" t="n">
        <v>25.01284</v>
      </c>
      <c r="AC476" t="n">
        <v>21.47178</v>
      </c>
      <c r="AD476" t="n">
        <v>45.83253</v>
      </c>
      <c r="AE476" t="n">
        <v>86.23059000000001</v>
      </c>
      <c r="AF476" t="n">
        <v>35.48711</v>
      </c>
      <c r="AH476" t="n">
        <v>55.56388</v>
      </c>
      <c r="AJ476" t="n">
        <v>6.682432</v>
      </c>
      <c r="AK476" t="n">
        <v>57.06832</v>
      </c>
      <c r="AL476" t="n">
        <v>55.1</v>
      </c>
      <c r="AM476" t="n">
        <v>38.38593</v>
      </c>
      <c r="AN476" t="n">
        <v>29.19985</v>
      </c>
      <c r="AP476" t="n">
        <v>34.84754</v>
      </c>
      <c r="AT476" t="n">
        <v>0.03634479</v>
      </c>
      <c r="AU476" t="n">
        <v>56.52221</v>
      </c>
      <c r="AV476" t="n">
        <v>0.01852916</v>
      </c>
      <c r="AW476" t="n">
        <v>49.99641</v>
      </c>
      <c r="AX476" t="n">
        <v>14.90097</v>
      </c>
    </row>
    <row r="477">
      <c r="A477" s="92" t="n">
        <v>32356</v>
      </c>
      <c r="B477" t="n">
        <v>56.78053</v>
      </c>
      <c r="C477" t="n">
        <v>57.60371</v>
      </c>
      <c r="D477" t="n">
        <v>1.371e-06</v>
      </c>
      <c r="E477" t="n">
        <v>56.64999</v>
      </c>
      <c r="F477" t="n">
        <v>70.97803999999999</v>
      </c>
      <c r="G477" t="n">
        <v>17.21918</v>
      </c>
      <c r="I477" t="n">
        <v>5.049763</v>
      </c>
      <c r="J477" t="n">
        <v>5.121034</v>
      </c>
      <c r="L477" t="n">
        <v>59.62742</v>
      </c>
      <c r="M477" t="n">
        <v>57.55746</v>
      </c>
      <c r="O477" t="n">
        <v>43.18561</v>
      </c>
      <c r="R477" t="n">
        <v>58.37952</v>
      </c>
      <c r="S477" t="n">
        <v>63.47943</v>
      </c>
      <c r="U477" t="n">
        <v>55.34728</v>
      </c>
      <c r="V477" t="n">
        <v>48.5</v>
      </c>
      <c r="W477" t="n">
        <v>21.52069</v>
      </c>
      <c r="X477" t="n">
        <v>5.534227</v>
      </c>
      <c r="Y477" t="n">
        <v>8.441459999999999</v>
      </c>
      <c r="Z477" t="n">
        <v>13.45737</v>
      </c>
      <c r="AA477" t="n">
        <v>54.30038</v>
      </c>
      <c r="AB477" t="n">
        <v>25.5505</v>
      </c>
      <c r="AC477" t="n">
        <v>21.67339</v>
      </c>
      <c r="AD477" t="n">
        <v>46.02957</v>
      </c>
      <c r="AE477" t="n">
        <v>86.4342</v>
      </c>
      <c r="AF477" t="n">
        <v>35.67352</v>
      </c>
      <c r="AH477" t="n">
        <v>55.64251</v>
      </c>
      <c r="AJ477" t="n">
        <v>6.743908</v>
      </c>
      <c r="AK477" t="n">
        <v>57.23935</v>
      </c>
      <c r="AL477" t="n">
        <v>55.1</v>
      </c>
      <c r="AM477" t="n">
        <v>38.55132</v>
      </c>
      <c r="AN477" t="n">
        <v>29.3359</v>
      </c>
      <c r="AP477" t="n">
        <v>35.30433</v>
      </c>
      <c r="AT477" t="n">
        <v>0.04013988</v>
      </c>
      <c r="AU477" t="n">
        <v>56.63391</v>
      </c>
      <c r="AV477" t="n">
        <v>0.01897161</v>
      </c>
      <c r="AW477" t="n">
        <v>50.20737</v>
      </c>
      <c r="AX477" t="n">
        <v>15.08494</v>
      </c>
    </row>
    <row r="478">
      <c r="A478" s="92" t="n">
        <v>32387</v>
      </c>
      <c r="B478" t="n">
        <v>56.46243</v>
      </c>
      <c r="C478" t="n">
        <v>57.66711</v>
      </c>
      <c r="D478" t="n">
        <v>1.747e-06</v>
      </c>
      <c r="E478" t="n">
        <v>56.729</v>
      </c>
      <c r="F478" t="n">
        <v>70.99638</v>
      </c>
      <c r="G478" t="n">
        <v>17.38152</v>
      </c>
      <c r="I478" t="n">
        <v>5.090553</v>
      </c>
      <c r="J478" t="n">
        <v>5.209235</v>
      </c>
      <c r="L478" t="n">
        <v>59.69266</v>
      </c>
      <c r="M478" t="n">
        <v>57.87046</v>
      </c>
      <c r="O478" t="n">
        <v>43.56489</v>
      </c>
      <c r="R478" t="n">
        <v>58.94732</v>
      </c>
      <c r="S478" t="n">
        <v>63.62646</v>
      </c>
      <c r="U478" t="n">
        <v>55.65062</v>
      </c>
      <c r="V478" t="n">
        <v>48.7</v>
      </c>
      <c r="W478" t="n">
        <v>22.08247</v>
      </c>
      <c r="X478" t="n">
        <v>5.592483</v>
      </c>
      <c r="Y478" t="n">
        <v>8.441459999999999</v>
      </c>
      <c r="Z478" t="n">
        <v>13.55935</v>
      </c>
      <c r="AA478" t="n">
        <v>54.30038</v>
      </c>
      <c r="AB478" t="n">
        <v>25.71414</v>
      </c>
      <c r="AC478" t="n">
        <v>22.07661</v>
      </c>
      <c r="AD478" t="n">
        <v>46.26603</v>
      </c>
      <c r="AE478" t="n">
        <v>87.14686</v>
      </c>
      <c r="AF478" t="n">
        <v>35.76738</v>
      </c>
      <c r="AH478" t="n">
        <v>55.72113</v>
      </c>
      <c r="AJ478" t="n">
        <v>6.782464</v>
      </c>
      <c r="AK478" t="n">
        <v>57.41039</v>
      </c>
      <c r="AL478" t="n">
        <v>55.8</v>
      </c>
      <c r="AM478" t="n">
        <v>38.81317</v>
      </c>
      <c r="AN478" t="n">
        <v>29.55819</v>
      </c>
      <c r="AP478" t="n">
        <v>35.66559</v>
      </c>
      <c r="AT478" t="n">
        <v>0.04616906</v>
      </c>
      <c r="AU478" t="n">
        <v>57.06474</v>
      </c>
      <c r="AV478" t="n">
        <v>0.02009394</v>
      </c>
      <c r="AW478" t="n">
        <v>50.5449</v>
      </c>
      <c r="AX478" t="n">
        <v>15.2689</v>
      </c>
    </row>
    <row r="479">
      <c r="A479" s="92" t="n">
        <v>32417</v>
      </c>
      <c r="B479" t="n">
        <v>56.30338</v>
      </c>
      <c r="C479" t="n">
        <v>57.68824</v>
      </c>
      <c r="D479" t="n">
        <v>2.195e-06</v>
      </c>
      <c r="E479" t="n">
        <v>57.04504</v>
      </c>
      <c r="F479" t="n">
        <v>71.10986</v>
      </c>
      <c r="G479" t="n">
        <v>17.64508</v>
      </c>
      <c r="I479" t="n">
        <v>5.163975</v>
      </c>
      <c r="J479" t="n">
        <v>5.366276</v>
      </c>
      <c r="L479" t="n">
        <v>59.75789</v>
      </c>
      <c r="M479" t="n">
        <v>57.9748</v>
      </c>
      <c r="O479" t="n">
        <v>43.61386</v>
      </c>
      <c r="R479" t="n">
        <v>58.99894</v>
      </c>
      <c r="S479" t="n">
        <v>63.77349</v>
      </c>
      <c r="U479" t="n">
        <v>55.85937</v>
      </c>
      <c r="V479" t="n">
        <v>49</v>
      </c>
      <c r="W479" t="n">
        <v>22.64426</v>
      </c>
      <c r="X479" t="n">
        <v>5.638254</v>
      </c>
      <c r="Y479" t="n">
        <v>8.472701000000001</v>
      </c>
      <c r="Z479" t="n">
        <v>13.84707</v>
      </c>
      <c r="AA479" t="n">
        <v>54.69386</v>
      </c>
      <c r="AB479" t="n">
        <v>25.80764</v>
      </c>
      <c r="AC479" t="n">
        <v>22.68145</v>
      </c>
      <c r="AD479" t="n">
        <v>46.5813</v>
      </c>
      <c r="AE479" t="n">
        <v>87.55408</v>
      </c>
      <c r="AF479" t="n">
        <v>35.67352</v>
      </c>
      <c r="AH479" t="n">
        <v>55.8417</v>
      </c>
      <c r="AJ479" t="n">
        <v>6.834198</v>
      </c>
      <c r="AK479" t="n">
        <v>57.41039</v>
      </c>
      <c r="AL479" t="n">
        <v>55.8</v>
      </c>
      <c r="AM479" t="n">
        <v>39.02678</v>
      </c>
      <c r="AN479" t="n">
        <v>29.77081</v>
      </c>
      <c r="AP479" t="n">
        <v>35.98206</v>
      </c>
      <c r="AT479" t="n">
        <v>0.05485701</v>
      </c>
      <c r="AU479" t="n">
        <v>57.51154</v>
      </c>
      <c r="AV479" t="n">
        <v>0.02121626</v>
      </c>
      <c r="AW479" t="n">
        <v>50.71366</v>
      </c>
      <c r="AX479" t="n">
        <v>15.45286</v>
      </c>
    </row>
    <row r="480">
      <c r="A480" s="92" t="n">
        <v>32448</v>
      </c>
      <c r="B480" t="n">
        <v>56.24374</v>
      </c>
      <c r="C480" t="n">
        <v>57.64597</v>
      </c>
      <c r="D480" t="n">
        <v>2.808e-06</v>
      </c>
      <c r="E480" t="n">
        <v>57.12405</v>
      </c>
      <c r="F480" t="n">
        <v>71.37099000000001</v>
      </c>
      <c r="G480" t="n">
        <v>17.9793</v>
      </c>
      <c r="I480" t="n">
        <v>5.237396</v>
      </c>
      <c r="J480" t="n">
        <v>5.436192</v>
      </c>
      <c r="L480" t="n">
        <v>59.95361</v>
      </c>
      <c r="M480" t="n">
        <v>58.39213</v>
      </c>
      <c r="O480" t="n">
        <v>43.58937</v>
      </c>
      <c r="R480" t="n">
        <v>59.10217</v>
      </c>
      <c r="S480" t="n">
        <v>63.84701</v>
      </c>
      <c r="U480" t="n">
        <v>55.93689</v>
      </c>
      <c r="V480" t="n">
        <v>49.3</v>
      </c>
      <c r="W480" t="n">
        <v>22.83872</v>
      </c>
      <c r="X480" t="n">
        <v>5.667382</v>
      </c>
      <c r="Y480" t="n">
        <v>8.510191000000001</v>
      </c>
      <c r="Z480" t="n">
        <v>13.92998</v>
      </c>
      <c r="AA480" t="n">
        <v>54.69386</v>
      </c>
      <c r="AB480" t="n">
        <v>25.83102</v>
      </c>
      <c r="AC480" t="n">
        <v>23.08468</v>
      </c>
      <c r="AD480" t="n">
        <v>46.89657</v>
      </c>
      <c r="AE480" t="n">
        <v>87.24866</v>
      </c>
      <c r="AF480" t="n">
        <v>35.95445</v>
      </c>
      <c r="AH480" t="n">
        <v>56.00944</v>
      </c>
      <c r="AJ480" t="n">
        <v>6.925656</v>
      </c>
      <c r="AK480" t="n">
        <v>57.52441</v>
      </c>
      <c r="AL480" t="n">
        <v>55.8</v>
      </c>
      <c r="AM480" t="n">
        <v>39.16891</v>
      </c>
      <c r="AN480" t="n">
        <v>29.98314</v>
      </c>
      <c r="AP480" t="n">
        <v>36.48861</v>
      </c>
      <c r="AT480" t="n">
        <v>0.06327114</v>
      </c>
      <c r="AU480" t="n">
        <v>57.60089</v>
      </c>
      <c r="AV480" t="n">
        <v>0.02234938</v>
      </c>
      <c r="AW480" t="n">
        <v>50.75585</v>
      </c>
      <c r="AX480" t="n">
        <v>15.59083</v>
      </c>
    </row>
    <row r="481">
      <c r="A481" s="92" t="n">
        <v>32478</v>
      </c>
      <c r="B481" t="n">
        <v>56.24374</v>
      </c>
      <c r="C481" t="n">
        <v>57.85731</v>
      </c>
      <c r="D481" t="n">
        <v>3.615e-06</v>
      </c>
      <c r="E481" t="n">
        <v>57.12405</v>
      </c>
      <c r="F481" t="n">
        <v>71.5003</v>
      </c>
      <c r="G481" t="n">
        <v>18.32116</v>
      </c>
      <c r="I481" t="n">
        <v>5.359765</v>
      </c>
      <c r="J481" t="n">
        <v>5.648089</v>
      </c>
      <c r="L481" t="n">
        <v>60.08408</v>
      </c>
      <c r="M481" t="n">
        <v>58.39213</v>
      </c>
      <c r="O481" t="n">
        <v>43.936</v>
      </c>
      <c r="R481" t="n">
        <v>59.56673</v>
      </c>
      <c r="S481" t="n">
        <v>63.95728</v>
      </c>
      <c r="U481" t="n">
        <v>55.99524</v>
      </c>
      <c r="V481" t="n">
        <v>49.3</v>
      </c>
      <c r="W481" t="n">
        <v>23.14122</v>
      </c>
      <c r="X481" t="n">
        <v>5.713153</v>
      </c>
      <c r="Y481" t="n">
        <v>8.528936</v>
      </c>
      <c r="Z481" t="n">
        <v>13.76415</v>
      </c>
      <c r="AA481" t="n">
        <v>54.69386</v>
      </c>
      <c r="AB481" t="n">
        <v>25.87777</v>
      </c>
      <c r="AC481" t="n">
        <v>23.18548</v>
      </c>
      <c r="AD481" t="n">
        <v>47.09361</v>
      </c>
      <c r="AE481" t="n">
        <v>86.94324</v>
      </c>
      <c r="AF481" t="n">
        <v>36.26601</v>
      </c>
      <c r="AH481" t="n">
        <v>56.02516</v>
      </c>
      <c r="AJ481" t="n">
        <v>7.070158</v>
      </c>
      <c r="AK481" t="n">
        <v>57.4674</v>
      </c>
      <c r="AL481" t="n">
        <v>55.8</v>
      </c>
      <c r="AM481" t="n">
        <v>39.29843</v>
      </c>
      <c r="AN481" t="n">
        <v>30.11687</v>
      </c>
      <c r="AP481" t="n">
        <v>36.92052</v>
      </c>
      <c r="AT481" t="n">
        <v>0.07100561</v>
      </c>
      <c r="AU481" t="n">
        <v>57.72216</v>
      </c>
      <c r="AV481" t="n">
        <v>0.02289975</v>
      </c>
      <c r="AW481" t="n">
        <v>50.84024</v>
      </c>
      <c r="AX481" t="n">
        <v>15.7288</v>
      </c>
    </row>
    <row r="482">
      <c r="A482" s="92" t="n">
        <v>32509</v>
      </c>
      <c r="B482" t="n">
        <v>56.62148</v>
      </c>
      <c r="C482" t="n">
        <v>58.0757</v>
      </c>
      <c r="D482" t="n">
        <v>4.97e-06</v>
      </c>
      <c r="E482" t="n">
        <v>57.44008</v>
      </c>
      <c r="F482" t="n">
        <v>71.89223</v>
      </c>
      <c r="G482" t="n">
        <v>18.52552</v>
      </c>
      <c r="I482" t="n">
        <v>5.506608</v>
      </c>
      <c r="J482" t="n">
        <v>5.707248</v>
      </c>
      <c r="L482" t="n">
        <v>60.60599</v>
      </c>
      <c r="M482" t="n">
        <v>58.67035</v>
      </c>
      <c r="O482" t="n">
        <v>44.44641</v>
      </c>
      <c r="R482" t="n">
        <v>59.89708</v>
      </c>
      <c r="S482" t="n">
        <v>64.21458</v>
      </c>
      <c r="U482" t="n">
        <v>56.2501</v>
      </c>
      <c r="V482" t="n">
        <v>49.5</v>
      </c>
      <c r="W482" t="n">
        <v>23.14122</v>
      </c>
      <c r="X482" t="n">
        <v>6.012751</v>
      </c>
      <c r="Y482" t="n">
        <v>8.572675</v>
      </c>
      <c r="Z482" t="n">
        <v>13.68123</v>
      </c>
      <c r="AA482" t="n">
        <v>55.38245</v>
      </c>
      <c r="AB482" t="n">
        <v>26.32193</v>
      </c>
      <c r="AC482" t="n">
        <v>24.19355</v>
      </c>
      <c r="AD482" t="n">
        <v>47.40888</v>
      </c>
      <c r="AE482" t="n">
        <v>86.84144000000001</v>
      </c>
      <c r="AF482" t="n">
        <v>36.32792</v>
      </c>
      <c r="AH482" t="n">
        <v>56.41306</v>
      </c>
      <c r="AJ482" t="n">
        <v>7.243232</v>
      </c>
      <c r="AK482" t="n">
        <v>56.89728</v>
      </c>
      <c r="AL482" t="n">
        <v>56.2</v>
      </c>
      <c r="AM482" t="n">
        <v>39.56266</v>
      </c>
      <c r="AN482" t="n">
        <v>30.39024</v>
      </c>
      <c r="AO482" t="n">
        <v>0.4219915</v>
      </c>
      <c r="AP482" t="n">
        <v>37.57734</v>
      </c>
      <c r="AT482" t="n">
        <v>0.08193338999999999</v>
      </c>
      <c r="AU482" t="n">
        <v>58.39235</v>
      </c>
      <c r="AV482" t="n">
        <v>0.02441057</v>
      </c>
      <c r="AW482" t="n">
        <v>51.09338</v>
      </c>
      <c r="AX482" t="n">
        <v>15.95876</v>
      </c>
    </row>
    <row r="483">
      <c r="A483" s="92" t="n">
        <v>32540</v>
      </c>
      <c r="B483" t="n">
        <v>56.89981</v>
      </c>
      <c r="C483" t="n">
        <v>58.33635</v>
      </c>
      <c r="D483" t="n">
        <v>5.804e-06</v>
      </c>
      <c r="E483" t="n">
        <v>57.83513</v>
      </c>
      <c r="F483" t="n">
        <v>72.25360999999999</v>
      </c>
      <c r="G483" t="n">
        <v>18.54843</v>
      </c>
      <c r="I483" t="n">
        <v>5.694241</v>
      </c>
      <c r="J483" t="n">
        <v>5.709399</v>
      </c>
      <c r="L483" t="n">
        <v>60.8017</v>
      </c>
      <c r="M483" t="n">
        <v>59.05291</v>
      </c>
      <c r="O483" t="n">
        <v>44.47798</v>
      </c>
      <c r="R483" t="n">
        <v>60.1913</v>
      </c>
      <c r="S483" t="n">
        <v>64.39836</v>
      </c>
      <c r="U483" t="n">
        <v>56.43612</v>
      </c>
      <c r="V483" t="n">
        <v>49.7</v>
      </c>
      <c r="W483" t="n">
        <v>23.04721</v>
      </c>
      <c r="X483" t="n">
        <v>6.229126</v>
      </c>
      <c r="Y483" t="n">
        <v>8.678896</v>
      </c>
      <c r="Z483" t="n">
        <v>13.68123</v>
      </c>
      <c r="AA483" t="n">
        <v>55.38245</v>
      </c>
      <c r="AB483" t="n">
        <v>26.69595</v>
      </c>
      <c r="AC483" t="n">
        <v>24.59678</v>
      </c>
      <c r="AD483" t="n">
        <v>47.80297</v>
      </c>
      <c r="AE483" t="n">
        <v>86.53601</v>
      </c>
      <c r="AF483" t="n">
        <v>36.45242</v>
      </c>
      <c r="AH483" t="n">
        <v>56.56507</v>
      </c>
      <c r="AJ483" t="n">
        <v>7.341527</v>
      </c>
      <c r="AK483" t="n">
        <v>57.06832</v>
      </c>
      <c r="AL483" t="n">
        <v>56.4</v>
      </c>
      <c r="AM483" t="n">
        <v>39.74226</v>
      </c>
      <c r="AN483" t="n">
        <v>30.58431</v>
      </c>
      <c r="AO483" t="n">
        <v>0.4219915</v>
      </c>
      <c r="AP483" t="n">
        <v>38.08091</v>
      </c>
      <c r="AT483" t="n">
        <v>0.09775813999999999</v>
      </c>
      <c r="AU483" t="n">
        <v>58.72106</v>
      </c>
      <c r="AV483" t="n">
        <v>0.02557606</v>
      </c>
      <c r="AW483" t="n">
        <v>51.30434</v>
      </c>
      <c r="AX483" t="n">
        <v>16.09673</v>
      </c>
    </row>
    <row r="484">
      <c r="A484" s="92" t="n">
        <v>32568</v>
      </c>
      <c r="B484" t="n">
        <v>56.93958</v>
      </c>
      <c r="C484" t="n">
        <v>58.47019</v>
      </c>
      <c r="D484" t="n">
        <v>6.199e-06</v>
      </c>
      <c r="E484" t="n">
        <v>58.15117</v>
      </c>
      <c r="F484" t="n">
        <v>72.44777000000001</v>
      </c>
      <c r="G484" t="n">
        <v>18.90176</v>
      </c>
      <c r="I484" t="n">
        <v>5.832925</v>
      </c>
      <c r="J484" t="n">
        <v>5.711551</v>
      </c>
      <c r="L484" t="n">
        <v>60.86694</v>
      </c>
      <c r="M484" t="n">
        <v>59.40069</v>
      </c>
      <c r="O484" t="n">
        <v>44.76202</v>
      </c>
      <c r="R484" t="n">
        <v>60.87782</v>
      </c>
      <c r="S484" t="n">
        <v>64.58215</v>
      </c>
      <c r="U484" t="n">
        <v>56.71274</v>
      </c>
      <c r="V484" t="n">
        <v>50</v>
      </c>
      <c r="W484" t="n">
        <v>23.63427</v>
      </c>
      <c r="X484" t="n">
        <v>6.274899</v>
      </c>
      <c r="Y484" t="n">
        <v>8.69764</v>
      </c>
      <c r="Z484" t="n">
        <v>13.76415</v>
      </c>
      <c r="AA484" t="n">
        <v>55.38245</v>
      </c>
      <c r="AB484" t="n">
        <v>27.444</v>
      </c>
      <c r="AC484" t="n">
        <v>24.79839</v>
      </c>
      <c r="AD484" t="n">
        <v>48.07883</v>
      </c>
      <c r="AE484" t="n">
        <v>86.94324</v>
      </c>
      <c r="AF484" t="n">
        <v>36.70206</v>
      </c>
      <c r="AH484" t="n">
        <v>56.75378</v>
      </c>
      <c r="AJ484" t="n">
        <v>7.421113</v>
      </c>
      <c r="AK484" t="n">
        <v>57.29636</v>
      </c>
      <c r="AL484" t="n">
        <v>56.9</v>
      </c>
      <c r="AM484" t="n">
        <v>39.97164</v>
      </c>
      <c r="AN484" t="n">
        <v>30.76336</v>
      </c>
      <c r="AO484" t="n">
        <v>0.4219915</v>
      </c>
      <c r="AP484" t="n">
        <v>38.40634</v>
      </c>
      <c r="AT484" t="n">
        <v>0.1142093</v>
      </c>
      <c r="AU484" t="n">
        <v>58.96041</v>
      </c>
      <c r="AV484" t="n">
        <v>0.02635306</v>
      </c>
      <c r="AW484" t="n">
        <v>51.59967</v>
      </c>
      <c r="AX484" t="n">
        <v>16.37267</v>
      </c>
    </row>
    <row r="485">
      <c r="A485" s="92" t="n">
        <v>32599</v>
      </c>
      <c r="B485" t="n">
        <v>57.1185</v>
      </c>
      <c r="C485" t="n">
        <v>58.86469</v>
      </c>
      <c r="D485" t="n">
        <v>6.716e-06</v>
      </c>
      <c r="E485" t="n">
        <v>58.30919</v>
      </c>
      <c r="F485" t="n">
        <v>72.82908999999999</v>
      </c>
      <c r="G485" t="n">
        <v>19.09847</v>
      </c>
      <c r="I485" t="n">
        <v>5.979768</v>
      </c>
      <c r="J485" t="n">
        <v>5.722307</v>
      </c>
      <c r="L485" t="n">
        <v>61.25837</v>
      </c>
      <c r="M485" t="n">
        <v>59.78325</v>
      </c>
      <c r="O485" t="n">
        <v>44.88228</v>
      </c>
      <c r="R485" t="n">
        <v>61.45594</v>
      </c>
      <c r="S485" t="n">
        <v>64.98647</v>
      </c>
      <c r="U485" t="n">
        <v>57.16593</v>
      </c>
      <c r="V485" t="n">
        <v>50.5</v>
      </c>
      <c r="W485" t="n">
        <v>24.02495</v>
      </c>
      <c r="X485" t="n">
        <v>6.370603</v>
      </c>
      <c r="Y485" t="n">
        <v>8.835103</v>
      </c>
      <c r="Z485" t="n">
        <v>13.84707</v>
      </c>
      <c r="AA485" t="n">
        <v>55.97268</v>
      </c>
      <c r="AB485" t="n">
        <v>28.02841</v>
      </c>
      <c r="AC485" t="n">
        <v>25.30242</v>
      </c>
      <c r="AD485" t="n">
        <v>48.31528</v>
      </c>
      <c r="AE485" t="n">
        <v>88.47035</v>
      </c>
      <c r="AF485" t="n">
        <v>36.85784</v>
      </c>
      <c r="AH485" t="n">
        <v>56.94249</v>
      </c>
      <c r="AJ485" t="n">
        <v>7.532094</v>
      </c>
      <c r="AK485" t="n">
        <v>57.58142</v>
      </c>
      <c r="AL485" t="n">
        <v>57.2</v>
      </c>
      <c r="AM485" t="n">
        <v>40.35075</v>
      </c>
      <c r="AN485" t="n">
        <v>31.06118</v>
      </c>
      <c r="AO485" t="n">
        <v>0.4923234</v>
      </c>
      <c r="AP485" t="n">
        <v>38.79844</v>
      </c>
      <c r="AT485" t="n">
        <v>0.1490955</v>
      </c>
      <c r="AU485" t="n">
        <v>59.50614</v>
      </c>
      <c r="AV485" t="n">
        <v>0.02799338</v>
      </c>
      <c r="AW485" t="n">
        <v>51.9372</v>
      </c>
      <c r="AX485" t="n">
        <v>16.60263</v>
      </c>
    </row>
    <row r="486">
      <c r="A486" s="92" t="n">
        <v>32629</v>
      </c>
      <c r="B486" t="n">
        <v>57.21791</v>
      </c>
      <c r="C486" t="n">
        <v>58.92105</v>
      </c>
      <c r="D486" t="n">
        <v>7.919e-06</v>
      </c>
      <c r="E486" t="n">
        <v>58.94127</v>
      </c>
      <c r="F486" t="n">
        <v>72.87940999999999</v>
      </c>
      <c r="G486" t="n">
        <v>19.4728</v>
      </c>
      <c r="I486" t="n">
        <v>6.085822</v>
      </c>
      <c r="J486" t="n">
        <v>5.809432</v>
      </c>
      <c r="L486" t="n">
        <v>61.3236</v>
      </c>
      <c r="M486" t="n">
        <v>60.20058</v>
      </c>
      <c r="O486" t="n">
        <v>44.94595</v>
      </c>
      <c r="R486" t="n">
        <v>61.69337</v>
      </c>
      <c r="S486" t="n">
        <v>65.24377</v>
      </c>
      <c r="U486" t="n">
        <v>57.47287</v>
      </c>
      <c r="V486" t="n">
        <v>50.9</v>
      </c>
      <c r="W486" t="n">
        <v>24.08902</v>
      </c>
      <c r="X486" t="n">
        <v>6.370603</v>
      </c>
      <c r="Y486" t="n">
        <v>8.891337999999999</v>
      </c>
      <c r="Z486" t="n">
        <v>14.0129</v>
      </c>
      <c r="AA486" t="n">
        <v>55.97268</v>
      </c>
      <c r="AB486" t="n">
        <v>28.58945</v>
      </c>
      <c r="AC486" t="n">
        <v>25.50403</v>
      </c>
      <c r="AD486" t="n">
        <v>48.55174</v>
      </c>
      <c r="AE486" t="n">
        <v>88.97939</v>
      </c>
      <c r="AF486" t="n">
        <v>37.32518</v>
      </c>
      <c r="AH486" t="n">
        <v>57.14692</v>
      </c>
      <c r="AJ486" t="n">
        <v>7.635767</v>
      </c>
      <c r="AK486" t="n">
        <v>57.58142</v>
      </c>
      <c r="AL486" t="n">
        <v>57.4</v>
      </c>
      <c r="AM486" t="n">
        <v>40.58853</v>
      </c>
      <c r="AN486" t="n">
        <v>31.21582</v>
      </c>
      <c r="AO486" t="n">
        <v>0.5626553</v>
      </c>
      <c r="AP486" t="n">
        <v>38.86711</v>
      </c>
      <c r="AT486" t="n">
        <v>0.1813681</v>
      </c>
      <c r="AU486" t="n">
        <v>59.76144</v>
      </c>
      <c r="AV486" t="n">
        <v>0.02884592</v>
      </c>
      <c r="AW486" t="n">
        <v>52.23254</v>
      </c>
      <c r="AX486" t="n">
        <v>16.83258</v>
      </c>
    </row>
    <row r="487">
      <c r="A487" s="92" t="n">
        <v>32660</v>
      </c>
      <c r="B487" t="n">
        <v>57.37696</v>
      </c>
      <c r="C487" t="n">
        <v>59.03376</v>
      </c>
      <c r="D487" t="n">
        <v>1.0188e-05</v>
      </c>
      <c r="E487" t="n">
        <v>59.1783</v>
      </c>
      <c r="F487" t="n">
        <v>73.00391</v>
      </c>
      <c r="G487" t="n">
        <v>19.81657</v>
      </c>
      <c r="I487" t="n">
        <v>6.167401</v>
      </c>
      <c r="J487" t="n">
        <v>5.868591</v>
      </c>
      <c r="L487" t="n">
        <v>61.38884</v>
      </c>
      <c r="M487" t="n">
        <v>60.02669</v>
      </c>
      <c r="O487" t="n">
        <v>45.19081</v>
      </c>
      <c r="R487" t="n">
        <v>62.24052</v>
      </c>
      <c r="S487" t="n">
        <v>65.31729</v>
      </c>
      <c r="U487" t="n">
        <v>57.58801</v>
      </c>
      <c r="V487" t="n">
        <v>51</v>
      </c>
      <c r="W487" t="n">
        <v>24.48875</v>
      </c>
      <c r="X487" t="n">
        <v>6.387247</v>
      </c>
      <c r="Y487" t="n">
        <v>8.872593</v>
      </c>
      <c r="Z487" t="n">
        <v>14.09582</v>
      </c>
      <c r="AA487" t="n">
        <v>55.97268</v>
      </c>
      <c r="AB487" t="n">
        <v>29.431</v>
      </c>
      <c r="AC487" t="n">
        <v>25.80645</v>
      </c>
      <c r="AD487" t="n">
        <v>48.74878</v>
      </c>
      <c r="AE487" t="n">
        <v>88.97939</v>
      </c>
      <c r="AF487" t="n">
        <v>37.38709</v>
      </c>
      <c r="AH487" t="n">
        <v>57.30942</v>
      </c>
      <c r="AJ487" t="n">
        <v>7.728501</v>
      </c>
      <c r="AK487" t="n">
        <v>57.52441</v>
      </c>
      <c r="AL487" t="n">
        <v>57.7</v>
      </c>
      <c r="AM487" t="n">
        <v>40.71226</v>
      </c>
      <c r="AN487" t="n">
        <v>31.33216</v>
      </c>
      <c r="AO487" t="n">
        <v>0.5626553</v>
      </c>
      <c r="AP487" t="n">
        <v>39.12785</v>
      </c>
      <c r="AT487" t="n">
        <v>0.2331622</v>
      </c>
      <c r="AU487" t="n">
        <v>59.95612</v>
      </c>
      <c r="AV487" t="n">
        <v>0.02945025</v>
      </c>
      <c r="AW487" t="n">
        <v>52.35911</v>
      </c>
      <c r="AX487" t="n">
        <v>17.01654</v>
      </c>
    </row>
    <row r="488">
      <c r="A488" s="92" t="n">
        <v>32690</v>
      </c>
      <c r="B488" t="n">
        <v>58.09268</v>
      </c>
      <c r="C488" t="n">
        <v>59.22396</v>
      </c>
      <c r="D488" t="n">
        <v>1.3014e-05</v>
      </c>
      <c r="E488" t="n">
        <v>59.57335</v>
      </c>
      <c r="F488" t="n">
        <v>72.84232</v>
      </c>
      <c r="G488" t="n">
        <v>20.17753</v>
      </c>
      <c r="I488" t="n">
        <v>6.265296</v>
      </c>
      <c r="J488" t="n">
        <v>5.930977</v>
      </c>
      <c r="L488" t="n">
        <v>61.3236</v>
      </c>
      <c r="M488" t="n">
        <v>60.02669</v>
      </c>
      <c r="O488" t="n">
        <v>45.92434</v>
      </c>
      <c r="R488" t="n">
        <v>62.17858</v>
      </c>
      <c r="S488" t="n">
        <v>65.50108</v>
      </c>
      <c r="U488" t="n">
        <v>57.66571</v>
      </c>
      <c r="V488" t="n">
        <v>51</v>
      </c>
      <c r="W488" t="n">
        <v>24.362</v>
      </c>
      <c r="X488" t="n">
        <v>6.507918</v>
      </c>
      <c r="Y488" t="n">
        <v>8.916331</v>
      </c>
      <c r="Z488" t="n">
        <v>14.26165</v>
      </c>
      <c r="AA488" t="n">
        <v>56.75964</v>
      </c>
      <c r="AB488" t="n">
        <v>29.64139</v>
      </c>
      <c r="AC488" t="n">
        <v>26.00806</v>
      </c>
      <c r="AD488" t="n">
        <v>48.8276</v>
      </c>
      <c r="AE488" t="n">
        <v>88.77576999999999</v>
      </c>
      <c r="AF488" t="n">
        <v>37.35647</v>
      </c>
      <c r="AH488" t="n">
        <v>57.47716</v>
      </c>
      <c r="AJ488" t="n">
        <v>7.805809</v>
      </c>
      <c r="AK488" t="n">
        <v>57.69544</v>
      </c>
      <c r="AL488" t="n">
        <v>57.8</v>
      </c>
      <c r="AM488" t="n">
        <v>40.84982</v>
      </c>
      <c r="AN488" t="n">
        <v>31.45804</v>
      </c>
      <c r="AO488" t="n">
        <v>0.6329872</v>
      </c>
      <c r="AP488" t="n">
        <v>39.49308</v>
      </c>
      <c r="AT488" t="n">
        <v>0.307266</v>
      </c>
      <c r="AU488" t="n">
        <v>59.97846</v>
      </c>
      <c r="AV488" t="n">
        <v>0.03034595</v>
      </c>
      <c r="AW488" t="n">
        <v>52.48569</v>
      </c>
      <c r="AX488" t="n">
        <v>17.20051</v>
      </c>
    </row>
    <row r="489">
      <c r="A489" s="92" t="n">
        <v>32721</v>
      </c>
      <c r="B489" t="n">
        <v>58.31137</v>
      </c>
      <c r="C489" t="n">
        <v>59.42121</v>
      </c>
      <c r="D489" t="n">
        <v>1.7401e-05</v>
      </c>
      <c r="E489" t="n">
        <v>59.65236</v>
      </c>
      <c r="F489" t="n">
        <v>73.0842</v>
      </c>
      <c r="G489" t="n">
        <v>20.37998</v>
      </c>
      <c r="I489" t="n">
        <v>6.346876</v>
      </c>
      <c r="J489" t="n">
        <v>5.984758</v>
      </c>
      <c r="L489" t="n">
        <v>61.3236</v>
      </c>
      <c r="M489" t="n">
        <v>60.37447</v>
      </c>
      <c r="O489" t="n">
        <v>46.0299</v>
      </c>
      <c r="R489" t="n">
        <v>62.26117</v>
      </c>
      <c r="S489" t="n">
        <v>65.61134</v>
      </c>
      <c r="U489" t="n">
        <v>57.73129</v>
      </c>
      <c r="V489" t="n">
        <v>51.1</v>
      </c>
      <c r="W489" t="n">
        <v>24.40518</v>
      </c>
      <c r="X489" t="n">
        <v>6.586979</v>
      </c>
      <c r="Y489" t="n">
        <v>8.92258</v>
      </c>
      <c r="Z489" t="n">
        <v>14.42748</v>
      </c>
      <c r="AA489" t="n">
        <v>56.75964</v>
      </c>
      <c r="AB489" t="n">
        <v>30.03879</v>
      </c>
      <c r="AC489" t="n">
        <v>26.31048</v>
      </c>
      <c r="AD489" t="n">
        <v>48.94583</v>
      </c>
      <c r="AE489" t="n">
        <v>88.67397</v>
      </c>
      <c r="AF489" t="n">
        <v>37.63674</v>
      </c>
      <c r="AH489" t="n">
        <v>57.56103</v>
      </c>
      <c r="AJ489" t="n">
        <v>7.880174</v>
      </c>
      <c r="AK489" t="n">
        <v>57.86647</v>
      </c>
      <c r="AL489" t="n">
        <v>57.6</v>
      </c>
      <c r="AM489" t="n">
        <v>40.95819</v>
      </c>
      <c r="AN489" t="n">
        <v>31.5854</v>
      </c>
      <c r="AO489" t="n">
        <v>0.8439829</v>
      </c>
      <c r="AP489" t="n">
        <v>40.14394</v>
      </c>
      <c r="AT489" t="n">
        <v>0.4034427</v>
      </c>
      <c r="AU489" t="n">
        <v>60.21462</v>
      </c>
      <c r="AV489" t="n">
        <v>0.03141432</v>
      </c>
      <c r="AW489" t="n">
        <v>52.57007</v>
      </c>
      <c r="AX489" t="n">
        <v>17.43046</v>
      </c>
    </row>
    <row r="490">
      <c r="A490" s="92" t="n">
        <v>32752</v>
      </c>
      <c r="B490" t="n">
        <v>57.87399</v>
      </c>
      <c r="C490" t="n">
        <v>59.71709</v>
      </c>
      <c r="D490" t="n">
        <v>2.3937e-05</v>
      </c>
      <c r="E490" t="n">
        <v>59.73137</v>
      </c>
      <c r="F490" t="n">
        <v>73.40206000000001</v>
      </c>
      <c r="G490" t="n">
        <v>20.81351</v>
      </c>
      <c r="I490" t="n">
        <v>6.436613</v>
      </c>
      <c r="J490" t="n">
        <v>6.038539</v>
      </c>
      <c r="L490" t="n">
        <v>61.38884</v>
      </c>
      <c r="M490" t="n">
        <v>60.58314</v>
      </c>
      <c r="O490" t="n">
        <v>46.51692</v>
      </c>
      <c r="R490" t="n">
        <v>62.93736</v>
      </c>
      <c r="S490" t="n">
        <v>65.75837</v>
      </c>
      <c r="U490" t="n">
        <v>57.96862</v>
      </c>
      <c r="V490" t="n">
        <v>51.5</v>
      </c>
      <c r="W490" t="n">
        <v>25.30353</v>
      </c>
      <c r="X490" t="n">
        <v>6.603623</v>
      </c>
      <c r="Y490" t="n">
        <v>8.941324</v>
      </c>
      <c r="Z490" t="n">
        <v>14.59332</v>
      </c>
      <c r="AA490" t="n">
        <v>56.75964</v>
      </c>
      <c r="AB490" t="n">
        <v>30.64658</v>
      </c>
      <c r="AC490" t="n">
        <v>26.71371</v>
      </c>
      <c r="AD490" t="n">
        <v>49.18228</v>
      </c>
      <c r="AE490" t="n">
        <v>89.48842</v>
      </c>
      <c r="AF490" t="n">
        <v>37.97959</v>
      </c>
      <c r="AH490" t="n">
        <v>57.72353</v>
      </c>
      <c r="AJ490" t="n">
        <v>7.955538</v>
      </c>
      <c r="AK490" t="n">
        <v>58.15153</v>
      </c>
      <c r="AL490" t="n">
        <v>58.1</v>
      </c>
      <c r="AM490" t="n">
        <v>41.2074</v>
      </c>
      <c r="AN490" t="n">
        <v>31.84668</v>
      </c>
      <c r="AO490" t="n">
        <v>1.125311</v>
      </c>
      <c r="AP490" t="n">
        <v>40.23052</v>
      </c>
      <c r="AT490" t="n">
        <v>0.6088045</v>
      </c>
      <c r="AU490" t="n">
        <v>60.69971</v>
      </c>
      <c r="AV490" t="n">
        <v>0.03318413</v>
      </c>
      <c r="AW490" t="n">
        <v>52.73883</v>
      </c>
      <c r="AX490" t="n">
        <v>17.56843</v>
      </c>
    </row>
    <row r="491">
      <c r="A491" s="92" t="n">
        <v>32782</v>
      </c>
      <c r="B491" t="n">
        <v>57.87399</v>
      </c>
      <c r="C491" t="n">
        <v>59.78753</v>
      </c>
      <c r="D491" t="n">
        <v>3.3457e-05</v>
      </c>
      <c r="E491" t="n">
        <v>59.9684</v>
      </c>
      <c r="F491" t="n">
        <v>73.69216</v>
      </c>
      <c r="G491" t="n">
        <v>21.4132</v>
      </c>
      <c r="I491" t="n">
        <v>6.542666</v>
      </c>
      <c r="J491" t="n">
        <v>6.110606</v>
      </c>
      <c r="L491" t="n">
        <v>61.58455</v>
      </c>
      <c r="M491" t="n">
        <v>60.93092</v>
      </c>
      <c r="O491" t="n">
        <v>46.70465</v>
      </c>
      <c r="R491" t="n">
        <v>63.16448</v>
      </c>
      <c r="S491" t="n">
        <v>66.05243</v>
      </c>
      <c r="U491" t="n">
        <v>58.27647</v>
      </c>
      <c r="V491" t="n">
        <v>51.9</v>
      </c>
      <c r="W491" t="n">
        <v>25.69908</v>
      </c>
      <c r="X491" t="n">
        <v>6.674361</v>
      </c>
      <c r="Y491" t="n">
        <v>9.010056000000001</v>
      </c>
      <c r="Z491" t="n">
        <v>14.59332</v>
      </c>
      <c r="AA491" t="n">
        <v>57.25149</v>
      </c>
      <c r="AB491" t="n">
        <v>31.25437</v>
      </c>
      <c r="AC491" t="n">
        <v>27.21774</v>
      </c>
      <c r="AD491" t="n">
        <v>49.57637</v>
      </c>
      <c r="AE491" t="n">
        <v>90.09926</v>
      </c>
      <c r="AF491" t="n">
        <v>38.07279</v>
      </c>
      <c r="AH491" t="n">
        <v>58.04329</v>
      </c>
      <c r="AJ491" t="n">
        <v>8.073195</v>
      </c>
      <c r="AK491" t="n">
        <v>58.20854</v>
      </c>
      <c r="AL491" t="n">
        <v>58.2</v>
      </c>
      <c r="AM491" t="n">
        <v>41.50811</v>
      </c>
      <c r="AN491" t="n">
        <v>32.13378</v>
      </c>
      <c r="AO491" t="n">
        <v>1.687966</v>
      </c>
      <c r="AP491" t="n">
        <v>40.43055</v>
      </c>
      <c r="AT491" t="n">
        <v>0.9142612</v>
      </c>
      <c r="AU491" t="n">
        <v>61.22628</v>
      </c>
      <c r="AV491" t="n">
        <v>0.03523454</v>
      </c>
      <c r="AW491" t="n">
        <v>52.99198</v>
      </c>
      <c r="AX491" t="n">
        <v>17.7064</v>
      </c>
    </row>
    <row r="492">
      <c r="A492" s="92" t="n">
        <v>32813</v>
      </c>
      <c r="B492" t="n">
        <v>57.7547</v>
      </c>
      <c r="C492" t="n">
        <v>59.71004</v>
      </c>
      <c r="D492" t="n">
        <v>4.9456e-05</v>
      </c>
      <c r="E492" t="n">
        <v>60.12642</v>
      </c>
      <c r="F492" t="n">
        <v>74.5429</v>
      </c>
      <c r="G492" t="n">
        <v>21.78181</v>
      </c>
      <c r="I492" t="n">
        <v>6.656877</v>
      </c>
      <c r="J492" t="n">
        <v>6.16869</v>
      </c>
      <c r="L492" t="n">
        <v>61.71503</v>
      </c>
      <c r="M492" t="n">
        <v>61.20914</v>
      </c>
      <c r="O492" t="n">
        <v>46.78029</v>
      </c>
      <c r="R492" t="n">
        <v>63.12318</v>
      </c>
      <c r="S492" t="n">
        <v>66.1627</v>
      </c>
      <c r="U492" t="n">
        <v>58.33113</v>
      </c>
      <c r="V492" t="n">
        <v>52.1</v>
      </c>
      <c r="W492" t="n">
        <v>25.92123</v>
      </c>
      <c r="X492" t="n">
        <v>6.691006</v>
      </c>
      <c r="Y492" t="n">
        <v>9.053794</v>
      </c>
      <c r="Z492" t="n">
        <v>14.59332</v>
      </c>
      <c r="AA492" t="n">
        <v>57.25149</v>
      </c>
      <c r="AB492" t="n">
        <v>31.7219</v>
      </c>
      <c r="AC492" t="n">
        <v>27.52016</v>
      </c>
      <c r="AD492" t="n">
        <v>49.85223</v>
      </c>
      <c r="AE492" t="n">
        <v>89.18300000000001</v>
      </c>
      <c r="AF492" t="n">
        <v>38.13537</v>
      </c>
      <c r="AH492" t="n">
        <v>58.14812</v>
      </c>
      <c r="AJ492" t="n">
        <v>8.186515999999999</v>
      </c>
      <c r="AK492" t="n">
        <v>58.20854</v>
      </c>
      <c r="AL492" t="n">
        <v>58.2</v>
      </c>
      <c r="AM492" t="n">
        <v>41.6267</v>
      </c>
      <c r="AN492" t="n">
        <v>32.32343</v>
      </c>
      <c r="AO492" t="n">
        <v>2.039625</v>
      </c>
      <c r="AP492" t="n">
        <v>40.80872</v>
      </c>
      <c r="AT492" t="n">
        <v>1.305415</v>
      </c>
      <c r="AU492" t="n">
        <v>61.32202</v>
      </c>
      <c r="AV492" t="n">
        <v>0.03676694</v>
      </c>
      <c r="AW492" t="n">
        <v>53.11855</v>
      </c>
      <c r="AX492" t="n">
        <v>17.93636</v>
      </c>
    </row>
    <row r="493">
      <c r="A493" s="92" t="n">
        <v>32843</v>
      </c>
      <c r="B493" t="n">
        <v>57.87399</v>
      </c>
      <c r="C493" t="n">
        <v>59.94251</v>
      </c>
      <c r="D493" t="n">
        <v>7.492599999999999e-05</v>
      </c>
      <c r="E493" t="n">
        <v>60.12642</v>
      </c>
      <c r="F493" t="n">
        <v>75.09092</v>
      </c>
      <c r="G493" t="n">
        <v>22.24399</v>
      </c>
      <c r="I493" t="n">
        <v>6.754772</v>
      </c>
      <c r="J493" t="n">
        <v>6.210639</v>
      </c>
      <c r="L493" t="n">
        <v>61.91074</v>
      </c>
      <c r="M493" t="n">
        <v>61.20914</v>
      </c>
      <c r="O493" t="n">
        <v>46.96258</v>
      </c>
      <c r="R493" t="n">
        <v>63.47419</v>
      </c>
      <c r="S493" t="n">
        <v>66.23621</v>
      </c>
      <c r="U493" t="n">
        <v>58.43666</v>
      </c>
      <c r="V493" t="n">
        <v>52.2</v>
      </c>
      <c r="W493" t="n">
        <v>26.57585</v>
      </c>
      <c r="X493" t="n">
        <v>6.749261</v>
      </c>
      <c r="Y493" t="n">
        <v>9.047545</v>
      </c>
      <c r="Z493" t="n">
        <v>14.5104</v>
      </c>
      <c r="AA493" t="n">
        <v>57.25149</v>
      </c>
      <c r="AB493" t="n">
        <v>32.39981</v>
      </c>
      <c r="AC493" t="n">
        <v>27.82258</v>
      </c>
      <c r="AD493" t="n">
        <v>50.04928</v>
      </c>
      <c r="AE493" t="n">
        <v>89.28480999999999</v>
      </c>
      <c r="AF493" t="n">
        <v>38.10408</v>
      </c>
      <c r="AH493" t="n">
        <v>58.21627</v>
      </c>
      <c r="AJ493" t="n">
        <v>8.462797999999999</v>
      </c>
      <c r="AK493" t="n">
        <v>58.20854</v>
      </c>
      <c r="AL493" t="n">
        <v>58.2</v>
      </c>
      <c r="AM493" t="n">
        <v>41.79618</v>
      </c>
      <c r="AN493" t="n">
        <v>32.4811</v>
      </c>
      <c r="AO493" t="n">
        <v>2.391285</v>
      </c>
      <c r="AP493" t="n">
        <v>41.23765</v>
      </c>
      <c r="AT493" t="n">
        <v>2.064908</v>
      </c>
      <c r="AU493" t="n">
        <v>61.54222</v>
      </c>
      <c r="AV493" t="n">
        <v>0.03761948</v>
      </c>
      <c r="AW493" t="n">
        <v>53.20293</v>
      </c>
      <c r="AX493" t="n">
        <v>18.16631</v>
      </c>
    </row>
    <row r="494">
      <c r="A494" s="92" t="n">
        <v>32874</v>
      </c>
      <c r="B494" t="n">
        <v>58.25173</v>
      </c>
      <c r="C494" t="n">
        <v>60.16794</v>
      </c>
      <c r="D494" t="n">
        <v>0.000125538</v>
      </c>
      <c r="E494" t="n">
        <v>60.60048</v>
      </c>
      <c r="F494" t="n">
        <v>75.53288000000001</v>
      </c>
      <c r="G494" t="n">
        <v>22.79952</v>
      </c>
      <c r="I494" t="n">
        <v>6.975037</v>
      </c>
      <c r="J494" t="n">
        <v>6.397797</v>
      </c>
      <c r="L494" t="n">
        <v>62.23693</v>
      </c>
      <c r="M494" t="n">
        <v>60.82658</v>
      </c>
      <c r="N494" t="n">
        <v>57.94297</v>
      </c>
      <c r="O494" t="n">
        <v>47.41967</v>
      </c>
      <c r="R494" t="n">
        <v>64.40331</v>
      </c>
      <c r="S494" t="n">
        <v>66.42</v>
      </c>
      <c r="U494" t="n">
        <v>58.89188</v>
      </c>
      <c r="V494" t="n">
        <v>52.4</v>
      </c>
      <c r="W494" t="n">
        <v>26.73184</v>
      </c>
      <c r="X494" t="n">
        <v>7.377583</v>
      </c>
      <c r="Y494" t="n">
        <v>9.135021999999999</v>
      </c>
      <c r="Z494" t="n">
        <v>14.42748</v>
      </c>
      <c r="AA494" t="n">
        <v>57.74334</v>
      </c>
      <c r="AB494" t="n">
        <v>32.56345</v>
      </c>
      <c r="AC494" t="n">
        <v>28.125</v>
      </c>
      <c r="AD494" t="n">
        <v>50.52218</v>
      </c>
      <c r="AE494" t="n">
        <v>89.69203</v>
      </c>
      <c r="AF494" t="n">
        <v>38.9855</v>
      </c>
      <c r="AH494" t="n">
        <v>58.65659</v>
      </c>
      <c r="AJ494" t="n">
        <v>8.871229</v>
      </c>
      <c r="AK494" t="n">
        <v>58.15153</v>
      </c>
      <c r="AL494" t="n">
        <v>58.6</v>
      </c>
      <c r="AM494" t="n">
        <v>42.23583</v>
      </c>
      <c r="AN494" t="n">
        <v>32.73677</v>
      </c>
      <c r="AO494" t="n">
        <v>4.290246</v>
      </c>
      <c r="AP494" t="n">
        <v>42.22786</v>
      </c>
      <c r="AT494" t="n">
        <v>2.92125</v>
      </c>
      <c r="AU494" t="n">
        <v>63.29747</v>
      </c>
      <c r="AV494" t="n">
        <v>0.03906555</v>
      </c>
      <c r="AW494" t="n">
        <v>53.75142</v>
      </c>
      <c r="AX494" t="n">
        <v>18.39626</v>
      </c>
    </row>
    <row r="495">
      <c r="A495" s="92" t="n">
        <v>32905</v>
      </c>
      <c r="B495" t="n">
        <v>58.68911</v>
      </c>
      <c r="C495" t="n">
        <v>60.30883</v>
      </c>
      <c r="D495" t="n">
        <v>0.000220609</v>
      </c>
      <c r="E495" t="n">
        <v>60.99552</v>
      </c>
      <c r="F495" t="n">
        <v>75.77786999999999</v>
      </c>
      <c r="G495" t="n">
        <v>22.86673</v>
      </c>
      <c r="I495" t="n">
        <v>7.236091</v>
      </c>
      <c r="J495" t="n">
        <v>6.438671</v>
      </c>
      <c r="L495" t="n">
        <v>62.49788</v>
      </c>
      <c r="M495" t="n">
        <v>60.9657</v>
      </c>
      <c r="N495" t="n">
        <v>58.15652</v>
      </c>
      <c r="O495" t="n">
        <v>47.72058</v>
      </c>
      <c r="R495" t="n">
        <v>64.68612</v>
      </c>
      <c r="S495" t="n">
        <v>66.56</v>
      </c>
      <c r="U495" t="n">
        <v>59.16411</v>
      </c>
      <c r="V495" t="n">
        <v>52.9</v>
      </c>
      <c r="W495" t="n">
        <v>26.75969</v>
      </c>
      <c r="X495" t="n">
        <v>7.743757</v>
      </c>
      <c r="Y495" t="n">
        <v>9.222498</v>
      </c>
      <c r="Z495" t="n">
        <v>14.5104</v>
      </c>
      <c r="AA495" t="n">
        <v>57.74334</v>
      </c>
      <c r="AB495" t="n">
        <v>33.07773</v>
      </c>
      <c r="AC495" t="n">
        <v>28.32661</v>
      </c>
      <c r="AD495" t="n">
        <v>50.91627</v>
      </c>
      <c r="AE495" t="n">
        <v>89.79384</v>
      </c>
      <c r="AF495" t="n">
        <v>39.22901</v>
      </c>
      <c r="AH495" t="n">
        <v>58.62105</v>
      </c>
      <c r="AJ495" t="n">
        <v>9.072111</v>
      </c>
      <c r="AK495" t="n">
        <v>58.37958</v>
      </c>
      <c r="AL495" t="n">
        <v>58.8</v>
      </c>
      <c r="AM495" t="n">
        <v>42.49407</v>
      </c>
      <c r="AN495" t="n">
        <v>32.9813</v>
      </c>
      <c r="AO495" t="n">
        <v>5.274893</v>
      </c>
      <c r="AP495" t="n">
        <v>43.16931</v>
      </c>
      <c r="AT495" t="n">
        <v>3.194617</v>
      </c>
      <c r="AU495" t="n">
        <v>63.50811</v>
      </c>
      <c r="AV495" t="n">
        <v>0.0407922</v>
      </c>
      <c r="AW495" t="n">
        <v>54.00457</v>
      </c>
      <c r="AX495" t="n">
        <v>18.53424</v>
      </c>
    </row>
    <row r="496">
      <c r="A496" s="92" t="n">
        <v>32933</v>
      </c>
      <c r="B496" t="n">
        <v>58.72888</v>
      </c>
      <c r="C496" t="n">
        <v>60.45677</v>
      </c>
      <c r="D496" t="n">
        <v>0.000402368</v>
      </c>
      <c r="E496" t="n">
        <v>61.23255</v>
      </c>
      <c r="F496" t="n">
        <v>76.03879999999999</v>
      </c>
      <c r="G496" t="n">
        <v>23.41883</v>
      </c>
      <c r="I496" t="n">
        <v>7.448197</v>
      </c>
      <c r="J496" t="n">
        <v>6.538703</v>
      </c>
      <c r="L496" t="n">
        <v>62.49788</v>
      </c>
      <c r="M496" t="n">
        <v>61.17437</v>
      </c>
      <c r="N496" t="n">
        <v>58.29889</v>
      </c>
      <c r="O496" t="n">
        <v>47.89526</v>
      </c>
      <c r="R496" t="n">
        <v>64.94262999999999</v>
      </c>
      <c r="S496" t="n">
        <v>66.72</v>
      </c>
      <c r="U496" t="n">
        <v>59.40447</v>
      </c>
      <c r="V496" t="n">
        <v>53.1</v>
      </c>
      <c r="W496" t="n">
        <v>27.63088</v>
      </c>
      <c r="X496" t="n">
        <v>7.906039</v>
      </c>
      <c r="Y496" t="n">
        <v>9.185008</v>
      </c>
      <c r="Z496" t="n">
        <v>14.67623</v>
      </c>
      <c r="AA496" t="n">
        <v>57.74334</v>
      </c>
      <c r="AB496" t="n">
        <v>33.35825</v>
      </c>
      <c r="AC496" t="n">
        <v>28.62903</v>
      </c>
      <c r="AD496" t="n">
        <v>51.11332</v>
      </c>
      <c r="AE496" t="n">
        <v>90.09926</v>
      </c>
      <c r="AF496" t="n">
        <v>39.63487</v>
      </c>
      <c r="AH496" t="n">
        <v>58.56182</v>
      </c>
      <c r="AJ496" t="n">
        <v>9.232046</v>
      </c>
      <c r="AK496" t="n">
        <v>58.60762</v>
      </c>
      <c r="AL496" t="n">
        <v>59.5</v>
      </c>
      <c r="AM496" t="n">
        <v>42.74846</v>
      </c>
      <c r="AN496" t="n">
        <v>33.18773</v>
      </c>
      <c r="AO496" t="n">
        <v>5.485889</v>
      </c>
      <c r="AP496" t="n">
        <v>43.42209</v>
      </c>
      <c r="AT496" t="n">
        <v>3.258379</v>
      </c>
      <c r="AU496" t="n">
        <v>65.25378000000001</v>
      </c>
      <c r="AV496" t="n">
        <v>0.04290735</v>
      </c>
      <c r="AW496" t="n">
        <v>54.2999</v>
      </c>
      <c r="AX496" t="n">
        <v>18.81018</v>
      </c>
    </row>
    <row r="497">
      <c r="A497" s="92" t="n">
        <v>32964</v>
      </c>
      <c r="B497" t="n">
        <v>58.90781</v>
      </c>
      <c r="C497" t="n">
        <v>60.73151</v>
      </c>
      <c r="D497" t="n">
        <v>0.000464816</v>
      </c>
      <c r="E497" t="n">
        <v>61.23255</v>
      </c>
      <c r="F497" t="n">
        <v>76.19526999999999</v>
      </c>
      <c r="G497" t="n">
        <v>23.83482</v>
      </c>
      <c r="I497" t="n">
        <v>7.652145</v>
      </c>
      <c r="J497" t="n">
        <v>6.673156</v>
      </c>
      <c r="L497" t="n">
        <v>62.62836</v>
      </c>
      <c r="M497" t="n">
        <v>61.20914</v>
      </c>
      <c r="N497" t="n">
        <v>58.51244</v>
      </c>
      <c r="O497" t="n">
        <v>48.00409</v>
      </c>
      <c r="R497" t="n">
        <v>65.30437000000001</v>
      </c>
      <c r="S497" t="n">
        <v>67.09</v>
      </c>
      <c r="U497" t="n">
        <v>59.68391</v>
      </c>
      <c r="V497" t="n">
        <v>54.4</v>
      </c>
      <c r="W497" t="n">
        <v>28.12602</v>
      </c>
      <c r="X497" t="n">
        <v>8.064159</v>
      </c>
      <c r="Y497" t="n">
        <v>9.291229</v>
      </c>
      <c r="Z497" t="n">
        <v>14.92498</v>
      </c>
      <c r="AA497" t="n">
        <v>57.94008</v>
      </c>
      <c r="AB497" t="n">
        <v>33.45176</v>
      </c>
      <c r="AC497" t="n">
        <v>29.33468</v>
      </c>
      <c r="AD497" t="n">
        <v>51.31036</v>
      </c>
      <c r="AE497" t="n">
        <v>90.91372</v>
      </c>
      <c r="AF497" t="n">
        <v>40.08184</v>
      </c>
      <c r="AH497" t="n">
        <v>58.71581</v>
      </c>
      <c r="AJ497" t="n">
        <v>9.372553999999999</v>
      </c>
      <c r="AK497" t="n">
        <v>58.83567</v>
      </c>
      <c r="AL497" t="n">
        <v>59.5</v>
      </c>
      <c r="AM497" t="n">
        <v>43.03631</v>
      </c>
      <c r="AN497" t="n">
        <v>33.52339</v>
      </c>
      <c r="AO497" t="n">
        <v>5.907881</v>
      </c>
      <c r="AP497" t="n">
        <v>43.92267</v>
      </c>
      <c r="AT497" t="n">
        <v>3.416047</v>
      </c>
      <c r="AU497" t="n">
        <v>65.48994</v>
      </c>
      <c r="AV497" t="n">
        <v>0.04575633</v>
      </c>
      <c r="AW497" t="n">
        <v>54.38428</v>
      </c>
      <c r="AX497" t="n">
        <v>18.99414</v>
      </c>
    </row>
    <row r="498">
      <c r="A498" s="92" t="n">
        <v>32994</v>
      </c>
      <c r="B498" t="n">
        <v>58.94757</v>
      </c>
      <c r="C498" t="n">
        <v>60.75264</v>
      </c>
      <c r="D498" t="n">
        <v>0.000500095</v>
      </c>
      <c r="E498" t="n">
        <v>61.54859</v>
      </c>
      <c r="F498" t="n">
        <v>76.56576</v>
      </c>
      <c r="G498" t="n">
        <v>24.19807</v>
      </c>
      <c r="I498" t="n">
        <v>7.807147</v>
      </c>
      <c r="J498" t="n">
        <v>6.760282</v>
      </c>
      <c r="L498" t="n">
        <v>62.75883</v>
      </c>
      <c r="M498" t="n">
        <v>61.66125</v>
      </c>
      <c r="N498" t="n">
        <v>58.6548</v>
      </c>
      <c r="O498" t="n">
        <v>48.00028</v>
      </c>
      <c r="R498" t="n">
        <v>65.52799</v>
      </c>
      <c r="S498" t="n">
        <v>67.19</v>
      </c>
      <c r="U498" t="n">
        <v>59.88382</v>
      </c>
      <c r="V498" t="n">
        <v>55</v>
      </c>
      <c r="W498" t="n">
        <v>29.02228</v>
      </c>
      <c r="X498" t="n">
        <v>8.080804000000001</v>
      </c>
      <c r="Y498" t="n">
        <v>9.366209</v>
      </c>
      <c r="Z498" t="n">
        <v>15.09082</v>
      </c>
      <c r="AA498" t="n">
        <v>57.94008</v>
      </c>
      <c r="AB498" t="n">
        <v>33.75565</v>
      </c>
      <c r="AC498" t="n">
        <v>29.83871</v>
      </c>
      <c r="AD498" t="n">
        <v>51.46799</v>
      </c>
      <c r="AE498" t="n">
        <v>91.32095</v>
      </c>
      <c r="AF498" t="n">
        <v>40.52776</v>
      </c>
      <c r="AH498" t="n">
        <v>58.82241</v>
      </c>
      <c r="AJ498" t="n">
        <v>9.536111999999999</v>
      </c>
      <c r="AK498" t="n">
        <v>58.89268</v>
      </c>
      <c r="AL498" t="n">
        <v>59.6</v>
      </c>
      <c r="AM498" t="n">
        <v>43.24083</v>
      </c>
      <c r="AN498" t="n">
        <v>33.71618</v>
      </c>
      <c r="AO498" t="n">
        <v>6.189208</v>
      </c>
      <c r="AP498" t="n">
        <v>44.38842</v>
      </c>
      <c r="AT498" t="n">
        <v>3.461724</v>
      </c>
      <c r="AU498" t="n">
        <v>65.86333</v>
      </c>
      <c r="AV498" t="n">
        <v>0.04715924</v>
      </c>
      <c r="AW498" t="n">
        <v>54.51086</v>
      </c>
      <c r="AX498" t="n">
        <v>19.1781</v>
      </c>
    </row>
    <row r="499">
      <c r="A499" s="92" t="n">
        <v>33025</v>
      </c>
      <c r="B499" t="n">
        <v>59.06686</v>
      </c>
      <c r="C499" t="n">
        <v>60.78786</v>
      </c>
      <c r="D499" t="n">
        <v>0.000558856</v>
      </c>
      <c r="E499" t="n">
        <v>61.78562</v>
      </c>
      <c r="F499" t="n">
        <v>76.67252000000001</v>
      </c>
      <c r="G499" t="n">
        <v>24.7289</v>
      </c>
      <c r="I499" t="n">
        <v>7.953989</v>
      </c>
      <c r="J499" t="n">
        <v>6.927003</v>
      </c>
      <c r="L499" t="n">
        <v>62.82407</v>
      </c>
      <c r="M499" t="n">
        <v>61.52214</v>
      </c>
      <c r="N499" t="n">
        <v>58.72599</v>
      </c>
      <c r="O499" t="n">
        <v>48.14829</v>
      </c>
      <c r="R499" t="n">
        <v>65.77791999999999</v>
      </c>
      <c r="S499" t="n">
        <v>67.18000000000001</v>
      </c>
      <c r="U499" t="n">
        <v>60.0676</v>
      </c>
      <c r="V499" t="n">
        <v>55.2</v>
      </c>
      <c r="W499" t="n">
        <v>29.76882</v>
      </c>
      <c r="X499" t="n">
        <v>8.068320999999999</v>
      </c>
      <c r="Y499" t="n">
        <v>9.491175999999999</v>
      </c>
      <c r="Z499" t="n">
        <v>15.33957</v>
      </c>
      <c r="AA499" t="n">
        <v>57.94008</v>
      </c>
      <c r="AB499" t="n">
        <v>33.98941</v>
      </c>
      <c r="AC499" t="n">
        <v>30.04032</v>
      </c>
      <c r="AD499" t="n">
        <v>51.70445</v>
      </c>
      <c r="AE499" t="n">
        <v>91.01553</v>
      </c>
      <c r="AF499" t="n">
        <v>40.7291</v>
      </c>
      <c r="AH499" t="n">
        <v>58.83426</v>
      </c>
      <c r="AJ499" t="n">
        <v>9.746141</v>
      </c>
      <c r="AK499" t="n">
        <v>58.83567</v>
      </c>
      <c r="AL499" t="n">
        <v>59.8</v>
      </c>
      <c r="AM499" t="n">
        <v>43.4203</v>
      </c>
      <c r="AN499" t="n">
        <v>33.82546</v>
      </c>
      <c r="AO499" t="n">
        <v>6.400204</v>
      </c>
      <c r="AP499" t="n">
        <v>44.51879</v>
      </c>
      <c r="AT499" t="n">
        <v>3.390774</v>
      </c>
      <c r="AU499" t="n">
        <v>65.82185</v>
      </c>
      <c r="AV499" t="n">
        <v>0.04787149</v>
      </c>
      <c r="AW499" t="n">
        <v>54.80619</v>
      </c>
      <c r="AX499" t="n">
        <v>19.31608</v>
      </c>
    </row>
    <row r="500">
      <c r="A500" s="92" t="n">
        <v>33055</v>
      </c>
      <c r="B500" t="n">
        <v>59.82234</v>
      </c>
      <c r="C500" t="n">
        <v>61.00625</v>
      </c>
      <c r="D500" t="n">
        <v>0.000631061</v>
      </c>
      <c r="E500" t="n">
        <v>62.02265</v>
      </c>
      <c r="F500" t="n">
        <v>76.71021</v>
      </c>
      <c r="G500" t="n">
        <v>25.14149</v>
      </c>
      <c r="I500" t="n">
        <v>8.060041999999999</v>
      </c>
      <c r="J500" t="n">
        <v>7.107708</v>
      </c>
      <c r="L500" t="n">
        <v>62.82407</v>
      </c>
      <c r="M500" t="n">
        <v>61.31348</v>
      </c>
      <c r="N500" t="n">
        <v>58.79717</v>
      </c>
      <c r="O500" t="n">
        <v>48.79528</v>
      </c>
      <c r="R500" t="n">
        <v>65.78449999999999</v>
      </c>
      <c r="S500" t="n">
        <v>67.2</v>
      </c>
      <c r="U500" t="n">
        <v>60.18715</v>
      </c>
      <c r="V500" t="n">
        <v>55.2</v>
      </c>
      <c r="W500" t="n">
        <v>29.64068</v>
      </c>
      <c r="X500" t="n">
        <v>8.322146</v>
      </c>
      <c r="Y500" t="n">
        <v>9.703616999999999</v>
      </c>
      <c r="Z500" t="n">
        <v>15.67123</v>
      </c>
      <c r="AA500" t="n">
        <v>58.43193</v>
      </c>
      <c r="AB500" t="n">
        <v>34.22318</v>
      </c>
      <c r="AC500" t="n">
        <v>30.54436</v>
      </c>
      <c r="AD500" t="n">
        <v>51.86208</v>
      </c>
      <c r="AE500" t="n">
        <v>90.81191</v>
      </c>
      <c r="AF500" t="n">
        <v>40.85139</v>
      </c>
      <c r="AH500" t="n">
        <v>58.87572</v>
      </c>
      <c r="AJ500" t="n">
        <v>9.923881</v>
      </c>
      <c r="AK500" t="n">
        <v>59.06371</v>
      </c>
      <c r="AL500" t="n">
        <v>59.9</v>
      </c>
      <c r="AM500" t="n">
        <v>43.55406</v>
      </c>
      <c r="AN500" t="n">
        <v>33.88695</v>
      </c>
      <c r="AO500" t="n">
        <v>6.6112</v>
      </c>
      <c r="AP500" t="n">
        <v>44.83426</v>
      </c>
      <c r="AT500" t="n">
        <v>3.417206</v>
      </c>
      <c r="AU500" t="n">
        <v>66.44735</v>
      </c>
      <c r="AV500" t="n">
        <v>0.04742903</v>
      </c>
      <c r="AW500" t="n">
        <v>55.01715</v>
      </c>
      <c r="AX500" t="n">
        <v>19.45405</v>
      </c>
    </row>
    <row r="501">
      <c r="A501" s="92" t="n">
        <v>33086</v>
      </c>
      <c r="B501" t="n">
        <v>60.14044</v>
      </c>
      <c r="C501" t="n">
        <v>61.35848</v>
      </c>
      <c r="D501" t="n">
        <v>0.000712341</v>
      </c>
      <c r="E501" t="n">
        <v>62.10166</v>
      </c>
      <c r="F501" t="n">
        <v>77.53027</v>
      </c>
      <c r="G501" t="n">
        <v>25.64765</v>
      </c>
      <c r="I501" t="n">
        <v>8.190569999999999</v>
      </c>
      <c r="J501" t="n">
        <v>7.257219</v>
      </c>
      <c r="L501" t="n">
        <v>63.01979</v>
      </c>
      <c r="M501" t="n">
        <v>61.93948</v>
      </c>
      <c r="N501" t="n">
        <v>59.15308</v>
      </c>
      <c r="O501" t="n">
        <v>49.00914</v>
      </c>
      <c r="R501" t="n">
        <v>66.09363</v>
      </c>
      <c r="S501" t="n">
        <v>67.64</v>
      </c>
      <c r="U501" t="n">
        <v>60.61146</v>
      </c>
      <c r="V501" t="n">
        <v>55.7</v>
      </c>
      <c r="W501" t="n">
        <v>29.81269</v>
      </c>
      <c r="X501" t="n">
        <v>8.505234</v>
      </c>
      <c r="Y501" t="n">
        <v>9.759852</v>
      </c>
      <c r="Z501" t="n">
        <v>15.75415</v>
      </c>
      <c r="AA501" t="n">
        <v>58.43193</v>
      </c>
      <c r="AB501" t="n">
        <v>34.31668</v>
      </c>
      <c r="AC501" t="n">
        <v>31.04839</v>
      </c>
      <c r="AD501" t="n">
        <v>52.21677</v>
      </c>
      <c r="AE501" t="n">
        <v>91.11733</v>
      </c>
      <c r="AF501" t="n">
        <v>41.01479</v>
      </c>
      <c r="AH501" t="n">
        <v>59.13631</v>
      </c>
      <c r="AJ501" t="n">
        <v>10.09297</v>
      </c>
      <c r="AK501" t="n">
        <v>59.23475</v>
      </c>
      <c r="AL501" t="n">
        <v>59.8</v>
      </c>
      <c r="AM501" t="n">
        <v>43.8823</v>
      </c>
      <c r="AN501" t="n">
        <v>34.12506</v>
      </c>
      <c r="AO501" t="n">
        <v>6.751863</v>
      </c>
      <c r="AP501" t="n">
        <v>45.36669</v>
      </c>
      <c r="AT501" t="n">
        <v>3.378253</v>
      </c>
      <c r="AU501" t="n">
        <v>66.90372000000001</v>
      </c>
      <c r="AV501" t="n">
        <v>0.04863769</v>
      </c>
      <c r="AW501" t="n">
        <v>55.52345</v>
      </c>
      <c r="AX501" t="n">
        <v>19.77598</v>
      </c>
    </row>
    <row r="502">
      <c r="A502" s="92" t="n">
        <v>33117</v>
      </c>
      <c r="B502" t="n">
        <v>60.04103</v>
      </c>
      <c r="C502" t="n">
        <v>61.915</v>
      </c>
      <c r="D502" t="n">
        <v>0.00081499</v>
      </c>
      <c r="E502" t="n">
        <v>62.25968</v>
      </c>
      <c r="F502" t="n">
        <v>77.89866000000001</v>
      </c>
      <c r="G502" t="n">
        <v>26.90243</v>
      </c>
      <c r="I502" t="n">
        <v>8.38636</v>
      </c>
      <c r="J502" t="n">
        <v>7.311</v>
      </c>
      <c r="L502" t="n">
        <v>63.2155</v>
      </c>
      <c r="M502" t="n">
        <v>62.46115</v>
      </c>
      <c r="N502" t="n">
        <v>59.58018</v>
      </c>
      <c r="O502" t="n">
        <v>49.52499</v>
      </c>
      <c r="R502" t="n">
        <v>66.54087</v>
      </c>
      <c r="S502" t="n">
        <v>68.12</v>
      </c>
      <c r="U502" t="n">
        <v>61.04889</v>
      </c>
      <c r="V502" t="n">
        <v>56.2</v>
      </c>
      <c r="W502" t="n">
        <v>30.9506</v>
      </c>
      <c r="X502" t="n">
        <v>8.655032</v>
      </c>
      <c r="Y502" t="n">
        <v>9.809837999999999</v>
      </c>
      <c r="Z502" t="n">
        <v>15.83707</v>
      </c>
      <c r="AA502" t="n">
        <v>58.43193</v>
      </c>
      <c r="AB502" t="n">
        <v>34.31668</v>
      </c>
      <c r="AC502" t="n">
        <v>31.75403</v>
      </c>
      <c r="AD502" t="n">
        <v>52.49263</v>
      </c>
      <c r="AE502" t="n">
        <v>91.82998000000001</v>
      </c>
      <c r="AF502" t="n">
        <v>41.2583</v>
      </c>
      <c r="AH502" t="n">
        <v>59.49758</v>
      </c>
      <c r="AJ502" t="n">
        <v>10.23684</v>
      </c>
      <c r="AK502" t="n">
        <v>59.74785</v>
      </c>
      <c r="AL502" t="n">
        <v>60.4</v>
      </c>
      <c r="AM502" t="n">
        <v>44.29937</v>
      </c>
      <c r="AN502" t="n">
        <v>34.52649</v>
      </c>
      <c r="AO502" t="n">
        <v>7.033191</v>
      </c>
      <c r="AP502" t="n">
        <v>45.84836</v>
      </c>
      <c r="AT502" t="n">
        <v>3.640027</v>
      </c>
      <c r="AU502" t="n">
        <v>67.66645</v>
      </c>
      <c r="AV502" t="n">
        <v>0.05286799</v>
      </c>
      <c r="AW502" t="n">
        <v>55.98755</v>
      </c>
      <c r="AX502" t="n">
        <v>20.09792</v>
      </c>
    </row>
    <row r="503">
      <c r="A503" s="92" t="n">
        <v>33147</v>
      </c>
      <c r="B503" t="n">
        <v>60.10067</v>
      </c>
      <c r="C503" t="n">
        <v>62.33768</v>
      </c>
      <c r="D503" t="n">
        <v>0.000932022</v>
      </c>
      <c r="E503" t="n">
        <v>62.81275</v>
      </c>
      <c r="F503" t="n">
        <v>78.37309999999999</v>
      </c>
      <c r="G503" t="n">
        <v>27.92922</v>
      </c>
      <c r="I503" t="n">
        <v>8.549519</v>
      </c>
      <c r="J503" t="n">
        <v>7.478797</v>
      </c>
      <c r="L503" t="n">
        <v>63.67216</v>
      </c>
      <c r="M503" t="n">
        <v>62.56548</v>
      </c>
      <c r="N503" t="n">
        <v>59.9361</v>
      </c>
      <c r="O503" t="n">
        <v>49.96467</v>
      </c>
      <c r="R503" t="n">
        <v>66.75134</v>
      </c>
      <c r="S503" t="n">
        <v>68.42</v>
      </c>
      <c r="U503" t="n">
        <v>61.49067</v>
      </c>
      <c r="V503" t="n">
        <v>56.7</v>
      </c>
      <c r="W503" t="n">
        <v>31.69366</v>
      </c>
      <c r="X503" t="n">
        <v>8.771542999999999</v>
      </c>
      <c r="Y503" t="n">
        <v>9.909812000000001</v>
      </c>
      <c r="Z503" t="n">
        <v>16.16873</v>
      </c>
      <c r="AA503" t="n">
        <v>58.72704</v>
      </c>
      <c r="AB503" t="n">
        <v>34.41019</v>
      </c>
      <c r="AC503" t="n">
        <v>32.35887</v>
      </c>
      <c r="AD503" t="n">
        <v>52.92612</v>
      </c>
      <c r="AE503" t="n">
        <v>92.84805</v>
      </c>
      <c r="AF503" t="n">
        <v>41.37953</v>
      </c>
      <c r="AH503" t="n">
        <v>60.1609</v>
      </c>
      <c r="AJ503" t="n">
        <v>10.38401</v>
      </c>
      <c r="AK503" t="n">
        <v>59.91888</v>
      </c>
      <c r="AL503" t="n">
        <v>60.9</v>
      </c>
      <c r="AM503" t="n">
        <v>44.71295</v>
      </c>
      <c r="AN503" t="n">
        <v>34.91001</v>
      </c>
      <c r="AO503" t="n">
        <v>7.455183</v>
      </c>
      <c r="AP503" t="n">
        <v>46.34695</v>
      </c>
      <c r="AT503" t="n">
        <v>3.889976</v>
      </c>
      <c r="AU503" t="n">
        <v>68.11005</v>
      </c>
      <c r="AV503" t="n">
        <v>0.05648317</v>
      </c>
      <c r="AW503" t="n">
        <v>56.32507</v>
      </c>
      <c r="AX503" t="n">
        <v>20.23589</v>
      </c>
    </row>
    <row r="504">
      <c r="A504" s="92" t="n">
        <v>33178</v>
      </c>
      <c r="B504" t="n">
        <v>59.88198</v>
      </c>
      <c r="C504" t="n">
        <v>62.11225</v>
      </c>
      <c r="D504" t="n">
        <v>0.001088695</v>
      </c>
      <c r="E504" t="n">
        <v>63.20779</v>
      </c>
      <c r="F504" t="n">
        <v>79.05704</v>
      </c>
      <c r="G504" t="n">
        <v>28.17592</v>
      </c>
      <c r="I504" t="n">
        <v>8.720836</v>
      </c>
      <c r="J504" t="n">
        <v>7.692845</v>
      </c>
      <c r="L504" t="n">
        <v>63.54169</v>
      </c>
      <c r="M504" t="n">
        <v>62.5307</v>
      </c>
      <c r="N504" t="n">
        <v>59.9361</v>
      </c>
      <c r="O504" t="n">
        <v>49.91461</v>
      </c>
      <c r="R504" t="n">
        <v>66.73161</v>
      </c>
      <c r="S504" t="n">
        <v>68.31</v>
      </c>
      <c r="U504" t="n">
        <v>61.5886</v>
      </c>
      <c r="V504" t="n">
        <v>56.9</v>
      </c>
      <c r="W504" t="n">
        <v>32.11358</v>
      </c>
      <c r="X504" t="n">
        <v>8.937984999999999</v>
      </c>
      <c r="Y504" t="n">
        <v>9.941053</v>
      </c>
      <c r="Z504" t="n">
        <v>16.41748</v>
      </c>
      <c r="AA504" t="n">
        <v>58.72704</v>
      </c>
      <c r="AB504" t="n">
        <v>34.64396</v>
      </c>
      <c r="AC504" t="n">
        <v>32.7621</v>
      </c>
      <c r="AD504" t="n">
        <v>53.2414</v>
      </c>
      <c r="AE504" t="n">
        <v>92.74625</v>
      </c>
      <c r="AF504" t="n">
        <v>41.42064</v>
      </c>
      <c r="AH504" t="n">
        <v>60.40965</v>
      </c>
      <c r="AJ504" t="n">
        <v>10.65971</v>
      </c>
      <c r="AK504" t="n">
        <v>59.86187</v>
      </c>
      <c r="AL504" t="n">
        <v>60.9</v>
      </c>
      <c r="AM504" t="n">
        <v>44.88787</v>
      </c>
      <c r="AN504" t="n">
        <v>35.06573</v>
      </c>
      <c r="AO504" t="n">
        <v>7.806842</v>
      </c>
      <c r="AP504" t="n">
        <v>46.64849</v>
      </c>
      <c r="AT504" t="n">
        <v>4.033036</v>
      </c>
      <c r="AU504" t="n">
        <v>68.33663</v>
      </c>
      <c r="AV504" t="n">
        <v>0.05931057</v>
      </c>
      <c r="AW504" t="n">
        <v>56.45165</v>
      </c>
      <c r="AX504" t="n">
        <v>20.64981</v>
      </c>
    </row>
    <row r="505">
      <c r="A505" s="92" t="n">
        <v>33208</v>
      </c>
      <c r="B505" t="n">
        <v>59.88198</v>
      </c>
      <c r="C505" t="n">
        <v>62.03476</v>
      </c>
      <c r="D505" t="n">
        <v>0.001289451</v>
      </c>
      <c r="E505" t="n">
        <v>63.12878</v>
      </c>
      <c r="F505" t="n">
        <v>79.05283</v>
      </c>
      <c r="G505" t="n">
        <v>28.32309</v>
      </c>
      <c r="I505" t="n">
        <v>8.9411</v>
      </c>
      <c r="J505" t="n">
        <v>7.902592</v>
      </c>
      <c r="L505" t="n">
        <v>63.60693</v>
      </c>
      <c r="M505" t="n">
        <v>62.35682</v>
      </c>
      <c r="N505" t="n">
        <v>59.9361</v>
      </c>
      <c r="O505" t="n">
        <v>50.03759</v>
      </c>
      <c r="R505" t="n">
        <v>66.67241</v>
      </c>
      <c r="S505" t="n">
        <v>68.26000000000001</v>
      </c>
      <c r="U505" t="n">
        <v>61.59845</v>
      </c>
      <c r="V505" t="n">
        <v>57</v>
      </c>
      <c r="W505" t="n">
        <v>32.65747</v>
      </c>
      <c r="X505" t="n">
        <v>9.000401</v>
      </c>
      <c r="Y505" t="n">
        <v>9.947302000000001</v>
      </c>
      <c r="Z505" t="n">
        <v>16.5004</v>
      </c>
      <c r="AA505" t="n">
        <v>58.72704</v>
      </c>
      <c r="AB505" t="n">
        <v>34.73746</v>
      </c>
      <c r="AC505" t="n">
        <v>32.8629</v>
      </c>
      <c r="AD505" t="n">
        <v>53.35962</v>
      </c>
      <c r="AE505" t="n">
        <v>92.64444</v>
      </c>
      <c r="AF505" t="n">
        <v>41.66205</v>
      </c>
      <c r="AG505" t="n">
        <v>0.1566</v>
      </c>
      <c r="AH505" t="n">
        <v>60.40372</v>
      </c>
      <c r="AJ505" t="n">
        <v>10.99568</v>
      </c>
      <c r="AK505" t="n">
        <v>59.74785</v>
      </c>
      <c r="AL505" t="n">
        <v>60.7</v>
      </c>
      <c r="AM505" t="n">
        <v>44.99421</v>
      </c>
      <c r="AN505" t="n">
        <v>35.15055</v>
      </c>
      <c r="AO505" t="n">
        <v>8.299166</v>
      </c>
      <c r="AP505" t="n">
        <v>47.00875</v>
      </c>
      <c r="AT505" t="n">
        <v>4.133897</v>
      </c>
      <c r="AU505" t="n">
        <v>68.25047000000001</v>
      </c>
      <c r="AV505" t="n">
        <v>0.06034656</v>
      </c>
      <c r="AW505" t="n">
        <v>56.45165</v>
      </c>
      <c r="AX505" t="n">
        <v>20.78778</v>
      </c>
    </row>
    <row r="506">
      <c r="A506" s="92" t="n">
        <v>33239</v>
      </c>
      <c r="B506" t="n">
        <v>60.20008</v>
      </c>
      <c r="C506" t="n">
        <v>62.4997</v>
      </c>
      <c r="D506" t="n">
        <v>0.001557012</v>
      </c>
      <c r="E506" t="n">
        <v>64.78798999999999</v>
      </c>
      <c r="F506" t="n">
        <v>79.69427</v>
      </c>
      <c r="G506" t="n">
        <v>28.44304</v>
      </c>
      <c r="I506" t="n">
        <v>9.210312</v>
      </c>
      <c r="J506" t="n">
        <v>8.101582000000001</v>
      </c>
      <c r="K506" t="n">
        <v>28.4625</v>
      </c>
      <c r="L506" t="n">
        <v>63.99836</v>
      </c>
      <c r="M506" t="n">
        <v>62.35682</v>
      </c>
      <c r="N506" t="n">
        <v>60.29201</v>
      </c>
      <c r="O506" t="n">
        <v>50.61983</v>
      </c>
      <c r="R506" t="n">
        <v>67.69844999999999</v>
      </c>
      <c r="S506" t="n">
        <v>68.64</v>
      </c>
      <c r="U506" t="n">
        <v>61.99491</v>
      </c>
      <c r="V506" t="n">
        <v>57</v>
      </c>
      <c r="W506" t="n">
        <v>32.66165</v>
      </c>
      <c r="X506" t="n">
        <v>9.890871000000001</v>
      </c>
      <c r="Y506" t="n">
        <v>10.02228</v>
      </c>
      <c r="Z506" t="n">
        <v>16.74915</v>
      </c>
      <c r="AA506" t="n">
        <v>59.21889</v>
      </c>
      <c r="AB506" t="n">
        <v>34.94785</v>
      </c>
      <c r="AC506" t="n">
        <v>33.26613</v>
      </c>
      <c r="AD506" t="n">
        <v>53.69331</v>
      </c>
      <c r="AE506" t="n">
        <v>93.25528</v>
      </c>
      <c r="AF506" t="n">
        <v>42.55493</v>
      </c>
      <c r="AG506" t="n">
        <v>0.1701</v>
      </c>
      <c r="AH506" t="n">
        <v>60.43926</v>
      </c>
      <c r="AI506" t="n">
        <v>0.6787807</v>
      </c>
      <c r="AJ506" t="n">
        <v>11.27594</v>
      </c>
      <c r="AK506" t="n">
        <v>59.83017</v>
      </c>
      <c r="AL506" t="n">
        <v>61</v>
      </c>
      <c r="AM506" t="n">
        <v>45.37745</v>
      </c>
      <c r="AN506" t="n">
        <v>35.4402</v>
      </c>
      <c r="AO506" t="n">
        <v>9.354144</v>
      </c>
      <c r="AP506" t="n">
        <v>48.03081</v>
      </c>
      <c r="AS506" t="n">
        <v>20.38478</v>
      </c>
      <c r="AT506" t="n">
        <v>4.385468</v>
      </c>
      <c r="AU506" t="n">
        <v>69.87487</v>
      </c>
      <c r="AV506" t="n">
        <v>0.06328187</v>
      </c>
      <c r="AW506" t="n">
        <v>56.78918</v>
      </c>
      <c r="AX506" t="n">
        <v>21.01773</v>
      </c>
    </row>
    <row r="507">
      <c r="A507" s="92" t="n">
        <v>33270</v>
      </c>
      <c r="B507" t="n">
        <v>60.63747</v>
      </c>
      <c r="C507" t="n">
        <v>62.71104</v>
      </c>
      <c r="D507" t="n">
        <v>0.001879632</v>
      </c>
      <c r="E507" t="n">
        <v>64.78798999999999</v>
      </c>
      <c r="F507" t="n">
        <v>80.48647</v>
      </c>
      <c r="G507" t="n">
        <v>28.47962</v>
      </c>
      <c r="I507" t="n">
        <v>9.528471</v>
      </c>
      <c r="J507" t="n">
        <v>8.340369000000001</v>
      </c>
      <c r="K507" t="n">
        <v>30.23542</v>
      </c>
      <c r="L507" t="n">
        <v>64.27822999999999</v>
      </c>
      <c r="M507" t="n">
        <v>62.5307</v>
      </c>
      <c r="N507" t="n">
        <v>60.64793</v>
      </c>
      <c r="O507" t="n">
        <v>50.54909</v>
      </c>
      <c r="R507" t="n">
        <v>68.01414</v>
      </c>
      <c r="S507" t="n">
        <v>68.81999999999999</v>
      </c>
      <c r="U507" t="n">
        <v>62.10421</v>
      </c>
      <c r="V507" t="n">
        <v>57.2</v>
      </c>
      <c r="W507" t="n">
        <v>32.73338</v>
      </c>
      <c r="X507" t="n">
        <v>10.31114</v>
      </c>
      <c r="Y507" t="n">
        <v>10.05352</v>
      </c>
      <c r="Z507" t="n">
        <v>16.74915</v>
      </c>
      <c r="AA507" t="n">
        <v>59.21889</v>
      </c>
      <c r="AB507" t="n">
        <v>35.06474</v>
      </c>
      <c r="AC507" t="n">
        <v>33.46774</v>
      </c>
      <c r="AD507" t="n">
        <v>54.10873</v>
      </c>
      <c r="AE507" t="n">
        <v>92.94986</v>
      </c>
      <c r="AF507" t="n">
        <v>43.12313</v>
      </c>
      <c r="AG507" t="n">
        <v>0.1843</v>
      </c>
      <c r="AH507" t="n">
        <v>60.52217</v>
      </c>
      <c r="AI507" t="n">
        <v>0.7717643</v>
      </c>
      <c r="AJ507" t="n">
        <v>11.47279</v>
      </c>
      <c r="AK507" t="n">
        <v>59.88929</v>
      </c>
      <c r="AL507" t="n">
        <v>61.2</v>
      </c>
      <c r="AM507" t="n">
        <v>45.56263</v>
      </c>
      <c r="AN507" t="n">
        <v>35.70168</v>
      </c>
      <c r="AO507" t="n">
        <v>9.987131</v>
      </c>
      <c r="AP507" t="n">
        <v>48.84886</v>
      </c>
      <c r="AS507" t="n">
        <v>22.17552</v>
      </c>
      <c r="AT507" t="n">
        <v>4.782419</v>
      </c>
      <c r="AU507" t="n">
        <v>71.81522</v>
      </c>
      <c r="AV507" t="n">
        <v>0.0667136</v>
      </c>
      <c r="AW507" t="n">
        <v>56.87356</v>
      </c>
      <c r="AX507" t="n">
        <v>21.29367</v>
      </c>
    </row>
    <row r="508">
      <c r="A508" s="92" t="n">
        <v>33298</v>
      </c>
      <c r="B508" t="n">
        <v>60.79652</v>
      </c>
      <c r="C508" t="n">
        <v>62.45039</v>
      </c>
      <c r="D508" t="n">
        <v>0.002103739</v>
      </c>
      <c r="E508" t="n">
        <v>65.02502</v>
      </c>
      <c r="F508" t="n">
        <v>80.49901</v>
      </c>
      <c r="G508" t="n">
        <v>28.80969</v>
      </c>
      <c r="I508" t="n">
        <v>9.765052000000001</v>
      </c>
      <c r="J508" t="n">
        <v>8.446856</v>
      </c>
      <c r="K508" t="n">
        <v>31.48125</v>
      </c>
      <c r="L508" t="n">
        <v>64.27822999999999</v>
      </c>
      <c r="M508" t="n">
        <v>62.63504</v>
      </c>
      <c r="N508" t="n">
        <v>60.71911</v>
      </c>
      <c r="O508" t="n">
        <v>50.71342</v>
      </c>
      <c r="R508" t="n">
        <v>68.15227</v>
      </c>
      <c r="S508" t="n">
        <v>68.95</v>
      </c>
      <c r="U508" t="n">
        <v>62.2654</v>
      </c>
      <c r="V508" t="n">
        <v>57.5</v>
      </c>
      <c r="W508" t="n">
        <v>33.35735</v>
      </c>
      <c r="X508" t="n">
        <v>10.61906</v>
      </c>
      <c r="Y508" t="n">
        <v>10.05977</v>
      </c>
      <c r="Z508" t="n">
        <v>16.66623</v>
      </c>
      <c r="AA508" t="n">
        <v>59.21889</v>
      </c>
      <c r="AB508" t="n">
        <v>35.13486</v>
      </c>
      <c r="AC508" t="n">
        <v>33.87097</v>
      </c>
      <c r="AD508" t="n">
        <v>54.4203</v>
      </c>
      <c r="AE508" t="n">
        <v>93.45889</v>
      </c>
      <c r="AF508" t="n">
        <v>43.65128</v>
      </c>
      <c r="AG508" t="n">
        <v>0.2158</v>
      </c>
      <c r="AH508" t="n">
        <v>60.64063</v>
      </c>
      <c r="AI508" t="n">
        <v>0.8182562</v>
      </c>
      <c r="AJ508" t="n">
        <v>11.6364</v>
      </c>
      <c r="AK508" t="n">
        <v>60.30314</v>
      </c>
      <c r="AL508" t="n">
        <v>61.6</v>
      </c>
      <c r="AM508" t="n">
        <v>45.75745</v>
      </c>
      <c r="AN508" t="n">
        <v>35.89596</v>
      </c>
      <c r="AO508" t="n">
        <v>10.40912</v>
      </c>
      <c r="AP508" t="n">
        <v>49.12054</v>
      </c>
      <c r="AS508" t="n">
        <v>23.46808</v>
      </c>
      <c r="AT508" t="n">
        <v>4.975562</v>
      </c>
      <c r="AU508" t="n">
        <v>72.07371999999999</v>
      </c>
      <c r="AV508" t="n">
        <v>0.06962733</v>
      </c>
      <c r="AW508" t="n">
        <v>56.95794</v>
      </c>
      <c r="AX508" t="n">
        <v>21.47764</v>
      </c>
    </row>
    <row r="509">
      <c r="A509" s="92" t="n">
        <v>33329</v>
      </c>
      <c r="B509" t="n">
        <v>60.85616</v>
      </c>
      <c r="C509" t="n">
        <v>62.48561</v>
      </c>
      <c r="D509" t="n">
        <v>0.0022087</v>
      </c>
      <c r="E509" t="n">
        <v>65.02502</v>
      </c>
      <c r="F509" t="n">
        <v>80.69226999999999</v>
      </c>
      <c r="G509" t="n">
        <v>29.34138</v>
      </c>
      <c r="I509" t="n">
        <v>10.04242</v>
      </c>
      <c r="J509" t="n">
        <v>8.684568000000001</v>
      </c>
      <c r="K509" t="n">
        <v>32.24792</v>
      </c>
      <c r="L509" t="n">
        <v>64.55811</v>
      </c>
      <c r="M509" t="n">
        <v>62.77415</v>
      </c>
      <c r="N509" t="n">
        <v>60.93266</v>
      </c>
      <c r="O509" t="n">
        <v>50.82335</v>
      </c>
      <c r="R509" t="n">
        <v>68.43508</v>
      </c>
      <c r="S509" t="n">
        <v>69.16</v>
      </c>
      <c r="U509" t="n">
        <v>62.51261</v>
      </c>
      <c r="V509" t="n">
        <v>58.7</v>
      </c>
      <c r="W509" t="n">
        <v>34.53008</v>
      </c>
      <c r="X509" t="n">
        <v>10.95194</v>
      </c>
      <c r="Y509" t="n">
        <v>10.24722</v>
      </c>
      <c r="Z509" t="n">
        <v>16.74915</v>
      </c>
      <c r="AA509" t="n">
        <v>59.71074</v>
      </c>
      <c r="AB509" t="n">
        <v>35.2985</v>
      </c>
      <c r="AC509" t="n">
        <v>34.67742</v>
      </c>
      <c r="AD509" t="n">
        <v>54.62801</v>
      </c>
      <c r="AE509" t="n">
        <v>93.96793</v>
      </c>
      <c r="AF509" t="n">
        <v>43.85368</v>
      </c>
      <c r="AG509" t="n">
        <v>0.2742</v>
      </c>
      <c r="AH509" t="n">
        <v>60.40372</v>
      </c>
      <c r="AI509" t="n">
        <v>0.9391350000000001</v>
      </c>
      <c r="AJ509" t="n">
        <v>11.7583</v>
      </c>
      <c r="AK509" t="n">
        <v>60.36226</v>
      </c>
      <c r="AL509" t="n">
        <v>61.8</v>
      </c>
      <c r="AM509" t="n">
        <v>46.01892</v>
      </c>
      <c r="AN509" t="n">
        <v>36.25822</v>
      </c>
      <c r="AO509" t="n">
        <v>10.69045</v>
      </c>
      <c r="AP509" t="n">
        <v>49.4609</v>
      </c>
      <c r="AS509" t="n">
        <v>23.65658</v>
      </c>
      <c r="AT509" t="n">
        <v>5.172182</v>
      </c>
      <c r="AU509" t="n">
        <v>72.46944999999999</v>
      </c>
      <c r="AV509" t="n">
        <v>0.07419217</v>
      </c>
      <c r="AW509" t="n">
        <v>57.04232</v>
      </c>
      <c r="AX509" t="n">
        <v>21.79957</v>
      </c>
    </row>
    <row r="510">
      <c r="A510" s="92" t="n">
        <v>33359</v>
      </c>
      <c r="B510" t="n">
        <v>60.9158</v>
      </c>
      <c r="C510" t="n">
        <v>62.71104</v>
      </c>
      <c r="D510" t="n">
        <v>0.002372847</v>
      </c>
      <c r="E510" t="n">
        <v>65.34106</v>
      </c>
      <c r="F510" t="n">
        <v>81.37331</v>
      </c>
      <c r="G510" t="n">
        <v>30.07213</v>
      </c>
      <c r="I510" t="n">
        <v>10.26269</v>
      </c>
      <c r="J510" t="n">
        <v>8.835155</v>
      </c>
      <c r="K510" t="n">
        <v>32.87083</v>
      </c>
      <c r="L510" t="n">
        <v>64.74469000000001</v>
      </c>
      <c r="M510" t="n">
        <v>63.19148</v>
      </c>
      <c r="N510" t="n">
        <v>61.14621</v>
      </c>
      <c r="O510" t="n">
        <v>50.96754</v>
      </c>
      <c r="R510" t="n">
        <v>68.73763</v>
      </c>
      <c r="S510" t="n">
        <v>69.38</v>
      </c>
      <c r="U510" t="n">
        <v>62.75379</v>
      </c>
      <c r="V510" t="n">
        <v>59.2</v>
      </c>
      <c r="W510" t="n">
        <v>34.59414</v>
      </c>
      <c r="X510" t="n">
        <v>11.06429</v>
      </c>
      <c r="Y510" t="n">
        <v>10.26597</v>
      </c>
      <c r="Z510" t="n">
        <v>16.91498</v>
      </c>
      <c r="AA510" t="n">
        <v>59.71074</v>
      </c>
      <c r="AB510" t="n">
        <v>35.71928</v>
      </c>
      <c r="AC510" t="n">
        <v>35.18145</v>
      </c>
      <c r="AD510" t="n">
        <v>54.83572</v>
      </c>
      <c r="AE510" t="n">
        <v>94.47696999999999</v>
      </c>
      <c r="AF510" t="n">
        <v>43.97491</v>
      </c>
      <c r="AG510" t="n">
        <v>0.3005</v>
      </c>
      <c r="AH510" t="n">
        <v>60.69985</v>
      </c>
      <c r="AI510" t="n">
        <v>0.9577317</v>
      </c>
      <c r="AJ510" t="n">
        <v>11.87325</v>
      </c>
      <c r="AK510" t="n">
        <v>60.4805</v>
      </c>
      <c r="AL510" t="n">
        <v>61.9</v>
      </c>
      <c r="AM510" t="n">
        <v>46.23338</v>
      </c>
      <c r="AN510" t="n">
        <v>36.47009</v>
      </c>
      <c r="AO510" t="n">
        <v>10.97178</v>
      </c>
      <c r="AP510" t="n">
        <v>49.82116</v>
      </c>
      <c r="AS510" t="n">
        <v>24.11436</v>
      </c>
      <c r="AT510" t="n">
        <v>5.765521</v>
      </c>
      <c r="AU510" t="n">
        <v>72.54285</v>
      </c>
      <c r="AV510" t="n">
        <v>0.07666344</v>
      </c>
      <c r="AW510" t="n">
        <v>57.21109</v>
      </c>
      <c r="AX510" t="n">
        <v>22.12151</v>
      </c>
    </row>
    <row r="511">
      <c r="A511" s="92" t="n">
        <v>33390</v>
      </c>
      <c r="B511" t="n">
        <v>61.29354</v>
      </c>
      <c r="C511" t="n">
        <v>62.99282</v>
      </c>
      <c r="D511" t="n">
        <v>0.002638345</v>
      </c>
      <c r="E511" t="n">
        <v>65.6571</v>
      </c>
      <c r="F511" t="n">
        <v>81.7075</v>
      </c>
      <c r="G511" t="n">
        <v>30.62593</v>
      </c>
      <c r="I511" t="n">
        <v>10.42584</v>
      </c>
      <c r="J511" t="n">
        <v>9.021238</v>
      </c>
      <c r="K511" t="n">
        <v>33.58958</v>
      </c>
      <c r="L511" t="n">
        <v>65.11785999999999</v>
      </c>
      <c r="M511" t="n">
        <v>63.3306</v>
      </c>
      <c r="N511" t="n">
        <v>61.35976</v>
      </c>
      <c r="O511" t="n">
        <v>51.11447</v>
      </c>
      <c r="R511" t="n">
        <v>68.72448</v>
      </c>
      <c r="S511" t="n">
        <v>69.55</v>
      </c>
      <c r="U511" t="n">
        <v>62.91361</v>
      </c>
      <c r="V511" t="n">
        <v>59.5</v>
      </c>
      <c r="W511" t="n">
        <v>35.395</v>
      </c>
      <c r="X511" t="n">
        <v>11.1808</v>
      </c>
      <c r="Y511" t="n">
        <v>10.31595</v>
      </c>
      <c r="Z511" t="n">
        <v>17.32956</v>
      </c>
      <c r="AA511" t="n">
        <v>59.71074</v>
      </c>
      <c r="AB511" t="n">
        <v>36.21018</v>
      </c>
      <c r="AC511" t="n">
        <v>35.8871</v>
      </c>
      <c r="AD511" t="n">
        <v>55.09536</v>
      </c>
      <c r="AE511" t="n">
        <v>94.06974</v>
      </c>
      <c r="AF511" t="n">
        <v>44.25848</v>
      </c>
      <c r="AG511" t="n">
        <v>0.3204</v>
      </c>
      <c r="AH511" t="n">
        <v>60.79461</v>
      </c>
      <c r="AI511" t="n">
        <v>0.9856268</v>
      </c>
      <c r="AJ511" t="n">
        <v>11.99783</v>
      </c>
      <c r="AK511" t="n">
        <v>60.59874</v>
      </c>
      <c r="AL511" t="n">
        <v>62</v>
      </c>
      <c r="AM511" t="n">
        <v>46.40879</v>
      </c>
      <c r="AN511" t="n">
        <v>36.69417</v>
      </c>
      <c r="AO511" t="n">
        <v>11.53443</v>
      </c>
      <c r="AP511" t="n">
        <v>50.15156</v>
      </c>
      <c r="AS511" t="n">
        <v>24.57214</v>
      </c>
      <c r="AT511" t="n">
        <v>6.429115</v>
      </c>
      <c r="AU511" t="n">
        <v>72.44711</v>
      </c>
      <c r="AV511" t="n">
        <v>0.07892968</v>
      </c>
      <c r="AW511" t="n">
        <v>57.37985</v>
      </c>
      <c r="AX511" t="n">
        <v>22.25948</v>
      </c>
    </row>
    <row r="512">
      <c r="A512" s="92" t="n">
        <v>33420</v>
      </c>
      <c r="B512" t="n">
        <v>61.98938</v>
      </c>
      <c r="C512" t="n">
        <v>63.33801</v>
      </c>
      <c r="D512" t="n">
        <v>0.002965736</v>
      </c>
      <c r="E512" t="n">
        <v>65.73611</v>
      </c>
      <c r="F512" t="n">
        <v>81.73577</v>
      </c>
      <c r="G512" t="n">
        <v>31.18058</v>
      </c>
      <c r="I512" t="n">
        <v>10.61348</v>
      </c>
      <c r="J512" t="n">
        <v>9.217001</v>
      </c>
      <c r="K512" t="n">
        <v>33.35</v>
      </c>
      <c r="L512" t="n">
        <v>65.8642</v>
      </c>
      <c r="M512" t="n">
        <v>63.12193</v>
      </c>
      <c r="N512" t="n">
        <v>61.85804</v>
      </c>
      <c r="O512" t="n">
        <v>51.74895</v>
      </c>
      <c r="R512" t="n">
        <v>68.61266999999999</v>
      </c>
      <c r="S512" t="n">
        <v>69.73</v>
      </c>
      <c r="U512" t="n">
        <v>63.04653</v>
      </c>
      <c r="V512" t="n">
        <v>59.3</v>
      </c>
      <c r="W512" t="n">
        <v>35.20558</v>
      </c>
      <c r="X512" t="n">
        <v>11.50121</v>
      </c>
      <c r="Y512" t="n">
        <v>10.50965</v>
      </c>
      <c r="Z512" t="n">
        <v>17.74415</v>
      </c>
      <c r="AA512" t="n">
        <v>60.49771</v>
      </c>
      <c r="AB512" t="n">
        <v>36.46732</v>
      </c>
      <c r="AC512" t="n">
        <v>36.99597</v>
      </c>
      <c r="AD512" t="n">
        <v>55.30307</v>
      </c>
      <c r="AE512" t="n">
        <v>93.96793</v>
      </c>
      <c r="AF512" t="n">
        <v>44.54311</v>
      </c>
      <c r="AG512" t="n">
        <v>0.3381</v>
      </c>
      <c r="AH512" t="n">
        <v>61.10258</v>
      </c>
      <c r="AI512" t="n">
        <v>1.004223</v>
      </c>
      <c r="AJ512" t="n">
        <v>12.10386</v>
      </c>
      <c r="AK512" t="n">
        <v>61.18995</v>
      </c>
      <c r="AL512" t="n">
        <v>62</v>
      </c>
      <c r="AM512" t="n">
        <v>46.55992</v>
      </c>
      <c r="AN512" t="n">
        <v>36.89555</v>
      </c>
      <c r="AO512" t="n">
        <v>11.53443</v>
      </c>
      <c r="AP512" t="n">
        <v>50.37946</v>
      </c>
      <c r="AS512" t="n">
        <v>24.69332</v>
      </c>
      <c r="AT512" t="n">
        <v>6.7943</v>
      </c>
      <c r="AU512" t="n">
        <v>72.46307</v>
      </c>
      <c r="AV512" t="n">
        <v>0.07996567</v>
      </c>
      <c r="AW512" t="n">
        <v>57.46423</v>
      </c>
      <c r="AX512" t="n">
        <v>22.53542</v>
      </c>
    </row>
    <row r="513">
      <c r="A513" s="92" t="n">
        <v>33451</v>
      </c>
      <c r="B513" t="n">
        <v>62.36713</v>
      </c>
      <c r="C513" t="n">
        <v>63.52821</v>
      </c>
      <c r="D513" t="n">
        <v>0.003429294</v>
      </c>
      <c r="E513" t="n">
        <v>65.81511999999999</v>
      </c>
      <c r="F513" t="n">
        <v>82.161</v>
      </c>
      <c r="G513" t="n">
        <v>31.55829</v>
      </c>
      <c r="I513" t="n">
        <v>10.744</v>
      </c>
      <c r="J513" t="n">
        <v>9.345000000000001</v>
      </c>
      <c r="K513" t="n">
        <v>33.20625</v>
      </c>
      <c r="L513" t="n">
        <v>65.8642</v>
      </c>
      <c r="M513" t="n">
        <v>63.22626</v>
      </c>
      <c r="N513" t="n">
        <v>61.92922</v>
      </c>
      <c r="O513" t="n">
        <v>51.94104</v>
      </c>
      <c r="R513" t="n">
        <v>68.58636</v>
      </c>
      <c r="S513" t="n">
        <v>69.81</v>
      </c>
      <c r="U513" t="n">
        <v>63.22373</v>
      </c>
      <c r="V513" t="n">
        <v>59.9</v>
      </c>
      <c r="W513" t="n">
        <v>35.17146</v>
      </c>
      <c r="X513" t="n">
        <v>11.41382</v>
      </c>
      <c r="Y513" t="n">
        <v>10.70959</v>
      </c>
      <c r="Z513" t="n">
        <v>17.9929</v>
      </c>
      <c r="AA513" t="n">
        <v>60.49771</v>
      </c>
      <c r="AB513" t="n">
        <v>36.74784</v>
      </c>
      <c r="AC513" t="n">
        <v>37.70161</v>
      </c>
      <c r="AD513" t="n">
        <v>55.45885</v>
      </c>
      <c r="AE513" t="n">
        <v>94.17155</v>
      </c>
      <c r="AF513" t="n">
        <v>44.90785</v>
      </c>
      <c r="AG513" t="n">
        <v>0.3524</v>
      </c>
      <c r="AH513" t="n">
        <v>61.28618</v>
      </c>
      <c r="AI513" t="n">
        <v>1.013522</v>
      </c>
      <c r="AJ513" t="n">
        <v>12.1881</v>
      </c>
      <c r="AK513" t="n">
        <v>61.24907</v>
      </c>
      <c r="AL513" t="n">
        <v>62</v>
      </c>
      <c r="AM513" t="n">
        <v>46.74449</v>
      </c>
      <c r="AN513" t="n">
        <v>37.09137</v>
      </c>
      <c r="AO513" t="n">
        <v>11.60477</v>
      </c>
      <c r="AP513" t="n">
        <v>50.71085</v>
      </c>
      <c r="AS513" t="n">
        <v>24.8145</v>
      </c>
      <c r="AT513" t="n">
        <v>7.282372</v>
      </c>
      <c r="AU513" t="n">
        <v>72.36095</v>
      </c>
      <c r="AV513" t="n">
        <v>0.08314919</v>
      </c>
      <c r="AW513" t="n">
        <v>57.633</v>
      </c>
      <c r="AX513" t="n">
        <v>22.85736</v>
      </c>
    </row>
    <row r="514">
      <c r="A514" s="92" t="n">
        <v>33482</v>
      </c>
      <c r="B514" t="n">
        <v>61.92974</v>
      </c>
      <c r="C514" t="n">
        <v>63.48595</v>
      </c>
      <c r="D514" t="n">
        <v>0.003965319</v>
      </c>
      <c r="E514" t="n">
        <v>65.6571</v>
      </c>
      <c r="F514" t="n">
        <v>82.32017999999999</v>
      </c>
      <c r="G514" t="n">
        <v>31.97088</v>
      </c>
      <c r="I514" t="n">
        <v>10.90716</v>
      </c>
      <c r="J514" t="n">
        <v>9.495587</v>
      </c>
      <c r="K514" t="n">
        <v>33.15833</v>
      </c>
      <c r="L514" t="n">
        <v>65.8642</v>
      </c>
      <c r="M514" t="n">
        <v>63.57404</v>
      </c>
      <c r="N514" t="n">
        <v>62.0004</v>
      </c>
      <c r="O514" t="n">
        <v>52.36547</v>
      </c>
      <c r="R514" t="n">
        <v>68.79683</v>
      </c>
      <c r="S514" t="n">
        <v>69.92</v>
      </c>
      <c r="U514" t="n">
        <v>63.41752</v>
      </c>
      <c r="V514" t="n">
        <v>60.1</v>
      </c>
      <c r="W514" t="n">
        <v>36.59907</v>
      </c>
      <c r="X514" t="n">
        <v>11.60107</v>
      </c>
      <c r="Y514" t="n">
        <v>10.72209</v>
      </c>
      <c r="Z514" t="n">
        <v>18.32456</v>
      </c>
      <c r="AA514" t="n">
        <v>60.49771</v>
      </c>
      <c r="AB514" t="n">
        <v>36.95823</v>
      </c>
      <c r="AC514" t="n">
        <v>38.30645</v>
      </c>
      <c r="AD514" t="n">
        <v>55.71849</v>
      </c>
      <c r="AE514" t="n">
        <v>94.37515999999999</v>
      </c>
      <c r="AF514" t="n">
        <v>45.15242</v>
      </c>
      <c r="AG514" t="n">
        <v>0.3648</v>
      </c>
      <c r="AH514" t="n">
        <v>61.42832</v>
      </c>
      <c r="AI514" t="n">
        <v>1.097207</v>
      </c>
      <c r="AJ514" t="n">
        <v>12.30951</v>
      </c>
      <c r="AK514" t="n">
        <v>61.78115</v>
      </c>
      <c r="AL514" t="n">
        <v>62.4</v>
      </c>
      <c r="AM514" t="n">
        <v>46.99588</v>
      </c>
      <c r="AN514" t="n">
        <v>37.37174</v>
      </c>
      <c r="AO514" t="n">
        <v>12.09709</v>
      </c>
      <c r="AP514" t="n">
        <v>50.80838</v>
      </c>
      <c r="AS514" t="n">
        <v>24.82796</v>
      </c>
      <c r="AT514" t="n">
        <v>8.395318</v>
      </c>
      <c r="AU514" t="n">
        <v>73.14921</v>
      </c>
      <c r="AV514" t="n">
        <v>0.08821044</v>
      </c>
      <c r="AW514" t="n">
        <v>57.88614</v>
      </c>
      <c r="AX514" t="n">
        <v>23.17929</v>
      </c>
    </row>
    <row r="515">
      <c r="A515" s="92" t="n">
        <v>33512</v>
      </c>
      <c r="B515" t="n">
        <v>61.71105</v>
      </c>
      <c r="C515" t="n">
        <v>63.71842</v>
      </c>
      <c r="D515" t="n">
        <v>0.004767486</v>
      </c>
      <c r="E515" t="n">
        <v>65.57809</v>
      </c>
      <c r="F515" t="n">
        <v>82.39295</v>
      </c>
      <c r="G515" t="n">
        <v>32.89559</v>
      </c>
      <c r="I515" t="n">
        <v>11.04585</v>
      </c>
      <c r="J515" t="n">
        <v>9.605301000000001</v>
      </c>
      <c r="K515" t="n">
        <v>33.11042</v>
      </c>
      <c r="L515" t="n">
        <v>66.89041</v>
      </c>
      <c r="M515" t="n">
        <v>63.71315</v>
      </c>
      <c r="N515" t="n">
        <v>62.21395</v>
      </c>
      <c r="O515" t="n">
        <v>52.69469</v>
      </c>
      <c r="R515" t="n">
        <v>68.98099000000001</v>
      </c>
      <c r="S515" t="n">
        <v>70.28</v>
      </c>
      <c r="U515" t="n">
        <v>63.7358</v>
      </c>
      <c r="V515" t="n">
        <v>60.4</v>
      </c>
      <c r="W515" t="n">
        <v>37.29128</v>
      </c>
      <c r="X515" t="n">
        <v>11.74671</v>
      </c>
      <c r="Y515" t="n">
        <v>10.80332</v>
      </c>
      <c r="Z515" t="n">
        <v>18.4904</v>
      </c>
      <c r="AA515" t="n">
        <v>60.89119</v>
      </c>
      <c r="AB515" t="n">
        <v>37.23875</v>
      </c>
      <c r="AC515" t="n">
        <v>38.50806</v>
      </c>
      <c r="AD515" t="n">
        <v>55.97813</v>
      </c>
      <c r="AE515" t="n">
        <v>95.39323</v>
      </c>
      <c r="AF515" t="n">
        <v>45.23359</v>
      </c>
      <c r="AG515" t="n">
        <v>0.3867</v>
      </c>
      <c r="AH515" t="n">
        <v>61.60007</v>
      </c>
      <c r="AI515" t="n">
        <v>1.162296</v>
      </c>
      <c r="AJ515" t="n">
        <v>12.45268</v>
      </c>
      <c r="AK515" t="n">
        <v>61.95852</v>
      </c>
      <c r="AL515" t="n">
        <v>62.4</v>
      </c>
      <c r="AM515" t="n">
        <v>47.32313</v>
      </c>
      <c r="AN515" t="n">
        <v>37.79831</v>
      </c>
      <c r="AO515" t="n">
        <v>12.51908</v>
      </c>
      <c r="AP515" t="n">
        <v>51.09201</v>
      </c>
      <c r="AS515" t="n">
        <v>24.73371</v>
      </c>
      <c r="AT515" t="n">
        <v>10.27736</v>
      </c>
      <c r="AU515" t="n">
        <v>73.42367</v>
      </c>
      <c r="AV515" t="n">
        <v>0.09402711</v>
      </c>
      <c r="AW515" t="n">
        <v>57.97052</v>
      </c>
      <c r="AX515" t="n">
        <v>23.59321</v>
      </c>
    </row>
    <row r="516">
      <c r="A516" s="92" t="n">
        <v>33543</v>
      </c>
      <c r="B516" t="n">
        <v>61.83033</v>
      </c>
      <c r="C516" t="n">
        <v>63.88044</v>
      </c>
      <c r="D516" t="n">
        <v>0.005969383</v>
      </c>
      <c r="E516" t="n">
        <v>65.81511999999999</v>
      </c>
      <c r="F516" t="n">
        <v>83.38273</v>
      </c>
      <c r="G516" t="n">
        <v>33.19929</v>
      </c>
      <c r="I516" t="n">
        <v>11.18453</v>
      </c>
      <c r="J516" t="n">
        <v>9.745131000000001</v>
      </c>
      <c r="K516" t="n">
        <v>33.6375</v>
      </c>
      <c r="L516" t="n">
        <v>67.17028999999999</v>
      </c>
      <c r="M516" t="n">
        <v>63.99137</v>
      </c>
      <c r="N516" t="n">
        <v>62.49868</v>
      </c>
      <c r="O516" t="n">
        <v>52.77468</v>
      </c>
      <c r="R516" t="n">
        <v>69.06649</v>
      </c>
      <c r="S516" t="n">
        <v>70.55</v>
      </c>
      <c r="U516" t="n">
        <v>63.93145</v>
      </c>
      <c r="V516" t="n">
        <v>60.5</v>
      </c>
      <c r="W516" t="n">
        <v>37.87835</v>
      </c>
      <c r="X516" t="n">
        <v>11.87154</v>
      </c>
      <c r="Y516" t="n">
        <v>10.92204</v>
      </c>
      <c r="Z516" t="n">
        <v>18.65623</v>
      </c>
      <c r="AA516" t="n">
        <v>60.89119</v>
      </c>
      <c r="AB516" t="n">
        <v>37.40238</v>
      </c>
      <c r="AC516" t="n">
        <v>38.60887</v>
      </c>
      <c r="AD516" t="n">
        <v>56.34163</v>
      </c>
      <c r="AE516" t="n">
        <v>95.49503</v>
      </c>
      <c r="AF516" t="n">
        <v>45.43494</v>
      </c>
      <c r="AG516" t="n">
        <v>0.4941</v>
      </c>
      <c r="AH516" t="n">
        <v>61.96135</v>
      </c>
      <c r="AI516" t="n">
        <v>1.273876</v>
      </c>
      <c r="AJ516" t="n">
        <v>12.76188</v>
      </c>
      <c r="AK516" t="n">
        <v>62.07676</v>
      </c>
      <c r="AL516" t="n">
        <v>62.4</v>
      </c>
      <c r="AM516" t="n">
        <v>47.58719</v>
      </c>
      <c r="AN516" t="n">
        <v>38.08875</v>
      </c>
      <c r="AO516" t="n">
        <v>12.94107</v>
      </c>
      <c r="AP516" t="n">
        <v>51.3418</v>
      </c>
      <c r="AS516" t="n">
        <v>25.16457</v>
      </c>
      <c r="AT516" t="n">
        <v>12.15939</v>
      </c>
      <c r="AU516" t="n">
        <v>73.75557000000001</v>
      </c>
      <c r="AV516" t="n">
        <v>0.09895886</v>
      </c>
      <c r="AW516" t="n">
        <v>58.13929</v>
      </c>
      <c r="AX516" t="n">
        <v>23.82316</v>
      </c>
    </row>
    <row r="517">
      <c r="A517" s="92" t="n">
        <v>33573</v>
      </c>
      <c r="B517" t="n">
        <v>61.71105</v>
      </c>
      <c r="C517" t="n">
        <v>63.76773</v>
      </c>
      <c r="D517" t="n">
        <v>0.007384684</v>
      </c>
      <c r="E517" t="n">
        <v>65.49908000000001</v>
      </c>
      <c r="F517" t="n">
        <v>83.18474999999999</v>
      </c>
      <c r="G517" t="n">
        <v>33.60762</v>
      </c>
      <c r="I517" t="n">
        <v>11.33953</v>
      </c>
      <c r="J517" t="n">
        <v>9.903248</v>
      </c>
      <c r="K517" t="n">
        <v>34.06875</v>
      </c>
      <c r="L517" t="n">
        <v>67.26358</v>
      </c>
      <c r="M517" t="n">
        <v>63.81749</v>
      </c>
      <c r="N517" t="n">
        <v>62.56987</v>
      </c>
      <c r="O517" t="n">
        <v>52.80352</v>
      </c>
      <c r="R517" t="n">
        <v>69.42823</v>
      </c>
      <c r="S517" t="n">
        <v>70.31999999999999</v>
      </c>
      <c r="U517" t="n">
        <v>63.92751</v>
      </c>
      <c r="V517" t="n">
        <v>60.7</v>
      </c>
      <c r="W517" t="n">
        <v>38.54131</v>
      </c>
      <c r="X517" t="n">
        <v>11.90067</v>
      </c>
      <c r="Y517" t="n">
        <v>10.94078</v>
      </c>
      <c r="Z517" t="n">
        <v>18.65623</v>
      </c>
      <c r="AA517" t="n">
        <v>60.89119</v>
      </c>
      <c r="AB517" t="n">
        <v>37.35563</v>
      </c>
      <c r="AC517" t="n">
        <v>38.70968</v>
      </c>
      <c r="AD517" t="n">
        <v>56.49741</v>
      </c>
      <c r="AE517" t="n">
        <v>95.08781</v>
      </c>
      <c r="AF517" t="n">
        <v>45.51611</v>
      </c>
      <c r="AG517" t="n">
        <v>0.7561</v>
      </c>
      <c r="AH517" t="n">
        <v>61.97911</v>
      </c>
      <c r="AI517" t="n">
        <v>1.906165</v>
      </c>
      <c r="AJ517" t="n">
        <v>13.06227</v>
      </c>
      <c r="AK517" t="n">
        <v>61.95852</v>
      </c>
      <c r="AL517" t="n">
        <v>62.4</v>
      </c>
      <c r="AM517" t="n">
        <v>47.70703</v>
      </c>
      <c r="AN517" t="n">
        <v>38.25634</v>
      </c>
      <c r="AO517" t="n">
        <v>13.36306</v>
      </c>
      <c r="AP517" t="n">
        <v>51.65131</v>
      </c>
      <c r="AS517" t="n">
        <v>25.63581</v>
      </c>
      <c r="AT517" t="n">
        <v>14.10125</v>
      </c>
      <c r="AU517" t="n">
        <v>73.65344</v>
      </c>
      <c r="AV517" t="n">
        <v>0.1032755</v>
      </c>
      <c r="AW517" t="n">
        <v>58.18148</v>
      </c>
      <c r="AX517" t="n">
        <v>24.19109</v>
      </c>
    </row>
    <row r="518">
      <c r="A518" s="92" t="n">
        <v>33604</v>
      </c>
      <c r="B518" t="n">
        <v>62.52617</v>
      </c>
      <c r="C518" t="n">
        <v>63.92271</v>
      </c>
      <c r="D518" t="n">
        <v>0.009300292</v>
      </c>
      <c r="E518" t="n">
        <v>65.81511999999999</v>
      </c>
      <c r="F518" t="n">
        <v>83.57599999999999</v>
      </c>
      <c r="G518" t="n">
        <v>33.97768</v>
      </c>
      <c r="I518" t="n">
        <v>11.73927</v>
      </c>
      <c r="J518" t="n">
        <v>10.29477</v>
      </c>
      <c r="K518" t="n">
        <v>34.54792</v>
      </c>
      <c r="L518" t="n">
        <v>67.63675000000001</v>
      </c>
      <c r="M518" t="n">
        <v>63.67838</v>
      </c>
      <c r="N518" t="n">
        <v>62.78342</v>
      </c>
      <c r="O518" t="n">
        <v>53.64042</v>
      </c>
      <c r="R518" t="n">
        <v>69.76366</v>
      </c>
      <c r="S518" t="n">
        <v>70.44</v>
      </c>
      <c r="U518" t="n">
        <v>64.03</v>
      </c>
      <c r="V518" t="n">
        <v>60.5</v>
      </c>
      <c r="W518" t="n">
        <v>38.58728</v>
      </c>
      <c r="X518" t="n">
        <v>12.67879</v>
      </c>
      <c r="Y518" t="n">
        <v>10.99077</v>
      </c>
      <c r="Z518" t="n">
        <v>18.90498</v>
      </c>
      <c r="AA518" t="n">
        <v>61.38304</v>
      </c>
      <c r="AB518" t="n">
        <v>37.44913</v>
      </c>
      <c r="AC518" t="n">
        <v>38.70968</v>
      </c>
      <c r="AD518" t="n">
        <v>56.8609</v>
      </c>
      <c r="AE518" t="n">
        <v>94.88419</v>
      </c>
      <c r="AF518" t="n">
        <v>45.84185</v>
      </c>
      <c r="AG518" t="n">
        <v>1.1643</v>
      </c>
      <c r="AH518" t="n">
        <v>62.20417</v>
      </c>
      <c r="AI518" t="n">
        <v>3.133549</v>
      </c>
      <c r="AJ518" t="n">
        <v>13.29968</v>
      </c>
      <c r="AK518" t="n">
        <v>61.84028</v>
      </c>
      <c r="AL518" t="n">
        <v>62.4</v>
      </c>
      <c r="AM518" t="n">
        <v>47.93958</v>
      </c>
      <c r="AN518" t="n">
        <v>38.59588</v>
      </c>
      <c r="AO518" t="n">
        <v>14.34771</v>
      </c>
      <c r="AP518" t="n">
        <v>52.54996</v>
      </c>
      <c r="AQ518" t="n">
        <v>0.01043353</v>
      </c>
      <c r="AS518" t="n">
        <v>25.81085</v>
      </c>
      <c r="AT518" t="n">
        <v>16.19205</v>
      </c>
      <c r="AU518" t="n">
        <v>73.52898</v>
      </c>
      <c r="AV518" t="n">
        <v>0.1129556</v>
      </c>
      <c r="AW518" t="n">
        <v>58.26586</v>
      </c>
      <c r="AX518" t="n">
        <v>24.42104</v>
      </c>
    </row>
    <row r="519">
      <c r="A519" s="92" t="n">
        <v>33635</v>
      </c>
      <c r="B519" t="n">
        <v>63.12261</v>
      </c>
      <c r="C519" t="n">
        <v>64.12701</v>
      </c>
      <c r="D519" t="n">
        <v>0.01156212</v>
      </c>
      <c r="E519" t="n">
        <v>65.81511999999999</v>
      </c>
      <c r="F519" t="n">
        <v>84.17252000000001</v>
      </c>
      <c r="G519" t="n">
        <v>33.76415</v>
      </c>
      <c r="I519" t="n">
        <v>12.13085</v>
      </c>
      <c r="J519" t="n">
        <v>10.52711</v>
      </c>
      <c r="K519" t="n">
        <v>34.83541</v>
      </c>
      <c r="L519" t="n">
        <v>68.00991999999999</v>
      </c>
      <c r="M519" t="n">
        <v>63.99137</v>
      </c>
      <c r="N519" t="n">
        <v>63.13933</v>
      </c>
      <c r="O519" t="n">
        <v>53.99793</v>
      </c>
      <c r="R519" t="n">
        <v>69.95441</v>
      </c>
      <c r="S519" t="n">
        <v>70.73999999999999</v>
      </c>
      <c r="U519" t="n">
        <v>64.24151999999999</v>
      </c>
      <c r="V519" t="n">
        <v>60.8</v>
      </c>
      <c r="W519" t="n">
        <v>38.69661</v>
      </c>
      <c r="X519" t="n">
        <v>13.01989</v>
      </c>
      <c r="Y519" t="n">
        <v>11.01576</v>
      </c>
      <c r="Z519" t="n">
        <v>18.9879</v>
      </c>
      <c r="AA519" t="n">
        <v>61.38304</v>
      </c>
      <c r="AB519" t="n">
        <v>37.49589</v>
      </c>
      <c r="AC519" t="n">
        <v>39.1129</v>
      </c>
      <c r="AD519" t="n">
        <v>57.17247</v>
      </c>
      <c r="AE519" t="n">
        <v>94.78239000000001</v>
      </c>
      <c r="AF519" t="n">
        <v>46.12542</v>
      </c>
      <c r="AG519" t="n">
        <v>1.6578</v>
      </c>
      <c r="AH519" t="n">
        <v>62.20417</v>
      </c>
      <c r="AI519" t="n">
        <v>4.649183</v>
      </c>
      <c r="AJ519" t="n">
        <v>13.45726</v>
      </c>
      <c r="AK519" t="n">
        <v>62.13588</v>
      </c>
      <c r="AL519" t="n">
        <v>62.6</v>
      </c>
      <c r="AM519" t="n">
        <v>48.17635</v>
      </c>
      <c r="AN519" t="n">
        <v>38.89396</v>
      </c>
      <c r="AO519" t="n">
        <v>14.62904</v>
      </c>
      <c r="AP519" t="n">
        <v>53.16201</v>
      </c>
      <c r="AQ519" t="n">
        <v>0.01439827</v>
      </c>
      <c r="AS519" t="n">
        <v>25.87817</v>
      </c>
      <c r="AT519" t="n">
        <v>18.50402</v>
      </c>
      <c r="AU519" t="n">
        <v>73.5609</v>
      </c>
      <c r="AV519" t="n">
        <v>0.1186427</v>
      </c>
      <c r="AW519" t="n">
        <v>58.47682</v>
      </c>
      <c r="AX519" t="n">
        <v>24.65099</v>
      </c>
    </row>
    <row r="520">
      <c r="A520" s="92" t="n">
        <v>33664</v>
      </c>
      <c r="B520" t="n">
        <v>63.30154</v>
      </c>
      <c r="C520" t="n">
        <v>64.14109999999999</v>
      </c>
      <c r="D520" t="n">
        <v>0.01403644</v>
      </c>
      <c r="E520" t="n">
        <v>66.05215</v>
      </c>
      <c r="F520" t="n">
        <v>84.41842</v>
      </c>
      <c r="G520" t="n">
        <v>34.00064</v>
      </c>
      <c r="I520" t="n">
        <v>12.40822</v>
      </c>
      <c r="J520" t="n">
        <v>10.65296</v>
      </c>
      <c r="K520" t="n">
        <v>35.02708</v>
      </c>
      <c r="L520" t="n">
        <v>68.28979</v>
      </c>
      <c r="M520" t="n">
        <v>64.23483</v>
      </c>
      <c r="N520" t="n">
        <v>63.35288</v>
      </c>
      <c r="O520" t="n">
        <v>54.19328</v>
      </c>
      <c r="R520" t="n">
        <v>70.1846</v>
      </c>
      <c r="S520" t="n">
        <v>70.97</v>
      </c>
      <c r="U520" t="n">
        <v>64.54725000000001</v>
      </c>
      <c r="V520" t="n">
        <v>61.1</v>
      </c>
      <c r="W520" t="n">
        <v>39.4717</v>
      </c>
      <c r="X520" t="n">
        <v>13.25283</v>
      </c>
      <c r="Y520" t="n">
        <v>11.09074</v>
      </c>
      <c r="Z520" t="n">
        <v>18.9879</v>
      </c>
      <c r="AA520" t="n">
        <v>61.38304</v>
      </c>
      <c r="AB520" t="n">
        <v>37.54264</v>
      </c>
      <c r="AC520" t="n">
        <v>39.61694</v>
      </c>
      <c r="AD520" t="n">
        <v>57.43211</v>
      </c>
      <c r="AE520" t="n">
        <v>95.29142</v>
      </c>
      <c r="AF520" t="n">
        <v>46.61245</v>
      </c>
      <c r="AG520" t="n">
        <v>1.9598</v>
      </c>
      <c r="AH520" t="n">
        <v>62.45884</v>
      </c>
      <c r="AI520" t="n">
        <v>6.220607</v>
      </c>
      <c r="AJ520" t="n">
        <v>13.59421</v>
      </c>
      <c r="AK520" t="n">
        <v>62.60884</v>
      </c>
      <c r="AL520" t="n">
        <v>63.1</v>
      </c>
      <c r="AM520" t="n">
        <v>48.47013</v>
      </c>
      <c r="AN520" t="n">
        <v>39.1706</v>
      </c>
      <c r="AO520" t="n">
        <v>14.91037</v>
      </c>
      <c r="AP520" t="n">
        <v>53.67055</v>
      </c>
      <c r="AQ520" t="n">
        <v>0.01870336</v>
      </c>
      <c r="AS520" t="n">
        <v>25.9051</v>
      </c>
      <c r="AT520" t="n">
        <v>20.54545</v>
      </c>
      <c r="AU520" t="n">
        <v>73.90555999999999</v>
      </c>
      <c r="AV520" t="n">
        <v>0.1244162</v>
      </c>
      <c r="AW520" t="n">
        <v>58.77216</v>
      </c>
      <c r="AX520" t="n">
        <v>24.83496</v>
      </c>
    </row>
    <row r="521">
      <c r="A521" s="92" t="n">
        <v>33695</v>
      </c>
      <c r="B521" t="n">
        <v>63.30154</v>
      </c>
      <c r="C521" t="n">
        <v>64.21154</v>
      </c>
      <c r="D521" t="n">
        <v>0.01683391</v>
      </c>
      <c r="E521" t="n">
        <v>66.13115999999999</v>
      </c>
      <c r="F521" t="n">
        <v>84.55304</v>
      </c>
      <c r="G521" t="n">
        <v>34.44811</v>
      </c>
      <c r="I521" t="n">
        <v>12.76717</v>
      </c>
      <c r="J521" t="n">
        <v>10.85948</v>
      </c>
      <c r="K521" t="n">
        <v>35.21875</v>
      </c>
      <c r="L521" t="n">
        <v>68.56966</v>
      </c>
      <c r="M521" t="n">
        <v>64.33916000000001</v>
      </c>
      <c r="N521" t="n">
        <v>63.56643</v>
      </c>
      <c r="O521" t="n">
        <v>54.13506</v>
      </c>
      <c r="R521" t="n">
        <v>70.49373</v>
      </c>
      <c r="S521" t="n">
        <v>71.12</v>
      </c>
      <c r="U521" t="n">
        <v>64.80364</v>
      </c>
      <c r="V521" t="n">
        <v>61.8</v>
      </c>
      <c r="W521" t="n">
        <v>40.0706</v>
      </c>
      <c r="X521" t="n">
        <v>13.41922</v>
      </c>
      <c r="Y521" t="n">
        <v>11.19071</v>
      </c>
      <c r="Z521" t="n">
        <v>19.15373</v>
      </c>
      <c r="AA521" t="n">
        <v>61.87489</v>
      </c>
      <c r="AB521" t="n">
        <v>37.54264</v>
      </c>
      <c r="AC521" t="n">
        <v>40.42339</v>
      </c>
      <c r="AD521" t="n">
        <v>57.63982</v>
      </c>
      <c r="AE521" t="n">
        <v>96.30949</v>
      </c>
      <c r="AF521" t="n">
        <v>46.89603</v>
      </c>
      <c r="AG521" t="n">
        <v>2.1616</v>
      </c>
      <c r="AH521" t="n">
        <v>62.5536</v>
      </c>
      <c r="AI521" t="n">
        <v>6.908686</v>
      </c>
      <c r="AJ521" t="n">
        <v>13.7154</v>
      </c>
      <c r="AK521" t="n">
        <v>62.84533</v>
      </c>
      <c r="AL521" t="n">
        <v>63.3</v>
      </c>
      <c r="AM521" t="n">
        <v>48.70326</v>
      </c>
      <c r="AN521" t="n">
        <v>39.42421</v>
      </c>
      <c r="AO521" t="n">
        <v>15.47302</v>
      </c>
      <c r="AP521" t="n">
        <v>54.48561</v>
      </c>
      <c r="AQ521" t="n">
        <v>0.02276199</v>
      </c>
      <c r="AS521" t="n">
        <v>25.93203</v>
      </c>
      <c r="AT521" t="n">
        <v>21.9146</v>
      </c>
      <c r="AU521" t="n">
        <v>74.07471</v>
      </c>
      <c r="AV521" t="n">
        <v>0.129089</v>
      </c>
      <c r="AW521" t="n">
        <v>58.85654</v>
      </c>
      <c r="AX521" t="n">
        <v>25.15689</v>
      </c>
    </row>
    <row r="522">
      <c r="A522" s="92" t="n">
        <v>33725</v>
      </c>
      <c r="B522" t="n">
        <v>63.50035</v>
      </c>
      <c r="C522" t="n">
        <v>64.45106</v>
      </c>
      <c r="D522" t="n">
        <v>0.02101882</v>
      </c>
      <c r="E522" t="n">
        <v>66.21017000000001</v>
      </c>
      <c r="F522" t="n">
        <v>84.77588</v>
      </c>
      <c r="G522" t="n">
        <v>34.81646</v>
      </c>
      <c r="I522" t="n">
        <v>13.06086</v>
      </c>
      <c r="J522" t="n">
        <v>10.96058</v>
      </c>
      <c r="K522" t="n">
        <v>35.3625</v>
      </c>
      <c r="L522" t="n">
        <v>68.75624999999999</v>
      </c>
      <c r="M522" t="n">
        <v>64.79127</v>
      </c>
      <c r="N522" t="n">
        <v>63.77998</v>
      </c>
      <c r="O522" t="n">
        <v>54.27654</v>
      </c>
      <c r="R522" t="n">
        <v>70.53976</v>
      </c>
      <c r="S522" t="n">
        <v>71.34999999999999</v>
      </c>
      <c r="U522" t="n">
        <v>64.93838</v>
      </c>
      <c r="V522" t="n">
        <v>62.2</v>
      </c>
      <c r="W522" t="n">
        <v>40.07826</v>
      </c>
      <c r="X522" t="n">
        <v>13.63552</v>
      </c>
      <c r="Y522" t="n">
        <v>11.20321</v>
      </c>
      <c r="Z522" t="n">
        <v>19.40248</v>
      </c>
      <c r="AA522" t="n">
        <v>61.87489</v>
      </c>
      <c r="AB522" t="n">
        <v>37.51926</v>
      </c>
      <c r="AC522" t="n">
        <v>40.22178</v>
      </c>
      <c r="AD522" t="n">
        <v>57.89946</v>
      </c>
      <c r="AE522" t="n">
        <v>96.30949</v>
      </c>
      <c r="AF522" t="n">
        <v>47.18065</v>
      </c>
      <c r="AG522" t="n">
        <v>2.3087</v>
      </c>
      <c r="AH522" t="n">
        <v>62.86157</v>
      </c>
      <c r="AI522" t="n">
        <v>7.819925</v>
      </c>
      <c r="AJ522" t="n">
        <v>13.80583</v>
      </c>
      <c r="AK522" t="n">
        <v>62.84533</v>
      </c>
      <c r="AL522" t="n">
        <v>63.4</v>
      </c>
      <c r="AM522" t="n">
        <v>48.82661</v>
      </c>
      <c r="AN522" t="n">
        <v>39.57728</v>
      </c>
      <c r="AO522" t="n">
        <v>16.10601</v>
      </c>
      <c r="AP522" t="n">
        <v>54.95932</v>
      </c>
      <c r="AQ522" t="n">
        <v>0.02547066</v>
      </c>
      <c r="AS522" t="n">
        <v>25.99935</v>
      </c>
      <c r="AT522" t="n">
        <v>23.48871</v>
      </c>
      <c r="AU522" t="n">
        <v>74.12576</v>
      </c>
      <c r="AV522" t="n">
        <v>0.1302221</v>
      </c>
      <c r="AW522" t="n">
        <v>58.94092</v>
      </c>
      <c r="AX522" t="n">
        <v>25.34085</v>
      </c>
    </row>
    <row r="523">
      <c r="A523" s="92" t="n">
        <v>33756</v>
      </c>
      <c r="B523" t="n">
        <v>63.71904</v>
      </c>
      <c r="C523" t="n">
        <v>64.65535</v>
      </c>
      <c r="D523" t="n">
        <v>0.02526679</v>
      </c>
      <c r="E523" t="n">
        <v>66.36819</v>
      </c>
      <c r="F523" t="n">
        <v>85.11269</v>
      </c>
      <c r="G523" t="n">
        <v>35.05551</v>
      </c>
      <c r="I523" t="n">
        <v>13.35454</v>
      </c>
      <c r="J523" t="n">
        <v>11.09504</v>
      </c>
      <c r="K523" t="n">
        <v>35.69792</v>
      </c>
      <c r="L523" t="n">
        <v>68.94283</v>
      </c>
      <c r="M523" t="n">
        <v>64.79127</v>
      </c>
      <c r="N523" t="n">
        <v>63.85116</v>
      </c>
      <c r="O523" t="n">
        <v>54.2662</v>
      </c>
      <c r="R523" t="n">
        <v>70.80943000000001</v>
      </c>
      <c r="S523" t="n">
        <v>71.31</v>
      </c>
      <c r="U523" t="n">
        <v>65.0881</v>
      </c>
      <c r="V523" t="n">
        <v>62.2</v>
      </c>
      <c r="W523" t="n">
        <v>40.74471</v>
      </c>
      <c r="X523" t="n">
        <v>13.7104</v>
      </c>
      <c r="Y523" t="n">
        <v>11.27819</v>
      </c>
      <c r="Z523" t="n">
        <v>19.56831</v>
      </c>
      <c r="AA523" t="n">
        <v>61.87489</v>
      </c>
      <c r="AB523" t="n">
        <v>37.65952</v>
      </c>
      <c r="AC523" t="n">
        <v>40.32258</v>
      </c>
      <c r="AD523" t="n">
        <v>58.05524</v>
      </c>
      <c r="AE523" t="n">
        <v>96.30949</v>
      </c>
      <c r="AF523" t="n">
        <v>47.26288</v>
      </c>
      <c r="AG523" t="n">
        <v>2.5924</v>
      </c>
      <c r="AH523" t="n">
        <v>62.98594</v>
      </c>
      <c r="AI523" t="n">
        <v>9.019415</v>
      </c>
      <c r="AJ523" t="n">
        <v>13.89927</v>
      </c>
      <c r="AK523" t="n">
        <v>62.66797</v>
      </c>
      <c r="AL523" t="n">
        <v>63.5</v>
      </c>
      <c r="AM523" t="n">
        <v>48.94709</v>
      </c>
      <c r="AN523" t="n">
        <v>39.64891</v>
      </c>
      <c r="AO523" t="n">
        <v>16.38733</v>
      </c>
      <c r="AP523" t="n">
        <v>55.17527</v>
      </c>
      <c r="AQ523" t="n">
        <v>0.03033556</v>
      </c>
      <c r="AS523" t="n">
        <v>25.79738</v>
      </c>
      <c r="AT523" t="n">
        <v>24.34956</v>
      </c>
      <c r="AU523" t="n">
        <v>73.93429</v>
      </c>
      <c r="AV523" t="n">
        <v>0.1308588</v>
      </c>
      <c r="AW523" t="n">
        <v>59.15187</v>
      </c>
      <c r="AX523" t="n">
        <v>25.6168</v>
      </c>
    </row>
    <row r="524">
      <c r="A524" s="92" t="n">
        <v>33786</v>
      </c>
      <c r="B524" t="n">
        <v>64.49441</v>
      </c>
      <c r="C524" t="n">
        <v>64.95123</v>
      </c>
      <c r="D524" t="n">
        <v>0.03078254</v>
      </c>
      <c r="E524" t="n">
        <v>66.52621000000001</v>
      </c>
      <c r="F524" t="n">
        <v>84.85657</v>
      </c>
      <c r="G524" t="n">
        <v>35.44683</v>
      </c>
      <c r="I524" t="n">
        <v>13.62376</v>
      </c>
      <c r="J524" t="n">
        <v>11.16065</v>
      </c>
      <c r="K524" t="n">
        <v>35.9375</v>
      </c>
      <c r="L524" t="n">
        <v>69.12942</v>
      </c>
      <c r="M524" t="n">
        <v>64.51305000000001</v>
      </c>
      <c r="N524" t="n">
        <v>63.92234</v>
      </c>
      <c r="O524" t="n">
        <v>54.4425</v>
      </c>
      <c r="R524" t="n">
        <v>70.63185</v>
      </c>
      <c r="S524" t="n">
        <v>71.27</v>
      </c>
      <c r="U524" t="n">
        <v>65.09419</v>
      </c>
      <c r="V524" t="n">
        <v>62</v>
      </c>
      <c r="W524" t="n">
        <v>39.97589</v>
      </c>
      <c r="X524" t="n">
        <v>13.74368</v>
      </c>
      <c r="Y524" t="n">
        <v>11.29694</v>
      </c>
      <c r="Z524" t="n">
        <v>20.06581</v>
      </c>
      <c r="AA524" t="n">
        <v>62.17</v>
      </c>
      <c r="AB524" t="n">
        <v>37.72965</v>
      </c>
      <c r="AC524" t="n">
        <v>40.52419</v>
      </c>
      <c r="AD524" t="n">
        <v>58.1591</v>
      </c>
      <c r="AE524" t="n">
        <v>95.49503</v>
      </c>
      <c r="AF524" t="n">
        <v>47.46423</v>
      </c>
      <c r="AG524" t="n">
        <v>3.2969</v>
      </c>
      <c r="AH524" t="n">
        <v>63.13401</v>
      </c>
      <c r="AI524" t="n">
        <v>10.7954</v>
      </c>
      <c r="AJ524" t="n">
        <v>13.98703</v>
      </c>
      <c r="AK524" t="n">
        <v>62.90445</v>
      </c>
      <c r="AL524" t="n">
        <v>63.6</v>
      </c>
      <c r="AM524" t="n">
        <v>48.99255</v>
      </c>
      <c r="AN524" t="n">
        <v>39.70859</v>
      </c>
      <c r="AO524" t="n">
        <v>16.59833</v>
      </c>
      <c r="AP524" t="n">
        <v>55.41113</v>
      </c>
      <c r="AQ524" t="n">
        <v>0.03355113</v>
      </c>
      <c r="AS524" t="n">
        <v>25.99935</v>
      </c>
      <c r="AT524" t="n">
        <v>24.52992</v>
      </c>
      <c r="AU524" t="n">
        <v>73.83855</v>
      </c>
      <c r="AV524" t="n">
        <v>0.1325855</v>
      </c>
      <c r="AW524" t="n">
        <v>59.27845</v>
      </c>
      <c r="AX524" t="n">
        <v>25.84675</v>
      </c>
    </row>
    <row r="525">
      <c r="A525" s="92" t="n">
        <v>33817</v>
      </c>
      <c r="B525" t="n">
        <v>64.75286</v>
      </c>
      <c r="C525" t="n">
        <v>64.84556000000001</v>
      </c>
      <c r="D525" t="n">
        <v>0.0375978</v>
      </c>
      <c r="E525" t="n">
        <v>66.52621000000001</v>
      </c>
      <c r="F525" t="n">
        <v>85.07850000000001</v>
      </c>
      <c r="G525" t="n">
        <v>35.95299</v>
      </c>
      <c r="I525" t="n">
        <v>13.72165</v>
      </c>
      <c r="J525" t="n">
        <v>11.22196</v>
      </c>
      <c r="K525" t="n">
        <v>35.98542</v>
      </c>
      <c r="L525" t="n">
        <v>69.12942</v>
      </c>
      <c r="M525" t="n">
        <v>64.5826</v>
      </c>
      <c r="N525" t="n">
        <v>64.06471000000001</v>
      </c>
      <c r="O525" t="n">
        <v>54.93877</v>
      </c>
      <c r="R525" t="n">
        <v>70.51345999999999</v>
      </c>
      <c r="S525" t="n">
        <v>71.23</v>
      </c>
      <c r="U525" t="n">
        <v>65.23236</v>
      </c>
      <c r="V525" t="n">
        <v>62.1</v>
      </c>
      <c r="W525" t="n">
        <v>40.54763</v>
      </c>
      <c r="X525" t="n">
        <v>13.86015</v>
      </c>
      <c r="Y525" t="n">
        <v>11.32193</v>
      </c>
      <c r="Z525" t="n">
        <v>20.06581</v>
      </c>
      <c r="AA525" t="n">
        <v>62.17</v>
      </c>
      <c r="AB525" t="n">
        <v>37.72965</v>
      </c>
      <c r="AC525" t="n">
        <v>40.92742</v>
      </c>
      <c r="AD525" t="n">
        <v>58.31488</v>
      </c>
      <c r="AE525" t="n">
        <v>95.80046</v>
      </c>
      <c r="AF525" t="n">
        <v>47.5454</v>
      </c>
      <c r="AG525" t="n">
        <v>3.7664</v>
      </c>
      <c r="AH525" t="n">
        <v>63.19323</v>
      </c>
      <c r="AI525" t="n">
        <v>12.5435</v>
      </c>
      <c r="AJ525" t="n">
        <v>14.07296</v>
      </c>
      <c r="AK525" t="n">
        <v>63.02269</v>
      </c>
      <c r="AL525" t="n">
        <v>63.4</v>
      </c>
      <c r="AM525" t="n">
        <v>49.16003</v>
      </c>
      <c r="AN525" t="n">
        <v>39.87655</v>
      </c>
      <c r="AO525" t="n">
        <v>17.02032</v>
      </c>
      <c r="AP525" t="n">
        <v>55.65894</v>
      </c>
      <c r="AQ525" t="n">
        <v>0.03643652</v>
      </c>
      <c r="AS525" t="n">
        <v>26.17438</v>
      </c>
      <c r="AT525" t="n">
        <v>24.60371</v>
      </c>
      <c r="AU525" t="n">
        <v>73.8896</v>
      </c>
      <c r="AV525" t="n">
        <v>0.1376467</v>
      </c>
      <c r="AW525" t="n">
        <v>59.44721</v>
      </c>
      <c r="AX525" t="n">
        <v>26.12269</v>
      </c>
    </row>
    <row r="526">
      <c r="A526" s="92" t="n">
        <v>33848</v>
      </c>
      <c r="B526" t="n">
        <v>64.31547999999999</v>
      </c>
      <c r="C526" t="n">
        <v>64.95827</v>
      </c>
      <c r="D526" t="n">
        <v>0.04685812</v>
      </c>
      <c r="E526" t="n">
        <v>66.52621000000001</v>
      </c>
      <c r="F526" t="n">
        <v>85.17874</v>
      </c>
      <c r="G526" t="n">
        <v>36.78923</v>
      </c>
      <c r="I526" t="n">
        <v>13.83586</v>
      </c>
      <c r="J526" t="n">
        <v>11.26606</v>
      </c>
      <c r="K526" t="n">
        <v>36.46458</v>
      </c>
      <c r="L526" t="n">
        <v>69.12942</v>
      </c>
      <c r="M526" t="n">
        <v>64.82605</v>
      </c>
      <c r="N526" t="n">
        <v>64.13589</v>
      </c>
      <c r="O526" t="n">
        <v>55.39205</v>
      </c>
      <c r="R526" t="n">
        <v>70.93438999999999</v>
      </c>
      <c r="S526" t="n">
        <v>71.43000000000001</v>
      </c>
      <c r="U526" t="n">
        <v>65.40855000000001</v>
      </c>
      <c r="V526" t="n">
        <v>62.3</v>
      </c>
      <c r="W526" t="n">
        <v>42.21689</v>
      </c>
      <c r="X526" t="n">
        <v>14.1846</v>
      </c>
      <c r="Y526" t="n">
        <v>11.34067</v>
      </c>
      <c r="Z526" t="n">
        <v>20.14873</v>
      </c>
      <c r="AA526" t="n">
        <v>62.17</v>
      </c>
      <c r="AB526" t="n">
        <v>37.70628</v>
      </c>
      <c r="AC526" t="n">
        <v>41.53226</v>
      </c>
      <c r="AD526" t="n">
        <v>58.41874</v>
      </c>
      <c r="AE526" t="n">
        <v>96.30949</v>
      </c>
      <c r="AF526" t="n">
        <v>47.70774</v>
      </c>
      <c r="AG526" t="n">
        <v>4.8739</v>
      </c>
      <c r="AH526" t="n">
        <v>63.27022</v>
      </c>
      <c r="AI526" t="n">
        <v>14.05913</v>
      </c>
      <c r="AJ526" t="n">
        <v>14.19538</v>
      </c>
      <c r="AK526" t="n">
        <v>63.55478</v>
      </c>
      <c r="AL526" t="n">
        <v>63.7</v>
      </c>
      <c r="AM526" t="n">
        <v>49.42388</v>
      </c>
      <c r="AN526" t="n">
        <v>40.20203</v>
      </c>
      <c r="AO526" t="n">
        <v>17.93464</v>
      </c>
      <c r="AP526" t="n">
        <v>55.66789</v>
      </c>
      <c r="AQ526" t="n">
        <v>0.04062672</v>
      </c>
      <c r="AS526" t="n">
        <v>26.60523</v>
      </c>
      <c r="AT526" t="n">
        <v>25.45636</v>
      </c>
      <c r="AU526" t="n">
        <v>74.96510000000001</v>
      </c>
      <c r="AV526" t="n">
        <v>0.1478987</v>
      </c>
      <c r="AW526" t="n">
        <v>59.61598</v>
      </c>
      <c r="AX526" t="n">
        <v>26.30666</v>
      </c>
    </row>
    <row r="527">
      <c r="A527" s="92" t="n">
        <v>33878</v>
      </c>
      <c r="B527" t="n">
        <v>64.21607</v>
      </c>
      <c r="C527" t="n">
        <v>65.09916</v>
      </c>
      <c r="D527" t="n">
        <v>0.05868509</v>
      </c>
      <c r="E527" t="n">
        <v>66.60522</v>
      </c>
      <c r="F527" t="n">
        <v>85.30244</v>
      </c>
      <c r="G527" t="n">
        <v>37.31496</v>
      </c>
      <c r="I527" t="n">
        <v>13.95823</v>
      </c>
      <c r="J527" t="n">
        <v>11.34135</v>
      </c>
      <c r="K527" t="n">
        <v>37.13542</v>
      </c>
      <c r="L527" t="n">
        <v>69.12942</v>
      </c>
      <c r="M527" t="n">
        <v>64.75649</v>
      </c>
      <c r="N527" t="n">
        <v>64.27826</v>
      </c>
      <c r="O527" t="n">
        <v>55.42525</v>
      </c>
      <c r="R527" t="n">
        <v>71.16459999999999</v>
      </c>
      <c r="S527" t="n">
        <v>71.63</v>
      </c>
      <c r="U527" t="n">
        <v>65.57406</v>
      </c>
      <c r="V527" t="n">
        <v>62.5</v>
      </c>
      <c r="W527" t="n">
        <v>43.22039</v>
      </c>
      <c r="X527" t="n">
        <v>14.54234</v>
      </c>
      <c r="Y527" t="n">
        <v>11.38441</v>
      </c>
      <c r="Z527" t="n">
        <v>20.23164</v>
      </c>
      <c r="AA527" t="n">
        <v>62.26837</v>
      </c>
      <c r="AB527" t="n">
        <v>37.72965</v>
      </c>
      <c r="AC527" t="n">
        <v>41.73387</v>
      </c>
      <c r="AD527" t="n">
        <v>58.67838</v>
      </c>
      <c r="AE527" t="n">
        <v>96.30949</v>
      </c>
      <c r="AF527" t="n">
        <v>47.66663</v>
      </c>
      <c r="AG527" t="n">
        <v>5.7936</v>
      </c>
      <c r="AH527" t="n">
        <v>63.56635</v>
      </c>
      <c r="AI527" t="n">
        <v>17.58321</v>
      </c>
      <c r="AJ527" t="n">
        <v>14.29759</v>
      </c>
      <c r="AK527" t="n">
        <v>63.55478</v>
      </c>
      <c r="AL527" t="n">
        <v>63.8</v>
      </c>
      <c r="AM527" t="n">
        <v>49.65897</v>
      </c>
      <c r="AN527" t="n">
        <v>40.50424</v>
      </c>
      <c r="AO527" t="n">
        <v>18.49729</v>
      </c>
      <c r="AP527" t="n">
        <v>55.85996</v>
      </c>
      <c r="AQ527" t="n">
        <v>0.04993024</v>
      </c>
      <c r="AS527" t="n">
        <v>27.15727</v>
      </c>
      <c r="AT527" t="n">
        <v>26.3172</v>
      </c>
      <c r="AU527" t="n">
        <v>75.10551</v>
      </c>
      <c r="AV527" t="n">
        <v>0.1590788</v>
      </c>
      <c r="AW527" t="n">
        <v>59.82693</v>
      </c>
      <c r="AX527" t="n">
        <v>26.35265</v>
      </c>
    </row>
    <row r="528">
      <c r="A528" s="92" t="n">
        <v>33909</v>
      </c>
      <c r="B528" t="n">
        <v>64.27571</v>
      </c>
      <c r="C528" t="n">
        <v>65.30345</v>
      </c>
      <c r="D528" t="n">
        <v>0.0718834</v>
      </c>
      <c r="E528" t="n">
        <v>66.92126</v>
      </c>
      <c r="F528" t="n">
        <v>86.12300999999999</v>
      </c>
      <c r="G528" t="n">
        <v>37.84749</v>
      </c>
      <c r="I528" t="n">
        <v>14.05613</v>
      </c>
      <c r="J528" t="n">
        <v>11.47366</v>
      </c>
      <c r="K528" t="n">
        <v>38.04583</v>
      </c>
      <c r="L528" t="n">
        <v>69.40929</v>
      </c>
      <c r="M528" t="n">
        <v>64.8956</v>
      </c>
      <c r="N528" t="n">
        <v>64.49181</v>
      </c>
      <c r="O528" t="n">
        <v>55.46062</v>
      </c>
      <c r="R528" t="n">
        <v>71.23694999999999</v>
      </c>
      <c r="S528" t="n">
        <v>71.7</v>
      </c>
      <c r="U528" t="n">
        <v>65.69213999999999</v>
      </c>
      <c r="V528" t="n">
        <v>62.5</v>
      </c>
      <c r="W528" t="n">
        <v>43.56859</v>
      </c>
      <c r="X528" t="n">
        <v>14.77528</v>
      </c>
      <c r="Y528" t="n">
        <v>11.41565</v>
      </c>
      <c r="Z528" t="n">
        <v>20.23164</v>
      </c>
      <c r="AA528" t="n">
        <v>62.26837</v>
      </c>
      <c r="AB528" t="n">
        <v>37.69368</v>
      </c>
      <c r="AC528" t="n">
        <v>41.93548</v>
      </c>
      <c r="AD528" t="n">
        <v>59.0938</v>
      </c>
      <c r="AE528" t="n">
        <v>96.20769</v>
      </c>
      <c r="AF528" t="n">
        <v>47.42311</v>
      </c>
      <c r="AG528" t="n">
        <v>7.4711</v>
      </c>
      <c r="AH528" t="n">
        <v>63.76772</v>
      </c>
      <c r="AI528" t="n">
        <v>19.68464</v>
      </c>
      <c r="AJ528" t="n">
        <v>14.41639</v>
      </c>
      <c r="AK528" t="n">
        <v>63.6139</v>
      </c>
      <c r="AL528" t="n">
        <v>63.8</v>
      </c>
      <c r="AM528" t="n">
        <v>49.8248</v>
      </c>
      <c r="AN528" t="n">
        <v>40.76014</v>
      </c>
      <c r="AO528" t="n">
        <v>18.91928</v>
      </c>
      <c r="AP528" t="n">
        <v>56.04507</v>
      </c>
      <c r="AQ528" t="n">
        <v>0.06296204</v>
      </c>
      <c r="AS528" t="n">
        <v>27.61505</v>
      </c>
      <c r="AT528" t="n">
        <v>27.21903</v>
      </c>
      <c r="AU528" t="n">
        <v>74.73531</v>
      </c>
      <c r="AV528" t="n">
        <v>0.166838</v>
      </c>
      <c r="AW528" t="n">
        <v>59.91132</v>
      </c>
      <c r="AX528" t="n">
        <v>26.49062</v>
      </c>
    </row>
    <row r="529">
      <c r="A529" s="92" t="n">
        <v>33939</v>
      </c>
      <c r="B529" t="n">
        <v>64.31547999999999</v>
      </c>
      <c r="C529" t="n">
        <v>65.29640999999999</v>
      </c>
      <c r="D529" t="n">
        <v>0.09002673999999999</v>
      </c>
      <c r="E529" t="n">
        <v>66.92126</v>
      </c>
      <c r="F529" t="n">
        <v>86.03039</v>
      </c>
      <c r="G529" t="n">
        <v>37.87387</v>
      </c>
      <c r="I529" t="n">
        <v>14.19481</v>
      </c>
      <c r="J529" t="n">
        <v>11.58337</v>
      </c>
      <c r="K529" t="n">
        <v>38.33333</v>
      </c>
      <c r="L529" t="n">
        <v>69.50259</v>
      </c>
      <c r="M529" t="n">
        <v>64.75649</v>
      </c>
      <c r="N529" t="n">
        <v>64.63418</v>
      </c>
      <c r="O529" t="n">
        <v>55.62713</v>
      </c>
      <c r="R529" t="n">
        <v>71.03963</v>
      </c>
      <c r="S529" t="n">
        <v>71.66</v>
      </c>
      <c r="U529" t="n">
        <v>65.69811</v>
      </c>
      <c r="V529" t="n">
        <v>62.6</v>
      </c>
      <c r="W529" t="n">
        <v>44.09228</v>
      </c>
      <c r="X529" t="n">
        <v>14.94167</v>
      </c>
      <c r="Y529" t="n">
        <v>11.49063</v>
      </c>
      <c r="Z529" t="n">
        <v>20.14873</v>
      </c>
      <c r="AA529" t="n">
        <v>62.26837</v>
      </c>
      <c r="AB529" t="n">
        <v>37.90216</v>
      </c>
      <c r="AC529" t="n">
        <v>42.43952</v>
      </c>
      <c r="AD529" t="n">
        <v>59.24958</v>
      </c>
      <c r="AE529" t="n">
        <v>96.20769</v>
      </c>
      <c r="AF529" t="n">
        <v>47.5454</v>
      </c>
      <c r="AG529" t="n">
        <v>9.5433</v>
      </c>
      <c r="AH529" t="n">
        <v>63.77364</v>
      </c>
      <c r="AI529" t="n">
        <v>20.18675</v>
      </c>
      <c r="AJ529" t="n">
        <v>14.62166</v>
      </c>
      <c r="AK529" t="n">
        <v>63.37741</v>
      </c>
      <c r="AL529" t="n">
        <v>63.8</v>
      </c>
      <c r="AM529" t="n">
        <v>49.91415</v>
      </c>
      <c r="AN529" t="n">
        <v>40.89888</v>
      </c>
      <c r="AO529" t="n">
        <v>19.34128</v>
      </c>
      <c r="AP529" t="n">
        <v>56.26302</v>
      </c>
      <c r="AQ529" t="n">
        <v>0.07882847</v>
      </c>
      <c r="AS529" t="n">
        <v>27.88433</v>
      </c>
      <c r="AT529" t="n">
        <v>27.4322</v>
      </c>
      <c r="AU529" t="n">
        <v>75.02254000000001</v>
      </c>
      <c r="AV529" t="n">
        <v>0.1714028</v>
      </c>
      <c r="AW529" t="n">
        <v>59.86912</v>
      </c>
      <c r="AX529" t="n">
        <v>26.49062</v>
      </c>
    </row>
    <row r="530">
      <c r="A530" s="92" t="n">
        <v>33970</v>
      </c>
      <c r="B530" t="n">
        <v>65.09084</v>
      </c>
      <c r="C530" t="n">
        <v>65.74021999999999</v>
      </c>
      <c r="D530" t="n">
        <v>0.1173498</v>
      </c>
      <c r="E530" t="n">
        <v>67.15828</v>
      </c>
      <c r="F530" t="n">
        <v>86.47165</v>
      </c>
      <c r="G530" t="n">
        <v>37.93682</v>
      </c>
      <c r="H530" t="n">
        <v>41.34689</v>
      </c>
      <c r="I530" t="n">
        <v>14.65166</v>
      </c>
      <c r="J530" t="n">
        <v>11.63177</v>
      </c>
      <c r="K530" t="n">
        <v>41.83125</v>
      </c>
      <c r="L530" t="n">
        <v>70.71539</v>
      </c>
      <c r="M530" t="n">
        <v>64.65215000000001</v>
      </c>
      <c r="N530" t="n">
        <v>64.91891</v>
      </c>
      <c r="O530" t="n">
        <v>56.14843</v>
      </c>
      <c r="R530" t="n">
        <v>71.76969</v>
      </c>
      <c r="S530" t="n">
        <v>71.94</v>
      </c>
      <c r="U530" t="n">
        <v>66.01694000000001</v>
      </c>
      <c r="V530" t="n">
        <v>62.4</v>
      </c>
      <c r="W530" t="n">
        <v>44.17724</v>
      </c>
      <c r="X530" t="n">
        <v>15.95664</v>
      </c>
      <c r="Y530" t="n">
        <v>11.82804</v>
      </c>
      <c r="Z530" t="n">
        <v>19.98289</v>
      </c>
      <c r="AA530" t="n">
        <v>62.56348</v>
      </c>
      <c r="AB530" t="n">
        <v>38.36082</v>
      </c>
      <c r="AC530" t="n">
        <v>42.94355</v>
      </c>
      <c r="AD530" t="n">
        <v>59.56115</v>
      </c>
      <c r="AE530" t="n">
        <v>96.10588</v>
      </c>
      <c r="AF530" t="n">
        <v>47.91014</v>
      </c>
      <c r="AG530" t="n">
        <v>10.4511</v>
      </c>
      <c r="AH530" t="n">
        <v>64.3955</v>
      </c>
      <c r="AI530" t="n">
        <v>21.0329</v>
      </c>
      <c r="AJ530" t="n">
        <v>14.80507</v>
      </c>
      <c r="AK530" t="n">
        <v>63.37741</v>
      </c>
      <c r="AL530" t="n">
        <v>64</v>
      </c>
      <c r="AM530" t="n">
        <v>50.24495</v>
      </c>
      <c r="AN530" t="n">
        <v>41.30806</v>
      </c>
      <c r="AO530" t="n">
        <v>20.11493</v>
      </c>
      <c r="AP530" t="n">
        <v>57.07111</v>
      </c>
      <c r="AQ530" t="n">
        <v>0.09916621</v>
      </c>
      <c r="AS530" t="n">
        <v>30.391</v>
      </c>
      <c r="AT530" t="n">
        <v>28.47341</v>
      </c>
      <c r="AU530" t="n">
        <v>77.05862</v>
      </c>
      <c r="AV530" t="n">
        <v>0.1804677</v>
      </c>
      <c r="AW530" t="n">
        <v>60.16446</v>
      </c>
      <c r="AX530" t="n">
        <v>26.76656</v>
      </c>
    </row>
    <row r="531">
      <c r="A531" s="92" t="n">
        <v>34001</v>
      </c>
      <c r="B531" t="n">
        <v>65.46858</v>
      </c>
      <c r="C531" t="n">
        <v>65.90929</v>
      </c>
      <c r="D531" t="n">
        <v>0.1466638</v>
      </c>
      <c r="E531" t="n">
        <v>67.39530999999999</v>
      </c>
      <c r="F531" t="n">
        <v>87.02668</v>
      </c>
      <c r="G531" t="n">
        <v>38.08994</v>
      </c>
      <c r="H531" t="n">
        <v>41.5811</v>
      </c>
      <c r="I531" t="n">
        <v>15.12482</v>
      </c>
      <c r="J531" t="n">
        <v>11.69738</v>
      </c>
      <c r="K531" t="n">
        <v>42.45417</v>
      </c>
      <c r="L531" t="n">
        <v>71.27513999999999</v>
      </c>
      <c r="M531" t="n">
        <v>64.82605</v>
      </c>
      <c r="N531" t="n">
        <v>65.27482999999999</v>
      </c>
      <c r="O531" t="n">
        <v>56.16638</v>
      </c>
      <c r="R531" t="n">
        <v>71.99988999999999</v>
      </c>
      <c r="S531" t="n">
        <v>72.19</v>
      </c>
      <c r="U531" t="n">
        <v>66.26461</v>
      </c>
      <c r="V531" t="n">
        <v>62.7</v>
      </c>
      <c r="W531" t="n">
        <v>44.31234</v>
      </c>
      <c r="X531" t="n">
        <v>16.23118</v>
      </c>
      <c r="Y531" t="n">
        <v>12.06548</v>
      </c>
      <c r="Z531" t="n">
        <v>19.98289</v>
      </c>
      <c r="AA531" t="n">
        <v>62.56348</v>
      </c>
      <c r="AB531" t="n">
        <v>38.611</v>
      </c>
      <c r="AC531" t="n">
        <v>43.44758</v>
      </c>
      <c r="AD531" t="n">
        <v>59.76886</v>
      </c>
      <c r="AE531" t="n">
        <v>96.20769</v>
      </c>
      <c r="AF531" t="n">
        <v>48.23483</v>
      </c>
      <c r="AG531" t="n">
        <v>11.5126</v>
      </c>
      <c r="AH531" t="n">
        <v>64.58502</v>
      </c>
      <c r="AI531" t="n">
        <v>21.6466</v>
      </c>
      <c r="AJ531" t="n">
        <v>14.92603</v>
      </c>
      <c r="AK531" t="n">
        <v>63.73214</v>
      </c>
      <c r="AL531" t="n">
        <v>64.2</v>
      </c>
      <c r="AM531" t="n">
        <v>50.47814</v>
      </c>
      <c r="AN531" t="n">
        <v>41.58005</v>
      </c>
      <c r="AO531" t="n">
        <v>20.81825</v>
      </c>
      <c r="AP531" t="n">
        <v>57.49705</v>
      </c>
      <c r="AQ531" t="n">
        <v>0.1236603</v>
      </c>
      <c r="AS531" t="n">
        <v>30.88286</v>
      </c>
      <c r="AT531" t="n">
        <v>28.98171</v>
      </c>
      <c r="AU531" t="n">
        <v>77.27564</v>
      </c>
      <c r="AV531" t="n">
        <v>0.1876441</v>
      </c>
      <c r="AW531" t="n">
        <v>60.37542</v>
      </c>
      <c r="AX531" t="n">
        <v>26.85854</v>
      </c>
    </row>
    <row r="532">
      <c r="A532" s="92" t="n">
        <v>34029</v>
      </c>
      <c r="B532" t="n">
        <v>65.72704</v>
      </c>
      <c r="C532" t="n">
        <v>66.02200000000001</v>
      </c>
      <c r="D532" t="n">
        <v>0.1866444</v>
      </c>
      <c r="E532" t="n">
        <v>67.3163</v>
      </c>
      <c r="F532" t="n">
        <v>87.49009</v>
      </c>
      <c r="G532" t="n">
        <v>38.30602</v>
      </c>
      <c r="H532" t="n">
        <v>42.35071</v>
      </c>
      <c r="I532" t="n">
        <v>15.41034</v>
      </c>
      <c r="J532" t="n">
        <v>11.73826</v>
      </c>
      <c r="K532" t="n">
        <v>42.69375</v>
      </c>
      <c r="L532" t="n">
        <v>71.46172</v>
      </c>
      <c r="M532" t="n">
        <v>64.96516</v>
      </c>
      <c r="N532" t="n">
        <v>65.55956</v>
      </c>
      <c r="O532" t="n">
        <v>56.36391</v>
      </c>
      <c r="R532" t="n">
        <v>72.09855</v>
      </c>
      <c r="S532" t="n">
        <v>72.56</v>
      </c>
      <c r="U532" t="n">
        <v>66.47798</v>
      </c>
      <c r="V532" t="n">
        <v>63</v>
      </c>
      <c r="W532" t="n">
        <v>45.95096</v>
      </c>
      <c r="X532" t="n">
        <v>16.35597</v>
      </c>
      <c r="Y532" t="n">
        <v>12.24668</v>
      </c>
      <c r="Z532" t="n">
        <v>20.14873</v>
      </c>
      <c r="AA532" t="n">
        <v>62.56348</v>
      </c>
      <c r="AB532" t="n">
        <v>38.65269</v>
      </c>
      <c r="AC532" t="n">
        <v>44.05242</v>
      </c>
      <c r="AD532" t="n">
        <v>59.97657</v>
      </c>
      <c r="AE532" t="n">
        <v>96.4113</v>
      </c>
      <c r="AF532" t="n">
        <v>48.84309</v>
      </c>
      <c r="AG532" t="n">
        <v>13.9807</v>
      </c>
      <c r="AH532" t="n">
        <v>64.76862</v>
      </c>
      <c r="AI532" t="n">
        <v>22.14871</v>
      </c>
      <c r="AJ532" t="n">
        <v>15.01301</v>
      </c>
      <c r="AK532" t="n">
        <v>64.14599</v>
      </c>
      <c r="AL532" t="n">
        <v>64.8</v>
      </c>
      <c r="AM532" t="n">
        <v>50.72083</v>
      </c>
      <c r="AN532" t="n">
        <v>41.87062</v>
      </c>
      <c r="AO532" t="n">
        <v>21.24024</v>
      </c>
      <c r="AP532" t="n">
        <v>57.72793</v>
      </c>
      <c r="AQ532" t="n">
        <v>0.148516</v>
      </c>
      <c r="AS532" t="n">
        <v>31.19586</v>
      </c>
      <c r="AT532" t="n">
        <v>29.44903</v>
      </c>
      <c r="AU532" t="n">
        <v>77.60435</v>
      </c>
      <c r="AV532" t="n">
        <v>0.1965904</v>
      </c>
      <c r="AW532" t="n">
        <v>60.58637</v>
      </c>
      <c r="AX532" t="n">
        <v>27.22647</v>
      </c>
    </row>
    <row r="533">
      <c r="A533" s="92" t="n">
        <v>34060</v>
      </c>
      <c r="B533" t="n">
        <v>65.72704</v>
      </c>
      <c r="C533" t="n">
        <v>66.07836</v>
      </c>
      <c r="D533" t="n">
        <v>0.2384381</v>
      </c>
      <c r="E533" t="n">
        <v>67.3163</v>
      </c>
      <c r="F533" t="n">
        <v>87.75593000000001</v>
      </c>
      <c r="G533" t="n">
        <v>38.84281</v>
      </c>
      <c r="H533" t="n">
        <v>43.57439</v>
      </c>
      <c r="I533" t="n">
        <v>15.71219</v>
      </c>
      <c r="J533" t="n">
        <v>11.8555</v>
      </c>
      <c r="K533" t="n">
        <v>42.93333</v>
      </c>
      <c r="L533" t="n">
        <v>71.64831</v>
      </c>
      <c r="M533" t="n">
        <v>65.03471</v>
      </c>
      <c r="N533" t="n">
        <v>65.70192</v>
      </c>
      <c r="O533" t="n">
        <v>56.61095</v>
      </c>
      <c r="R533" t="n">
        <v>72.36163000000001</v>
      </c>
      <c r="S533" t="n">
        <v>72.65000000000001</v>
      </c>
      <c r="U533" t="n">
        <v>66.71550000000001</v>
      </c>
      <c r="V533" t="n">
        <v>63.4</v>
      </c>
      <c r="W533" t="n">
        <v>46.55891</v>
      </c>
      <c r="X533" t="n">
        <v>16.48908</v>
      </c>
      <c r="Y533" t="n">
        <v>12.26542</v>
      </c>
      <c r="Z533" t="n">
        <v>20.31456</v>
      </c>
      <c r="AA533" t="n">
        <v>62.46511</v>
      </c>
      <c r="AB533" t="n">
        <v>38.77778</v>
      </c>
      <c r="AC533" t="n">
        <v>44.65726</v>
      </c>
      <c r="AD533" t="n">
        <v>60.23621</v>
      </c>
      <c r="AE533" t="n">
        <v>97.12394999999999</v>
      </c>
      <c r="AF533" t="n">
        <v>49.12772</v>
      </c>
      <c r="AG533" t="n">
        <v>17.4747</v>
      </c>
      <c r="AH533" t="n">
        <v>64.91076</v>
      </c>
      <c r="AI533" t="n">
        <v>22.22309</v>
      </c>
      <c r="AJ533" t="n">
        <v>15.09959</v>
      </c>
      <c r="AK533" t="n">
        <v>64.38247</v>
      </c>
      <c r="AL533" t="n">
        <v>64.90000000000001</v>
      </c>
      <c r="AM533" t="n">
        <v>50.95778</v>
      </c>
      <c r="AN533" t="n">
        <v>42.11913</v>
      </c>
      <c r="AO533" t="n">
        <v>21.73256</v>
      </c>
      <c r="AP533" t="n">
        <v>58.05436</v>
      </c>
      <c r="AQ533" t="n">
        <v>0.1762885</v>
      </c>
      <c r="AS533" t="n">
        <v>31.56848</v>
      </c>
      <c r="AT533" t="n">
        <v>29.67859</v>
      </c>
      <c r="AU533" t="n">
        <v>77.92986999999999</v>
      </c>
      <c r="AV533" t="n">
        <v>0.2052128</v>
      </c>
      <c r="AW533" t="n">
        <v>60.75513</v>
      </c>
      <c r="AX533" t="n">
        <v>27.96232</v>
      </c>
    </row>
    <row r="534">
      <c r="A534" s="92" t="n">
        <v>34090</v>
      </c>
      <c r="B534" t="n">
        <v>65.84632000000001</v>
      </c>
      <c r="C534" t="n">
        <v>66.18403000000001</v>
      </c>
      <c r="D534" t="n">
        <v>0.3044616</v>
      </c>
      <c r="E534" t="n">
        <v>67.47432000000001</v>
      </c>
      <c r="F534" t="n">
        <v>87.80746000000001</v>
      </c>
      <c r="G534" t="n">
        <v>39.40937</v>
      </c>
      <c r="H534" t="n">
        <v>44.22674</v>
      </c>
      <c r="I534" t="n">
        <v>15.96508</v>
      </c>
      <c r="J534" t="n">
        <v>11.97059</v>
      </c>
      <c r="K534" t="n">
        <v>43.07708</v>
      </c>
      <c r="L534" t="n">
        <v>71.74160000000001</v>
      </c>
      <c r="M534" t="n">
        <v>65.41727</v>
      </c>
      <c r="N534" t="n">
        <v>65.84428</v>
      </c>
      <c r="O534" t="n">
        <v>56.76713</v>
      </c>
      <c r="R534" t="n">
        <v>72.4011</v>
      </c>
      <c r="S534" t="n">
        <v>72.75</v>
      </c>
      <c r="U534" t="n">
        <v>66.81497</v>
      </c>
      <c r="V534" t="n">
        <v>63.6</v>
      </c>
      <c r="W534" t="n">
        <v>46.66338</v>
      </c>
      <c r="X534" t="n">
        <v>16.55564</v>
      </c>
      <c r="Y534" t="n">
        <v>12.27792</v>
      </c>
      <c r="Z534" t="n">
        <v>20.39748</v>
      </c>
      <c r="AA534" t="n">
        <v>62.46511</v>
      </c>
      <c r="AB534" t="n">
        <v>38.86118</v>
      </c>
      <c r="AC534" t="n">
        <v>44.75806</v>
      </c>
      <c r="AD534" t="n">
        <v>60.44392</v>
      </c>
      <c r="AE534" t="n">
        <v>97.12394999999999</v>
      </c>
      <c r="AF534" t="n">
        <v>49.29006</v>
      </c>
      <c r="AG534" t="n">
        <v>19.7026</v>
      </c>
      <c r="AH534" t="n">
        <v>65.04697</v>
      </c>
      <c r="AI534" t="n">
        <v>22.1673</v>
      </c>
      <c r="AJ534" t="n">
        <v>15.1859</v>
      </c>
      <c r="AK534" t="n">
        <v>64.32335</v>
      </c>
      <c r="AL534" t="n">
        <v>64.90000000000001</v>
      </c>
      <c r="AM534" t="n">
        <v>51.0991</v>
      </c>
      <c r="AN534" t="n">
        <v>42.31768</v>
      </c>
      <c r="AO534" t="n">
        <v>22.15455</v>
      </c>
      <c r="AP534" t="n">
        <v>58.32604</v>
      </c>
      <c r="AQ534" t="n">
        <v>0.2081967</v>
      </c>
      <c r="AS534" t="n">
        <v>31.73244</v>
      </c>
      <c r="AT534" t="n">
        <v>30.28527</v>
      </c>
      <c r="AU534" t="n">
        <v>77.74796000000001</v>
      </c>
      <c r="AV534" t="n">
        <v>0.2149037</v>
      </c>
      <c r="AW534" t="n">
        <v>60.83952</v>
      </c>
      <c r="AX534" t="n">
        <v>28.0543</v>
      </c>
    </row>
    <row r="535">
      <c r="A535" s="92" t="n">
        <v>34121</v>
      </c>
      <c r="B535" t="n">
        <v>66.00537</v>
      </c>
      <c r="C535" t="n">
        <v>66.19108</v>
      </c>
      <c r="D535" t="n">
        <v>0.3960133</v>
      </c>
      <c r="E535" t="n">
        <v>67.47432000000001</v>
      </c>
      <c r="F535" t="n">
        <v>87.785</v>
      </c>
      <c r="G535" t="n">
        <v>39.60418</v>
      </c>
      <c r="H535" t="n">
        <v>44.16555</v>
      </c>
      <c r="I535" t="n">
        <v>16.20982</v>
      </c>
      <c r="J535" t="n">
        <v>12.12656</v>
      </c>
      <c r="K535" t="n">
        <v>43.50834</v>
      </c>
      <c r="L535" t="n">
        <v>71.92818</v>
      </c>
      <c r="M535" t="n">
        <v>65.38249</v>
      </c>
      <c r="N535" t="n">
        <v>65.98666</v>
      </c>
      <c r="O535" t="n">
        <v>56.90806</v>
      </c>
      <c r="R535" t="n">
        <v>72.30244</v>
      </c>
      <c r="S535" t="n">
        <v>72.70999999999999</v>
      </c>
      <c r="U535" t="n">
        <v>66.90884</v>
      </c>
      <c r="V535" t="n">
        <v>63.6</v>
      </c>
      <c r="W535" t="n">
        <v>47.18428</v>
      </c>
      <c r="X535" t="n">
        <v>16.59723</v>
      </c>
      <c r="Y535" t="n">
        <v>12.30916</v>
      </c>
      <c r="Z535" t="n">
        <v>20.72914</v>
      </c>
      <c r="AA535" t="n">
        <v>62.46511</v>
      </c>
      <c r="AB535" t="n">
        <v>38.81948</v>
      </c>
      <c r="AC535" t="n">
        <v>44.95968</v>
      </c>
      <c r="AD535" t="n">
        <v>60.80742</v>
      </c>
      <c r="AE535" t="n">
        <v>97.12394999999999</v>
      </c>
      <c r="AF535" t="n">
        <v>49.53357</v>
      </c>
      <c r="AG535" t="n">
        <v>20.9312</v>
      </c>
      <c r="AH535" t="n">
        <v>65.08843</v>
      </c>
      <c r="AI535" t="n">
        <v>22.67871</v>
      </c>
      <c r="AJ535" t="n">
        <v>15.27108</v>
      </c>
      <c r="AK535" t="n">
        <v>64.08687</v>
      </c>
      <c r="AL535" t="n">
        <v>65</v>
      </c>
      <c r="AM535" t="n">
        <v>51.20263</v>
      </c>
      <c r="AN535" t="n">
        <v>42.44052</v>
      </c>
      <c r="AO535" t="n">
        <v>22.43588</v>
      </c>
      <c r="AP535" t="n">
        <v>58.4594</v>
      </c>
      <c r="AQ535" t="n">
        <v>0.2496278</v>
      </c>
      <c r="AS535" t="n">
        <v>31.86658</v>
      </c>
      <c r="AT535" t="n">
        <v>30.46564</v>
      </c>
      <c r="AU535" t="n">
        <v>77.49265</v>
      </c>
      <c r="AV535" t="n">
        <v>0.2188426</v>
      </c>
      <c r="AW535" t="n">
        <v>60.9239</v>
      </c>
      <c r="AX535" t="n">
        <v>28.19227</v>
      </c>
    </row>
    <row r="536">
      <c r="A536" s="92" t="n">
        <v>34151</v>
      </c>
      <c r="B536" t="n">
        <v>66.76085999999999</v>
      </c>
      <c r="C536" t="n">
        <v>66.62784000000001</v>
      </c>
      <c r="D536" t="n">
        <v>0.5176685</v>
      </c>
      <c r="E536" t="n">
        <v>67.63234</v>
      </c>
      <c r="F536" t="n">
        <v>87.73057</v>
      </c>
      <c r="G536" t="n">
        <v>39.9938</v>
      </c>
      <c r="H536" t="n">
        <v>43.85954</v>
      </c>
      <c r="I536" t="n">
        <v>16.41377</v>
      </c>
      <c r="J536" t="n">
        <v>12.25993</v>
      </c>
      <c r="K536" t="n">
        <v>43.60417</v>
      </c>
      <c r="L536" t="n">
        <v>72.30135</v>
      </c>
      <c r="M536" t="n">
        <v>65.27816</v>
      </c>
      <c r="N536" t="n">
        <v>66.2002</v>
      </c>
      <c r="O536" t="n">
        <v>57.11158</v>
      </c>
      <c r="R536" t="n">
        <v>72.11828</v>
      </c>
      <c r="S536" t="n">
        <v>72.77</v>
      </c>
      <c r="U536" t="n">
        <v>66.98242999999999</v>
      </c>
      <c r="V536" t="n">
        <v>63.4</v>
      </c>
      <c r="W536" t="n">
        <v>46.272</v>
      </c>
      <c r="X536" t="n">
        <v>16.68875</v>
      </c>
      <c r="Y536" t="n">
        <v>12.39664</v>
      </c>
      <c r="Z536" t="n">
        <v>20.97789</v>
      </c>
      <c r="AA536" t="n">
        <v>63.05533</v>
      </c>
      <c r="AB536" t="n">
        <v>39.19475</v>
      </c>
      <c r="AC536" t="n">
        <v>44.95968</v>
      </c>
      <c r="AD536" t="n">
        <v>61.01513</v>
      </c>
      <c r="AE536" t="n">
        <v>97.32756999999999</v>
      </c>
      <c r="AF536" t="n">
        <v>49.49351</v>
      </c>
      <c r="AG536" t="n">
        <v>21.5389</v>
      </c>
      <c r="AH536" t="n">
        <v>65.31941</v>
      </c>
      <c r="AI536" t="n">
        <v>22.86468</v>
      </c>
      <c r="AJ536" t="n">
        <v>15.34446</v>
      </c>
      <c r="AK536" t="n">
        <v>64.50071</v>
      </c>
      <c r="AL536" t="n">
        <v>64.90000000000001</v>
      </c>
      <c r="AM536" t="n">
        <v>51.33537</v>
      </c>
      <c r="AN536" t="n">
        <v>42.65585</v>
      </c>
      <c r="AO536" t="n">
        <v>22.71721</v>
      </c>
      <c r="AP536" t="n">
        <v>58.80274</v>
      </c>
      <c r="AQ536" t="n">
        <v>0.3055445</v>
      </c>
      <c r="AS536" t="n">
        <v>32.2243</v>
      </c>
      <c r="AT536" t="n">
        <v>30.6952</v>
      </c>
      <c r="AU536" t="n">
        <v>77.34266</v>
      </c>
      <c r="AV536" t="n">
        <v>0.2295263</v>
      </c>
      <c r="AW536" t="n">
        <v>60.9239</v>
      </c>
      <c r="AX536" t="n">
        <v>28.42223</v>
      </c>
    </row>
    <row r="537">
      <c r="A537" s="92" t="n">
        <v>34182</v>
      </c>
      <c r="B537" t="n">
        <v>66.97955</v>
      </c>
      <c r="C537" t="n">
        <v>66.90962</v>
      </c>
      <c r="D537" t="n">
        <v>0.6882921</v>
      </c>
      <c r="E537" t="n">
        <v>67.71135</v>
      </c>
      <c r="F537" t="n">
        <v>88.16311</v>
      </c>
      <c r="G537" t="n">
        <v>40.8479</v>
      </c>
      <c r="H537" t="n">
        <v>44.7995</v>
      </c>
      <c r="I537" t="n">
        <v>16.61772</v>
      </c>
      <c r="J537" t="n">
        <v>12.30511</v>
      </c>
      <c r="K537" t="n">
        <v>43.7</v>
      </c>
      <c r="L537" t="n">
        <v>72.30135</v>
      </c>
      <c r="M537" t="n">
        <v>65.38249</v>
      </c>
      <c r="N537" t="n">
        <v>66.27139</v>
      </c>
      <c r="O537" t="n">
        <v>57.4533</v>
      </c>
      <c r="R537" t="n">
        <v>72.0262</v>
      </c>
      <c r="S537" t="n">
        <v>72.77</v>
      </c>
      <c r="U537" t="n">
        <v>67.13187000000001</v>
      </c>
      <c r="V537" t="n">
        <v>63.7</v>
      </c>
      <c r="W537" t="n">
        <v>46.45863</v>
      </c>
      <c r="X537" t="n">
        <v>16.97993</v>
      </c>
      <c r="Y537" t="n">
        <v>12.43413</v>
      </c>
      <c r="Z537" t="n">
        <v>21.22664</v>
      </c>
      <c r="AA537" t="n">
        <v>63.05533</v>
      </c>
      <c r="AB537" t="n">
        <v>39.52832</v>
      </c>
      <c r="AC537" t="n">
        <v>45.2621</v>
      </c>
      <c r="AD537" t="n">
        <v>61.06705</v>
      </c>
      <c r="AE537" t="n">
        <v>97.63299000000001</v>
      </c>
      <c r="AF537" t="n">
        <v>49.65586</v>
      </c>
      <c r="AG537" t="n">
        <v>21.735</v>
      </c>
      <c r="AH537" t="n">
        <v>65.51485</v>
      </c>
      <c r="AI537" t="n">
        <v>22.48345</v>
      </c>
      <c r="AJ537" t="n">
        <v>15.42659</v>
      </c>
      <c r="AK537" t="n">
        <v>64.91455999999999</v>
      </c>
      <c r="AL537" t="n">
        <v>64.8</v>
      </c>
      <c r="AM537" t="n">
        <v>51.49999</v>
      </c>
      <c r="AN537" t="n">
        <v>42.81402</v>
      </c>
      <c r="AO537" t="n">
        <v>23.20953</v>
      </c>
      <c r="AP537" t="n">
        <v>59.03064</v>
      </c>
      <c r="AQ537" t="n">
        <v>0.384986</v>
      </c>
      <c r="AS537" t="n">
        <v>32.99935</v>
      </c>
      <c r="AT537" t="n">
        <v>30.90836</v>
      </c>
      <c r="AU537" t="n">
        <v>77.42564</v>
      </c>
      <c r="AV537" t="n">
        <v>0.2356559</v>
      </c>
      <c r="AW537" t="n">
        <v>61.09266</v>
      </c>
      <c r="AX537" t="n">
        <v>28.5602</v>
      </c>
    </row>
    <row r="538">
      <c r="A538" s="92" t="n">
        <v>34213</v>
      </c>
      <c r="B538" t="n">
        <v>66.50239999999999</v>
      </c>
      <c r="C538" t="n">
        <v>66.78986</v>
      </c>
      <c r="D538" t="n">
        <v>0.9339436</v>
      </c>
      <c r="E538" t="n">
        <v>67.71135</v>
      </c>
      <c r="F538" t="n">
        <v>88.10898</v>
      </c>
      <c r="G538" t="n">
        <v>41.32344</v>
      </c>
      <c r="H538" t="n">
        <v>45.97549</v>
      </c>
      <c r="I538" t="n">
        <v>16.80535</v>
      </c>
      <c r="J538" t="n">
        <v>12.26746</v>
      </c>
      <c r="K538" t="n">
        <v>44.13125</v>
      </c>
      <c r="L538" t="n">
        <v>72.20805</v>
      </c>
      <c r="M538" t="n">
        <v>65.59116</v>
      </c>
      <c r="N538" t="n">
        <v>66.34256999999999</v>
      </c>
      <c r="O538" t="n">
        <v>57.77816</v>
      </c>
      <c r="R538" t="n">
        <v>72.17747</v>
      </c>
      <c r="S538" t="n">
        <v>73</v>
      </c>
      <c r="U538" t="n">
        <v>67.24906</v>
      </c>
      <c r="V538" t="n">
        <v>64</v>
      </c>
      <c r="W538" t="n">
        <v>47.63902</v>
      </c>
      <c r="X538" t="n">
        <v>17.46245</v>
      </c>
      <c r="Y538" t="n">
        <v>12.46537</v>
      </c>
      <c r="Z538" t="n">
        <v>21.47539</v>
      </c>
      <c r="AA538" t="n">
        <v>63.05533</v>
      </c>
      <c r="AB538" t="n">
        <v>39.65341</v>
      </c>
      <c r="AC538" t="n">
        <v>45.76613</v>
      </c>
      <c r="AD538" t="n">
        <v>61.22284</v>
      </c>
      <c r="AE538" t="n">
        <v>97.73479</v>
      </c>
      <c r="AF538" t="n">
        <v>49.89832</v>
      </c>
      <c r="AG538" t="n">
        <v>22.649</v>
      </c>
      <c r="AH538" t="n">
        <v>65.59184999999999</v>
      </c>
      <c r="AI538" t="n">
        <v>22.93907</v>
      </c>
      <c r="AJ538" t="n">
        <v>15.54084</v>
      </c>
      <c r="AK538" t="n">
        <v>65.3284</v>
      </c>
      <c r="AL538" t="n">
        <v>65.09999999999999</v>
      </c>
      <c r="AM538" t="n">
        <v>51.69671</v>
      </c>
      <c r="AN538" t="n">
        <v>43.08281</v>
      </c>
      <c r="AO538" t="n">
        <v>23.77219</v>
      </c>
      <c r="AP538" t="n">
        <v>59.19882</v>
      </c>
      <c r="AQ538" t="n">
        <v>0.4735328</v>
      </c>
      <c r="AS538" t="n">
        <v>33.80421</v>
      </c>
      <c r="AT538" t="n">
        <v>31.55604</v>
      </c>
      <c r="AU538" t="n">
        <v>78.11497</v>
      </c>
      <c r="AV538" t="n">
        <v>0.2488324</v>
      </c>
      <c r="AW538" t="n">
        <v>61.21924</v>
      </c>
      <c r="AX538" t="n">
        <v>28.65218</v>
      </c>
    </row>
    <row r="539">
      <c r="A539" s="92" t="n">
        <v>34243</v>
      </c>
      <c r="B539" t="n">
        <v>66.44276000000001</v>
      </c>
      <c r="C539" t="n">
        <v>66.86736000000001</v>
      </c>
      <c r="D539" t="n">
        <v>1.250737</v>
      </c>
      <c r="E539" t="n">
        <v>67.86937</v>
      </c>
      <c r="F539" t="n">
        <v>88.17464</v>
      </c>
      <c r="G539" t="n">
        <v>42.38681</v>
      </c>
      <c r="H539" t="n">
        <v>46.30959</v>
      </c>
      <c r="I539" t="n">
        <v>16.98483</v>
      </c>
      <c r="J539" t="n">
        <v>12.38471</v>
      </c>
      <c r="K539" t="n">
        <v>44.51458</v>
      </c>
      <c r="L539" t="n">
        <v>72.20805</v>
      </c>
      <c r="M539" t="n">
        <v>65.76505</v>
      </c>
      <c r="N539" t="n">
        <v>66.48493000000001</v>
      </c>
      <c r="O539" t="n">
        <v>57.99365</v>
      </c>
      <c r="R539" t="n">
        <v>72.27612999999999</v>
      </c>
      <c r="S539" t="n">
        <v>73.13</v>
      </c>
      <c r="U539" t="n">
        <v>67.41549000000001</v>
      </c>
      <c r="V539" t="n">
        <v>64</v>
      </c>
      <c r="W539" t="n">
        <v>48.54225</v>
      </c>
      <c r="X539" t="n">
        <v>17.74531</v>
      </c>
      <c r="Y539" t="n">
        <v>12.54035</v>
      </c>
      <c r="Z539" t="n">
        <v>21.72414</v>
      </c>
      <c r="AA539" t="n">
        <v>63.25207</v>
      </c>
      <c r="AB539" t="n">
        <v>39.90359</v>
      </c>
      <c r="AC539" t="n">
        <v>46.37097</v>
      </c>
      <c r="AD539" t="n">
        <v>61.5344</v>
      </c>
      <c r="AE539" t="n">
        <v>97.63299000000001</v>
      </c>
      <c r="AF539" t="n">
        <v>50.10072</v>
      </c>
      <c r="AG539" t="n">
        <v>24.3059</v>
      </c>
      <c r="AH539" t="n">
        <v>65.78729</v>
      </c>
      <c r="AI539" t="n">
        <v>23.81311</v>
      </c>
      <c r="AJ539" t="n">
        <v>15.6044</v>
      </c>
      <c r="AK539" t="n">
        <v>65.3284</v>
      </c>
      <c r="AL539" t="n">
        <v>65.09999999999999</v>
      </c>
      <c r="AM539" t="n">
        <v>51.93171</v>
      </c>
      <c r="AN539" t="n">
        <v>43.37912</v>
      </c>
      <c r="AO539" t="n">
        <v>24.19418</v>
      </c>
      <c r="AP539" t="n">
        <v>59.51529</v>
      </c>
      <c r="AQ539" t="n">
        <v>0.5658717</v>
      </c>
      <c r="AS539" t="n">
        <v>34.29607</v>
      </c>
      <c r="AT539" t="n">
        <v>32.36769</v>
      </c>
      <c r="AU539" t="n">
        <v>78.34793999999999</v>
      </c>
      <c r="AV539" t="n">
        <v>0.2659803</v>
      </c>
      <c r="AW539" t="n">
        <v>61.47239</v>
      </c>
      <c r="AX539" t="n">
        <v>28.88213</v>
      </c>
    </row>
    <row r="540">
      <c r="A540" s="92" t="n">
        <v>34274</v>
      </c>
      <c r="B540" t="n">
        <v>66.50239999999999</v>
      </c>
      <c r="C540" t="n">
        <v>66.95894</v>
      </c>
      <c r="D540" t="n">
        <v>1.695499</v>
      </c>
      <c r="E540" t="n">
        <v>68.18541</v>
      </c>
      <c r="F540" t="n">
        <v>88.05585000000001</v>
      </c>
      <c r="G540" t="n">
        <v>42.42339</v>
      </c>
      <c r="H540" t="n">
        <v>46.71099</v>
      </c>
      <c r="I540" t="n">
        <v>17.20509</v>
      </c>
      <c r="J540" t="n">
        <v>12.51916</v>
      </c>
      <c r="K540" t="n">
        <v>44.85</v>
      </c>
      <c r="L540" t="n">
        <v>72.30135</v>
      </c>
      <c r="M540" t="n">
        <v>65.86938000000001</v>
      </c>
      <c r="N540" t="n">
        <v>66.62730000000001</v>
      </c>
      <c r="O540" t="n">
        <v>58.09105</v>
      </c>
      <c r="R540" t="n">
        <v>72.1709</v>
      </c>
      <c r="S540" t="n">
        <v>73.2</v>
      </c>
      <c r="U540" t="n">
        <v>67.41742000000001</v>
      </c>
      <c r="V540" t="n">
        <v>63.8</v>
      </c>
      <c r="W540" t="n">
        <v>48.92039</v>
      </c>
      <c r="X540" t="n">
        <v>17.84515</v>
      </c>
      <c r="Y540" t="n">
        <v>12.59033</v>
      </c>
      <c r="Z540" t="n">
        <v>21.97289</v>
      </c>
      <c r="AA540" t="n">
        <v>63.25207</v>
      </c>
      <c r="AB540" t="n">
        <v>39.90359</v>
      </c>
      <c r="AC540" t="n">
        <v>46.77419</v>
      </c>
      <c r="AD540" t="n">
        <v>61.74212</v>
      </c>
      <c r="AE540" t="n">
        <v>97.12394999999999</v>
      </c>
      <c r="AF540" t="n">
        <v>50.01955</v>
      </c>
      <c r="AG540" t="n">
        <v>25.9697</v>
      </c>
      <c r="AH540" t="n">
        <v>66.01233999999999</v>
      </c>
      <c r="AI540" t="n">
        <v>25.90525</v>
      </c>
      <c r="AJ540" t="n">
        <v>15.67323</v>
      </c>
      <c r="AK540" t="n">
        <v>65.3284</v>
      </c>
      <c r="AL540" t="n">
        <v>65.09999999999999</v>
      </c>
      <c r="AM540" t="n">
        <v>52.05033</v>
      </c>
      <c r="AN540" t="n">
        <v>43.63098</v>
      </c>
      <c r="AO540" t="n">
        <v>25.17883</v>
      </c>
      <c r="AP540" t="n">
        <v>59.8855</v>
      </c>
      <c r="AQ540" t="n">
        <v>0.6586746999999999</v>
      </c>
      <c r="AS540" t="n">
        <v>34.66869</v>
      </c>
      <c r="AT540" t="n">
        <v>33.11376</v>
      </c>
      <c r="AU540" t="n">
        <v>78.37985</v>
      </c>
      <c r="AV540" t="n">
        <v>0.2829878</v>
      </c>
      <c r="AW540" t="n">
        <v>61.51458</v>
      </c>
      <c r="AX540" t="n">
        <v>28.92812</v>
      </c>
    </row>
    <row r="541">
      <c r="A541" s="92" t="n">
        <v>34304</v>
      </c>
      <c r="B541" t="n">
        <v>66.60181</v>
      </c>
      <c r="C541" t="n">
        <v>67.05756</v>
      </c>
      <c r="D541" t="n">
        <v>2.320122</v>
      </c>
      <c r="E541" t="n">
        <v>68.02739</v>
      </c>
      <c r="F541" t="n">
        <v>88.16592</v>
      </c>
      <c r="G541" t="n">
        <v>42.50761</v>
      </c>
      <c r="H541" t="n">
        <v>48.12294</v>
      </c>
      <c r="I541" t="n">
        <v>17.40088</v>
      </c>
      <c r="J541" t="n">
        <v>12.63102</v>
      </c>
      <c r="K541" t="n">
        <v>45.32917</v>
      </c>
      <c r="L541" t="n">
        <v>72.48793000000001</v>
      </c>
      <c r="M541" t="n">
        <v>65.73027</v>
      </c>
      <c r="N541" t="n">
        <v>66.69849000000001</v>
      </c>
      <c r="O541" t="n">
        <v>58.36694</v>
      </c>
      <c r="R541" t="n">
        <v>72.12486</v>
      </c>
      <c r="S541" t="n">
        <v>73.17</v>
      </c>
      <c r="U541" t="n">
        <v>67.45303</v>
      </c>
      <c r="V541" t="n">
        <v>64</v>
      </c>
      <c r="W541" t="n">
        <v>49.38976</v>
      </c>
      <c r="X541" t="n">
        <v>18.09473</v>
      </c>
      <c r="Y541" t="n">
        <v>12.65907</v>
      </c>
      <c r="Z541" t="n">
        <v>21.88997</v>
      </c>
      <c r="AA541" t="n">
        <v>63.25207</v>
      </c>
      <c r="AB541" t="n">
        <v>39.69511</v>
      </c>
      <c r="AC541" t="n">
        <v>47.07661</v>
      </c>
      <c r="AD541" t="n">
        <v>61.84597</v>
      </c>
      <c r="AE541" t="n">
        <v>97.12394999999999</v>
      </c>
      <c r="AF541" t="n">
        <v>50.30312</v>
      </c>
      <c r="AG541" t="n">
        <v>27.5671</v>
      </c>
      <c r="AH541" t="n">
        <v>66.07749</v>
      </c>
      <c r="AI541" t="n">
        <v>27.22561</v>
      </c>
      <c r="AJ541" t="n">
        <v>15.79274</v>
      </c>
      <c r="AK541" t="n">
        <v>65.03279999999999</v>
      </c>
      <c r="AL541" t="n">
        <v>65</v>
      </c>
      <c r="AM541" t="n">
        <v>52.16491</v>
      </c>
      <c r="AN541" t="n">
        <v>43.82828</v>
      </c>
      <c r="AO541" t="n">
        <v>26.58546</v>
      </c>
      <c r="AP541" t="n">
        <v>60.03876</v>
      </c>
      <c r="AQ541" t="n">
        <v>0.741009</v>
      </c>
      <c r="AS541" t="n">
        <v>34.89227</v>
      </c>
      <c r="AT541" t="n">
        <v>33.68766</v>
      </c>
      <c r="AU541" t="n">
        <v>78.07986</v>
      </c>
      <c r="AV541" t="n">
        <v>0.293229</v>
      </c>
      <c r="AW541" t="n">
        <v>61.51458</v>
      </c>
      <c r="AX541" t="n">
        <v>29.02011</v>
      </c>
    </row>
    <row r="542">
      <c r="A542" s="92" t="n">
        <v>34335</v>
      </c>
      <c r="B542" t="n">
        <v>67.09884</v>
      </c>
      <c r="C542" t="n">
        <v>67.3323</v>
      </c>
      <c r="D542" t="n">
        <v>3.278564</v>
      </c>
      <c r="E542" t="n">
        <v>68.02739</v>
      </c>
      <c r="F542" t="n">
        <v>88.26907</v>
      </c>
      <c r="G542" t="n">
        <v>42.95082</v>
      </c>
      <c r="H542" t="n">
        <v>50.07108</v>
      </c>
      <c r="I542" t="n">
        <v>17.94746</v>
      </c>
      <c r="J542" t="n">
        <v>12.74074</v>
      </c>
      <c r="K542" t="n">
        <v>46.43125</v>
      </c>
      <c r="L542" t="n">
        <v>72.86109999999999</v>
      </c>
      <c r="M542" t="n">
        <v>65.79983</v>
      </c>
      <c r="N542" t="n">
        <v>66.98322</v>
      </c>
      <c r="O542" t="n">
        <v>58.9568</v>
      </c>
      <c r="R542" t="n">
        <v>71.93411999999999</v>
      </c>
      <c r="S542" t="n">
        <v>73.26000000000001</v>
      </c>
      <c r="U542" t="n">
        <v>67.62454</v>
      </c>
      <c r="V542" t="n">
        <v>64</v>
      </c>
      <c r="W542" t="n">
        <v>49.16274</v>
      </c>
      <c r="X542" t="n">
        <v>18.66877</v>
      </c>
      <c r="Y542" t="n">
        <v>12.82152</v>
      </c>
      <c r="Z542" t="n">
        <v>21.80706</v>
      </c>
      <c r="AA542" t="n">
        <v>63.64555</v>
      </c>
      <c r="AB542" t="n">
        <v>39.57002</v>
      </c>
      <c r="AC542" t="n">
        <v>47.47984</v>
      </c>
      <c r="AD542" t="n">
        <v>62.15754</v>
      </c>
      <c r="AE542" t="n">
        <v>97.22575000000001</v>
      </c>
      <c r="AF542" t="n">
        <v>50.95354</v>
      </c>
      <c r="AG542" t="n">
        <v>28.8962</v>
      </c>
      <c r="AH542" t="n">
        <v>66.09526</v>
      </c>
      <c r="AI542" t="n">
        <v>28.25773</v>
      </c>
      <c r="AJ542" t="n">
        <v>15.91517</v>
      </c>
      <c r="AK542" t="n">
        <v>65.26927999999999</v>
      </c>
      <c r="AL542" t="n">
        <v>64.90000000000001</v>
      </c>
      <c r="AM542" t="n">
        <v>52.38325</v>
      </c>
      <c r="AN542" t="n">
        <v>44.09072</v>
      </c>
      <c r="AO542" t="n">
        <v>27.07779</v>
      </c>
      <c r="AP542" t="n">
        <v>60.77222</v>
      </c>
      <c r="AQ542" t="n">
        <v>0.8736496</v>
      </c>
      <c r="AS542" t="n">
        <v>35.35432</v>
      </c>
      <c r="AT542" t="n">
        <v>34.33533</v>
      </c>
      <c r="AU542" t="n">
        <v>78.32241</v>
      </c>
      <c r="AV542" t="n">
        <v>0.3061574</v>
      </c>
      <c r="AW542" t="n">
        <v>61.68334</v>
      </c>
      <c r="AX542" t="n">
        <v>29.43402</v>
      </c>
    </row>
    <row r="543">
      <c r="A543" s="92" t="n">
        <v>34366</v>
      </c>
      <c r="B543" t="n">
        <v>67.51634</v>
      </c>
      <c r="C543" t="n">
        <v>67.55068</v>
      </c>
      <c r="D543" t="n">
        <v>4.598945</v>
      </c>
      <c r="E543" t="n">
        <v>67.47432000000001</v>
      </c>
      <c r="F543" t="n">
        <v>88.62743</v>
      </c>
      <c r="G543" t="n">
        <v>43.08438</v>
      </c>
      <c r="H543" t="n">
        <v>51.22791</v>
      </c>
      <c r="I543" t="n">
        <v>18.60826</v>
      </c>
      <c r="J543" t="n">
        <v>12.89455</v>
      </c>
      <c r="K543" t="n">
        <v>46.62292</v>
      </c>
      <c r="L543" t="n">
        <v>73.42085</v>
      </c>
      <c r="M543" t="n">
        <v>66.0085</v>
      </c>
      <c r="N543" t="n">
        <v>67.26794</v>
      </c>
      <c r="O543" t="n">
        <v>58.97802</v>
      </c>
      <c r="R543" t="n">
        <v>72.20377999999999</v>
      </c>
      <c r="S543" t="n">
        <v>73.47</v>
      </c>
      <c r="U543" t="n">
        <v>67.8261</v>
      </c>
      <c r="V543" t="n">
        <v>64.2</v>
      </c>
      <c r="W543" t="n">
        <v>49.34728</v>
      </c>
      <c r="X543" t="n">
        <v>18.92667</v>
      </c>
      <c r="Y543" t="n">
        <v>13.04646</v>
      </c>
      <c r="Z543" t="n">
        <v>21.97289</v>
      </c>
      <c r="AA543" t="n">
        <v>63.64555</v>
      </c>
      <c r="AB543" t="n">
        <v>39.61171</v>
      </c>
      <c r="AC543" t="n">
        <v>47.68145</v>
      </c>
      <c r="AD543" t="n">
        <v>62.41718</v>
      </c>
      <c r="AE543" t="n">
        <v>97.22575000000001</v>
      </c>
      <c r="AF543" t="n">
        <v>51.52069</v>
      </c>
      <c r="AG543" t="n">
        <v>29.7464</v>
      </c>
      <c r="AH543" t="n">
        <v>66.26701</v>
      </c>
      <c r="AI543" t="n">
        <v>29.22476</v>
      </c>
      <c r="AJ543" t="n">
        <v>15.99703</v>
      </c>
      <c r="AK543" t="n">
        <v>65.624</v>
      </c>
      <c r="AL543" t="n">
        <v>65.09999999999999</v>
      </c>
      <c r="AM543" t="n">
        <v>52.62452</v>
      </c>
      <c r="AN543" t="n">
        <v>44.43852</v>
      </c>
      <c r="AO543" t="n">
        <v>27.35911</v>
      </c>
      <c r="AP543" t="n">
        <v>61.1066</v>
      </c>
      <c r="AQ543" t="n">
        <v>0.9681785000000001</v>
      </c>
      <c r="AS543" t="n">
        <v>35.6226</v>
      </c>
      <c r="AT543" t="n">
        <v>34.75346</v>
      </c>
      <c r="AU543" t="n">
        <v>78.56495</v>
      </c>
      <c r="AV543" t="n">
        <v>0.3260932</v>
      </c>
      <c r="AW543" t="n">
        <v>61.89429</v>
      </c>
      <c r="AX543" t="n">
        <v>29.526</v>
      </c>
    </row>
    <row r="544">
      <c r="A544" s="92" t="n">
        <v>34394</v>
      </c>
      <c r="B544" t="n">
        <v>67.73502999999999</v>
      </c>
      <c r="C544" t="n">
        <v>67.55068</v>
      </c>
      <c r="D544" t="n">
        <v>6.565016</v>
      </c>
      <c r="E544" t="n">
        <v>67.47432000000001</v>
      </c>
      <c r="F544" t="n">
        <v>88.62882999999999</v>
      </c>
      <c r="G544" t="n">
        <v>43.56928</v>
      </c>
      <c r="H544" t="n">
        <v>51.83727</v>
      </c>
      <c r="I544" t="n">
        <v>19.02431</v>
      </c>
      <c r="J544" t="n">
        <v>13.06127</v>
      </c>
      <c r="K544" t="n">
        <v>46.71875</v>
      </c>
      <c r="L544" t="n">
        <v>73.51414</v>
      </c>
      <c r="M544" t="n">
        <v>66.07805</v>
      </c>
      <c r="N544" t="n">
        <v>67.4815</v>
      </c>
      <c r="O544" t="n">
        <v>59.17283</v>
      </c>
      <c r="R544" t="n">
        <v>72.35505999999999</v>
      </c>
      <c r="S544" t="n">
        <v>73.64</v>
      </c>
      <c r="U544" t="n">
        <v>68.03909</v>
      </c>
      <c r="V544" t="n">
        <v>64.40000000000001</v>
      </c>
      <c r="W544" t="n">
        <v>50.56667</v>
      </c>
      <c r="X544" t="n">
        <v>19.11802</v>
      </c>
      <c r="Y544" t="n">
        <v>13.13394</v>
      </c>
      <c r="Z544" t="n">
        <v>22.13873</v>
      </c>
      <c r="AA544" t="n">
        <v>63.64555</v>
      </c>
      <c r="AB544" t="n">
        <v>39.65341</v>
      </c>
      <c r="AC544" t="n">
        <v>48.18548</v>
      </c>
      <c r="AD544" t="n">
        <v>62.57296</v>
      </c>
      <c r="AE544" t="n">
        <v>97.73479</v>
      </c>
      <c r="AF544" t="n">
        <v>51.96661</v>
      </c>
      <c r="AG544" t="n">
        <v>30.7212</v>
      </c>
      <c r="AH544" t="n">
        <v>66.24332</v>
      </c>
      <c r="AI544" t="n">
        <v>29.73617</v>
      </c>
      <c r="AJ544" t="n">
        <v>16.07928</v>
      </c>
      <c r="AK544" t="n">
        <v>66.03785000000001</v>
      </c>
      <c r="AL544" t="n">
        <v>65.40000000000001</v>
      </c>
      <c r="AM544" t="n">
        <v>52.87384</v>
      </c>
      <c r="AN544" t="n">
        <v>44.71602</v>
      </c>
      <c r="AO544" t="n">
        <v>27.92177</v>
      </c>
      <c r="AP544" t="n">
        <v>61.24593</v>
      </c>
      <c r="AQ544" t="n">
        <v>1.039921</v>
      </c>
      <c r="AS544" t="n">
        <v>35.78656</v>
      </c>
      <c r="AT544" t="n">
        <v>35.26997</v>
      </c>
      <c r="AU544" t="n">
        <v>78.85536</v>
      </c>
      <c r="AV544" t="n">
        <v>0.3450797</v>
      </c>
      <c r="AW544" t="n">
        <v>62.10525</v>
      </c>
      <c r="AX544" t="n">
        <v>29.70996</v>
      </c>
    </row>
    <row r="545">
      <c r="A545" s="92" t="n">
        <v>34425</v>
      </c>
      <c r="B545" t="n">
        <v>67.69526999999999</v>
      </c>
      <c r="C545" t="n">
        <v>67.67044</v>
      </c>
      <c r="D545" t="n">
        <v>9.367025999999999</v>
      </c>
      <c r="E545" t="n">
        <v>67.47432000000001</v>
      </c>
      <c r="F545" t="n">
        <v>88.67504</v>
      </c>
      <c r="G545" t="n">
        <v>43.78365</v>
      </c>
      <c r="H545" t="n">
        <v>53.03003</v>
      </c>
      <c r="I545" t="n">
        <v>19.473</v>
      </c>
      <c r="J545" t="n">
        <v>13.1882</v>
      </c>
      <c r="K545" t="n">
        <v>46.91042</v>
      </c>
      <c r="L545" t="n">
        <v>73.60744</v>
      </c>
      <c r="M545" t="n">
        <v>66.35628</v>
      </c>
      <c r="N545" t="n">
        <v>67.55268</v>
      </c>
      <c r="O545" t="n">
        <v>59.40572</v>
      </c>
      <c r="R545" t="n">
        <v>72.50633000000001</v>
      </c>
      <c r="S545" t="n">
        <v>73.84</v>
      </c>
      <c r="U545" t="n">
        <v>68.17247</v>
      </c>
      <c r="V545" t="n">
        <v>64.90000000000001</v>
      </c>
      <c r="W545" t="n">
        <v>51.32713</v>
      </c>
      <c r="X545" t="n">
        <v>19.35096</v>
      </c>
      <c r="Y545" t="n">
        <v>13.17143</v>
      </c>
      <c r="Z545" t="n">
        <v>22.30456</v>
      </c>
      <c r="AA545" t="n">
        <v>64.13741</v>
      </c>
      <c r="AB545" t="n">
        <v>39.69511</v>
      </c>
      <c r="AC545" t="n">
        <v>49.19355</v>
      </c>
      <c r="AD545" t="n">
        <v>62.67682</v>
      </c>
      <c r="AE545" t="n">
        <v>97.93841</v>
      </c>
      <c r="AF545" t="n">
        <v>52.04778</v>
      </c>
      <c r="AG545" t="n">
        <v>31.2245</v>
      </c>
      <c r="AH545" t="n">
        <v>66.30255</v>
      </c>
      <c r="AI545" t="n">
        <v>30.53583</v>
      </c>
      <c r="AJ545" t="n">
        <v>16.15803</v>
      </c>
      <c r="AK545" t="n">
        <v>66.15609000000001</v>
      </c>
      <c r="AL545" t="n">
        <v>65.5</v>
      </c>
      <c r="AM545" t="n">
        <v>53.3046</v>
      </c>
      <c r="AN545" t="n">
        <v>45.52625</v>
      </c>
      <c r="AO545" t="n">
        <v>28.69542</v>
      </c>
      <c r="AP545" t="n">
        <v>61.59225</v>
      </c>
      <c r="AQ545" t="n">
        <v>1.12821</v>
      </c>
      <c r="AS545" t="n">
        <v>35.93561</v>
      </c>
      <c r="AT545" t="n">
        <v>36.12261</v>
      </c>
      <c r="AU545" t="n">
        <v>79.17449999999999</v>
      </c>
      <c r="AV545" t="n">
        <v>0.4257723</v>
      </c>
      <c r="AW545" t="n">
        <v>62.18963</v>
      </c>
      <c r="AX545" t="n">
        <v>29.89393</v>
      </c>
    </row>
    <row r="546">
      <c r="A546" s="92" t="n">
        <v>34455</v>
      </c>
      <c r="B546" t="n">
        <v>67.79468</v>
      </c>
      <c r="C546" t="n">
        <v>67.87473</v>
      </c>
      <c r="D546" t="n">
        <v>13.49127</v>
      </c>
      <c r="E546" t="n">
        <v>67.3163</v>
      </c>
      <c r="F546" t="n">
        <v>88.12461999999999</v>
      </c>
      <c r="G546" t="n">
        <v>44.40807</v>
      </c>
      <c r="H546" t="n">
        <v>53.64703</v>
      </c>
      <c r="I546" t="n">
        <v>19.77484</v>
      </c>
      <c r="J546" t="n">
        <v>13.36782</v>
      </c>
      <c r="K546" t="n">
        <v>47.10209</v>
      </c>
      <c r="L546" t="n">
        <v>73.79402</v>
      </c>
      <c r="M546" t="n">
        <v>66.66927</v>
      </c>
      <c r="N546" t="n">
        <v>67.76622999999999</v>
      </c>
      <c r="O546" t="n">
        <v>59.52707</v>
      </c>
      <c r="R546" t="n">
        <v>72.51291000000001</v>
      </c>
      <c r="S546" t="n">
        <v>74</v>
      </c>
      <c r="U546" t="n">
        <v>68.27285999999999</v>
      </c>
      <c r="V546" t="n">
        <v>65.09999999999999</v>
      </c>
      <c r="W546" t="n">
        <v>51.68996</v>
      </c>
      <c r="X546" t="n">
        <v>19.5839</v>
      </c>
      <c r="Y546" t="n">
        <v>13.23391</v>
      </c>
      <c r="Z546" t="n">
        <v>22.55331</v>
      </c>
      <c r="AA546" t="n">
        <v>64.13741</v>
      </c>
      <c r="AB546" t="n">
        <v>39.69511</v>
      </c>
      <c r="AC546" t="n">
        <v>49.69758</v>
      </c>
      <c r="AD546" t="n">
        <v>63.04031</v>
      </c>
      <c r="AE546" t="n">
        <v>98.04021</v>
      </c>
      <c r="AF546" t="n">
        <v>52.08889</v>
      </c>
      <c r="AG546" t="n">
        <v>33.2005</v>
      </c>
      <c r="AH546" t="n">
        <v>66.43285</v>
      </c>
      <c r="AI546" t="n">
        <v>30.60092</v>
      </c>
      <c r="AJ546" t="n">
        <v>16.2361</v>
      </c>
      <c r="AK546" t="n">
        <v>66.21521</v>
      </c>
      <c r="AL546" t="n">
        <v>65.5</v>
      </c>
      <c r="AM546" t="n">
        <v>53.52043</v>
      </c>
      <c r="AN546" t="n">
        <v>45.93602</v>
      </c>
      <c r="AO546" t="n">
        <v>29.18774</v>
      </c>
      <c r="AP546" t="n">
        <v>61.73058</v>
      </c>
      <c r="AQ546" t="n">
        <v>1.206169</v>
      </c>
      <c r="AS546" t="n">
        <v>36.14428</v>
      </c>
      <c r="AT546" t="n">
        <v>36.51614</v>
      </c>
      <c r="AU546" t="n">
        <v>79.35321999999999</v>
      </c>
      <c r="AV546" t="n">
        <v>0.4608974</v>
      </c>
      <c r="AW546" t="n">
        <v>62.23182</v>
      </c>
      <c r="AX546" t="n">
        <v>30.07789</v>
      </c>
    </row>
    <row r="547">
      <c r="A547" s="92" t="n">
        <v>34486</v>
      </c>
      <c r="B547" t="n">
        <v>67.89408</v>
      </c>
      <c r="C547" t="n">
        <v>68.01563</v>
      </c>
      <c r="D547" t="n">
        <v>19.89017</v>
      </c>
      <c r="E547" t="n">
        <v>67.47432000000001</v>
      </c>
      <c r="F547" t="n">
        <v>88.26335</v>
      </c>
      <c r="G547" t="n">
        <v>44.64456</v>
      </c>
      <c r="H547" t="n">
        <v>54.14696</v>
      </c>
      <c r="I547" t="n">
        <v>19.95432</v>
      </c>
      <c r="J547" t="n">
        <v>13.58618</v>
      </c>
      <c r="K547" t="n">
        <v>47.67708</v>
      </c>
      <c r="L547" t="n">
        <v>73.88731</v>
      </c>
      <c r="M547" t="n">
        <v>66.73882999999999</v>
      </c>
      <c r="N547" t="n">
        <v>67.83741000000001</v>
      </c>
      <c r="O547" t="n">
        <v>59.59128</v>
      </c>
      <c r="R547" t="n">
        <v>73.22981</v>
      </c>
      <c r="S547" t="n">
        <v>73.97</v>
      </c>
      <c r="U547" t="n">
        <v>68.36913</v>
      </c>
      <c r="V547" t="n">
        <v>65.09999999999999</v>
      </c>
      <c r="W547" t="n">
        <v>52.05069</v>
      </c>
      <c r="X547" t="n">
        <v>19.78357</v>
      </c>
      <c r="Y547" t="n">
        <v>13.25266</v>
      </c>
      <c r="Z547" t="n">
        <v>22.96789</v>
      </c>
      <c r="AA547" t="n">
        <v>64.13741</v>
      </c>
      <c r="AB547" t="n">
        <v>39.7368</v>
      </c>
      <c r="AC547" t="n">
        <v>50.40322</v>
      </c>
      <c r="AD547" t="n">
        <v>63.14417</v>
      </c>
      <c r="AE547" t="n">
        <v>97.63299000000001</v>
      </c>
      <c r="AF547" t="n">
        <v>52.45364</v>
      </c>
      <c r="AG547" t="n">
        <v>33.9068</v>
      </c>
      <c r="AH547" t="n">
        <v>66.46838</v>
      </c>
      <c r="AI547" t="n">
        <v>31.22391</v>
      </c>
      <c r="AJ547" t="n">
        <v>16.31734</v>
      </c>
      <c r="AK547" t="n">
        <v>66.03785000000001</v>
      </c>
      <c r="AL547" t="n">
        <v>65.7</v>
      </c>
      <c r="AM547" t="n">
        <v>53.64147</v>
      </c>
      <c r="AN547" t="n">
        <v>46.05155</v>
      </c>
      <c r="AO547" t="n">
        <v>29.89106</v>
      </c>
      <c r="AP547" t="n">
        <v>61.81717</v>
      </c>
      <c r="AQ547" t="n">
        <v>1.278539</v>
      </c>
      <c r="AS547" t="n">
        <v>36.32313</v>
      </c>
      <c r="AT547" t="n">
        <v>37.04904</v>
      </c>
      <c r="AU547" t="n">
        <v>79.36917</v>
      </c>
      <c r="AV547" t="n">
        <v>0.469916</v>
      </c>
      <c r="AW547" t="n">
        <v>62.44278</v>
      </c>
      <c r="AX547" t="n">
        <v>30.26185</v>
      </c>
    </row>
    <row r="548">
      <c r="A548" s="92" t="n">
        <v>34516</v>
      </c>
      <c r="B548" t="n">
        <v>68.66945</v>
      </c>
      <c r="C548" t="n">
        <v>68.4383</v>
      </c>
      <c r="D548" t="n">
        <v>21.25069</v>
      </c>
      <c r="E548" t="n">
        <v>67.71135</v>
      </c>
      <c r="F548" t="n">
        <v>88.24812</v>
      </c>
      <c r="G548" t="n">
        <v>44.91168</v>
      </c>
      <c r="H548" t="n">
        <v>54.38583</v>
      </c>
      <c r="I548" t="n">
        <v>20.13379</v>
      </c>
      <c r="J548" t="n">
        <v>13.71095</v>
      </c>
      <c r="K548" t="n">
        <v>47.82084</v>
      </c>
      <c r="L548" t="n">
        <v>74.07389999999999</v>
      </c>
      <c r="M548" t="n">
        <v>66.59972</v>
      </c>
      <c r="N548" t="n">
        <v>67.97977</v>
      </c>
      <c r="O548" t="n">
        <v>59.82472</v>
      </c>
      <c r="R548" t="n">
        <v>73.2627</v>
      </c>
      <c r="S548" t="n">
        <v>73.95999999999999</v>
      </c>
      <c r="U548" t="n">
        <v>68.42112</v>
      </c>
      <c r="V548" t="n">
        <v>64.7</v>
      </c>
      <c r="W548" t="n">
        <v>51.68996</v>
      </c>
      <c r="X548" t="n">
        <v>20.03315</v>
      </c>
      <c r="Y548" t="n">
        <v>13.43386</v>
      </c>
      <c r="Z548" t="n">
        <v>23.29956</v>
      </c>
      <c r="AA548" t="n">
        <v>64.62926</v>
      </c>
      <c r="AB548" t="n">
        <v>39.8202</v>
      </c>
      <c r="AC548" t="n">
        <v>50.90726</v>
      </c>
      <c r="AD548" t="n">
        <v>63.29995</v>
      </c>
      <c r="AE548" t="n">
        <v>97.12394999999999</v>
      </c>
      <c r="AF548" t="n">
        <v>52.90061</v>
      </c>
      <c r="AG548" t="n">
        <v>34.6323</v>
      </c>
      <c r="AH548" t="n">
        <v>66.74674</v>
      </c>
      <c r="AI548" t="n">
        <v>31.56795</v>
      </c>
      <c r="AJ548" t="n">
        <v>16.38971</v>
      </c>
      <c r="AK548" t="n">
        <v>66.27433000000001</v>
      </c>
      <c r="AL548" t="n">
        <v>65.8</v>
      </c>
      <c r="AM548" t="n">
        <v>53.77305</v>
      </c>
      <c r="AN548" t="n">
        <v>46.2117</v>
      </c>
      <c r="AO548" t="n">
        <v>30.31305</v>
      </c>
      <c r="AP548" t="n">
        <v>61.92166</v>
      </c>
      <c r="AQ548" t="n">
        <v>1.346685</v>
      </c>
      <c r="AS548" t="n">
        <v>36.59142</v>
      </c>
      <c r="AT548" t="n">
        <v>37.56555</v>
      </c>
      <c r="AU548" t="n">
        <v>79.38513</v>
      </c>
      <c r="AV548" t="n">
        <v>0.4846305</v>
      </c>
      <c r="AW548" t="n">
        <v>62.61154</v>
      </c>
      <c r="AX548" t="n">
        <v>30.72176</v>
      </c>
    </row>
    <row r="549">
      <c r="A549" s="92" t="n">
        <v>34547</v>
      </c>
      <c r="B549" t="n">
        <v>69.08695</v>
      </c>
      <c r="C549" t="n">
        <v>68.54397</v>
      </c>
      <c r="D549" t="n">
        <v>21.64604</v>
      </c>
      <c r="E549" t="n">
        <v>67.79036000000001</v>
      </c>
      <c r="F549" t="n">
        <v>88.59464</v>
      </c>
      <c r="G549" t="n">
        <v>45.41019</v>
      </c>
      <c r="H549" t="n">
        <v>56.35777</v>
      </c>
      <c r="I549" t="n">
        <v>20.32958</v>
      </c>
      <c r="J549" t="n">
        <v>13.96264</v>
      </c>
      <c r="K549" t="n">
        <v>48.15625</v>
      </c>
      <c r="L549" t="n">
        <v>74.26048</v>
      </c>
      <c r="M549" t="n">
        <v>66.84316</v>
      </c>
      <c r="N549" t="n">
        <v>68.12215</v>
      </c>
      <c r="O549" t="n">
        <v>60.21107</v>
      </c>
      <c r="R549" t="n">
        <v>73.37451</v>
      </c>
      <c r="S549" t="n">
        <v>73.95</v>
      </c>
      <c r="U549" t="n">
        <v>68.66894000000001</v>
      </c>
      <c r="V549" t="n">
        <v>65.09999999999999</v>
      </c>
      <c r="W549" t="n">
        <v>51.84177</v>
      </c>
      <c r="X549" t="n">
        <v>20.30769</v>
      </c>
      <c r="Y549" t="n">
        <v>13.55257</v>
      </c>
      <c r="Z549" t="n">
        <v>23.54831</v>
      </c>
      <c r="AA549" t="n">
        <v>64.62926</v>
      </c>
      <c r="AB549" t="n">
        <v>39.8202</v>
      </c>
      <c r="AC549" t="n">
        <v>51.5121</v>
      </c>
      <c r="AD549" t="n">
        <v>63.4038</v>
      </c>
      <c r="AE549" t="n">
        <v>97.63299000000001</v>
      </c>
      <c r="AF549" t="n">
        <v>53.30647</v>
      </c>
      <c r="AG549" t="n">
        <v>35.3877</v>
      </c>
      <c r="AH549" t="n">
        <v>66.81780999999999</v>
      </c>
      <c r="AI549" t="n">
        <v>32.18164</v>
      </c>
      <c r="AJ549" t="n">
        <v>16.4661</v>
      </c>
      <c r="AK549" t="n">
        <v>66.56994</v>
      </c>
      <c r="AL549" t="n">
        <v>65.8</v>
      </c>
      <c r="AM549" t="n">
        <v>54.01876</v>
      </c>
      <c r="AN549" t="n">
        <v>46.45081</v>
      </c>
      <c r="AO549" t="n">
        <v>30.80538</v>
      </c>
      <c r="AP549" t="n">
        <v>62.03611</v>
      </c>
      <c r="AQ549" t="n">
        <v>1.408902</v>
      </c>
      <c r="AS549" t="n">
        <v>37.08328</v>
      </c>
      <c r="AT549" t="n">
        <v>37.86069</v>
      </c>
      <c r="AU549" t="n">
        <v>79.40747</v>
      </c>
      <c r="AV549" t="n">
        <v>0.4983957</v>
      </c>
      <c r="AW549" t="n">
        <v>62.86469</v>
      </c>
      <c r="AX549" t="n">
        <v>31.18167</v>
      </c>
    </row>
    <row r="550">
      <c r="A550" s="92" t="n">
        <v>34578</v>
      </c>
      <c r="B550" t="n">
        <v>68.55016000000001</v>
      </c>
      <c r="C550" t="n">
        <v>68.43125999999999</v>
      </c>
      <c r="D550" t="n">
        <v>21.97712</v>
      </c>
      <c r="E550" t="n">
        <v>67.86937</v>
      </c>
      <c r="F550" t="n">
        <v>88.63043</v>
      </c>
      <c r="G550" t="n">
        <v>45.63392</v>
      </c>
      <c r="H550" t="n">
        <v>58.52681</v>
      </c>
      <c r="I550" t="n">
        <v>20.558</v>
      </c>
      <c r="J550" t="n">
        <v>14.26167</v>
      </c>
      <c r="K550" t="n">
        <v>48.77917</v>
      </c>
      <c r="L550" t="n">
        <v>74.07389999999999</v>
      </c>
      <c r="M550" t="n">
        <v>66.91271999999999</v>
      </c>
      <c r="N550" t="n">
        <v>68.19333</v>
      </c>
      <c r="O550" t="n">
        <v>60.39445</v>
      </c>
      <c r="R550" t="n">
        <v>73.55209000000001</v>
      </c>
      <c r="S550" t="n">
        <v>74.18000000000001</v>
      </c>
      <c r="U550" t="n">
        <v>68.81287</v>
      </c>
      <c r="V550" t="n">
        <v>65.2</v>
      </c>
      <c r="W550" t="n">
        <v>53.21854</v>
      </c>
      <c r="X550" t="n">
        <v>20.77358</v>
      </c>
      <c r="Y550" t="n">
        <v>13.62755</v>
      </c>
      <c r="Z550" t="n">
        <v>23.87997</v>
      </c>
      <c r="AA550" t="n">
        <v>64.62926</v>
      </c>
      <c r="AB550" t="n">
        <v>39.94529</v>
      </c>
      <c r="AC550" t="n">
        <v>52.11694</v>
      </c>
      <c r="AD550" t="n">
        <v>63.61152</v>
      </c>
      <c r="AE550" t="n">
        <v>97.93841</v>
      </c>
      <c r="AF550" t="n">
        <v>53.14307</v>
      </c>
      <c r="AG550" t="n">
        <v>36.1987</v>
      </c>
      <c r="AH550" t="n">
        <v>67.03102</v>
      </c>
      <c r="AI550" t="n">
        <v>32.49779</v>
      </c>
      <c r="AJ550" t="n">
        <v>16.5832</v>
      </c>
      <c r="AK550" t="n">
        <v>67.10202</v>
      </c>
      <c r="AL550" t="n">
        <v>66.2</v>
      </c>
      <c r="AM550" t="n">
        <v>54.26064</v>
      </c>
      <c r="AN550" t="n">
        <v>46.78729</v>
      </c>
      <c r="AO550" t="n">
        <v>32.21202</v>
      </c>
      <c r="AP550" t="n">
        <v>62.09283</v>
      </c>
      <c r="AQ550" t="n">
        <v>1.521051</v>
      </c>
      <c r="AS550" t="n">
        <v>37.96267</v>
      </c>
      <c r="AT550" t="n">
        <v>38.51657</v>
      </c>
      <c r="AU550" t="n">
        <v>80.12553</v>
      </c>
      <c r="AV550" t="n">
        <v>0.5292488</v>
      </c>
      <c r="AW550" t="n">
        <v>63.03345</v>
      </c>
      <c r="AX550" t="n">
        <v>31.54959</v>
      </c>
    </row>
    <row r="551">
      <c r="A551" s="92" t="n">
        <v>34608</v>
      </c>
      <c r="B551" t="n">
        <v>68.39111</v>
      </c>
      <c r="C551" t="n">
        <v>68.29037</v>
      </c>
      <c r="D551" t="n">
        <v>22.55297</v>
      </c>
      <c r="E551" t="n">
        <v>67.71135</v>
      </c>
      <c r="F551" t="n">
        <v>88.55746000000001</v>
      </c>
      <c r="G551" t="n">
        <v>45.90359</v>
      </c>
      <c r="H551" t="n">
        <v>59.13734</v>
      </c>
      <c r="I551" t="n">
        <v>20.78642</v>
      </c>
      <c r="J551" t="n">
        <v>14.46711</v>
      </c>
      <c r="K551" t="n">
        <v>49.25834</v>
      </c>
      <c r="L551" t="n">
        <v>73.98061</v>
      </c>
      <c r="M551" t="n">
        <v>67.05183</v>
      </c>
      <c r="N551" t="n">
        <v>68.33569</v>
      </c>
      <c r="O551" t="n">
        <v>60.52559</v>
      </c>
      <c r="R551" t="n">
        <v>73.61787</v>
      </c>
      <c r="S551" t="n">
        <v>74.34</v>
      </c>
      <c r="U551" t="n">
        <v>68.88827000000001</v>
      </c>
      <c r="V551" t="n">
        <v>65.09999999999999</v>
      </c>
      <c r="W551" t="n">
        <v>53.71299</v>
      </c>
      <c r="X551" t="n">
        <v>21.21451</v>
      </c>
      <c r="Y551" t="n">
        <v>13.74627</v>
      </c>
      <c r="Z551" t="n">
        <v>23.96289</v>
      </c>
      <c r="AA551" t="n">
        <v>64.72762</v>
      </c>
      <c r="AB551" t="n">
        <v>39.90359</v>
      </c>
      <c r="AC551" t="n">
        <v>52.82258</v>
      </c>
      <c r="AD551" t="n">
        <v>63.92308</v>
      </c>
      <c r="AE551" t="n">
        <v>98.34563</v>
      </c>
      <c r="AF551" t="n">
        <v>52.98178</v>
      </c>
      <c r="AG551" t="n">
        <v>37.2063</v>
      </c>
      <c r="AH551" t="n">
        <v>67.14355</v>
      </c>
      <c r="AI551" t="n">
        <v>32.91621</v>
      </c>
      <c r="AJ551" t="n">
        <v>16.67026</v>
      </c>
      <c r="AK551" t="n">
        <v>67.16114</v>
      </c>
      <c r="AL551" t="n">
        <v>66.2</v>
      </c>
      <c r="AM551" t="n">
        <v>54.47927</v>
      </c>
      <c r="AN551" t="n">
        <v>47.15117</v>
      </c>
      <c r="AO551" t="n">
        <v>33.12633</v>
      </c>
      <c r="AP551" t="n">
        <v>62.33267</v>
      </c>
      <c r="AQ551" t="n">
        <v>1.749208</v>
      </c>
      <c r="AS551" t="n">
        <v>38.45453</v>
      </c>
      <c r="AT551" t="n">
        <v>39.13966</v>
      </c>
      <c r="AU551" t="n">
        <v>80.21169</v>
      </c>
      <c r="AV551" t="n">
        <v>0.5676965</v>
      </c>
      <c r="AW551" t="n">
        <v>63.07565</v>
      </c>
      <c r="AX551" t="n">
        <v>31.68756</v>
      </c>
    </row>
    <row r="552">
      <c r="A552" s="92" t="n">
        <v>34639</v>
      </c>
      <c r="B552" t="n">
        <v>68.33147</v>
      </c>
      <c r="C552" t="n">
        <v>68.29037</v>
      </c>
      <c r="D552" t="n">
        <v>23.1866</v>
      </c>
      <c r="E552" t="n">
        <v>68.10639999999999</v>
      </c>
      <c r="F552" t="n">
        <v>88.55114</v>
      </c>
      <c r="G552" t="n">
        <v>46.18007</v>
      </c>
      <c r="H552" t="n">
        <v>59.55652</v>
      </c>
      <c r="I552" t="n">
        <v>21.01485</v>
      </c>
      <c r="J552" t="n">
        <v>14.68439</v>
      </c>
      <c r="K552" t="n">
        <v>49.64167</v>
      </c>
      <c r="L552" t="n">
        <v>74.07389999999999</v>
      </c>
      <c r="M552" t="n">
        <v>67.22572</v>
      </c>
      <c r="N552" t="n">
        <v>68.33569</v>
      </c>
      <c r="O552" t="n">
        <v>60.63061</v>
      </c>
      <c r="R552" t="n">
        <v>73.40082</v>
      </c>
      <c r="S552" t="n">
        <v>74.34999999999999</v>
      </c>
      <c r="U552" t="n">
        <v>68.9567</v>
      </c>
      <c r="V552" t="n">
        <v>65.2</v>
      </c>
      <c r="W552" t="n">
        <v>53.9233</v>
      </c>
      <c r="X552" t="n">
        <v>21.61384</v>
      </c>
      <c r="Y552" t="n">
        <v>13.80875</v>
      </c>
      <c r="Z552" t="n">
        <v>24.12872</v>
      </c>
      <c r="AA552" t="n">
        <v>64.72762</v>
      </c>
      <c r="AB552" t="n">
        <v>39.90359</v>
      </c>
      <c r="AC552" t="n">
        <v>53.52822</v>
      </c>
      <c r="AD552" t="n">
        <v>64.18272</v>
      </c>
      <c r="AE552" t="n">
        <v>98.04021</v>
      </c>
      <c r="AF552" t="n">
        <v>53.06295</v>
      </c>
      <c r="AG552" t="n">
        <v>38.5346</v>
      </c>
      <c r="AH552" t="n">
        <v>67.33307000000001</v>
      </c>
      <c r="AI552" t="n">
        <v>33.5671</v>
      </c>
      <c r="AJ552" t="n">
        <v>16.75938</v>
      </c>
      <c r="AK552" t="n">
        <v>66.98378</v>
      </c>
      <c r="AL552" t="n">
        <v>66.2</v>
      </c>
      <c r="AM552" t="n">
        <v>54.67557</v>
      </c>
      <c r="AN552" t="n">
        <v>47.50944</v>
      </c>
      <c r="AO552" t="n">
        <v>33.68899</v>
      </c>
      <c r="AP552" t="n">
        <v>62.45409</v>
      </c>
      <c r="AQ552" t="n">
        <v>2.004768</v>
      </c>
      <c r="AS552" t="n">
        <v>38.70791</v>
      </c>
      <c r="AT552" t="n">
        <v>39.87753</v>
      </c>
      <c r="AU552" t="n">
        <v>80.15425</v>
      </c>
      <c r="AV552" t="n">
        <v>0.6037708000000001</v>
      </c>
      <c r="AW552" t="n">
        <v>63.16003</v>
      </c>
      <c r="AX552" t="n">
        <v>31.77954</v>
      </c>
    </row>
    <row r="553">
      <c r="A553" s="92" t="n">
        <v>34669</v>
      </c>
      <c r="B553" t="n">
        <v>68.33147</v>
      </c>
      <c r="C553" t="n">
        <v>68.30445</v>
      </c>
      <c r="D553" t="n">
        <v>23.58311</v>
      </c>
      <c r="E553" t="n">
        <v>68.18541</v>
      </c>
      <c r="F553" t="n">
        <v>88.53631</v>
      </c>
      <c r="G553" t="n">
        <v>46.31022</v>
      </c>
      <c r="H553" t="n">
        <v>60.39429</v>
      </c>
      <c r="I553" t="n">
        <v>21.33301</v>
      </c>
      <c r="J553" t="n">
        <v>15.13937</v>
      </c>
      <c r="K553" t="n">
        <v>49.97709</v>
      </c>
      <c r="L553" t="n">
        <v>74.26048</v>
      </c>
      <c r="M553" t="n">
        <v>67.22572</v>
      </c>
      <c r="N553" t="n">
        <v>68.47806</v>
      </c>
      <c r="O553" t="n">
        <v>60.89834</v>
      </c>
      <c r="R553" t="n">
        <v>73.30216</v>
      </c>
      <c r="S553" t="n">
        <v>74.33</v>
      </c>
      <c r="U553" t="n">
        <v>68.99196000000001</v>
      </c>
      <c r="V553" t="n">
        <v>65.5</v>
      </c>
      <c r="W553" t="n">
        <v>54.65799</v>
      </c>
      <c r="X553" t="n">
        <v>21.92998</v>
      </c>
      <c r="Y553" t="n">
        <v>13.88373</v>
      </c>
      <c r="Z553" t="n">
        <v>23.96289</v>
      </c>
      <c r="AA553" t="n">
        <v>64.72762</v>
      </c>
      <c r="AB553" t="n">
        <v>39.90359</v>
      </c>
      <c r="AC553" t="n">
        <v>53.93145</v>
      </c>
      <c r="AD553" t="n">
        <v>64.3385</v>
      </c>
      <c r="AE553" t="n">
        <v>97.8366</v>
      </c>
      <c r="AF553" t="n">
        <v>53.10406</v>
      </c>
      <c r="AG553" t="n">
        <v>39.9983</v>
      </c>
      <c r="AH553" t="n">
        <v>67.40414</v>
      </c>
      <c r="AI553" t="n">
        <v>34.37606</v>
      </c>
      <c r="AJ553" t="n">
        <v>16.90637</v>
      </c>
      <c r="AK553" t="n">
        <v>66.7473</v>
      </c>
      <c r="AL553" t="n">
        <v>66.2</v>
      </c>
      <c r="AM553" t="n">
        <v>54.89018</v>
      </c>
      <c r="AN553" t="n">
        <v>47.95606</v>
      </c>
      <c r="AO553" t="n">
        <v>34.32197</v>
      </c>
      <c r="AP553" t="n">
        <v>62.64417</v>
      </c>
      <c r="AQ553" t="n">
        <v>2.334352</v>
      </c>
      <c r="AS553" t="n">
        <v>38.94639</v>
      </c>
      <c r="AT553" t="n">
        <v>40.25466</v>
      </c>
      <c r="AU553" t="n">
        <v>80.00745000000001</v>
      </c>
      <c r="AV553" t="n">
        <v>0.6460158</v>
      </c>
      <c r="AW553" t="n">
        <v>63.16003</v>
      </c>
      <c r="AX553" t="n">
        <v>31.87152</v>
      </c>
    </row>
    <row r="554">
      <c r="A554" s="92" t="n">
        <v>34700</v>
      </c>
      <c r="B554" t="n">
        <v>68.82849</v>
      </c>
      <c r="C554" t="n">
        <v>68.59327999999999</v>
      </c>
      <c r="D554" t="n">
        <v>23.98402</v>
      </c>
      <c r="E554" t="n">
        <v>68.42243999999999</v>
      </c>
      <c r="F554" t="n">
        <v>89.16492</v>
      </c>
      <c r="G554" t="n">
        <v>46.60371</v>
      </c>
      <c r="H554" t="n">
        <v>62.13821</v>
      </c>
      <c r="I554" t="n">
        <v>21.72459</v>
      </c>
      <c r="J554" t="n">
        <v>15.77184</v>
      </c>
      <c r="K554" t="n">
        <v>50.6</v>
      </c>
      <c r="L554" t="n">
        <v>74.54036000000001</v>
      </c>
      <c r="M554" t="n">
        <v>67.26049999999999</v>
      </c>
      <c r="N554" t="n">
        <v>68.69159999999999</v>
      </c>
      <c r="O554" t="n">
        <v>61.52955</v>
      </c>
      <c r="R554" t="n">
        <v>73.27585999999999</v>
      </c>
      <c r="S554" t="n">
        <v>74.52</v>
      </c>
      <c r="U554" t="n">
        <v>69.20013</v>
      </c>
      <c r="V554" t="n">
        <v>65.5</v>
      </c>
      <c r="W554" t="n">
        <v>54.4059</v>
      </c>
      <c r="X554" t="n">
        <v>22.7952</v>
      </c>
      <c r="Y554" t="n">
        <v>14.03994</v>
      </c>
      <c r="Z554" t="n">
        <v>23.96289</v>
      </c>
      <c r="AA554" t="n">
        <v>65.21947</v>
      </c>
      <c r="AB554" t="n">
        <v>40.19547</v>
      </c>
      <c r="AC554" t="n">
        <v>54.03226</v>
      </c>
      <c r="AD554" t="n">
        <v>64.59814</v>
      </c>
      <c r="AE554" t="n">
        <v>97.8366</v>
      </c>
      <c r="AF554" t="n">
        <v>53.60163</v>
      </c>
      <c r="AG554" t="n">
        <v>42.2928</v>
      </c>
      <c r="AH554" t="n">
        <v>67.64104</v>
      </c>
      <c r="AI554" t="n">
        <v>35.57555</v>
      </c>
      <c r="AJ554" t="n">
        <v>17.54272</v>
      </c>
      <c r="AK554" t="n">
        <v>66.86554</v>
      </c>
      <c r="AL554" t="n">
        <v>66.59999999999999</v>
      </c>
      <c r="AM554" t="n">
        <v>55.24547</v>
      </c>
      <c r="AN554" t="n">
        <v>48.30042</v>
      </c>
      <c r="AO554" t="n">
        <v>35.72861</v>
      </c>
      <c r="AP554" t="n">
        <v>63.53984</v>
      </c>
      <c r="AQ554" t="n">
        <v>2.749166</v>
      </c>
      <c r="AR554" t="n">
        <v>66.55157</v>
      </c>
      <c r="AS554" t="n">
        <v>39.49787</v>
      </c>
      <c r="AT554" t="n">
        <v>41.06631</v>
      </c>
      <c r="AU554" t="n">
        <v>80.30743</v>
      </c>
      <c r="AV554" t="n">
        <v>0.6915834</v>
      </c>
      <c r="AW554" t="n">
        <v>63.41317</v>
      </c>
      <c r="AX554" t="n">
        <v>32.28544</v>
      </c>
    </row>
    <row r="555">
      <c r="A555" s="92" t="n">
        <v>34731</v>
      </c>
      <c r="B555" t="n">
        <v>69.14659</v>
      </c>
      <c r="C555" t="n">
        <v>68.78349</v>
      </c>
      <c r="D555" t="n">
        <v>24.22857</v>
      </c>
      <c r="E555" t="n">
        <v>68.73848</v>
      </c>
      <c r="F555" t="n">
        <v>89.95981999999999</v>
      </c>
      <c r="G555" t="n">
        <v>46.83936</v>
      </c>
      <c r="H555" t="n">
        <v>62.70296</v>
      </c>
      <c r="I555" t="n">
        <v>22.49143</v>
      </c>
      <c r="J555" t="n">
        <v>16.00525</v>
      </c>
      <c r="K555" t="n">
        <v>51.1</v>
      </c>
      <c r="L555" t="n">
        <v>74.91352999999999</v>
      </c>
      <c r="M555" t="n">
        <v>67.53873</v>
      </c>
      <c r="N555" t="n">
        <v>68.97633999999999</v>
      </c>
      <c r="O555" t="n">
        <v>61.83102</v>
      </c>
      <c r="R555" t="n">
        <v>73.47436</v>
      </c>
      <c r="S555" t="n">
        <v>74.75</v>
      </c>
      <c r="U555" t="n">
        <v>69.42350999999999</v>
      </c>
      <c r="V555" t="n">
        <v>65.7</v>
      </c>
      <c r="W555" t="n">
        <v>54.27707</v>
      </c>
      <c r="X555" t="n">
        <v>23.43579</v>
      </c>
      <c r="Y555" t="n">
        <v>14.22114</v>
      </c>
      <c r="Z555" t="n">
        <v>24.12872</v>
      </c>
      <c r="AA555" t="n">
        <v>65.21947</v>
      </c>
      <c r="AB555" t="n">
        <v>40.27886</v>
      </c>
      <c r="AC555" t="n">
        <v>54.13306</v>
      </c>
      <c r="AD555" t="n">
        <v>65.06549</v>
      </c>
      <c r="AE555" t="n">
        <v>97.53118000000001</v>
      </c>
      <c r="AF555" t="n">
        <v>53.8209</v>
      </c>
      <c r="AG555" t="n">
        <v>43.9611</v>
      </c>
      <c r="AH555" t="n">
        <v>67.74415</v>
      </c>
      <c r="AI555" t="n">
        <v>36.70065</v>
      </c>
      <c r="AJ555" t="n">
        <v>18.28622</v>
      </c>
      <c r="AK555" t="n">
        <v>67.22026</v>
      </c>
      <c r="AL555" t="n">
        <v>66.8</v>
      </c>
      <c r="AM555" t="n">
        <v>55.60711</v>
      </c>
      <c r="AN555" t="n">
        <v>48.68016</v>
      </c>
      <c r="AO555" t="n">
        <v>36.50226</v>
      </c>
      <c r="AP555" t="n">
        <v>63.90209</v>
      </c>
      <c r="AQ555" t="n">
        <v>3.052124</v>
      </c>
      <c r="AR555" t="n">
        <v>66.89941</v>
      </c>
      <c r="AS555" t="n">
        <v>39.66488</v>
      </c>
      <c r="AT555" t="n">
        <v>41.55002</v>
      </c>
      <c r="AU555" t="n">
        <v>80.59466</v>
      </c>
      <c r="AV555" t="n">
        <v>0.7252844000000001</v>
      </c>
      <c r="AW555" t="n">
        <v>63.66632</v>
      </c>
      <c r="AX555" t="n">
        <v>32.42341</v>
      </c>
    </row>
    <row r="556">
      <c r="A556" s="92" t="n">
        <v>34759</v>
      </c>
      <c r="B556" t="n">
        <v>69.36529</v>
      </c>
      <c r="C556" t="n">
        <v>68.72713</v>
      </c>
      <c r="D556" t="n">
        <v>24.60419</v>
      </c>
      <c r="E556" t="n">
        <v>68.8965</v>
      </c>
      <c r="F556" t="n">
        <v>90.01505</v>
      </c>
      <c r="G556" t="n">
        <v>47.12519</v>
      </c>
      <c r="H556" t="n">
        <v>62.87861</v>
      </c>
      <c r="I556" t="n">
        <v>23.07881</v>
      </c>
      <c r="J556" t="n">
        <v>16.13863</v>
      </c>
      <c r="K556" t="n">
        <v>51.1</v>
      </c>
      <c r="L556" t="n">
        <v>74.91352999999999</v>
      </c>
      <c r="M556" t="n">
        <v>67.74739</v>
      </c>
      <c r="N556" t="n">
        <v>69.26107</v>
      </c>
      <c r="O556" t="n">
        <v>62.19124</v>
      </c>
      <c r="R556" t="n">
        <v>73.44495000000001</v>
      </c>
      <c r="S556" t="n">
        <v>74.98</v>
      </c>
      <c r="U556" t="n">
        <v>69.61515</v>
      </c>
      <c r="V556" t="n">
        <v>66</v>
      </c>
      <c r="W556" t="n">
        <v>55.56192</v>
      </c>
      <c r="X556" t="n">
        <v>24.36757</v>
      </c>
      <c r="Y556" t="n">
        <v>14.30862</v>
      </c>
      <c r="Z556" t="n">
        <v>24.29456</v>
      </c>
      <c r="AA556" t="n">
        <v>65.21947</v>
      </c>
      <c r="AB556" t="n">
        <v>40.19547</v>
      </c>
      <c r="AC556" t="n">
        <v>54.03226</v>
      </c>
      <c r="AD556" t="n">
        <v>65.6367</v>
      </c>
      <c r="AE556" t="n">
        <v>97.42937000000001</v>
      </c>
      <c r="AF556" t="n">
        <v>54.36802</v>
      </c>
      <c r="AG556" t="n">
        <v>44.5904</v>
      </c>
      <c r="AH556" t="n">
        <v>67.76477</v>
      </c>
      <c r="AI556" t="n">
        <v>37.65838</v>
      </c>
      <c r="AJ556" t="n">
        <v>19.36421</v>
      </c>
      <c r="AK556" t="n">
        <v>67.57499</v>
      </c>
      <c r="AL556" t="n">
        <v>67.2</v>
      </c>
      <c r="AM556" t="n">
        <v>55.99328</v>
      </c>
      <c r="AN556" t="n">
        <v>49.02715</v>
      </c>
      <c r="AO556" t="n">
        <v>37.13525</v>
      </c>
      <c r="AP556" t="n">
        <v>64.19965000000001</v>
      </c>
      <c r="AQ556" t="n">
        <v>3.324984</v>
      </c>
      <c r="AR556" t="n">
        <v>66.84144000000001</v>
      </c>
      <c r="AS556" t="n">
        <v>39.79013</v>
      </c>
      <c r="AT556" t="n">
        <v>41.6894</v>
      </c>
      <c r="AU556" t="n">
        <v>80.91379999999999</v>
      </c>
      <c r="AV556" t="n">
        <v>0.7580361</v>
      </c>
      <c r="AW556" t="n">
        <v>63.87727</v>
      </c>
      <c r="AX556" t="n">
        <v>32.79134</v>
      </c>
    </row>
    <row r="557">
      <c r="A557" s="92" t="n">
        <v>34790</v>
      </c>
      <c r="B557" t="n">
        <v>69.42493</v>
      </c>
      <c r="C557" t="n">
        <v>68.83280000000001</v>
      </c>
      <c r="D557" t="n">
        <v>25.20209</v>
      </c>
      <c r="E557" t="n">
        <v>69.13352999999999</v>
      </c>
      <c r="F557" t="n">
        <v>90.09074</v>
      </c>
      <c r="G557" t="n">
        <v>47.41188</v>
      </c>
      <c r="H557" t="n">
        <v>64.00725</v>
      </c>
      <c r="I557" t="n">
        <v>23.59276</v>
      </c>
      <c r="J557" t="n">
        <v>16.23005</v>
      </c>
      <c r="K557" t="n">
        <v>51.6</v>
      </c>
      <c r="L557" t="n">
        <v>75.00682</v>
      </c>
      <c r="M557" t="n">
        <v>67.95605999999999</v>
      </c>
      <c r="N557" t="n">
        <v>69.40343</v>
      </c>
      <c r="O557" t="n">
        <v>62.521</v>
      </c>
      <c r="R557" t="n">
        <v>73.44495000000001</v>
      </c>
      <c r="S557" t="n">
        <v>75.06999999999999</v>
      </c>
      <c r="U557" t="n">
        <v>69.83472</v>
      </c>
      <c r="V557" t="n">
        <v>66.40000000000001</v>
      </c>
      <c r="W557" t="n">
        <v>56.15037</v>
      </c>
      <c r="X557" t="n">
        <v>25.00817</v>
      </c>
      <c r="Y557" t="n">
        <v>14.54605</v>
      </c>
      <c r="Z557" t="n">
        <v>24.46039</v>
      </c>
      <c r="AA557" t="n">
        <v>65.90807</v>
      </c>
      <c r="AB557" t="n">
        <v>40.15377</v>
      </c>
      <c r="AC557" t="n">
        <v>54.53629</v>
      </c>
      <c r="AD557" t="n">
        <v>65.89634</v>
      </c>
      <c r="AE557" t="n">
        <v>97.73479</v>
      </c>
      <c r="AF557" t="n">
        <v>54.69692</v>
      </c>
      <c r="AG557" t="n">
        <v>45.2295</v>
      </c>
      <c r="AH557" t="n">
        <v>67.77164</v>
      </c>
      <c r="AI557" t="n">
        <v>38.38365</v>
      </c>
      <c r="AJ557" t="n">
        <v>20.90722</v>
      </c>
      <c r="AK557" t="n">
        <v>67.69323</v>
      </c>
      <c r="AL557" t="n">
        <v>67.2</v>
      </c>
      <c r="AM557" t="n">
        <v>56.47774</v>
      </c>
      <c r="AN557" t="n">
        <v>49.38441</v>
      </c>
      <c r="AO557" t="n">
        <v>37.97923</v>
      </c>
      <c r="AP557" t="n">
        <v>64.47631</v>
      </c>
      <c r="AQ557" t="n">
        <v>3.60661</v>
      </c>
      <c r="AR557" t="n">
        <v>66.95737</v>
      </c>
      <c r="AS557" t="n">
        <v>39.95715</v>
      </c>
      <c r="AT557" t="n">
        <v>41.61561</v>
      </c>
      <c r="AU557" t="n">
        <v>81.44674999999999</v>
      </c>
      <c r="AV557" t="n">
        <v>0.8021798</v>
      </c>
      <c r="AW557" t="n">
        <v>64.08823</v>
      </c>
      <c r="AX557" t="n">
        <v>33.20525</v>
      </c>
    </row>
    <row r="558">
      <c r="A558" s="92" t="n">
        <v>34820</v>
      </c>
      <c r="B558" t="n">
        <v>69.42493</v>
      </c>
      <c r="C558" t="n">
        <v>68.81167000000001</v>
      </c>
      <c r="D558" t="n">
        <v>25.87492</v>
      </c>
      <c r="E558" t="n">
        <v>69.29155</v>
      </c>
      <c r="F558" t="n">
        <v>89.92103</v>
      </c>
      <c r="G558" t="n">
        <v>47.70197</v>
      </c>
      <c r="H558" t="n">
        <v>64.53738</v>
      </c>
      <c r="I558" t="n">
        <v>23.98434</v>
      </c>
      <c r="J558" t="n">
        <v>16.37204</v>
      </c>
      <c r="K558" t="n">
        <v>51.8</v>
      </c>
      <c r="L558" t="n">
        <v>75.00682</v>
      </c>
      <c r="M558" t="n">
        <v>68.23428</v>
      </c>
      <c r="N558" t="n">
        <v>69.47462</v>
      </c>
      <c r="O558" t="n">
        <v>62.54603</v>
      </c>
      <c r="R558" t="n">
        <v>73.55522999999999</v>
      </c>
      <c r="S558" t="n">
        <v>75.18000000000001</v>
      </c>
      <c r="U558" t="n">
        <v>69.99124999999999</v>
      </c>
      <c r="V558" t="n">
        <v>66.7</v>
      </c>
      <c r="W558" t="n">
        <v>56.67894</v>
      </c>
      <c r="X558" t="n">
        <v>25.6238</v>
      </c>
      <c r="Y558" t="n">
        <v>14.62103</v>
      </c>
      <c r="Z558" t="n">
        <v>24.87497</v>
      </c>
      <c r="AA558" t="n">
        <v>65.90807</v>
      </c>
      <c r="AB558" t="n">
        <v>40.19547</v>
      </c>
      <c r="AC558" t="n">
        <v>55.14113</v>
      </c>
      <c r="AD558" t="n">
        <v>66.31176000000001</v>
      </c>
      <c r="AE558" t="n">
        <v>97.93841</v>
      </c>
      <c r="AF558" t="n">
        <v>54.80655</v>
      </c>
      <c r="AG558" t="n">
        <v>46.2393</v>
      </c>
      <c r="AH558" t="n">
        <v>67.86788</v>
      </c>
      <c r="AI558" t="n">
        <v>38.91366</v>
      </c>
      <c r="AJ558" t="n">
        <v>21.78106</v>
      </c>
      <c r="AK558" t="n">
        <v>67.57499</v>
      </c>
      <c r="AL558" t="n">
        <v>67.3</v>
      </c>
      <c r="AM558" t="n">
        <v>56.7685</v>
      </c>
      <c r="AN558" t="n">
        <v>49.62534</v>
      </c>
      <c r="AO558" t="n">
        <v>38.68255</v>
      </c>
      <c r="AP558" t="n">
        <v>64.42655000000001</v>
      </c>
      <c r="AQ558" t="n">
        <v>3.892614</v>
      </c>
      <c r="AR558" t="n">
        <v>66.84144000000001</v>
      </c>
      <c r="AS558" t="n">
        <v>40.12415</v>
      </c>
      <c r="AT558" t="n">
        <v>42.05833</v>
      </c>
      <c r="AU558" t="n">
        <v>81.53610999999999</v>
      </c>
      <c r="AV558" t="n">
        <v>0.8287609</v>
      </c>
      <c r="AW558" t="n">
        <v>64.21481</v>
      </c>
      <c r="AX558" t="n">
        <v>33.34323</v>
      </c>
    </row>
    <row r="559">
      <c r="A559" s="92" t="n">
        <v>34851</v>
      </c>
      <c r="B559" t="n">
        <v>69.68338</v>
      </c>
      <c r="C559" t="n">
        <v>68.88211</v>
      </c>
      <c r="D559" t="n">
        <v>26.45959</v>
      </c>
      <c r="E559" t="n">
        <v>69.29155</v>
      </c>
      <c r="F559" t="n">
        <v>90.09945999999999</v>
      </c>
      <c r="G559" t="n">
        <v>48.0533</v>
      </c>
      <c r="H559" t="n">
        <v>64.00171</v>
      </c>
      <c r="I559" t="n">
        <v>24.27802</v>
      </c>
      <c r="J559" t="n">
        <v>16.6162</v>
      </c>
      <c r="K559" t="n">
        <v>52.4</v>
      </c>
      <c r="L559" t="n">
        <v>75.10011</v>
      </c>
      <c r="M559" t="n">
        <v>68.12994999999999</v>
      </c>
      <c r="N559" t="n">
        <v>69.68817</v>
      </c>
      <c r="O559" t="n">
        <v>62.60534</v>
      </c>
      <c r="R559" t="n">
        <v>73.80519</v>
      </c>
      <c r="S559" t="n">
        <v>75.18000000000001</v>
      </c>
      <c r="U559" t="n">
        <v>70.0993</v>
      </c>
      <c r="V559" t="n">
        <v>66.8</v>
      </c>
      <c r="W559" t="n">
        <v>56.98605</v>
      </c>
      <c r="X559" t="n">
        <v>25.9233</v>
      </c>
      <c r="Y559" t="n">
        <v>14.64603</v>
      </c>
      <c r="Z559" t="n">
        <v>25.37247</v>
      </c>
      <c r="AA559" t="n">
        <v>65.90807</v>
      </c>
      <c r="AB559" t="n">
        <v>40.27886</v>
      </c>
      <c r="AC559" t="n">
        <v>55.24194</v>
      </c>
      <c r="AD559" t="n">
        <v>66.72718</v>
      </c>
      <c r="AE559" t="n">
        <v>97.8366</v>
      </c>
      <c r="AF559" t="n">
        <v>54.64316</v>
      </c>
      <c r="AG559" t="n">
        <v>46.6947</v>
      </c>
      <c r="AH559" t="n">
        <v>67.916</v>
      </c>
      <c r="AI559" t="n">
        <v>39.49016</v>
      </c>
      <c r="AJ559" t="n">
        <v>22.47233</v>
      </c>
      <c r="AK559" t="n">
        <v>67.45675</v>
      </c>
      <c r="AL559" t="n">
        <v>67.5</v>
      </c>
      <c r="AM559" t="n">
        <v>56.9808</v>
      </c>
      <c r="AN559" t="n">
        <v>49.81326</v>
      </c>
      <c r="AO559" t="n">
        <v>39.03421</v>
      </c>
      <c r="AP559" t="n">
        <v>64.28922</v>
      </c>
      <c r="AQ559" t="n">
        <v>4.151862</v>
      </c>
      <c r="AR559" t="n">
        <v>66.72548999999999</v>
      </c>
      <c r="AS559" t="n">
        <v>40.12415</v>
      </c>
      <c r="AT559" t="n">
        <v>42.27149</v>
      </c>
      <c r="AU559" t="n">
        <v>81.44674999999999</v>
      </c>
      <c r="AV559" t="n">
        <v>0.8501207</v>
      </c>
      <c r="AW559" t="n">
        <v>64.34138</v>
      </c>
      <c r="AX559" t="n">
        <v>33.29724</v>
      </c>
    </row>
    <row r="560">
      <c r="A560" s="92" t="n">
        <v>34881</v>
      </c>
      <c r="B560" t="n">
        <v>70.18040999999999</v>
      </c>
      <c r="C560" t="n">
        <v>69.25548000000001</v>
      </c>
      <c r="D560" t="n">
        <v>27.08394</v>
      </c>
      <c r="E560" t="n">
        <v>69.44956000000001</v>
      </c>
      <c r="F560" t="n">
        <v>90.03870999999999</v>
      </c>
      <c r="G560" t="n">
        <v>48.45483</v>
      </c>
      <c r="H560" t="n">
        <v>63.46827</v>
      </c>
      <c r="I560" t="n">
        <v>24.46565</v>
      </c>
      <c r="J560" t="n">
        <v>16.89694</v>
      </c>
      <c r="K560" t="n">
        <v>52.4</v>
      </c>
      <c r="L560" t="n">
        <v>75.2867</v>
      </c>
      <c r="M560" t="n">
        <v>67.81695000000001</v>
      </c>
      <c r="N560" t="n">
        <v>69.68817</v>
      </c>
      <c r="O560" t="n">
        <v>62.61514</v>
      </c>
      <c r="R560" t="n">
        <v>73.78313</v>
      </c>
      <c r="S560" t="n">
        <v>75.04000000000001</v>
      </c>
      <c r="U560" t="n">
        <v>70.05804999999999</v>
      </c>
      <c r="V560" t="n">
        <v>66.59999999999999</v>
      </c>
      <c r="W560" t="n">
        <v>56.0877</v>
      </c>
      <c r="X560" t="n">
        <v>26.14792</v>
      </c>
      <c r="Y560" t="n">
        <v>14.746</v>
      </c>
      <c r="Z560" t="n">
        <v>25.95289</v>
      </c>
      <c r="AA560" t="n">
        <v>66.20318</v>
      </c>
      <c r="AB560" t="n">
        <v>40.36225</v>
      </c>
      <c r="AC560" t="n">
        <v>55.34274</v>
      </c>
      <c r="AD560" t="n">
        <v>66.83104</v>
      </c>
      <c r="AE560" t="n">
        <v>97.32756999999999</v>
      </c>
      <c r="AF560" t="n">
        <v>54.80655</v>
      </c>
      <c r="AG560" t="n">
        <v>47.9465</v>
      </c>
      <c r="AH560" t="n">
        <v>67.9435</v>
      </c>
      <c r="AI560" t="n">
        <v>39.59244</v>
      </c>
      <c r="AJ560" t="n">
        <v>22.93045</v>
      </c>
      <c r="AK560" t="n">
        <v>67.45675</v>
      </c>
      <c r="AL560" t="n">
        <v>67.40000000000001</v>
      </c>
      <c r="AM560" t="n">
        <v>57.07602</v>
      </c>
      <c r="AN560" t="n">
        <v>49.90437</v>
      </c>
      <c r="AO560" t="n">
        <v>38.68255</v>
      </c>
      <c r="AP560" t="n">
        <v>64.31010999999999</v>
      </c>
      <c r="AQ560" t="n">
        <v>4.375233</v>
      </c>
      <c r="AR560" t="n">
        <v>66.78346000000001</v>
      </c>
      <c r="AS560" t="n">
        <v>40.54168</v>
      </c>
      <c r="AT560" t="n">
        <v>42.31248</v>
      </c>
      <c r="AU560" t="n">
        <v>81.36696999999999</v>
      </c>
      <c r="AV560" t="n">
        <v>0.8762271</v>
      </c>
      <c r="AW560" t="n">
        <v>64.34138</v>
      </c>
      <c r="AX560" t="n">
        <v>33.4812</v>
      </c>
    </row>
    <row r="561">
      <c r="A561" s="92" t="n">
        <v>34912</v>
      </c>
      <c r="B561" t="n">
        <v>70.55815</v>
      </c>
      <c r="C561" t="n">
        <v>69.42455</v>
      </c>
      <c r="D561" t="n">
        <v>27.35214</v>
      </c>
      <c r="E561" t="n">
        <v>69.29155</v>
      </c>
      <c r="F561" t="n">
        <v>90.324</v>
      </c>
      <c r="G561" t="n">
        <v>49.25108</v>
      </c>
      <c r="H561" t="n">
        <v>64.52965</v>
      </c>
      <c r="I561" t="n">
        <v>24.62066</v>
      </c>
      <c r="J561" t="n">
        <v>17.0841</v>
      </c>
      <c r="K561" t="n">
        <v>52.4</v>
      </c>
      <c r="L561" t="n">
        <v>75.2867</v>
      </c>
      <c r="M561" t="n">
        <v>67.92128</v>
      </c>
      <c r="N561" t="n">
        <v>69.75935</v>
      </c>
      <c r="O561" t="n">
        <v>62.79199</v>
      </c>
      <c r="R561" t="n">
        <v>73.59932999999999</v>
      </c>
      <c r="S561" t="n">
        <v>75.40000000000001</v>
      </c>
      <c r="U561" t="n">
        <v>70.21523000000001</v>
      </c>
      <c r="V561" t="n">
        <v>66.90000000000001</v>
      </c>
      <c r="W561" t="n">
        <v>56.1643</v>
      </c>
      <c r="X561" t="n">
        <v>26.23944</v>
      </c>
      <c r="Y561" t="n">
        <v>14.79599</v>
      </c>
      <c r="Z561" t="n">
        <v>26.11872</v>
      </c>
      <c r="AA561" t="n">
        <v>66.20318</v>
      </c>
      <c r="AB561" t="n">
        <v>40.52904</v>
      </c>
      <c r="AC561" t="n">
        <v>55.94758</v>
      </c>
      <c r="AD561" t="n">
        <v>67.03874999999999</v>
      </c>
      <c r="AE561" t="n">
        <v>97.42937000000001</v>
      </c>
      <c r="AF561" t="n">
        <v>55.13546</v>
      </c>
      <c r="AG561" t="n">
        <v>48.1618</v>
      </c>
      <c r="AH561" t="n">
        <v>67.92287</v>
      </c>
      <c r="AI561" t="n">
        <v>39.48086</v>
      </c>
      <c r="AJ561" t="n">
        <v>23.3108</v>
      </c>
      <c r="AK561" t="n">
        <v>67.57499</v>
      </c>
      <c r="AL561" t="n">
        <v>67.3</v>
      </c>
      <c r="AM561" t="n">
        <v>57.31352</v>
      </c>
      <c r="AN561" t="n">
        <v>50.15966</v>
      </c>
      <c r="AO561" t="n">
        <v>38.82322</v>
      </c>
      <c r="AP561" t="n">
        <v>64.57683</v>
      </c>
      <c r="AQ561" t="n">
        <v>4.574743</v>
      </c>
      <c r="AR561" t="n">
        <v>66.66752</v>
      </c>
      <c r="AS561" t="n">
        <v>40.70869</v>
      </c>
      <c r="AT561" t="n">
        <v>42.17311</v>
      </c>
      <c r="AU561" t="n">
        <v>81.26485</v>
      </c>
      <c r="AV561" t="n">
        <v>0.9142001</v>
      </c>
      <c r="AW561" t="n">
        <v>64.51014000000001</v>
      </c>
      <c r="AX561" t="n">
        <v>33.57318</v>
      </c>
    </row>
    <row r="562">
      <c r="A562" s="92" t="n">
        <v>34943</v>
      </c>
      <c r="B562" t="n">
        <v>69.90208</v>
      </c>
      <c r="C562" t="n">
        <v>69.24843</v>
      </c>
      <c r="D562" t="n">
        <v>27.6229</v>
      </c>
      <c r="E562" t="n">
        <v>69.37054999999999</v>
      </c>
      <c r="F562" t="n">
        <v>90.40128</v>
      </c>
      <c r="G562" t="n">
        <v>49.54372</v>
      </c>
      <c r="H562" t="n">
        <v>66.25234</v>
      </c>
      <c r="I562" t="n">
        <v>24.83276</v>
      </c>
      <c r="J562" t="n">
        <v>17.40141</v>
      </c>
      <c r="K562" t="n">
        <v>52.8</v>
      </c>
      <c r="L562" t="n">
        <v>75.2867</v>
      </c>
      <c r="M562" t="n">
        <v>68.30383999999999</v>
      </c>
      <c r="N562" t="n">
        <v>69.9729</v>
      </c>
      <c r="O562" t="n">
        <v>63.03904</v>
      </c>
      <c r="R562" t="n">
        <v>73.61404</v>
      </c>
      <c r="S562" t="n">
        <v>75.67</v>
      </c>
      <c r="U562" t="n">
        <v>70.39955</v>
      </c>
      <c r="V562" t="n">
        <v>67.2</v>
      </c>
      <c r="W562" t="n">
        <v>57.49163</v>
      </c>
      <c r="X562" t="n">
        <v>26.75524</v>
      </c>
      <c r="Y562" t="n">
        <v>14.84597</v>
      </c>
      <c r="Z562" t="n">
        <v>26.28455</v>
      </c>
      <c r="AA562" t="n">
        <v>66.20318</v>
      </c>
      <c r="AB562" t="n">
        <v>40.65413</v>
      </c>
      <c r="AC562" t="n">
        <v>56.55242</v>
      </c>
      <c r="AD562" t="n">
        <v>67.19453</v>
      </c>
      <c r="AE562" t="n">
        <v>98.04021</v>
      </c>
      <c r="AF562" t="n">
        <v>55.62881</v>
      </c>
      <c r="AG562" t="n">
        <v>49.111</v>
      </c>
      <c r="AH562" t="n">
        <v>68.04661</v>
      </c>
      <c r="AI562" t="n">
        <v>40.19683</v>
      </c>
      <c r="AJ562" t="n">
        <v>23.79299</v>
      </c>
      <c r="AK562" t="n">
        <v>68.10706999999999</v>
      </c>
      <c r="AL562" t="n">
        <v>67.7</v>
      </c>
      <c r="AM562" t="n">
        <v>57.67715</v>
      </c>
      <c r="AN562" t="n">
        <v>50.61148</v>
      </c>
      <c r="AO562" t="n">
        <v>40.01886</v>
      </c>
      <c r="AP562" t="n">
        <v>64.6644</v>
      </c>
      <c r="AQ562" t="n">
        <v>4.778777</v>
      </c>
      <c r="AR562" t="n">
        <v>66.72548999999999</v>
      </c>
      <c r="AS562" t="n">
        <v>41.25147</v>
      </c>
      <c r="AT562" t="n">
        <v>42.61583</v>
      </c>
      <c r="AU562" t="n">
        <v>81.80737000000001</v>
      </c>
      <c r="AV562" t="n">
        <v>0.9844502000000001</v>
      </c>
      <c r="AW562" t="n">
        <v>64.63670999999999</v>
      </c>
      <c r="AX562" t="n">
        <v>33.61917</v>
      </c>
    </row>
    <row r="563">
      <c r="A563" s="92" t="n">
        <v>34973</v>
      </c>
      <c r="B563" t="n">
        <v>69.68338</v>
      </c>
      <c r="C563" t="n">
        <v>69.12163</v>
      </c>
      <c r="D563" t="n">
        <v>28.01245</v>
      </c>
      <c r="E563" t="n">
        <v>69.29155</v>
      </c>
      <c r="F563" t="n">
        <v>90.30325000000001</v>
      </c>
      <c r="G563" t="n">
        <v>49.92739</v>
      </c>
      <c r="H563" t="n">
        <v>66.29295999999999</v>
      </c>
      <c r="I563" t="n">
        <v>25.05303</v>
      </c>
      <c r="J563" t="n">
        <v>17.92093</v>
      </c>
      <c r="K563" t="n">
        <v>53.2</v>
      </c>
      <c r="L563" t="n">
        <v>75.10011</v>
      </c>
      <c r="M563" t="n">
        <v>68.33862000000001</v>
      </c>
      <c r="N563" t="n">
        <v>69.9729</v>
      </c>
      <c r="O563" t="n">
        <v>63.15657</v>
      </c>
      <c r="R563" t="n">
        <v>73.55522999999999</v>
      </c>
      <c r="S563" t="n">
        <v>75.75</v>
      </c>
      <c r="U563" t="n">
        <v>70.47989</v>
      </c>
      <c r="V563" t="n">
        <v>67.09999999999999</v>
      </c>
      <c r="W563" t="n">
        <v>57.92479</v>
      </c>
      <c r="X563" t="n">
        <v>27.37088</v>
      </c>
      <c r="Y563" t="n">
        <v>14.94595</v>
      </c>
      <c r="Z563" t="n">
        <v>26.45039</v>
      </c>
      <c r="AA563" t="n">
        <v>66.30155000000001</v>
      </c>
      <c r="AB563" t="n">
        <v>40.86261</v>
      </c>
      <c r="AC563" t="n">
        <v>57.15726</v>
      </c>
      <c r="AD563" t="n">
        <v>67.45417</v>
      </c>
      <c r="AE563" t="n">
        <v>97.73479</v>
      </c>
      <c r="AF563" t="n">
        <v>55.35578</v>
      </c>
      <c r="AG563" t="n">
        <v>50.6953</v>
      </c>
      <c r="AH563" t="n">
        <v>68.13597</v>
      </c>
      <c r="AI563" t="n">
        <v>40.81982</v>
      </c>
      <c r="AJ563" t="n">
        <v>24.28255</v>
      </c>
      <c r="AK563" t="n">
        <v>68.04795</v>
      </c>
      <c r="AL563" t="n">
        <v>67.7</v>
      </c>
      <c r="AM563" t="n">
        <v>57.93102</v>
      </c>
      <c r="AN563" t="n">
        <v>50.90387</v>
      </c>
      <c r="AO563" t="n">
        <v>40.72218</v>
      </c>
      <c r="AP563" t="n">
        <v>64.88633</v>
      </c>
      <c r="AQ563" t="n">
        <v>5.004335</v>
      </c>
      <c r="AR563" t="n">
        <v>67.01535</v>
      </c>
      <c r="AS563" t="n">
        <v>41.46024</v>
      </c>
      <c r="AT563" t="n">
        <v>42.82899</v>
      </c>
      <c r="AU563" t="n">
        <v>81.98927999999999</v>
      </c>
      <c r="AV563" t="n">
        <v>1.046631</v>
      </c>
      <c r="AW563" t="n">
        <v>64.84766999999999</v>
      </c>
      <c r="AX563" t="n">
        <v>33.71115</v>
      </c>
    </row>
    <row r="564">
      <c r="A564" s="92" t="n">
        <v>35004</v>
      </c>
      <c r="B564" t="n">
        <v>69.64362</v>
      </c>
      <c r="C564" t="n">
        <v>69.2907</v>
      </c>
      <c r="D564" t="n">
        <v>28.42427</v>
      </c>
      <c r="E564" t="n">
        <v>69.52857</v>
      </c>
      <c r="F564" t="n">
        <v>90.23598</v>
      </c>
      <c r="G564" t="n">
        <v>49.96312</v>
      </c>
      <c r="H564" t="n">
        <v>66.22685</v>
      </c>
      <c r="I564" t="n">
        <v>25.24882</v>
      </c>
      <c r="J564" t="n">
        <v>18.34473</v>
      </c>
      <c r="K564" t="n">
        <v>53.6</v>
      </c>
      <c r="L564" t="n">
        <v>75.10011</v>
      </c>
      <c r="M564" t="n">
        <v>68.47772999999999</v>
      </c>
      <c r="N564" t="n">
        <v>70.04407999999999</v>
      </c>
      <c r="O564" t="n">
        <v>63.32417</v>
      </c>
      <c r="R564" t="n">
        <v>73.34936999999999</v>
      </c>
      <c r="S564" t="n">
        <v>75.81</v>
      </c>
      <c r="U564" t="n">
        <v>70.46689000000001</v>
      </c>
      <c r="V564" t="n">
        <v>67.09999999999999</v>
      </c>
      <c r="W564" t="n">
        <v>58.15181</v>
      </c>
      <c r="X564" t="n">
        <v>27.80349</v>
      </c>
      <c r="Y564" t="n">
        <v>15.00843</v>
      </c>
      <c r="Z564" t="n">
        <v>26.61622</v>
      </c>
      <c r="AA564" t="n">
        <v>66.30155000000001</v>
      </c>
      <c r="AB564" t="n">
        <v>40.73752</v>
      </c>
      <c r="AC564" t="n">
        <v>57.56048</v>
      </c>
      <c r="AD564" t="n">
        <v>67.81767000000001</v>
      </c>
      <c r="AE564" t="n">
        <v>97.42937000000001</v>
      </c>
      <c r="AF564" t="n">
        <v>55.24509</v>
      </c>
      <c r="AG564" t="n">
        <v>52.8701</v>
      </c>
      <c r="AH564" t="n">
        <v>68.22533</v>
      </c>
      <c r="AI564" t="n">
        <v>41.62878</v>
      </c>
      <c r="AJ564" t="n">
        <v>24.88131</v>
      </c>
      <c r="AK564" t="n">
        <v>68.04795</v>
      </c>
      <c r="AL564" t="n">
        <v>67.59999999999999</v>
      </c>
      <c r="AM564" t="n">
        <v>58.11217</v>
      </c>
      <c r="AN564" t="n">
        <v>51.18901</v>
      </c>
      <c r="AO564" t="n">
        <v>41.28483</v>
      </c>
      <c r="AP564" t="n">
        <v>64.93210999999999</v>
      </c>
      <c r="AQ564" t="n">
        <v>5.232533</v>
      </c>
      <c r="AR564" t="n">
        <v>66.84144000000001</v>
      </c>
      <c r="AS564" t="n">
        <v>41.62724</v>
      </c>
      <c r="AT564" t="n">
        <v>43.42748</v>
      </c>
      <c r="AU564" t="n">
        <v>81.95737</v>
      </c>
      <c r="AV564" t="n">
        <v>1.095996</v>
      </c>
      <c r="AW564" t="n">
        <v>64.80548</v>
      </c>
      <c r="AX564" t="n">
        <v>33.80313</v>
      </c>
    </row>
    <row r="565">
      <c r="A565" s="92" t="n">
        <v>35034</v>
      </c>
      <c r="B565" t="n">
        <v>69.58398</v>
      </c>
      <c r="C565" t="n">
        <v>69.30479</v>
      </c>
      <c r="D565" t="n">
        <v>28.86765</v>
      </c>
      <c r="E565" t="n">
        <v>69.37054999999999</v>
      </c>
      <c r="F565" t="n">
        <v>90.26105</v>
      </c>
      <c r="G565" t="n">
        <v>50.10688</v>
      </c>
      <c r="H565" t="n">
        <v>66.49411000000001</v>
      </c>
      <c r="I565" t="n">
        <v>25.4854</v>
      </c>
      <c r="J565" t="n">
        <v>18.55555</v>
      </c>
      <c r="K565" t="n">
        <v>53.8</v>
      </c>
      <c r="L565" t="n">
        <v>75.37999000000001</v>
      </c>
      <c r="M565" t="n">
        <v>68.44295</v>
      </c>
      <c r="N565" t="n">
        <v>70.18644999999999</v>
      </c>
      <c r="O565" t="n">
        <v>63.52877</v>
      </c>
      <c r="R565" t="n">
        <v>73.27585999999999</v>
      </c>
      <c r="S565" t="n">
        <v>75.88</v>
      </c>
      <c r="U565" t="n">
        <v>70.50848000000001</v>
      </c>
      <c r="V565" t="n">
        <v>67.5</v>
      </c>
      <c r="W565" t="n">
        <v>58.98748</v>
      </c>
      <c r="X565" t="n">
        <v>28.13626</v>
      </c>
      <c r="Y565" t="n">
        <v>15.12715</v>
      </c>
      <c r="Z565" t="n">
        <v>26.28455</v>
      </c>
      <c r="AA565" t="n">
        <v>66.30155000000001</v>
      </c>
      <c r="AB565" t="n">
        <v>40.69582</v>
      </c>
      <c r="AC565" t="n">
        <v>58.16532</v>
      </c>
      <c r="AD565" t="n">
        <v>67.92152</v>
      </c>
      <c r="AE565" t="n">
        <v>97.42937000000001</v>
      </c>
      <c r="AF565" t="n">
        <v>55.62881</v>
      </c>
      <c r="AG565" t="n">
        <v>54.2789</v>
      </c>
      <c r="AH565" t="n">
        <v>68.25283</v>
      </c>
      <c r="AI565" t="n">
        <v>42.32616</v>
      </c>
      <c r="AJ565" t="n">
        <v>25.69195</v>
      </c>
      <c r="AK565" t="n">
        <v>67.87059000000001</v>
      </c>
      <c r="AL565" t="n">
        <v>67.59999999999999</v>
      </c>
      <c r="AM565" t="n">
        <v>58.35198</v>
      </c>
      <c r="AN565" t="n">
        <v>51.49534</v>
      </c>
      <c r="AO565" t="n">
        <v>41.91782</v>
      </c>
      <c r="AP565" t="n">
        <v>64.86543</v>
      </c>
      <c r="AQ565" t="n">
        <v>5.399974</v>
      </c>
      <c r="AR565" t="n">
        <v>66.84144000000001</v>
      </c>
      <c r="AS565" t="n">
        <v>41.7525</v>
      </c>
      <c r="AT565" t="n">
        <v>43.8702</v>
      </c>
      <c r="AU565" t="n">
        <v>81.69568</v>
      </c>
      <c r="AV565" t="n">
        <v>1.137292</v>
      </c>
      <c r="AW565" t="n">
        <v>64.76329</v>
      </c>
      <c r="AX565" t="n">
        <v>34.07908</v>
      </c>
    </row>
    <row r="566">
      <c r="A566" s="92" t="n">
        <v>35065</v>
      </c>
      <c r="B566" t="n">
        <v>69.96172</v>
      </c>
      <c r="C566" t="n">
        <v>69.9388</v>
      </c>
      <c r="D566" t="n">
        <v>29.25441</v>
      </c>
      <c r="E566" t="n">
        <v>69.52857</v>
      </c>
      <c r="F566" t="n">
        <v>90.51877</v>
      </c>
      <c r="G566" t="n">
        <v>50.24385</v>
      </c>
      <c r="H566" t="n">
        <v>67.73065</v>
      </c>
      <c r="I566" t="n">
        <v>26.12172</v>
      </c>
      <c r="J566" t="n">
        <v>18.79111</v>
      </c>
      <c r="K566" t="n">
        <v>55.1</v>
      </c>
      <c r="L566" t="n">
        <v>75.56657</v>
      </c>
      <c r="M566" t="n">
        <v>68.3734</v>
      </c>
      <c r="N566" t="n">
        <v>70.40000000000001</v>
      </c>
      <c r="O566" t="n">
        <v>63.9173</v>
      </c>
      <c r="R566" t="n">
        <v>73.54052</v>
      </c>
      <c r="S566" t="n">
        <v>75.97</v>
      </c>
      <c r="T566" t="n">
        <v>47.18365</v>
      </c>
      <c r="U566" t="n">
        <v>70.75045</v>
      </c>
      <c r="V566" t="n">
        <v>67.40000000000001</v>
      </c>
      <c r="W566" t="n">
        <v>58.95754</v>
      </c>
      <c r="X566" t="n">
        <v>29.37586</v>
      </c>
      <c r="Y566" t="n">
        <v>15.59577</v>
      </c>
      <c r="Z566" t="n">
        <v>26.11872</v>
      </c>
      <c r="AA566" t="n">
        <v>66.59666</v>
      </c>
      <c r="AB566" t="n">
        <v>40.86261</v>
      </c>
      <c r="AC566" t="n">
        <v>58.66935</v>
      </c>
      <c r="AD566" t="n">
        <v>68.20374</v>
      </c>
      <c r="AE566" t="n">
        <v>97.32756999999999</v>
      </c>
      <c r="AF566" t="n">
        <v>56.17593</v>
      </c>
      <c r="AG566" t="n">
        <v>55.9939</v>
      </c>
      <c r="AH566" t="n">
        <v>68.32845</v>
      </c>
      <c r="AI566" t="n">
        <v>43.8139</v>
      </c>
      <c r="AJ566" t="n">
        <v>26.61556</v>
      </c>
      <c r="AK566" t="n">
        <v>68.03</v>
      </c>
      <c r="AL566" t="n">
        <v>67.3</v>
      </c>
      <c r="AM566" t="n">
        <v>58.77394</v>
      </c>
      <c r="AN566" t="n">
        <v>51.91646</v>
      </c>
      <c r="AO566" t="n">
        <v>43.32446</v>
      </c>
      <c r="AP566" t="n">
        <v>65.16797</v>
      </c>
      <c r="AQ566" t="n">
        <v>5.621912</v>
      </c>
      <c r="AR566" t="n">
        <v>67.01535</v>
      </c>
      <c r="AS566" t="n">
        <v>42.00302</v>
      </c>
      <c r="AT566" t="n">
        <v>44.46869</v>
      </c>
      <c r="AU566" t="n">
        <v>81.5776</v>
      </c>
      <c r="AV566" t="n">
        <v>1.231749</v>
      </c>
      <c r="AW566" t="n">
        <v>65.14301</v>
      </c>
      <c r="AX566" t="n">
        <v>34.49299</v>
      </c>
    </row>
    <row r="567">
      <c r="A567" s="92" t="n">
        <v>35096</v>
      </c>
      <c r="B567" t="n">
        <v>70.27982</v>
      </c>
      <c r="C567" t="n">
        <v>70.07755</v>
      </c>
      <c r="D567" t="n">
        <v>29.5558</v>
      </c>
      <c r="E567" t="n">
        <v>69.60758</v>
      </c>
      <c r="F567" t="n">
        <v>90.66370999999999</v>
      </c>
      <c r="G567" t="n">
        <v>50.50416</v>
      </c>
      <c r="H567" t="n">
        <v>68.53433</v>
      </c>
      <c r="I567" t="n">
        <v>27.17409</v>
      </c>
      <c r="J567" t="n">
        <v>18.98364</v>
      </c>
      <c r="K567" t="n">
        <v>55.4</v>
      </c>
      <c r="L567" t="n">
        <v>76.03304</v>
      </c>
      <c r="M567" t="n">
        <v>68.75595</v>
      </c>
      <c r="N567" t="n">
        <v>70.70999999999999</v>
      </c>
      <c r="O567" t="n">
        <v>64.09142</v>
      </c>
      <c r="R567" t="n">
        <v>73.83459000000001</v>
      </c>
      <c r="S567" t="n">
        <v>76.26000000000001</v>
      </c>
      <c r="T567" t="n">
        <v>47.4618</v>
      </c>
      <c r="U567" t="n">
        <v>70.95559</v>
      </c>
      <c r="V567" t="n">
        <v>67.7</v>
      </c>
      <c r="W567" t="n">
        <v>58.86492</v>
      </c>
      <c r="X567" t="n">
        <v>30.05805</v>
      </c>
      <c r="Y567" t="n">
        <v>15.80196</v>
      </c>
      <c r="Z567" t="n">
        <v>26.20164</v>
      </c>
      <c r="AA567" t="n">
        <v>66.59666</v>
      </c>
      <c r="AB567" t="n">
        <v>40.946</v>
      </c>
      <c r="AC567" t="n">
        <v>59.375</v>
      </c>
      <c r="AD567" t="n">
        <v>68.46991</v>
      </c>
      <c r="AE567" t="n">
        <v>97.12394999999999</v>
      </c>
      <c r="AF567" t="n">
        <v>56.3973</v>
      </c>
      <c r="AG567" t="n">
        <v>57.3281</v>
      </c>
      <c r="AH567" t="n">
        <v>68.40406</v>
      </c>
      <c r="AI567" t="n">
        <v>44.57637</v>
      </c>
      <c r="AJ567" t="n">
        <v>27.23676</v>
      </c>
      <c r="AK567" t="n">
        <v>68.29000000000001</v>
      </c>
      <c r="AL567" t="n">
        <v>67.40000000000001</v>
      </c>
      <c r="AM567" t="n">
        <v>59.07816</v>
      </c>
      <c r="AN567" t="n">
        <v>52.28003</v>
      </c>
      <c r="AO567" t="n">
        <v>43.95744</v>
      </c>
      <c r="AP567" t="n">
        <v>65.55112</v>
      </c>
      <c r="AQ567" t="n">
        <v>5.778764</v>
      </c>
      <c r="AR567" t="n">
        <v>67.42115</v>
      </c>
      <c r="AS567" t="n">
        <v>42.12827</v>
      </c>
      <c r="AT567" t="n">
        <v>45.00159</v>
      </c>
      <c r="AU567" t="n">
        <v>81.67334</v>
      </c>
      <c r="AV567" t="n">
        <v>1.287285</v>
      </c>
      <c r="AW567" t="n">
        <v>65.35397</v>
      </c>
      <c r="AX567" t="n">
        <v>34.53898</v>
      </c>
    </row>
    <row r="568">
      <c r="A568" s="92" t="n">
        <v>35125</v>
      </c>
      <c r="B568" t="n">
        <v>70.6178</v>
      </c>
      <c r="C568" t="n">
        <v>70.12711</v>
      </c>
      <c r="D568" t="n">
        <v>29.65927</v>
      </c>
      <c r="E568" t="n">
        <v>69.92362</v>
      </c>
      <c r="F568" t="n">
        <v>90.82380000000001</v>
      </c>
      <c r="G568" t="n">
        <v>50.87081</v>
      </c>
      <c r="H568" t="n">
        <v>69.04071</v>
      </c>
      <c r="I568" t="n">
        <v>27.74515</v>
      </c>
      <c r="J568" t="n">
        <v>19.08906</v>
      </c>
      <c r="K568" t="n">
        <v>55.7</v>
      </c>
      <c r="L568" t="n">
        <v>76.03304</v>
      </c>
      <c r="M568" t="n">
        <v>69.13851</v>
      </c>
      <c r="N568" t="n">
        <v>71.01000000000001</v>
      </c>
      <c r="O568" t="n">
        <v>64.31889</v>
      </c>
      <c r="R568" t="n">
        <v>73.87135000000001</v>
      </c>
      <c r="S568" t="n">
        <v>76.75</v>
      </c>
      <c r="T568" t="n">
        <v>47.78995</v>
      </c>
      <c r="U568" t="n">
        <v>71.23806999999999</v>
      </c>
      <c r="V568" t="n">
        <v>67.90000000000001</v>
      </c>
      <c r="W568" t="n">
        <v>60.47429</v>
      </c>
      <c r="X568" t="n">
        <v>30.62377</v>
      </c>
      <c r="Y568" t="n">
        <v>15.69574</v>
      </c>
      <c r="Z568" t="n">
        <v>26.45039</v>
      </c>
      <c r="AA568" t="n">
        <v>66.59666</v>
      </c>
      <c r="AB568" t="n">
        <v>41.0294</v>
      </c>
      <c r="AC568" t="n">
        <v>59.97984</v>
      </c>
      <c r="AD568" t="n">
        <v>68.73607</v>
      </c>
      <c r="AE568" t="n">
        <v>97.32756999999999</v>
      </c>
      <c r="AF568" t="n">
        <v>56.77997</v>
      </c>
      <c r="AG568" t="n">
        <v>58.6623</v>
      </c>
      <c r="AH568" t="n">
        <v>68.47280000000001</v>
      </c>
      <c r="AI568" t="n">
        <v>45.26444</v>
      </c>
      <c r="AJ568" t="n">
        <v>27.83634</v>
      </c>
      <c r="AK568" t="n">
        <v>68.92</v>
      </c>
      <c r="AL568" t="n">
        <v>67.7</v>
      </c>
      <c r="AM568" t="n">
        <v>59.45631</v>
      </c>
      <c r="AN568" t="n">
        <v>52.66048</v>
      </c>
      <c r="AO568" t="n">
        <v>44.59043</v>
      </c>
      <c r="AP568" t="n">
        <v>65.783</v>
      </c>
      <c r="AQ568" t="n">
        <v>5.940569</v>
      </c>
      <c r="AR568" t="n">
        <v>67.53709000000001</v>
      </c>
      <c r="AS568" t="n">
        <v>42.25353</v>
      </c>
      <c r="AT568" t="n">
        <v>45.69846</v>
      </c>
      <c r="AU568" t="n">
        <v>82.04992</v>
      </c>
      <c r="AV568" t="n">
        <v>1.359434</v>
      </c>
      <c r="AW568" t="n">
        <v>65.69149</v>
      </c>
      <c r="AX568" t="n">
        <v>34.81493</v>
      </c>
    </row>
    <row r="569">
      <c r="A569" s="92" t="n">
        <v>35156</v>
      </c>
      <c r="B569" t="n">
        <v>70.55815</v>
      </c>
      <c r="C569" t="n">
        <v>70.24603</v>
      </c>
      <c r="D569" t="n">
        <v>30.03304</v>
      </c>
      <c r="E569" t="n">
        <v>70.08163999999999</v>
      </c>
      <c r="F569" t="n">
        <v>90.91181</v>
      </c>
      <c r="G569" t="n">
        <v>51.38633</v>
      </c>
      <c r="H569" t="n">
        <v>70.21595000000001</v>
      </c>
      <c r="I569" t="n">
        <v>28.29173</v>
      </c>
      <c r="J569" t="n">
        <v>19.23426</v>
      </c>
      <c r="K569" t="n">
        <v>56</v>
      </c>
      <c r="L569" t="n">
        <v>76.03304</v>
      </c>
      <c r="M569" t="n">
        <v>69.3124</v>
      </c>
      <c r="N569" t="n">
        <v>71.14</v>
      </c>
      <c r="O569" t="n">
        <v>64.68401</v>
      </c>
      <c r="R569" t="n">
        <v>73.98898</v>
      </c>
      <c r="S569" t="n">
        <v>76.84</v>
      </c>
      <c r="T569" t="n">
        <v>48.18415</v>
      </c>
      <c r="U569" t="n">
        <v>71.49985</v>
      </c>
      <c r="V569" t="n">
        <v>68.3</v>
      </c>
      <c r="W569" t="n">
        <v>61.08921</v>
      </c>
      <c r="X569" t="n">
        <v>31.11462</v>
      </c>
      <c r="Y569" t="n">
        <v>15.73948</v>
      </c>
      <c r="Z569" t="n">
        <v>26.86497</v>
      </c>
      <c r="AA569" t="n">
        <v>66.89176999999999</v>
      </c>
      <c r="AB569" t="n">
        <v>41.07109</v>
      </c>
      <c r="AC569" t="n">
        <v>60.8871</v>
      </c>
      <c r="AD569" t="n">
        <v>69.00223</v>
      </c>
      <c r="AE569" t="n">
        <v>97.93841</v>
      </c>
      <c r="AF569" t="n">
        <v>57.16369</v>
      </c>
      <c r="AG569" t="n">
        <v>59.4143</v>
      </c>
      <c r="AH569" t="n">
        <v>68.62403</v>
      </c>
      <c r="AI569" t="n">
        <v>45.48761</v>
      </c>
      <c r="AJ569" t="n">
        <v>28.62766</v>
      </c>
      <c r="AK569" t="n">
        <v>69.13</v>
      </c>
      <c r="AL569" t="n">
        <v>67.90000000000001</v>
      </c>
      <c r="AM569" t="n">
        <v>59.85994</v>
      </c>
      <c r="AN569" t="n">
        <v>53.05539</v>
      </c>
      <c r="AO569" t="n">
        <v>45.57508</v>
      </c>
      <c r="AP569" t="n">
        <v>66.31144</v>
      </c>
      <c r="AQ569" t="n">
        <v>6.068886</v>
      </c>
      <c r="AR569" t="n">
        <v>67.71101</v>
      </c>
      <c r="AS569" t="n">
        <v>42.37879</v>
      </c>
      <c r="AT569" t="n">
        <v>46.37074</v>
      </c>
      <c r="AU569" t="n">
        <v>82.2765</v>
      </c>
      <c r="AV569" t="n">
        <v>1.450569</v>
      </c>
      <c r="AW569" t="n">
        <v>65.94463</v>
      </c>
      <c r="AX569" t="n">
        <v>35.04488</v>
      </c>
    </row>
    <row r="570">
      <c r="A570" s="92" t="n">
        <v>35186</v>
      </c>
      <c r="B570" t="n">
        <v>70.45874999999999</v>
      </c>
      <c r="C570" t="n">
        <v>70.12711</v>
      </c>
      <c r="D570" t="n">
        <v>30.39939</v>
      </c>
      <c r="E570" t="n">
        <v>70.31867</v>
      </c>
      <c r="F570" t="n">
        <v>90.57980999999999</v>
      </c>
      <c r="G570" t="n">
        <v>51.80232</v>
      </c>
      <c r="H570" t="n">
        <v>70.28121</v>
      </c>
      <c r="I570" t="n">
        <v>28.73226</v>
      </c>
      <c r="J570" t="n">
        <v>19.55588</v>
      </c>
      <c r="K570" t="n">
        <v>56.2</v>
      </c>
      <c r="L570" t="n">
        <v>76.12633</v>
      </c>
      <c r="M570" t="n">
        <v>69.55585000000001</v>
      </c>
      <c r="N570" t="n">
        <v>71.31999999999999</v>
      </c>
      <c r="O570" t="n">
        <v>64.90711</v>
      </c>
      <c r="R570" t="n">
        <v>74.14337</v>
      </c>
      <c r="S570" t="n">
        <v>77</v>
      </c>
      <c r="T570" t="n">
        <v>48.44363</v>
      </c>
      <c r="U570" t="n">
        <v>71.66007999999999</v>
      </c>
      <c r="V570" t="n">
        <v>68.59999999999999</v>
      </c>
      <c r="W570" t="n">
        <v>61.60454</v>
      </c>
      <c r="X570" t="n">
        <v>31.75521</v>
      </c>
      <c r="Y570" t="n">
        <v>15.8457</v>
      </c>
      <c r="Z570" t="n">
        <v>27.19664</v>
      </c>
      <c r="AA570" t="n">
        <v>66.89176999999999</v>
      </c>
      <c r="AB570" t="n">
        <v>41.32127</v>
      </c>
      <c r="AC570" t="n">
        <v>61.99597</v>
      </c>
      <c r="AD570" t="n">
        <v>69.26839</v>
      </c>
      <c r="AE570" t="n">
        <v>98.14202</v>
      </c>
      <c r="AF570" t="n">
        <v>57.49259</v>
      </c>
      <c r="AG570" t="n">
        <v>59.5686</v>
      </c>
      <c r="AH570" t="n">
        <v>68.6859</v>
      </c>
      <c r="AI570" t="n">
        <v>45.69217</v>
      </c>
      <c r="AJ570" t="n">
        <v>29.14947</v>
      </c>
      <c r="AK570" t="n">
        <v>68.95999999999999</v>
      </c>
      <c r="AL570" t="n">
        <v>68</v>
      </c>
      <c r="AM570" t="n">
        <v>60.11747</v>
      </c>
      <c r="AN570" t="n">
        <v>53.34712</v>
      </c>
      <c r="AO570" t="n">
        <v>46.20807</v>
      </c>
      <c r="AP570" t="n">
        <v>66.56122999999999</v>
      </c>
      <c r="AQ570" t="n">
        <v>6.165988</v>
      </c>
      <c r="AR570" t="n">
        <v>67.65304</v>
      </c>
      <c r="AS570" t="n">
        <v>42.5458</v>
      </c>
      <c r="AT570" t="n">
        <v>46.62489</v>
      </c>
      <c r="AU570" t="n">
        <v>82.18715</v>
      </c>
      <c r="AV570" t="n">
        <v>1.516072</v>
      </c>
      <c r="AW570" t="n">
        <v>66.07120999999999</v>
      </c>
      <c r="AX570" t="n">
        <v>35.27483</v>
      </c>
    </row>
    <row r="571">
      <c r="A571" s="92" t="n">
        <v>35217</v>
      </c>
      <c r="B571" t="n">
        <v>70.83649</v>
      </c>
      <c r="C571" t="n">
        <v>70.13702000000001</v>
      </c>
      <c r="D571" t="n">
        <v>30.7611</v>
      </c>
      <c r="E571" t="n">
        <v>70.31867</v>
      </c>
      <c r="F571" t="n">
        <v>90.75654</v>
      </c>
      <c r="G571" t="n">
        <v>52.0201</v>
      </c>
      <c r="H571" t="n">
        <v>69.50586</v>
      </c>
      <c r="I571" t="n">
        <v>29.05857</v>
      </c>
      <c r="J571" t="n">
        <v>19.82263</v>
      </c>
      <c r="K571" t="n">
        <v>56.7</v>
      </c>
      <c r="L571" t="n">
        <v>76.21962000000001</v>
      </c>
      <c r="M571" t="n">
        <v>69.48629</v>
      </c>
      <c r="N571" t="n">
        <v>71.33</v>
      </c>
      <c r="O571" t="n">
        <v>64.8527</v>
      </c>
      <c r="R571" t="n">
        <v>74.08456</v>
      </c>
      <c r="S571" t="n">
        <v>76.91</v>
      </c>
      <c r="T571" t="n">
        <v>48.55881</v>
      </c>
      <c r="U571" t="n">
        <v>71.67292999999999</v>
      </c>
      <c r="V571" t="n">
        <v>68.7</v>
      </c>
      <c r="W571" t="n">
        <v>61.76471</v>
      </c>
      <c r="X571" t="n">
        <v>32.02975</v>
      </c>
      <c r="Y571" t="n">
        <v>15.72698</v>
      </c>
      <c r="Z571" t="n">
        <v>27.61122</v>
      </c>
      <c r="AA571" t="n">
        <v>66.89176999999999</v>
      </c>
      <c r="AB571" t="n">
        <v>41.27958</v>
      </c>
      <c r="AC571" t="n">
        <v>62.39919</v>
      </c>
      <c r="AD571" t="n">
        <v>69.40147</v>
      </c>
      <c r="AE571" t="n">
        <v>97.8366</v>
      </c>
      <c r="AF571" t="n">
        <v>57.49259</v>
      </c>
      <c r="AG571" t="n">
        <v>59.8128</v>
      </c>
      <c r="AH571" t="n">
        <v>68.69277</v>
      </c>
      <c r="AI571" t="n">
        <v>46.44534</v>
      </c>
      <c r="AJ571" t="n">
        <v>29.62413</v>
      </c>
      <c r="AK571" t="n">
        <v>68.67</v>
      </c>
      <c r="AL571" t="n">
        <v>68.09999999999999</v>
      </c>
      <c r="AM571" t="n">
        <v>60.22525</v>
      </c>
      <c r="AN571" t="n">
        <v>53.49278</v>
      </c>
      <c r="AO571" t="n">
        <v>46.70039</v>
      </c>
      <c r="AP571" t="n">
        <v>66.53037999999999</v>
      </c>
      <c r="AQ571" t="n">
        <v>6.23813</v>
      </c>
      <c r="AR571" t="n">
        <v>67.71101</v>
      </c>
      <c r="AS571" t="n">
        <v>42.6293</v>
      </c>
      <c r="AT571" t="n">
        <v>46.72328</v>
      </c>
      <c r="AU571" t="n">
        <v>81.89354</v>
      </c>
      <c r="AV571" t="n">
        <v>1.55452</v>
      </c>
      <c r="AW571" t="n">
        <v>66.1134</v>
      </c>
      <c r="AX571" t="n">
        <v>35.59677</v>
      </c>
    </row>
    <row r="572">
      <c r="A572" s="92" t="n">
        <v>35247</v>
      </c>
      <c r="B572" t="n">
        <v>71.49257</v>
      </c>
      <c r="C572" t="n">
        <v>70.5929</v>
      </c>
      <c r="D572" t="n">
        <v>31.10262</v>
      </c>
      <c r="E572" t="n">
        <v>70.31867</v>
      </c>
      <c r="F572" t="n">
        <v>90.62963000000001</v>
      </c>
      <c r="G572" t="n">
        <v>52.17152</v>
      </c>
      <c r="H572" t="n">
        <v>68.73613</v>
      </c>
      <c r="I572" t="n">
        <v>29.4991</v>
      </c>
      <c r="J572" t="n">
        <v>20.05389</v>
      </c>
      <c r="K572" t="n">
        <v>57.3</v>
      </c>
      <c r="L572" t="n">
        <v>76.31291</v>
      </c>
      <c r="M572" t="n">
        <v>69.38195</v>
      </c>
      <c r="N572" t="n">
        <v>71.31</v>
      </c>
      <c r="O572" t="n">
        <v>64.93922000000001</v>
      </c>
      <c r="R572" t="n">
        <v>74.16543</v>
      </c>
      <c r="S572" t="n">
        <v>76.77</v>
      </c>
      <c r="T572" t="n">
        <v>48.67875</v>
      </c>
      <c r="U572" t="n">
        <v>71.69874</v>
      </c>
      <c r="V572" t="n">
        <v>68.3</v>
      </c>
      <c r="W572" t="n">
        <v>60.68739</v>
      </c>
      <c r="X572" t="n">
        <v>32.13791</v>
      </c>
      <c r="Y572" t="n">
        <v>15.8332</v>
      </c>
      <c r="Z572" t="n">
        <v>28.10872</v>
      </c>
      <c r="AA572" t="n">
        <v>67.18688</v>
      </c>
      <c r="AB572" t="n">
        <v>41.32127</v>
      </c>
      <c r="AC572" t="n">
        <v>62.60081</v>
      </c>
      <c r="AD572" t="n">
        <v>69.33493</v>
      </c>
      <c r="AE572" t="n">
        <v>97.73479</v>
      </c>
      <c r="AF572" t="n">
        <v>57.76668</v>
      </c>
      <c r="AG572" t="n">
        <v>59.8682</v>
      </c>
      <c r="AH572" t="n">
        <v>68.74776</v>
      </c>
      <c r="AI572" t="n">
        <v>46.60341</v>
      </c>
      <c r="AJ572" t="n">
        <v>30.04525</v>
      </c>
      <c r="AK572" t="n">
        <v>68.84</v>
      </c>
      <c r="AL572" t="n">
        <v>68.3</v>
      </c>
      <c r="AM572" t="n">
        <v>60.33893</v>
      </c>
      <c r="AN572" t="n">
        <v>53.53787</v>
      </c>
      <c r="AO572" t="n">
        <v>46.63006</v>
      </c>
      <c r="AP572" t="n">
        <v>66.62891</v>
      </c>
      <c r="AQ572" t="n">
        <v>6.283044</v>
      </c>
      <c r="AR572" t="n">
        <v>67.65304</v>
      </c>
      <c r="AS572" t="n">
        <v>42.75456</v>
      </c>
      <c r="AT572" t="n">
        <v>46.86265</v>
      </c>
      <c r="AU572" t="n">
        <v>81.70525000000001</v>
      </c>
      <c r="AV572" t="n">
        <v>1.587746</v>
      </c>
      <c r="AW572" t="n">
        <v>66.23997</v>
      </c>
      <c r="AX572" t="n">
        <v>35.87271</v>
      </c>
    </row>
    <row r="573">
      <c r="A573" s="92" t="n">
        <v>35278</v>
      </c>
      <c r="B573" t="n">
        <v>71.87031</v>
      </c>
      <c r="C573" t="n">
        <v>70.77128999999999</v>
      </c>
      <c r="D573" t="n">
        <v>31.23951</v>
      </c>
      <c r="E573" t="n">
        <v>70.31867</v>
      </c>
      <c r="F573" t="n">
        <v>90.864</v>
      </c>
      <c r="G573" t="n">
        <v>52.39441</v>
      </c>
      <c r="H573" t="n">
        <v>69.75655</v>
      </c>
      <c r="I573" t="n">
        <v>29.82542</v>
      </c>
      <c r="J573" t="n">
        <v>20.24643</v>
      </c>
      <c r="K573" t="n">
        <v>57.4</v>
      </c>
      <c r="L573" t="n">
        <v>76.31291</v>
      </c>
      <c r="M573" t="n">
        <v>69.52106000000001</v>
      </c>
      <c r="N573" t="n">
        <v>71.27</v>
      </c>
      <c r="O573" t="n">
        <v>65.12314000000001</v>
      </c>
      <c r="R573" t="n">
        <v>73.95958</v>
      </c>
      <c r="S573" t="n">
        <v>76.62</v>
      </c>
      <c r="T573" t="n">
        <v>48.87772</v>
      </c>
      <c r="U573" t="n">
        <v>71.78233</v>
      </c>
      <c r="V573" t="n">
        <v>68.7</v>
      </c>
      <c r="W573" t="n">
        <v>60.64212</v>
      </c>
      <c r="X573" t="n">
        <v>32.23774</v>
      </c>
      <c r="Y573" t="n">
        <v>15.82696</v>
      </c>
      <c r="Z573" t="n">
        <v>28.44038</v>
      </c>
      <c r="AA573" t="n">
        <v>67.18688</v>
      </c>
      <c r="AB573" t="n">
        <v>41.61315</v>
      </c>
      <c r="AC573" t="n">
        <v>62.80242</v>
      </c>
      <c r="AD573" t="n">
        <v>69.40147</v>
      </c>
      <c r="AE573" t="n">
        <v>97.63299000000001</v>
      </c>
      <c r="AF573" t="n">
        <v>58.03971</v>
      </c>
      <c r="AG573" t="n">
        <v>59.8755</v>
      </c>
      <c r="AH573" t="n">
        <v>68.80963</v>
      </c>
      <c r="AI573" t="n">
        <v>46.38025</v>
      </c>
      <c r="AJ573" t="n">
        <v>30.44459</v>
      </c>
      <c r="AK573" t="n">
        <v>68.75</v>
      </c>
      <c r="AL573" t="n">
        <v>68.3</v>
      </c>
      <c r="AM573" t="n">
        <v>60.53452</v>
      </c>
      <c r="AN573" t="n">
        <v>53.78775</v>
      </c>
      <c r="AO573" t="n">
        <v>46.84105</v>
      </c>
      <c r="AP573" t="n">
        <v>66.82396</v>
      </c>
      <c r="AQ573" t="n">
        <v>6.26985</v>
      </c>
      <c r="AR573" t="n">
        <v>67.82696</v>
      </c>
      <c r="AS573" t="n">
        <v>43.00508</v>
      </c>
      <c r="AT573" t="n">
        <v>46.5839</v>
      </c>
      <c r="AU573" t="n">
        <v>81.33186000000001</v>
      </c>
      <c r="AV573" t="n">
        <v>1.669863</v>
      </c>
      <c r="AW573" t="n">
        <v>66.36655</v>
      </c>
      <c r="AX573" t="n">
        <v>36.05667</v>
      </c>
    </row>
    <row r="574">
      <c r="A574" s="92" t="n">
        <v>35309</v>
      </c>
      <c r="B574" t="n">
        <v>71.31364000000001</v>
      </c>
      <c r="C574" t="n">
        <v>70.62263</v>
      </c>
      <c r="D574" t="n">
        <v>31.28637</v>
      </c>
      <c r="E574" t="n">
        <v>70.39767999999999</v>
      </c>
      <c r="F574" t="n">
        <v>90.91692</v>
      </c>
      <c r="G574" t="n">
        <v>52.65047</v>
      </c>
      <c r="H574" t="n">
        <v>71.15501</v>
      </c>
      <c r="I574" t="n">
        <v>30.18437</v>
      </c>
      <c r="J574" t="n">
        <v>20.43143</v>
      </c>
      <c r="K574" t="n">
        <v>57.5</v>
      </c>
      <c r="L574" t="n">
        <v>76.31291</v>
      </c>
      <c r="M574" t="n">
        <v>69.86884000000001</v>
      </c>
      <c r="N574" t="n">
        <v>71.44</v>
      </c>
      <c r="O574" t="n">
        <v>65.28203999999999</v>
      </c>
      <c r="R574" t="n">
        <v>74.05515</v>
      </c>
      <c r="S574" t="n">
        <v>76.84999999999999</v>
      </c>
      <c r="T574" t="n">
        <v>49.1588</v>
      </c>
      <c r="U574" t="n">
        <v>71.98377000000001</v>
      </c>
      <c r="V574" t="n">
        <v>69</v>
      </c>
      <c r="W574" t="n">
        <v>62.06207</v>
      </c>
      <c r="X574" t="n">
        <v>32.6953</v>
      </c>
      <c r="Y574" t="n">
        <v>15.8582</v>
      </c>
      <c r="Z574" t="n">
        <v>28.5233</v>
      </c>
      <c r="AA574" t="n">
        <v>67.18688</v>
      </c>
      <c r="AB574" t="n">
        <v>41.69654</v>
      </c>
      <c r="AC574" t="n">
        <v>63.10484</v>
      </c>
      <c r="AD574" t="n">
        <v>69.46801000000001</v>
      </c>
      <c r="AE574" t="n">
        <v>98.04021</v>
      </c>
      <c r="AF574" t="n">
        <v>58.1504</v>
      </c>
      <c r="AG574" t="n">
        <v>60.0823</v>
      </c>
      <c r="AH574" t="n">
        <v>68.83025000000001</v>
      </c>
      <c r="AI574" t="n">
        <v>46.6871</v>
      </c>
      <c r="AJ574" t="n">
        <v>30.93136</v>
      </c>
      <c r="AK574" t="n">
        <v>69.37</v>
      </c>
      <c r="AL574" t="n">
        <v>68.59999999999999</v>
      </c>
      <c r="AM574" t="n">
        <v>60.85194</v>
      </c>
      <c r="AN574" t="n">
        <v>54.16205</v>
      </c>
      <c r="AO574" t="n">
        <v>47.75537</v>
      </c>
      <c r="AP574" t="n">
        <v>66.81699</v>
      </c>
      <c r="AQ574" t="n">
        <v>6.290541</v>
      </c>
      <c r="AR574" t="n">
        <v>67.88493</v>
      </c>
      <c r="AS574" t="n">
        <v>43.38085</v>
      </c>
      <c r="AT574" t="n">
        <v>46.76427</v>
      </c>
      <c r="AU574" t="n">
        <v>81.7978</v>
      </c>
      <c r="AV574" t="n">
        <v>1.76527</v>
      </c>
      <c r="AW574" t="n">
        <v>66.5775</v>
      </c>
      <c r="AX574" t="n">
        <v>36.4246</v>
      </c>
    </row>
    <row r="575">
      <c r="A575" s="92" t="n">
        <v>35339</v>
      </c>
      <c r="B575" t="n">
        <v>71.15459</v>
      </c>
      <c r="C575" t="n">
        <v>70.83074999999999</v>
      </c>
      <c r="D575" t="n">
        <v>31.38034</v>
      </c>
      <c r="E575" t="n">
        <v>70.5557</v>
      </c>
      <c r="F575" t="n">
        <v>91.06187</v>
      </c>
      <c r="G575" t="n">
        <v>53.02732</v>
      </c>
      <c r="H575" t="n">
        <v>70.93346</v>
      </c>
      <c r="I575" t="n">
        <v>30.527</v>
      </c>
      <c r="J575" t="n">
        <v>20.69604</v>
      </c>
      <c r="K575" t="n">
        <v>57.8</v>
      </c>
      <c r="L575" t="n">
        <v>76.31291</v>
      </c>
      <c r="M575" t="n">
        <v>69.97318</v>
      </c>
      <c r="N575" t="n">
        <v>71.52</v>
      </c>
      <c r="O575" t="n">
        <v>65.37128</v>
      </c>
      <c r="R575" t="n">
        <v>74.15808</v>
      </c>
      <c r="S575" t="n">
        <v>77.05</v>
      </c>
      <c r="T575" t="n">
        <v>49.3806</v>
      </c>
      <c r="U575" t="n">
        <v>72.15088</v>
      </c>
      <c r="V575" t="n">
        <v>69.09999999999999</v>
      </c>
      <c r="W575" t="n">
        <v>62.55164</v>
      </c>
      <c r="X575" t="n">
        <v>33.12791</v>
      </c>
      <c r="Y575" t="n">
        <v>15.92068</v>
      </c>
      <c r="Z575" t="n">
        <v>28.68913</v>
      </c>
      <c r="AA575" t="n">
        <v>67.58036</v>
      </c>
      <c r="AB575" t="n">
        <v>41.69654</v>
      </c>
      <c r="AC575" t="n">
        <v>63.60887</v>
      </c>
      <c r="AD575" t="n">
        <v>69.53455</v>
      </c>
      <c r="AE575" t="n">
        <v>98.24383</v>
      </c>
      <c r="AF575" t="n">
        <v>58.1504</v>
      </c>
      <c r="AG575" t="n">
        <v>60.1446</v>
      </c>
      <c r="AH575" t="n">
        <v>68.96086</v>
      </c>
      <c r="AI575" t="n">
        <v>47.2357</v>
      </c>
      <c r="AJ575" t="n">
        <v>31.31744</v>
      </c>
      <c r="AK575" t="n">
        <v>69.53</v>
      </c>
      <c r="AL575" t="n">
        <v>68.90000000000001</v>
      </c>
      <c r="AM575" t="n">
        <v>61.14652</v>
      </c>
      <c r="AN575" t="n">
        <v>54.526</v>
      </c>
      <c r="AO575" t="n">
        <v>48.45869</v>
      </c>
      <c r="AP575" t="n">
        <v>66.78017</v>
      </c>
      <c r="AQ575" t="n">
        <v>6.366027</v>
      </c>
      <c r="AR575" t="n">
        <v>67.76898</v>
      </c>
      <c r="AS575" t="n">
        <v>43.67312</v>
      </c>
      <c r="AT575" t="n">
        <v>47.20699</v>
      </c>
      <c r="AU575" t="n">
        <v>81.82971000000001</v>
      </c>
      <c r="AV575" t="n">
        <v>1.879664</v>
      </c>
      <c r="AW575" t="n">
        <v>66.78846</v>
      </c>
      <c r="AX575" t="n">
        <v>36.74654</v>
      </c>
    </row>
    <row r="576">
      <c r="A576" s="92" t="n">
        <v>35370</v>
      </c>
      <c r="B576" t="n">
        <v>71.21423</v>
      </c>
      <c r="C576" t="n">
        <v>70.93977</v>
      </c>
      <c r="D576" t="n">
        <v>31.4808</v>
      </c>
      <c r="E576" t="n">
        <v>70.87174</v>
      </c>
      <c r="F576" t="n">
        <v>90.89437</v>
      </c>
      <c r="G576" t="n">
        <v>53.2366</v>
      </c>
      <c r="H576" t="n">
        <v>70.79649999999999</v>
      </c>
      <c r="I576" t="n">
        <v>30.77174</v>
      </c>
      <c r="J576" t="n">
        <v>20.90793</v>
      </c>
      <c r="K576" t="n">
        <v>58.1</v>
      </c>
      <c r="L576" t="n">
        <v>76.21962000000001</v>
      </c>
      <c r="M576" t="n">
        <v>70.11229</v>
      </c>
      <c r="N576" t="n">
        <v>71.53</v>
      </c>
      <c r="O576" t="n">
        <v>65.37508</v>
      </c>
      <c r="R576" t="n">
        <v>73.93752000000001</v>
      </c>
      <c r="S576" t="n">
        <v>76.98</v>
      </c>
      <c r="T576" t="n">
        <v>49.5658</v>
      </c>
      <c r="U576" t="n">
        <v>72.21378</v>
      </c>
      <c r="V576" t="n">
        <v>69.2</v>
      </c>
      <c r="W576" t="n">
        <v>62.51194</v>
      </c>
      <c r="X576" t="n">
        <v>33.40245</v>
      </c>
      <c r="Y576" t="n">
        <v>15.98941</v>
      </c>
      <c r="Z576" t="n">
        <v>28.93788</v>
      </c>
      <c r="AA576" t="n">
        <v>67.58036</v>
      </c>
      <c r="AB576" t="n">
        <v>41.73824</v>
      </c>
      <c r="AC576" t="n">
        <v>64.0121</v>
      </c>
      <c r="AD576" t="n">
        <v>69.80071</v>
      </c>
      <c r="AE576" t="n">
        <v>97.93841</v>
      </c>
      <c r="AF576" t="n">
        <v>58.1504</v>
      </c>
      <c r="AG576" t="n">
        <v>60.8218</v>
      </c>
      <c r="AH576" t="n">
        <v>69.16708</v>
      </c>
      <c r="AI576" t="n">
        <v>47.60763</v>
      </c>
      <c r="AJ576" t="n">
        <v>31.79193</v>
      </c>
      <c r="AK576" t="n">
        <v>69.45</v>
      </c>
      <c r="AL576" t="n">
        <v>68.8</v>
      </c>
      <c r="AM576" t="n">
        <v>61.34442</v>
      </c>
      <c r="AN576" t="n">
        <v>54.79906</v>
      </c>
      <c r="AO576" t="n">
        <v>49.09167</v>
      </c>
      <c r="AP576" t="n">
        <v>66.90358000000001</v>
      </c>
      <c r="AQ576" t="n">
        <v>6.485708</v>
      </c>
      <c r="AR576" t="n">
        <v>67.65304</v>
      </c>
      <c r="AS576" t="n">
        <v>43.84013</v>
      </c>
      <c r="AT576" t="n">
        <v>47.42015</v>
      </c>
      <c r="AU576" t="n">
        <v>81.66695</v>
      </c>
      <c r="AV576" t="n">
        <v>1.97697</v>
      </c>
      <c r="AW576" t="n">
        <v>66.91503</v>
      </c>
      <c r="AX576" t="n">
        <v>36.88451</v>
      </c>
    </row>
    <row r="577">
      <c r="A577" s="92" t="n">
        <v>35400</v>
      </c>
      <c r="B577" t="n">
        <v>71.21423</v>
      </c>
      <c r="C577" t="n">
        <v>71.0686</v>
      </c>
      <c r="D577" t="n">
        <v>31.62882</v>
      </c>
      <c r="E577" t="n">
        <v>70.87174</v>
      </c>
      <c r="F577" t="n">
        <v>90.96634</v>
      </c>
      <c r="G577" t="n">
        <v>53.4297</v>
      </c>
      <c r="H577" t="n">
        <v>71.14870000000001</v>
      </c>
      <c r="I577" t="n">
        <v>31.00016</v>
      </c>
      <c r="J577" t="n">
        <v>21.13274</v>
      </c>
      <c r="K577" t="n">
        <v>58.5</v>
      </c>
      <c r="L577" t="n">
        <v>76.49948999999999</v>
      </c>
      <c r="M577" t="n">
        <v>70.04273000000001</v>
      </c>
      <c r="N577" t="n">
        <v>71.73</v>
      </c>
      <c r="O577" t="n">
        <v>65.5688</v>
      </c>
      <c r="R577" t="n">
        <v>73.98898</v>
      </c>
      <c r="S577" t="n">
        <v>77.14</v>
      </c>
      <c r="T577" t="n">
        <v>49.79366</v>
      </c>
      <c r="U577" t="n">
        <v>72.28241</v>
      </c>
      <c r="V577" t="n">
        <v>69.40000000000001</v>
      </c>
      <c r="W577" t="n">
        <v>63.28773</v>
      </c>
      <c r="X577" t="n">
        <v>33.71027</v>
      </c>
      <c r="Y577" t="n">
        <v>16.0394</v>
      </c>
      <c r="Z577" t="n">
        <v>29.0208</v>
      </c>
      <c r="AA577" t="n">
        <v>67.58036</v>
      </c>
      <c r="AB577" t="n">
        <v>41.52975</v>
      </c>
      <c r="AC577" t="n">
        <v>64.51613</v>
      </c>
      <c r="AD577" t="n">
        <v>69.86725</v>
      </c>
      <c r="AE577" t="n">
        <v>98.04021</v>
      </c>
      <c r="AF577" t="n">
        <v>58.36861</v>
      </c>
      <c r="AG577" t="n">
        <v>61.3727</v>
      </c>
      <c r="AH577" t="n">
        <v>69.16021000000001</v>
      </c>
      <c r="AI577" t="n">
        <v>47.87729</v>
      </c>
      <c r="AJ577" t="n">
        <v>32.80985</v>
      </c>
      <c r="AK577" t="n">
        <v>69.37</v>
      </c>
      <c r="AL577" t="n">
        <v>68.8</v>
      </c>
      <c r="AM577" t="n">
        <v>61.57853</v>
      </c>
      <c r="AN577" t="n">
        <v>55.09747</v>
      </c>
      <c r="AO577" t="n">
        <v>49.72466</v>
      </c>
      <c r="AP577" t="n">
        <v>66.93541999999999</v>
      </c>
      <c r="AQ577" t="n">
        <v>6.577806</v>
      </c>
      <c r="AR577" t="n">
        <v>67.65304</v>
      </c>
      <c r="AS577" t="n">
        <v>44.00714</v>
      </c>
      <c r="AT577" t="n">
        <v>47.81368</v>
      </c>
      <c r="AU577" t="n">
        <v>81.54249</v>
      </c>
      <c r="AV577" t="n">
        <v>2.044372</v>
      </c>
      <c r="AW577" t="n">
        <v>66.91503</v>
      </c>
      <c r="AX577" t="n">
        <v>37.25243</v>
      </c>
    </row>
    <row r="578">
      <c r="A578" s="92" t="n">
        <v>35431</v>
      </c>
      <c r="B578" t="n">
        <v>71.41304</v>
      </c>
      <c r="C578" t="n">
        <v>71.56413000000001</v>
      </c>
      <c r="D578" t="n">
        <v>32.00213</v>
      </c>
      <c r="E578" t="n">
        <v>71.02976</v>
      </c>
      <c r="F578" t="n">
        <v>91.27016999999999</v>
      </c>
      <c r="G578" t="n">
        <v>53.69938</v>
      </c>
      <c r="H578" t="n">
        <v>71.72676</v>
      </c>
      <c r="I578" t="n">
        <v>31.51411</v>
      </c>
      <c r="J578" t="n">
        <v>21.56836</v>
      </c>
      <c r="K578" t="n">
        <v>59.2</v>
      </c>
      <c r="L578" t="n">
        <v>77.15253</v>
      </c>
      <c r="M578" t="n">
        <v>70.21662000000001</v>
      </c>
      <c r="N578" t="n">
        <v>71.95</v>
      </c>
      <c r="O578" t="n">
        <v>65.75924999999999</v>
      </c>
      <c r="R578" t="n">
        <v>74.0331</v>
      </c>
      <c r="S578" t="n">
        <v>77.31</v>
      </c>
      <c r="T578" t="n">
        <v>50.12432</v>
      </c>
      <c r="U578" t="n">
        <v>72.46992</v>
      </c>
      <c r="V578" t="n">
        <v>69.2</v>
      </c>
      <c r="W578" t="n">
        <v>62.9444</v>
      </c>
      <c r="X578" t="n">
        <v>34.94155</v>
      </c>
      <c r="Y578" t="n">
        <v>16.31432</v>
      </c>
      <c r="Z578" t="n">
        <v>29.0208</v>
      </c>
      <c r="AA578" t="n">
        <v>67.28133</v>
      </c>
      <c r="AB578" t="n">
        <v>41.69654</v>
      </c>
      <c r="AC578" t="n">
        <v>64.71774000000001</v>
      </c>
      <c r="AD578" t="n">
        <v>70.06686999999999</v>
      </c>
      <c r="AE578" t="n">
        <v>97.93841</v>
      </c>
      <c r="AF578" t="n">
        <v>58.8082</v>
      </c>
      <c r="AG578" t="n">
        <v>63.1069</v>
      </c>
      <c r="AH578" t="n">
        <v>69.24957000000001</v>
      </c>
      <c r="AI578" t="n">
        <v>48.78852</v>
      </c>
      <c r="AJ578" t="n">
        <v>33.65356</v>
      </c>
      <c r="AK578" t="n">
        <v>69.45</v>
      </c>
      <c r="AL578" t="n">
        <v>69.3</v>
      </c>
      <c r="AM578" t="n">
        <v>61.90899</v>
      </c>
      <c r="AN578" t="n">
        <v>55.50445</v>
      </c>
      <c r="AO578" t="n">
        <v>51.1313</v>
      </c>
      <c r="AP578" t="n">
        <v>67.34146</v>
      </c>
      <c r="AQ578" t="n">
        <v>6.731726</v>
      </c>
      <c r="AR578" t="n">
        <v>67.59507000000001</v>
      </c>
      <c r="AS578" t="n">
        <v>44.46642</v>
      </c>
      <c r="AT578" t="n">
        <v>48.43676</v>
      </c>
      <c r="AU578" t="n">
        <v>81.52654</v>
      </c>
      <c r="AV578" t="n">
        <v>2.164461</v>
      </c>
      <c r="AW578" t="n">
        <v>67.12598</v>
      </c>
      <c r="AX578" t="n">
        <v>37.71234</v>
      </c>
    </row>
    <row r="579">
      <c r="A579" s="92" t="n">
        <v>35462</v>
      </c>
      <c r="B579" t="n">
        <v>71.69138</v>
      </c>
      <c r="C579" t="n">
        <v>71.47494</v>
      </c>
      <c r="D579" t="n">
        <v>32.16222</v>
      </c>
      <c r="E579" t="n">
        <v>71.18778</v>
      </c>
      <c r="F579" t="n">
        <v>91.43015</v>
      </c>
      <c r="G579" t="n">
        <v>54.14769</v>
      </c>
      <c r="H579" t="n">
        <v>72.37226</v>
      </c>
      <c r="I579" t="n">
        <v>32.49306</v>
      </c>
      <c r="J579" t="n">
        <v>21.70389</v>
      </c>
      <c r="K579" t="n">
        <v>59.4</v>
      </c>
      <c r="L579" t="n">
        <v>77.24583</v>
      </c>
      <c r="M579" t="n">
        <v>70.2514</v>
      </c>
      <c r="N579" t="n">
        <v>72.11</v>
      </c>
      <c r="O579" t="n">
        <v>65.71464</v>
      </c>
      <c r="R579" t="n">
        <v>74.06985</v>
      </c>
      <c r="S579" t="n">
        <v>77.47</v>
      </c>
      <c r="T579" t="n">
        <v>50.63037</v>
      </c>
      <c r="U579" t="n">
        <v>72.60191</v>
      </c>
      <c r="V579" t="n">
        <v>69.3</v>
      </c>
      <c r="W579" t="n">
        <v>62.72226</v>
      </c>
      <c r="X579" t="n">
        <v>35.70693</v>
      </c>
      <c r="Y579" t="n">
        <v>16.43304</v>
      </c>
      <c r="Z579" t="n">
        <v>29.0208</v>
      </c>
      <c r="AA579" t="n">
        <v>67.68004000000001</v>
      </c>
      <c r="AB579" t="n">
        <v>41.69654</v>
      </c>
      <c r="AC579" t="n">
        <v>65.42339</v>
      </c>
      <c r="AD579" t="n">
        <v>70.13342</v>
      </c>
      <c r="AE579" t="n">
        <v>97.73479</v>
      </c>
      <c r="AF579" t="n">
        <v>59.13605</v>
      </c>
      <c r="AG579" t="n">
        <v>63.4551</v>
      </c>
      <c r="AH579" t="n">
        <v>69.4558</v>
      </c>
      <c r="AI579" t="n">
        <v>48.97449</v>
      </c>
      <c r="AJ579" t="n">
        <v>34.21909</v>
      </c>
      <c r="AK579" t="n">
        <v>69.59</v>
      </c>
      <c r="AL579" t="n">
        <v>69.59999999999999</v>
      </c>
      <c r="AM579" t="n">
        <v>62.16057</v>
      </c>
      <c r="AN579" t="n">
        <v>55.77241</v>
      </c>
      <c r="AO579" t="n">
        <v>51.69395</v>
      </c>
      <c r="AP579" t="n">
        <v>67.45591</v>
      </c>
      <c r="AQ579" t="n">
        <v>6.835394</v>
      </c>
      <c r="AR579" t="n">
        <v>67.76898</v>
      </c>
      <c r="AS579" t="n">
        <v>44.63343</v>
      </c>
      <c r="AT579" t="n">
        <v>48.76471</v>
      </c>
      <c r="AU579" t="n">
        <v>81.49462</v>
      </c>
      <c r="AV579" t="n">
        <v>2.286924</v>
      </c>
      <c r="AW579" t="n">
        <v>67.33694</v>
      </c>
      <c r="AX579" t="n">
        <v>37.94229</v>
      </c>
    </row>
    <row r="580">
      <c r="A580" s="92" t="n">
        <v>35490</v>
      </c>
      <c r="B580" t="n">
        <v>71.7709</v>
      </c>
      <c r="C580" t="n">
        <v>71.14789</v>
      </c>
      <c r="D580" t="n">
        <v>32.32625</v>
      </c>
      <c r="E580" t="n">
        <v>71.26679</v>
      </c>
      <c r="F580" t="n">
        <v>91.29864000000001</v>
      </c>
      <c r="G580" t="n">
        <v>54.31783</v>
      </c>
      <c r="H580" t="n">
        <v>71.80234</v>
      </c>
      <c r="I580" t="n">
        <v>32.99886</v>
      </c>
      <c r="J580" t="n">
        <v>21.94053</v>
      </c>
      <c r="K580" t="n">
        <v>59.5</v>
      </c>
      <c r="L580" t="n">
        <v>77.24583</v>
      </c>
      <c r="M580" t="n">
        <v>70.28618</v>
      </c>
      <c r="N580" t="n">
        <v>72.2</v>
      </c>
      <c r="O580" t="n">
        <v>65.74728</v>
      </c>
      <c r="R580" t="n">
        <v>74.261</v>
      </c>
      <c r="S580" t="n">
        <v>77.53</v>
      </c>
      <c r="T580" t="n">
        <v>50.93056</v>
      </c>
      <c r="U580" t="n">
        <v>72.73335</v>
      </c>
      <c r="V580" t="n">
        <v>69.40000000000001</v>
      </c>
      <c r="W580" t="n">
        <v>64.10251</v>
      </c>
      <c r="X580" t="n">
        <v>36.37249</v>
      </c>
      <c r="Y580" t="n">
        <v>16.43929</v>
      </c>
      <c r="Z580" t="n">
        <v>29.10372</v>
      </c>
      <c r="AA580" t="n">
        <v>67.77972</v>
      </c>
      <c r="AB580" t="n">
        <v>41.69654</v>
      </c>
      <c r="AC580" t="n">
        <v>66.02822999999999</v>
      </c>
      <c r="AD580" t="n">
        <v>70.33302999999999</v>
      </c>
      <c r="AE580" t="n">
        <v>97.8366</v>
      </c>
      <c r="AF580" t="n">
        <v>59.35532</v>
      </c>
      <c r="AG580" t="n">
        <v>63.544</v>
      </c>
      <c r="AH580" t="n">
        <v>69.32519000000001</v>
      </c>
      <c r="AI580" t="n">
        <v>49.17905</v>
      </c>
      <c r="AJ580" t="n">
        <v>34.64496</v>
      </c>
      <c r="AK580" t="n">
        <v>70.12</v>
      </c>
      <c r="AL580" t="n">
        <v>69.7</v>
      </c>
      <c r="AM580" t="n">
        <v>62.40004</v>
      </c>
      <c r="AN580" t="n">
        <v>56.0578</v>
      </c>
      <c r="AO580" t="n">
        <v>52.11595</v>
      </c>
      <c r="AP580" t="n">
        <v>67.54447999999999</v>
      </c>
      <c r="AQ580" t="n">
        <v>6.933141</v>
      </c>
      <c r="AR580" t="n">
        <v>67.71101</v>
      </c>
      <c r="AS580" t="n">
        <v>44.88394</v>
      </c>
      <c r="AT580" t="n">
        <v>49.01886</v>
      </c>
      <c r="AU580" t="n">
        <v>81.82652</v>
      </c>
      <c r="AV580" t="n">
        <v>2.410336</v>
      </c>
      <c r="AW580" t="n">
        <v>67.50570999999999</v>
      </c>
      <c r="AX580" t="n">
        <v>38.17225</v>
      </c>
    </row>
    <row r="581">
      <c r="A581" s="92" t="n">
        <v>35521</v>
      </c>
      <c r="B581" t="n">
        <v>71.7709</v>
      </c>
      <c r="C581" t="n">
        <v>71.12806999999999</v>
      </c>
      <c r="D581" t="n">
        <v>32.6107</v>
      </c>
      <c r="E581" t="n">
        <v>71.26679</v>
      </c>
      <c r="F581" t="n">
        <v>91.38655</v>
      </c>
      <c r="G581" t="n">
        <v>54.49733</v>
      </c>
      <c r="H581" t="n">
        <v>72.46286000000001</v>
      </c>
      <c r="I581" t="n">
        <v>33.53728</v>
      </c>
      <c r="J581" t="n">
        <v>22.23417</v>
      </c>
      <c r="K581" t="n">
        <v>59.9</v>
      </c>
      <c r="L581" t="n">
        <v>77.15253</v>
      </c>
      <c r="M581" t="n">
        <v>70.49485</v>
      </c>
      <c r="N581" t="n">
        <v>72.18000000000001</v>
      </c>
      <c r="O581" t="n">
        <v>65.77122</v>
      </c>
      <c r="R581" t="n">
        <v>74.65065</v>
      </c>
      <c r="S581" t="n">
        <v>77.56</v>
      </c>
      <c r="T581" t="n">
        <v>51.24964</v>
      </c>
      <c r="U581" t="n">
        <v>72.99963</v>
      </c>
      <c r="V581" t="n">
        <v>69.7</v>
      </c>
      <c r="W581" t="n">
        <v>64.66938</v>
      </c>
      <c r="X581" t="n">
        <v>36.87997</v>
      </c>
      <c r="Y581" t="n">
        <v>16.50802</v>
      </c>
      <c r="Z581" t="n">
        <v>29.35247</v>
      </c>
      <c r="AA581" t="n">
        <v>67.77972</v>
      </c>
      <c r="AB581" t="n">
        <v>41.98842</v>
      </c>
      <c r="AC581" t="n">
        <v>66.53225999999999</v>
      </c>
      <c r="AD581" t="n">
        <v>70.39957</v>
      </c>
      <c r="AE581" t="n">
        <v>99.77094</v>
      </c>
      <c r="AF581" t="n">
        <v>59.62941</v>
      </c>
      <c r="AG581" t="n">
        <v>63.7417</v>
      </c>
      <c r="AH581" t="n">
        <v>69.33893999999999</v>
      </c>
      <c r="AI581" t="n">
        <v>49.5045</v>
      </c>
      <c r="AJ581" t="n">
        <v>35.01925</v>
      </c>
      <c r="AK581" t="n">
        <v>70.2</v>
      </c>
      <c r="AL581" t="n">
        <v>69.7</v>
      </c>
      <c r="AM581" t="n">
        <v>62.73863</v>
      </c>
      <c r="AN581" t="n">
        <v>56.37446</v>
      </c>
      <c r="AO581" t="n">
        <v>52.60827</v>
      </c>
      <c r="AP581" t="n">
        <v>67.65295</v>
      </c>
      <c r="AQ581" t="n">
        <v>6.999699</v>
      </c>
      <c r="AR581" t="n">
        <v>67.94289999999999</v>
      </c>
      <c r="AS581" t="n">
        <v>45.13446</v>
      </c>
      <c r="AT581" t="n">
        <v>49.57635</v>
      </c>
      <c r="AU581" t="n">
        <v>82.23502000000001</v>
      </c>
      <c r="AV581" t="n">
        <v>2.569823</v>
      </c>
      <c r="AW581" t="n">
        <v>67.59009</v>
      </c>
      <c r="AX581" t="n">
        <v>38.49418</v>
      </c>
    </row>
    <row r="582">
      <c r="A582" s="92" t="n">
        <v>35551</v>
      </c>
      <c r="B582" t="n">
        <v>71.83054</v>
      </c>
      <c r="C582" t="n">
        <v>71.23708000000001</v>
      </c>
      <c r="D582" t="n">
        <v>32.74434</v>
      </c>
      <c r="E582" t="n">
        <v>71.3458</v>
      </c>
      <c r="F582" t="n">
        <v>91.10217</v>
      </c>
      <c r="G582" t="n">
        <v>54.62323</v>
      </c>
      <c r="H582" t="n">
        <v>72.24908000000001</v>
      </c>
      <c r="I582" t="n">
        <v>34.07571</v>
      </c>
      <c r="J582" t="n">
        <v>22.34819</v>
      </c>
      <c r="K582" t="n">
        <v>60</v>
      </c>
      <c r="L582" t="n">
        <v>77.33911999999999</v>
      </c>
      <c r="M582" t="n">
        <v>70.98174</v>
      </c>
      <c r="N582" t="n">
        <v>72.38</v>
      </c>
      <c r="O582" t="n">
        <v>65.867</v>
      </c>
      <c r="R582" t="n">
        <v>74.8271</v>
      </c>
      <c r="S582" t="n">
        <v>77.67</v>
      </c>
      <c r="T582" t="n">
        <v>51.38856</v>
      </c>
      <c r="U582" t="n">
        <v>73.06339</v>
      </c>
      <c r="V582" t="n">
        <v>70</v>
      </c>
      <c r="W582" t="n">
        <v>64.94028</v>
      </c>
      <c r="X582" t="n">
        <v>37.3625</v>
      </c>
      <c r="Y582" t="n">
        <v>16.55801</v>
      </c>
      <c r="Z582" t="n">
        <v>29.18663</v>
      </c>
      <c r="AA582" t="n">
        <v>67.97906</v>
      </c>
      <c r="AB582" t="n">
        <v>41.94672</v>
      </c>
      <c r="AC582" t="n">
        <v>66.83468000000001</v>
      </c>
      <c r="AD582" t="n">
        <v>70.5992</v>
      </c>
      <c r="AE582" t="n">
        <v>99.97454999999999</v>
      </c>
      <c r="AF582" t="n">
        <v>59.68422</v>
      </c>
      <c r="AG582" t="n">
        <v>64.2608</v>
      </c>
      <c r="AH582" t="n">
        <v>69.42142</v>
      </c>
      <c r="AI582" t="n">
        <v>49.82994</v>
      </c>
      <c r="AJ582" t="n">
        <v>35.33885</v>
      </c>
      <c r="AK582" t="n">
        <v>70.36</v>
      </c>
      <c r="AL582" t="n">
        <v>69.8</v>
      </c>
      <c r="AM582" t="n">
        <v>62.91142</v>
      </c>
      <c r="AN582" t="n">
        <v>56.68987</v>
      </c>
      <c r="AO582" t="n">
        <v>52.8896</v>
      </c>
      <c r="AP582" t="n">
        <v>68.06395999999999</v>
      </c>
      <c r="AQ582" t="n">
        <v>7.065496</v>
      </c>
      <c r="AR582" t="n">
        <v>67.71101</v>
      </c>
      <c r="AS582" t="n">
        <v>45.17621</v>
      </c>
      <c r="AT582" t="n">
        <v>50.38801</v>
      </c>
      <c r="AU582" t="n">
        <v>82.2414</v>
      </c>
      <c r="AV582" t="n">
        <v>2.690387</v>
      </c>
      <c r="AW582" t="n">
        <v>67.5479</v>
      </c>
      <c r="AX582" t="n">
        <v>38.63215</v>
      </c>
    </row>
    <row r="583">
      <c r="A583" s="92" t="n">
        <v>35582</v>
      </c>
      <c r="B583" t="n">
        <v>71.83054</v>
      </c>
      <c r="C583" t="n">
        <v>71.35601</v>
      </c>
      <c r="D583" t="n">
        <v>32.92113</v>
      </c>
      <c r="E583" t="n">
        <v>71.50382</v>
      </c>
      <c r="F583" t="n">
        <v>91.19369</v>
      </c>
      <c r="G583" t="n">
        <v>54.75339</v>
      </c>
      <c r="H583" t="n">
        <v>71.45202</v>
      </c>
      <c r="I583" t="n">
        <v>34.49176</v>
      </c>
      <c r="J583" t="n">
        <v>22.52244</v>
      </c>
      <c r="K583" t="n">
        <v>60.6</v>
      </c>
      <c r="L583" t="n">
        <v>77.43241</v>
      </c>
      <c r="M583" t="n">
        <v>71.15562</v>
      </c>
      <c r="N583" t="n">
        <v>72.41</v>
      </c>
      <c r="O583" t="n">
        <v>65.86481999999999</v>
      </c>
      <c r="R583" t="n">
        <v>74.92267</v>
      </c>
      <c r="S583" t="n">
        <v>77.65000000000001</v>
      </c>
      <c r="T583" t="n">
        <v>51.5246</v>
      </c>
      <c r="U583" t="n">
        <v>73.13128</v>
      </c>
      <c r="V583" t="n">
        <v>70.09999999999999</v>
      </c>
      <c r="W583" t="n">
        <v>65.18401</v>
      </c>
      <c r="X583" t="n">
        <v>38.01973</v>
      </c>
      <c r="Y583" t="n">
        <v>16.55176</v>
      </c>
      <c r="Z583" t="n">
        <v>29.43538</v>
      </c>
      <c r="AA583" t="n">
        <v>68.17842</v>
      </c>
      <c r="AB583" t="n">
        <v>42.03011</v>
      </c>
      <c r="AC583" t="n">
        <v>67.64113</v>
      </c>
      <c r="AD583" t="n">
        <v>70.5992</v>
      </c>
      <c r="AE583" t="n">
        <v>99.97454999999999</v>
      </c>
      <c r="AF583" t="n">
        <v>59.79386</v>
      </c>
      <c r="AG583" t="n">
        <v>64.3771</v>
      </c>
      <c r="AH583" t="n">
        <v>69.47642</v>
      </c>
      <c r="AI583" t="n">
        <v>49.94152</v>
      </c>
      <c r="AJ583" t="n">
        <v>35.6524</v>
      </c>
      <c r="AK583" t="n">
        <v>70.02</v>
      </c>
      <c r="AL583" t="n">
        <v>70</v>
      </c>
      <c r="AM583" t="n">
        <v>63.05965</v>
      </c>
      <c r="AN583" t="n">
        <v>56.87151</v>
      </c>
      <c r="AO583" t="n">
        <v>53.66325</v>
      </c>
      <c r="AP583" t="n">
        <v>67.88482999999999</v>
      </c>
      <c r="AQ583" t="n">
        <v>7.143217</v>
      </c>
      <c r="AR583" t="n">
        <v>67.82696</v>
      </c>
      <c r="AS583" t="n">
        <v>45.30146</v>
      </c>
      <c r="AT583" t="n">
        <v>50.38801</v>
      </c>
      <c r="AU583" t="n">
        <v>82.34990999999999</v>
      </c>
      <c r="AV583" t="n">
        <v>2.767757</v>
      </c>
      <c r="AW583" t="n">
        <v>67.63227999999999</v>
      </c>
      <c r="AX583" t="n">
        <v>38.72413</v>
      </c>
    </row>
    <row r="584">
      <c r="A584" s="92" t="n">
        <v>35612</v>
      </c>
      <c r="B584" t="n">
        <v>71.83054</v>
      </c>
      <c r="C584" t="n">
        <v>71.93082</v>
      </c>
      <c r="D584" t="n">
        <v>32.99352</v>
      </c>
      <c r="E584" t="n">
        <v>71.50382</v>
      </c>
      <c r="F584" t="n">
        <v>91.09455</v>
      </c>
      <c r="G584" t="n">
        <v>55.08346</v>
      </c>
      <c r="H584" t="n">
        <v>70.592</v>
      </c>
      <c r="I584" t="n">
        <v>34.77729</v>
      </c>
      <c r="J584" t="n">
        <v>22.71713</v>
      </c>
      <c r="K584" t="n">
        <v>62.7</v>
      </c>
      <c r="L584" t="n">
        <v>78.08546</v>
      </c>
      <c r="M584" t="n">
        <v>70.98174</v>
      </c>
      <c r="N584" t="n">
        <v>72.45999999999999</v>
      </c>
      <c r="O584" t="n">
        <v>65.98563</v>
      </c>
      <c r="R584" t="n">
        <v>75.0256</v>
      </c>
      <c r="S584" t="n">
        <v>77.55</v>
      </c>
      <c r="T584" t="n">
        <v>51.6373</v>
      </c>
      <c r="U584" t="n">
        <v>73.18822</v>
      </c>
      <c r="V584" t="n">
        <v>70</v>
      </c>
      <c r="W584" t="n">
        <v>63.97159</v>
      </c>
      <c r="X584" t="n">
        <v>37.96981</v>
      </c>
      <c r="Y584" t="n">
        <v>16.68297</v>
      </c>
      <c r="Z584" t="n">
        <v>29.68413</v>
      </c>
      <c r="AA584" t="n">
        <v>68.07874</v>
      </c>
      <c r="AB584" t="n">
        <v>42.11351</v>
      </c>
      <c r="AC584" t="n">
        <v>68.34677000000001</v>
      </c>
      <c r="AD584" t="n">
        <v>70.5992</v>
      </c>
      <c r="AE584" t="n">
        <v>99.56732</v>
      </c>
      <c r="AF584" t="n">
        <v>59.90349</v>
      </c>
      <c r="AG584" t="n">
        <v>65.06619999999999</v>
      </c>
      <c r="AH584" t="n">
        <v>69.6414</v>
      </c>
      <c r="AI584" t="n">
        <v>50.17398</v>
      </c>
      <c r="AJ584" t="n">
        <v>35.963</v>
      </c>
      <c r="AK584" t="n">
        <v>70.25</v>
      </c>
      <c r="AL584" t="n">
        <v>69.90000000000001</v>
      </c>
      <c r="AM584" t="n">
        <v>63.24184</v>
      </c>
      <c r="AN584" t="n">
        <v>57.21658</v>
      </c>
      <c r="AO584" t="n">
        <v>53.52259</v>
      </c>
      <c r="AP584" t="n">
        <v>67.90374</v>
      </c>
      <c r="AQ584" t="n">
        <v>7.209649</v>
      </c>
      <c r="AR584" t="n">
        <v>67.53709000000001</v>
      </c>
      <c r="AS584" t="n">
        <v>45.34322</v>
      </c>
      <c r="AT584" t="n">
        <v>50.68316</v>
      </c>
      <c r="AU584" t="n">
        <v>82.19353</v>
      </c>
      <c r="AV584" t="n">
        <v>2.941009</v>
      </c>
      <c r="AW584" t="n">
        <v>67.71666</v>
      </c>
      <c r="AX584" t="n">
        <v>39.13805</v>
      </c>
    </row>
    <row r="585">
      <c r="A585" s="92" t="n">
        <v>35643</v>
      </c>
      <c r="B585" t="n">
        <v>71.83054</v>
      </c>
      <c r="C585" t="n">
        <v>72.06957</v>
      </c>
      <c r="D585" t="n">
        <v>32.98702</v>
      </c>
      <c r="E585" t="n">
        <v>71.58283</v>
      </c>
      <c r="F585" t="n">
        <v>91.29523</v>
      </c>
      <c r="G585" t="n">
        <v>55.30719</v>
      </c>
      <c r="H585" t="n">
        <v>71.08192</v>
      </c>
      <c r="I585" t="n">
        <v>35.17703</v>
      </c>
      <c r="J585" t="n">
        <v>22.96882</v>
      </c>
      <c r="K585" t="n">
        <v>63.1</v>
      </c>
      <c r="L585" t="n">
        <v>78.17874999999999</v>
      </c>
      <c r="M585" t="n">
        <v>71.25996000000001</v>
      </c>
      <c r="N585" t="n">
        <v>72.58</v>
      </c>
      <c r="O585" t="n">
        <v>66.27674</v>
      </c>
      <c r="R585" t="n">
        <v>75.15057</v>
      </c>
      <c r="S585" t="n">
        <v>77.75</v>
      </c>
      <c r="T585" t="n">
        <v>51.88063</v>
      </c>
      <c r="U585" t="n">
        <v>73.3202</v>
      </c>
      <c r="V585" t="n">
        <v>70.3</v>
      </c>
      <c r="W585" t="n">
        <v>64.02521</v>
      </c>
      <c r="X585" t="n">
        <v>38.03637</v>
      </c>
      <c r="Y585" t="n">
        <v>16.83918</v>
      </c>
      <c r="Z585" t="n">
        <v>29.76705</v>
      </c>
      <c r="AA585" t="n">
        <v>67.97906</v>
      </c>
      <c r="AB585" t="n">
        <v>42.2386</v>
      </c>
      <c r="AC585" t="n">
        <v>68.64919</v>
      </c>
      <c r="AD585" t="n">
        <v>70.66573</v>
      </c>
      <c r="AE585" t="n">
        <v>99.66913</v>
      </c>
      <c r="AF585" t="n">
        <v>60.34097</v>
      </c>
      <c r="AG585" t="n">
        <v>65.11109999999999</v>
      </c>
      <c r="AH585" t="n">
        <v>69.75826000000001</v>
      </c>
      <c r="AI585" t="n">
        <v>50.37854</v>
      </c>
      <c r="AJ585" t="n">
        <v>36.28276</v>
      </c>
      <c r="AK585" t="n">
        <v>70.44</v>
      </c>
      <c r="AL585" t="n">
        <v>69.8</v>
      </c>
      <c r="AM585" t="n">
        <v>63.50361</v>
      </c>
      <c r="AN585" t="n">
        <v>57.59673</v>
      </c>
      <c r="AO585" t="n">
        <v>53.59292</v>
      </c>
      <c r="AP585" t="n">
        <v>68.22917</v>
      </c>
      <c r="AQ585" t="n">
        <v>7.199555</v>
      </c>
      <c r="AR585" t="n">
        <v>67.82696</v>
      </c>
      <c r="AS585" t="n">
        <v>45.76074</v>
      </c>
      <c r="AT585" t="n">
        <v>50.78154</v>
      </c>
      <c r="AU585" t="n">
        <v>82.2414</v>
      </c>
      <c r="AV585" t="n">
        <v>3.12328</v>
      </c>
      <c r="AW585" t="n">
        <v>67.84323000000001</v>
      </c>
      <c r="AX585" t="n">
        <v>39.18404</v>
      </c>
    </row>
    <row r="586">
      <c r="A586" s="92" t="n">
        <v>35674</v>
      </c>
      <c r="B586" t="n">
        <v>71.83054</v>
      </c>
      <c r="C586" t="n">
        <v>71.76233999999999</v>
      </c>
      <c r="D586" t="n">
        <v>33.00674</v>
      </c>
      <c r="E586" t="n">
        <v>71.58283</v>
      </c>
      <c r="F586" t="n">
        <v>91.29343</v>
      </c>
      <c r="G586" t="n">
        <v>55.82101</v>
      </c>
      <c r="H586" t="n">
        <v>72.43581</v>
      </c>
      <c r="I586" t="n">
        <v>35.61756</v>
      </c>
      <c r="J586" t="n">
        <v>22.8774</v>
      </c>
      <c r="K586" t="n">
        <v>63.5</v>
      </c>
      <c r="L586" t="n">
        <v>77.99216</v>
      </c>
      <c r="M586" t="n">
        <v>71.46863</v>
      </c>
      <c r="N586" t="n">
        <v>72.65000000000001</v>
      </c>
      <c r="O586" t="n">
        <v>66.60487000000001</v>
      </c>
      <c r="R586" t="n">
        <v>75.22410000000001</v>
      </c>
      <c r="S586" t="n">
        <v>77.89</v>
      </c>
      <c r="T586" t="n">
        <v>52.21644</v>
      </c>
      <c r="U586" t="n">
        <v>73.49578</v>
      </c>
      <c r="V586" t="n">
        <v>70.5</v>
      </c>
      <c r="W586" t="n">
        <v>65.11507</v>
      </c>
      <c r="X586" t="n">
        <v>38.56881</v>
      </c>
      <c r="Y586" t="n">
        <v>17.02038</v>
      </c>
      <c r="Z586" t="n">
        <v>29.93288</v>
      </c>
      <c r="AA586" t="n">
        <v>68.27809999999999</v>
      </c>
      <c r="AB586" t="n">
        <v>42.36369</v>
      </c>
      <c r="AC586" t="n">
        <v>68.64919</v>
      </c>
      <c r="AD586" t="n">
        <v>70.73228</v>
      </c>
      <c r="AE586" t="n">
        <v>100.3818</v>
      </c>
      <c r="AF586" t="n">
        <v>60.61717</v>
      </c>
      <c r="AG586" t="n">
        <v>65.2834</v>
      </c>
      <c r="AH586" t="n">
        <v>69.96447999999999</v>
      </c>
      <c r="AI586" t="n">
        <v>50.47153</v>
      </c>
      <c r="AJ586" t="n">
        <v>36.73466</v>
      </c>
      <c r="AK586" t="n">
        <v>71.06999999999999</v>
      </c>
      <c r="AL586" t="n">
        <v>70.2</v>
      </c>
      <c r="AM586" t="n">
        <v>63.85288</v>
      </c>
      <c r="AN586" t="n">
        <v>58.04584</v>
      </c>
      <c r="AO586" t="n">
        <v>54.36657</v>
      </c>
      <c r="AP586" t="n">
        <v>68.18638</v>
      </c>
      <c r="AQ586" t="n">
        <v>7.177956</v>
      </c>
      <c r="AR586" t="n">
        <v>67.82696</v>
      </c>
      <c r="AS586" t="n">
        <v>45.886</v>
      </c>
      <c r="AT586" t="n">
        <v>51.06028</v>
      </c>
      <c r="AU586" t="n">
        <v>83.00732000000001</v>
      </c>
      <c r="AV586" t="n">
        <v>3.351593</v>
      </c>
      <c r="AW586" t="n">
        <v>68.012</v>
      </c>
      <c r="AX586" t="n">
        <v>39.368</v>
      </c>
    </row>
    <row r="587">
      <c r="A587" s="92" t="n">
        <v>35704</v>
      </c>
      <c r="B587" t="n">
        <v>72.04924</v>
      </c>
      <c r="C587" t="n">
        <v>71.75243</v>
      </c>
      <c r="D587" t="n">
        <v>33.08261</v>
      </c>
      <c r="E587" t="n">
        <v>71.58283</v>
      </c>
      <c r="F587" t="n">
        <v>91.30024</v>
      </c>
      <c r="G587" t="n">
        <v>56.50497</v>
      </c>
      <c r="H587" t="n">
        <v>71.99747000000001</v>
      </c>
      <c r="I587" t="n">
        <v>35.96019</v>
      </c>
      <c r="J587" t="n">
        <v>22.91719</v>
      </c>
      <c r="K587" t="n">
        <v>63.9</v>
      </c>
      <c r="L587" t="n">
        <v>77.89887</v>
      </c>
      <c r="M587" t="n">
        <v>71.50341</v>
      </c>
      <c r="N587" t="n">
        <v>72.69</v>
      </c>
      <c r="O587" t="n">
        <v>66.58038000000001</v>
      </c>
      <c r="R587" t="n">
        <v>75.40054000000001</v>
      </c>
      <c r="S587" t="n">
        <v>77.84999999999999</v>
      </c>
      <c r="T587" t="n">
        <v>52.49072</v>
      </c>
      <c r="U587" t="n">
        <v>73.62957</v>
      </c>
      <c r="V587" t="n">
        <v>70.59999999999999</v>
      </c>
      <c r="W587" t="n">
        <v>65.48694999999999</v>
      </c>
      <c r="X587" t="n">
        <v>39.00142</v>
      </c>
      <c r="Y587" t="n">
        <v>17.25782</v>
      </c>
      <c r="Z587" t="n">
        <v>30.26455</v>
      </c>
      <c r="AA587" t="n">
        <v>68.47745</v>
      </c>
      <c r="AB587" t="n">
        <v>42.48878</v>
      </c>
      <c r="AC587" t="n">
        <v>69.45564</v>
      </c>
      <c r="AD587" t="n">
        <v>70.93189</v>
      </c>
      <c r="AE587" t="n">
        <v>100.6872</v>
      </c>
      <c r="AF587" t="n">
        <v>60.61717</v>
      </c>
      <c r="AG587" t="n">
        <v>65.54689999999999</v>
      </c>
      <c r="AH587" t="n">
        <v>70.14319999999999</v>
      </c>
      <c r="AI587" t="n">
        <v>50.85276</v>
      </c>
      <c r="AJ587" t="n">
        <v>37.02824</v>
      </c>
      <c r="AK587" t="n">
        <v>71.14</v>
      </c>
      <c r="AL587" t="n">
        <v>70.3</v>
      </c>
      <c r="AM587" t="n">
        <v>64.16851</v>
      </c>
      <c r="AN587" t="n">
        <v>58.50777</v>
      </c>
      <c r="AO587" t="n">
        <v>54.92922</v>
      </c>
      <c r="AP587" t="n">
        <v>68.14955</v>
      </c>
      <c r="AQ587" t="n">
        <v>7.190159</v>
      </c>
      <c r="AR587" t="n">
        <v>67.30521</v>
      </c>
      <c r="AS587" t="n">
        <v>46.26177</v>
      </c>
      <c r="AT587" t="n">
        <v>51.31444</v>
      </c>
      <c r="AU587" t="n">
        <v>83.06477</v>
      </c>
      <c r="AV587" t="n">
        <v>3.630694</v>
      </c>
      <c r="AW587" t="n">
        <v>68.18076000000001</v>
      </c>
      <c r="AX587" t="n">
        <v>39.55196</v>
      </c>
    </row>
    <row r="588">
      <c r="A588" s="92" t="n">
        <v>35735</v>
      </c>
      <c r="B588" t="n">
        <v>72.04924</v>
      </c>
      <c r="C588" t="n">
        <v>71.94073</v>
      </c>
      <c r="D588" t="n">
        <v>33.13876</v>
      </c>
      <c r="E588" t="n">
        <v>71.50382</v>
      </c>
      <c r="F588" t="n">
        <v>91.27328</v>
      </c>
      <c r="G588" t="n">
        <v>56.58154</v>
      </c>
      <c r="H588" t="n">
        <v>71.57526</v>
      </c>
      <c r="I588" t="n">
        <v>36.25388</v>
      </c>
      <c r="J588" t="n">
        <v>23.30227</v>
      </c>
      <c r="K588" t="n">
        <v>64.09999999999999</v>
      </c>
      <c r="L588" t="n">
        <v>77.89887</v>
      </c>
      <c r="M588" t="n">
        <v>71.60774000000001</v>
      </c>
      <c r="N588" t="n">
        <v>72.79000000000001</v>
      </c>
      <c r="O588" t="n">
        <v>66.71261</v>
      </c>
      <c r="R588" t="n">
        <v>75.36378000000001</v>
      </c>
      <c r="S588" t="n">
        <v>77.98</v>
      </c>
      <c r="T588" t="n">
        <v>52.63095</v>
      </c>
      <c r="U588" t="n">
        <v>73.55689</v>
      </c>
      <c r="V588" t="n">
        <v>70.59999999999999</v>
      </c>
      <c r="W588" t="n">
        <v>65.7265</v>
      </c>
      <c r="X588" t="n">
        <v>39.47563</v>
      </c>
      <c r="Y588" t="n">
        <v>17.39528</v>
      </c>
      <c r="Z588" t="n">
        <v>30.34747</v>
      </c>
      <c r="AA588" t="n">
        <v>68.6768</v>
      </c>
      <c r="AB588" t="n">
        <v>42.44708</v>
      </c>
      <c r="AC588" t="n">
        <v>69.25404</v>
      </c>
      <c r="AD588" t="n">
        <v>71.19806</v>
      </c>
      <c r="AE588" t="n">
        <v>99.97454999999999</v>
      </c>
      <c r="AF588" t="n">
        <v>60.67093</v>
      </c>
      <c r="AG588" t="n">
        <v>66.2638</v>
      </c>
      <c r="AH588" t="n">
        <v>70.21194</v>
      </c>
      <c r="AI588" t="n">
        <v>51.11312</v>
      </c>
      <c r="AJ588" t="n">
        <v>37.44248</v>
      </c>
      <c r="AK588" t="n">
        <v>71.17</v>
      </c>
      <c r="AL588" t="n">
        <v>70.40000000000001</v>
      </c>
      <c r="AM588" t="n">
        <v>64.33159000000001</v>
      </c>
      <c r="AN588" t="n">
        <v>58.94889</v>
      </c>
      <c r="AO588" t="n">
        <v>55.56221</v>
      </c>
      <c r="AP588" t="n">
        <v>68.42024000000001</v>
      </c>
      <c r="AQ588" t="n">
        <v>7.234019</v>
      </c>
      <c r="AR588" t="n">
        <v>67.53709000000001</v>
      </c>
      <c r="AS588" t="n">
        <v>46.55404</v>
      </c>
      <c r="AT588" t="n">
        <v>51.73256</v>
      </c>
      <c r="AU588" t="n">
        <v>82.92753999999999</v>
      </c>
      <c r="AV588" t="n">
        <v>3.871348</v>
      </c>
      <c r="AW588" t="n">
        <v>68.13857</v>
      </c>
      <c r="AX588" t="n">
        <v>39.41399</v>
      </c>
    </row>
    <row r="589">
      <c r="A589" s="92" t="n">
        <v>35765</v>
      </c>
      <c r="B589" t="n">
        <v>72.18841</v>
      </c>
      <c r="C589" t="n">
        <v>71.88127</v>
      </c>
      <c r="D589" t="n">
        <v>33.28122</v>
      </c>
      <c r="E589" t="n">
        <v>71.42480999999999</v>
      </c>
      <c r="F589" t="n">
        <v>91.31779</v>
      </c>
      <c r="G589" t="n">
        <v>56.6598</v>
      </c>
      <c r="H589" t="n">
        <v>71.43329</v>
      </c>
      <c r="I589" t="n">
        <v>36.4823</v>
      </c>
      <c r="J589" t="n">
        <v>23.50018</v>
      </c>
      <c r="K589" t="n">
        <v>64.40000000000001</v>
      </c>
      <c r="L589" t="n">
        <v>78.08546</v>
      </c>
      <c r="M589" t="n">
        <v>71.50341</v>
      </c>
      <c r="N589" t="n">
        <v>72.88</v>
      </c>
      <c r="O589" t="n">
        <v>66.89001</v>
      </c>
      <c r="R589" t="n">
        <v>75.38583</v>
      </c>
      <c r="S589" t="n">
        <v>78.02</v>
      </c>
      <c r="T589" t="n">
        <v>52.87364</v>
      </c>
      <c r="U589" t="n">
        <v>73.51568</v>
      </c>
      <c r="V589" t="n">
        <v>70.7</v>
      </c>
      <c r="W589" t="n">
        <v>66.27178000000001</v>
      </c>
      <c r="X589" t="n">
        <v>39.90824</v>
      </c>
      <c r="Y589" t="n">
        <v>17.6952</v>
      </c>
      <c r="Z589" t="n">
        <v>30.84496</v>
      </c>
      <c r="AA589" t="n">
        <v>68.87615</v>
      </c>
      <c r="AB589" t="n">
        <v>42.40538</v>
      </c>
      <c r="AC589" t="n">
        <v>69.05242</v>
      </c>
      <c r="AD589" t="n">
        <v>71.19806</v>
      </c>
      <c r="AE589" t="n">
        <v>99.77094</v>
      </c>
      <c r="AF589" t="n">
        <v>62.20581</v>
      </c>
      <c r="AG589" t="n">
        <v>66.5051</v>
      </c>
      <c r="AH589" t="n">
        <v>70.17757</v>
      </c>
      <c r="AI589" t="n">
        <v>51.23399</v>
      </c>
      <c r="AJ589" t="n">
        <v>37.96707</v>
      </c>
      <c r="AK589" t="n">
        <v>70.95</v>
      </c>
      <c r="AL589" t="n">
        <v>70.40000000000001</v>
      </c>
      <c r="AM589" t="n">
        <v>64.53281</v>
      </c>
      <c r="AN589" t="n">
        <v>59.32617</v>
      </c>
      <c r="AO589" t="n">
        <v>56.12487</v>
      </c>
      <c r="AP589" t="n">
        <v>68.58147</v>
      </c>
      <c r="AQ589" t="n">
        <v>7.303465</v>
      </c>
      <c r="AR589" t="n">
        <v>67.36318</v>
      </c>
      <c r="AS589" t="n">
        <v>46.80455</v>
      </c>
      <c r="AT589" t="n">
        <v>52.00311</v>
      </c>
      <c r="AU589" t="n">
        <v>82.88605</v>
      </c>
      <c r="AV589" t="n">
        <v>4.070231</v>
      </c>
      <c r="AW589" t="n">
        <v>68.05419000000001</v>
      </c>
      <c r="AX589" t="n">
        <v>39.55196</v>
      </c>
    </row>
    <row r="590">
      <c r="A590" s="92" t="n">
        <v>35796</v>
      </c>
      <c r="B590" t="n">
        <v>72.26793000000001</v>
      </c>
      <c r="C590" t="n">
        <v>71.85154</v>
      </c>
      <c r="D590" t="n">
        <v>33.5174</v>
      </c>
      <c r="E590" t="n">
        <v>71.81985</v>
      </c>
      <c r="F590" t="n">
        <v>91.2842</v>
      </c>
      <c r="G590" t="n">
        <v>57.05452</v>
      </c>
      <c r="H590" t="n">
        <v>71.94194</v>
      </c>
      <c r="I590" t="n">
        <v>37.13493</v>
      </c>
      <c r="J590" t="n">
        <v>23.8745</v>
      </c>
      <c r="K590" t="n">
        <v>66.90000000000001</v>
      </c>
      <c r="L590" t="n">
        <v>78.08546</v>
      </c>
      <c r="M590" t="n">
        <v>71.43385000000001</v>
      </c>
      <c r="N590" t="n">
        <v>72.81999999999999</v>
      </c>
      <c r="O590" t="n">
        <v>67.04781</v>
      </c>
      <c r="P590" t="n">
        <v>54.14182</v>
      </c>
      <c r="R590" t="n">
        <v>75.46671000000001</v>
      </c>
      <c r="S590" t="n">
        <v>77.78</v>
      </c>
      <c r="T590" t="n">
        <v>53.30228</v>
      </c>
      <c r="U590" t="n">
        <v>73.56741</v>
      </c>
      <c r="V590" t="n">
        <v>70.40000000000001</v>
      </c>
      <c r="W590" t="n">
        <v>65.71187999999999</v>
      </c>
      <c r="X590" t="n">
        <v>41.11456</v>
      </c>
      <c r="Y590" t="n">
        <v>18.96361</v>
      </c>
      <c r="Z590" t="n">
        <v>31.83996</v>
      </c>
      <c r="AA590" t="n">
        <v>68.47745</v>
      </c>
      <c r="AB590" t="n">
        <v>42.61386</v>
      </c>
      <c r="AC590" t="n">
        <v>69.25404</v>
      </c>
      <c r="AD590" t="n">
        <v>71.39767000000001</v>
      </c>
      <c r="AE590" t="n">
        <v>99.66913</v>
      </c>
      <c r="AF590" t="n">
        <v>63.68587</v>
      </c>
      <c r="AG590" t="n">
        <v>67.1785</v>
      </c>
      <c r="AH590" t="n">
        <v>70.23257</v>
      </c>
      <c r="AI590" t="n">
        <v>51.88488</v>
      </c>
      <c r="AJ590" t="n">
        <v>38.7931</v>
      </c>
      <c r="AK590" t="n">
        <v>70.70999999999999</v>
      </c>
      <c r="AL590" t="n">
        <v>70.7</v>
      </c>
      <c r="AM590" t="n">
        <v>64.82312</v>
      </c>
      <c r="AN590" t="n">
        <v>59.63288</v>
      </c>
      <c r="AO590" t="n">
        <v>57.88316</v>
      </c>
      <c r="AP590" t="n">
        <v>68.67402</v>
      </c>
      <c r="AQ590" t="n">
        <v>7.413748</v>
      </c>
      <c r="AR590" t="n">
        <v>67.76898</v>
      </c>
      <c r="AS590" t="n">
        <v>47.68136</v>
      </c>
      <c r="AT590" t="n">
        <v>52.72458</v>
      </c>
      <c r="AU590" t="n">
        <v>82.0946</v>
      </c>
      <c r="AV590" t="n">
        <v>4.364048</v>
      </c>
      <c r="AW590" t="n">
        <v>68.18076000000001</v>
      </c>
      <c r="AX590" t="n">
        <v>39.8739</v>
      </c>
    </row>
    <row r="591">
      <c r="A591" s="92" t="n">
        <v>35827</v>
      </c>
      <c r="B591" t="n">
        <v>72.4071</v>
      </c>
      <c r="C591" t="n">
        <v>72.00020000000001</v>
      </c>
      <c r="D591" t="n">
        <v>33.67169</v>
      </c>
      <c r="E591" t="n">
        <v>71.89886</v>
      </c>
      <c r="F591" t="n">
        <v>91.39627</v>
      </c>
      <c r="G591" t="n">
        <v>56.98051</v>
      </c>
      <c r="H591" t="n">
        <v>72.29989</v>
      </c>
      <c r="I591" t="n">
        <v>38.35046</v>
      </c>
      <c r="J591" t="n">
        <v>24.11544</v>
      </c>
      <c r="K591" t="n">
        <v>67.3</v>
      </c>
      <c r="L591" t="n">
        <v>78.27204</v>
      </c>
      <c r="M591" t="n">
        <v>71.74684999999999</v>
      </c>
      <c r="N591" t="n">
        <v>73</v>
      </c>
      <c r="O591" t="n">
        <v>66.89109000000001</v>
      </c>
      <c r="P591" t="n">
        <v>54.65452</v>
      </c>
      <c r="R591" t="n">
        <v>75.452</v>
      </c>
      <c r="S591" t="n">
        <v>78.06999999999999</v>
      </c>
      <c r="T591" t="n">
        <v>53.67439</v>
      </c>
      <c r="U591" t="n">
        <v>73.69609</v>
      </c>
      <c r="V591" t="n">
        <v>70.59999999999999</v>
      </c>
      <c r="W591" t="n">
        <v>65.39919999999999</v>
      </c>
      <c r="X591" t="n">
        <v>41.79675</v>
      </c>
      <c r="Y591" t="n">
        <v>21.36296</v>
      </c>
      <c r="Z591" t="n">
        <v>31.67413</v>
      </c>
      <c r="AA591" t="n">
        <v>68.77647</v>
      </c>
      <c r="AB591" t="n">
        <v>42.53047</v>
      </c>
      <c r="AC591" t="n">
        <v>69.15322999999999</v>
      </c>
      <c r="AD591" t="n">
        <v>71.5973</v>
      </c>
      <c r="AE591" t="n">
        <v>99.56732</v>
      </c>
      <c r="AF591" t="n">
        <v>64.78221000000001</v>
      </c>
      <c r="AG591" t="n">
        <v>67.5099</v>
      </c>
      <c r="AH591" t="n">
        <v>70.20507000000001</v>
      </c>
      <c r="AI591" t="n">
        <v>51.97786</v>
      </c>
      <c r="AJ591" t="n">
        <v>39.47226</v>
      </c>
      <c r="AK591" t="n">
        <v>71.11</v>
      </c>
      <c r="AL591" t="n">
        <v>71</v>
      </c>
      <c r="AM591" t="n">
        <v>65.09474</v>
      </c>
      <c r="AN591" t="n">
        <v>59.95477</v>
      </c>
      <c r="AO591" t="n">
        <v>58.86781</v>
      </c>
      <c r="AP591" t="n">
        <v>68.64317</v>
      </c>
      <c r="AQ591" t="n">
        <v>7.47973</v>
      </c>
      <c r="AR591" t="n">
        <v>67.76898</v>
      </c>
      <c r="AS591" t="n">
        <v>48.01538</v>
      </c>
      <c r="AT591" t="n">
        <v>53.21649</v>
      </c>
      <c r="AU591" t="n">
        <v>81.98609</v>
      </c>
      <c r="AV591" t="n">
        <v>4.556761</v>
      </c>
      <c r="AW591" t="n">
        <v>68.30732999999999</v>
      </c>
      <c r="AX591" t="n">
        <v>39.96588</v>
      </c>
    </row>
    <row r="592">
      <c r="A592" s="92" t="n">
        <v>35855</v>
      </c>
      <c r="B592" t="n">
        <v>72.46674</v>
      </c>
      <c r="C592" t="n">
        <v>71.88127</v>
      </c>
      <c r="D592" t="n">
        <v>33.78607</v>
      </c>
      <c r="E592" t="n">
        <v>71.97787</v>
      </c>
      <c r="F592" t="n">
        <v>91.32881</v>
      </c>
      <c r="G592" t="n">
        <v>57.20595</v>
      </c>
      <c r="H592" t="n">
        <v>72.30495000000001</v>
      </c>
      <c r="I592" t="n">
        <v>39.35389</v>
      </c>
      <c r="J592" t="n">
        <v>24.36928</v>
      </c>
      <c r="K592" t="n">
        <v>67.5</v>
      </c>
      <c r="L592" t="n">
        <v>78.17874999999999</v>
      </c>
      <c r="M592" t="n">
        <v>71.88596</v>
      </c>
      <c r="N592" t="n">
        <v>73.09999999999999</v>
      </c>
      <c r="O592" t="n">
        <v>66.92211</v>
      </c>
      <c r="P592" t="n">
        <v>55.06469</v>
      </c>
      <c r="R592" t="n">
        <v>75.61375</v>
      </c>
      <c r="S592" t="n">
        <v>78.2</v>
      </c>
      <c r="T592" t="n">
        <v>53.90565</v>
      </c>
      <c r="U592" t="n">
        <v>73.83869</v>
      </c>
      <c r="V592" t="n">
        <v>70.8</v>
      </c>
      <c r="W592" t="n">
        <v>67.03503000000001</v>
      </c>
      <c r="X592" t="n">
        <v>42.33751</v>
      </c>
      <c r="Y592" t="n">
        <v>22.4939</v>
      </c>
      <c r="Z592" t="n">
        <v>31.5083</v>
      </c>
      <c r="AA592" t="n">
        <v>69.17518</v>
      </c>
      <c r="AB592" t="n">
        <v>42.69726</v>
      </c>
      <c r="AC592" t="n">
        <v>69.05242</v>
      </c>
      <c r="AD592" t="n">
        <v>71.79692</v>
      </c>
      <c r="AE592" t="n">
        <v>99.97454999999999</v>
      </c>
      <c r="AF592" t="n">
        <v>64.67258</v>
      </c>
      <c r="AG592" t="n">
        <v>67.79219999999999</v>
      </c>
      <c r="AH592" t="n">
        <v>70.23944</v>
      </c>
      <c r="AI592" t="n">
        <v>52.12664</v>
      </c>
      <c r="AJ592" t="n">
        <v>39.93464</v>
      </c>
      <c r="AK592" t="n">
        <v>71.7</v>
      </c>
      <c r="AL592" t="n">
        <v>71.40000000000001</v>
      </c>
      <c r="AM592" t="n">
        <v>65.3364</v>
      </c>
      <c r="AN592" t="n">
        <v>60.2425</v>
      </c>
      <c r="AO592" t="n">
        <v>59.21947</v>
      </c>
      <c r="AP592" t="n">
        <v>68.82827</v>
      </c>
      <c r="AQ592" t="n">
        <v>7.5276</v>
      </c>
      <c r="AR592" t="n">
        <v>67.36318</v>
      </c>
      <c r="AS592" t="n">
        <v>48.14064</v>
      </c>
      <c r="AT592" t="n">
        <v>53.62642</v>
      </c>
      <c r="AU592" t="n">
        <v>82.11056000000001</v>
      </c>
      <c r="AV592" t="n">
        <v>4.752796</v>
      </c>
      <c r="AW592" t="n">
        <v>68.43391</v>
      </c>
      <c r="AX592" t="n">
        <v>40.24183</v>
      </c>
    </row>
    <row r="593">
      <c r="A593" s="92" t="n">
        <v>35886</v>
      </c>
      <c r="B593" t="n">
        <v>72.62578999999999</v>
      </c>
      <c r="C593" t="n">
        <v>72.19841</v>
      </c>
      <c r="D593" t="n">
        <v>33.86705</v>
      </c>
      <c r="E593" t="n">
        <v>71.89886</v>
      </c>
      <c r="F593" t="n">
        <v>91.3659</v>
      </c>
      <c r="G593" t="n">
        <v>57.43138</v>
      </c>
      <c r="H593" t="n">
        <v>72.24547</v>
      </c>
      <c r="I593" t="n">
        <v>40.496</v>
      </c>
      <c r="J593" t="n">
        <v>24.56505</v>
      </c>
      <c r="K593" t="n">
        <v>67.7</v>
      </c>
      <c r="L593" t="n">
        <v>78.27204</v>
      </c>
      <c r="M593" t="n">
        <v>72.05985</v>
      </c>
      <c r="N593" t="n">
        <v>73.28</v>
      </c>
      <c r="O593" t="n">
        <v>67.08807</v>
      </c>
      <c r="P593" t="n">
        <v>55.32104</v>
      </c>
      <c r="R593" t="n">
        <v>75.95928000000001</v>
      </c>
      <c r="S593" t="n">
        <v>78.36</v>
      </c>
      <c r="T593" t="n">
        <v>54.1941</v>
      </c>
      <c r="U593" t="n">
        <v>73.98045</v>
      </c>
      <c r="V593" t="n">
        <v>71.2</v>
      </c>
      <c r="W593" t="n">
        <v>68.12350000000001</v>
      </c>
      <c r="X593" t="n">
        <v>42.77844</v>
      </c>
      <c r="Y593" t="n">
        <v>23.54986</v>
      </c>
      <c r="Z593" t="n">
        <v>31.75705</v>
      </c>
      <c r="AA593" t="n">
        <v>69.47421</v>
      </c>
      <c r="AB593" t="n">
        <v>42.73896</v>
      </c>
      <c r="AC593" t="n">
        <v>69.95968000000001</v>
      </c>
      <c r="AD593" t="n">
        <v>71.86346</v>
      </c>
      <c r="AE593" t="n">
        <v>100.1782</v>
      </c>
      <c r="AF593" t="n">
        <v>64.89185000000001</v>
      </c>
      <c r="AG593" t="n">
        <v>68.1605</v>
      </c>
      <c r="AH593" t="n">
        <v>70.08821</v>
      </c>
      <c r="AI593" t="n">
        <v>52.48927</v>
      </c>
      <c r="AJ593" t="n">
        <v>40.30827</v>
      </c>
      <c r="AK593" t="n">
        <v>71.88</v>
      </c>
      <c r="AL593" t="n">
        <v>71.40000000000001</v>
      </c>
      <c r="AM593" t="n">
        <v>65.60415999999999</v>
      </c>
      <c r="AN593" t="n">
        <v>60.59469</v>
      </c>
      <c r="AO593" t="n">
        <v>59.64146</v>
      </c>
      <c r="AP593" t="n">
        <v>69.31989</v>
      </c>
      <c r="AQ593" t="n">
        <v>7.556205</v>
      </c>
      <c r="AR593" t="n">
        <v>67.94289999999999</v>
      </c>
      <c r="AS593" t="n">
        <v>48.30764</v>
      </c>
      <c r="AT593" t="n">
        <v>54.09373</v>
      </c>
      <c r="AU593" t="n">
        <v>82.34990999999999</v>
      </c>
      <c r="AV593" t="n">
        <v>4.974464</v>
      </c>
      <c r="AW593" t="n">
        <v>68.56049</v>
      </c>
      <c r="AX593" t="n">
        <v>40.42579</v>
      </c>
    </row>
    <row r="594">
      <c r="A594" s="92" t="n">
        <v>35916</v>
      </c>
      <c r="B594" t="n">
        <v>72.54626</v>
      </c>
      <c r="C594" t="n">
        <v>72.55519</v>
      </c>
      <c r="D594" t="n">
        <v>34.03642</v>
      </c>
      <c r="E594" t="n">
        <v>72.13589</v>
      </c>
      <c r="F594" t="n">
        <v>91.17725</v>
      </c>
      <c r="G594" t="n">
        <v>57.53602</v>
      </c>
      <c r="H594" t="n">
        <v>71.5266</v>
      </c>
      <c r="I594" t="n">
        <v>41.12416</v>
      </c>
      <c r="J594" t="n">
        <v>24.75113</v>
      </c>
      <c r="K594" t="n">
        <v>67.7</v>
      </c>
      <c r="L594" t="n">
        <v>78.36533</v>
      </c>
      <c r="M594" t="n">
        <v>72.40763</v>
      </c>
      <c r="N594" t="n">
        <v>73.43000000000001</v>
      </c>
      <c r="O594" t="n">
        <v>67.17568</v>
      </c>
      <c r="P594" t="n">
        <v>55.52612</v>
      </c>
      <c r="R594" t="n">
        <v>75.92252000000001</v>
      </c>
      <c r="S594" t="n">
        <v>78.38</v>
      </c>
      <c r="T594" t="n">
        <v>54.45555</v>
      </c>
      <c r="U594" t="n">
        <v>74.13342</v>
      </c>
      <c r="V594" t="n">
        <v>71.5</v>
      </c>
      <c r="W594" t="n">
        <v>68.37629</v>
      </c>
      <c r="X594" t="n">
        <v>43.26928</v>
      </c>
      <c r="Y594" t="n">
        <v>24.78078</v>
      </c>
      <c r="Z594" t="n">
        <v>32.25455</v>
      </c>
      <c r="AA594" t="n">
        <v>69.77324</v>
      </c>
      <c r="AB594" t="n">
        <v>42.90574</v>
      </c>
      <c r="AC594" t="n">
        <v>70.2621</v>
      </c>
      <c r="AD594" t="n">
        <v>71.99654</v>
      </c>
      <c r="AE594" t="n">
        <v>100.4836</v>
      </c>
      <c r="AF594" t="n">
        <v>64.56294</v>
      </c>
      <c r="AG594" t="n">
        <v>68.55329999999999</v>
      </c>
      <c r="AH594" t="n">
        <v>70.32192999999999</v>
      </c>
      <c r="AI594" t="n">
        <v>52.51717</v>
      </c>
      <c r="AJ594" t="n">
        <v>40.62935</v>
      </c>
      <c r="AK594" t="n">
        <v>71.81</v>
      </c>
      <c r="AL594" t="n">
        <v>71.3</v>
      </c>
      <c r="AM594" t="n">
        <v>65.80571999999999</v>
      </c>
      <c r="AN594" t="n">
        <v>60.84421</v>
      </c>
      <c r="AO594" t="n">
        <v>59.85246</v>
      </c>
      <c r="AP594" t="n">
        <v>69.75181000000001</v>
      </c>
      <c r="AQ594" t="n">
        <v>7.593986</v>
      </c>
      <c r="AR594" t="n">
        <v>67.65304</v>
      </c>
      <c r="AS594" t="n">
        <v>48.59991</v>
      </c>
      <c r="AT594" t="n">
        <v>54.56105</v>
      </c>
      <c r="AU594" t="n">
        <v>82.49033</v>
      </c>
      <c r="AV594" t="n">
        <v>5.148665</v>
      </c>
      <c r="AW594" t="n">
        <v>68.68706</v>
      </c>
      <c r="AX594" t="n">
        <v>40.60975</v>
      </c>
    </row>
    <row r="595">
      <c r="A595" s="92" t="n">
        <v>35947</v>
      </c>
      <c r="B595" t="n">
        <v>72.46674</v>
      </c>
      <c r="C595" t="n">
        <v>72.48582</v>
      </c>
      <c r="D595" t="n">
        <v>34.04314</v>
      </c>
      <c r="E595" t="n">
        <v>72.2149</v>
      </c>
      <c r="F595" t="n">
        <v>91.28570999999999</v>
      </c>
      <c r="G595" t="n">
        <v>57.73253</v>
      </c>
      <c r="H595" t="n">
        <v>70.52314</v>
      </c>
      <c r="I595" t="n">
        <v>41.62996</v>
      </c>
      <c r="J595" t="n">
        <v>24.95012</v>
      </c>
      <c r="K595" t="n">
        <v>68</v>
      </c>
      <c r="L595" t="n">
        <v>78.45863</v>
      </c>
      <c r="M595" t="n">
        <v>72.37286</v>
      </c>
      <c r="N595" t="n">
        <v>73.47</v>
      </c>
      <c r="O595" t="n">
        <v>67.21922000000001</v>
      </c>
      <c r="P595" t="n">
        <v>55.62866</v>
      </c>
      <c r="R595" t="n">
        <v>76.07691</v>
      </c>
      <c r="S595" t="n">
        <v>78.44</v>
      </c>
      <c r="T595" t="n">
        <v>54.61336</v>
      </c>
      <c r="U595" t="n">
        <v>74.15195</v>
      </c>
      <c r="V595" t="n">
        <v>71.40000000000001</v>
      </c>
      <c r="W595" t="n">
        <v>68.57059</v>
      </c>
      <c r="X595" t="n">
        <v>43.39407</v>
      </c>
      <c r="Y595" t="n">
        <v>25.93047</v>
      </c>
      <c r="Z595" t="n">
        <v>33.08371</v>
      </c>
      <c r="AA595" t="n">
        <v>70.07227</v>
      </c>
      <c r="AB595" t="n">
        <v>42.98914</v>
      </c>
      <c r="AC595" t="n">
        <v>70.56451</v>
      </c>
      <c r="AD595" t="n">
        <v>72.06308</v>
      </c>
      <c r="AE595" t="n">
        <v>100.0764</v>
      </c>
      <c r="AF595" t="n">
        <v>64.28886</v>
      </c>
      <c r="AG595" t="n">
        <v>68.2341</v>
      </c>
      <c r="AH595" t="n">
        <v>70.28756</v>
      </c>
      <c r="AI595" t="n">
        <v>52.8891</v>
      </c>
      <c r="AJ595" t="n">
        <v>41.10957</v>
      </c>
      <c r="AK595" t="n">
        <v>71.51000000000001</v>
      </c>
      <c r="AL595" t="n">
        <v>71.5</v>
      </c>
      <c r="AM595" t="n">
        <v>65.90051</v>
      </c>
      <c r="AN595" t="n">
        <v>60.97412</v>
      </c>
      <c r="AO595" t="n">
        <v>60.06345</v>
      </c>
      <c r="AP595" t="n">
        <v>69.84138</v>
      </c>
      <c r="AQ595" t="n">
        <v>7.600061</v>
      </c>
      <c r="AR595" t="n">
        <v>67.65304</v>
      </c>
      <c r="AS595" t="n">
        <v>48.64167</v>
      </c>
      <c r="AT595" t="n">
        <v>54.56105</v>
      </c>
      <c r="AU595" t="n">
        <v>82.31798999999999</v>
      </c>
      <c r="AV595" t="n">
        <v>5.273976</v>
      </c>
      <c r="AW595" t="n">
        <v>68.77144</v>
      </c>
      <c r="AX595" t="n">
        <v>40.74772</v>
      </c>
    </row>
    <row r="596">
      <c r="A596" s="92" t="n">
        <v>35977</v>
      </c>
      <c r="B596" t="n">
        <v>72.46674</v>
      </c>
      <c r="C596" t="n">
        <v>72.66421</v>
      </c>
      <c r="D596" t="n">
        <v>34.00231</v>
      </c>
      <c r="E596" t="n">
        <v>72.2149</v>
      </c>
      <c r="F596" t="n">
        <v>91.16301</v>
      </c>
      <c r="G596" t="n">
        <v>57.97923</v>
      </c>
      <c r="H596" t="n">
        <v>69.60371000000001</v>
      </c>
      <c r="I596" t="n">
        <v>41.82574</v>
      </c>
      <c r="J596" t="n">
        <v>25.37391</v>
      </c>
      <c r="K596" t="n">
        <v>69.3</v>
      </c>
      <c r="L596" t="n">
        <v>78.7385</v>
      </c>
      <c r="M596" t="n">
        <v>72.26852</v>
      </c>
      <c r="N596" t="n">
        <v>73.47</v>
      </c>
      <c r="O596" t="n">
        <v>67.46735</v>
      </c>
      <c r="P596" t="n">
        <v>55.93629</v>
      </c>
      <c r="R596" t="n">
        <v>75.88576999999999</v>
      </c>
      <c r="S596" t="n">
        <v>78.18000000000001</v>
      </c>
      <c r="T596" t="n">
        <v>54.86986</v>
      </c>
      <c r="U596" t="n">
        <v>74.13314</v>
      </c>
      <c r="V596" t="n">
        <v>71.2</v>
      </c>
      <c r="W596" t="n">
        <v>67.23629</v>
      </c>
      <c r="X596" t="n">
        <v>43.31088</v>
      </c>
      <c r="Y596" t="n">
        <v>28.14861</v>
      </c>
      <c r="Z596" t="n">
        <v>34.07871</v>
      </c>
      <c r="AA596" t="n">
        <v>69.97259</v>
      </c>
      <c r="AB596" t="n">
        <v>42.86404</v>
      </c>
      <c r="AC596" t="n">
        <v>70.46371000000001</v>
      </c>
      <c r="AD596" t="n">
        <v>72.06308</v>
      </c>
      <c r="AE596" t="n">
        <v>99.46552</v>
      </c>
      <c r="AF596" t="n">
        <v>64.28886</v>
      </c>
      <c r="AG596" t="n">
        <v>68.3937</v>
      </c>
      <c r="AH596" t="n">
        <v>70.43192000000001</v>
      </c>
      <c r="AI596" t="n">
        <v>52.47068</v>
      </c>
      <c r="AJ596" t="n">
        <v>41.50597</v>
      </c>
      <c r="AK596" t="n">
        <v>71.65000000000001</v>
      </c>
      <c r="AL596" t="n">
        <v>71.5</v>
      </c>
      <c r="AM596" t="n">
        <v>65.98196</v>
      </c>
      <c r="AN596" t="n">
        <v>61.11194</v>
      </c>
      <c r="AO596" t="n">
        <v>59.85246</v>
      </c>
      <c r="AP596" t="n">
        <v>69.98667</v>
      </c>
      <c r="AQ596" t="n">
        <v>7.612981</v>
      </c>
      <c r="AR596" t="n">
        <v>67.42115</v>
      </c>
      <c r="AS596" t="n">
        <v>48.47466</v>
      </c>
      <c r="AT596" t="n">
        <v>54.56105</v>
      </c>
      <c r="AU596" t="n">
        <v>82.13609</v>
      </c>
      <c r="AV596" t="n">
        <v>5.451025</v>
      </c>
      <c r="AW596" t="n">
        <v>68.85581999999999</v>
      </c>
      <c r="AX596" t="n">
        <v>41.71353</v>
      </c>
    </row>
    <row r="597">
      <c r="A597" s="92" t="n">
        <v>36008</v>
      </c>
      <c r="B597" t="n">
        <v>72.46674</v>
      </c>
      <c r="C597" t="n">
        <v>72.38670999999999</v>
      </c>
      <c r="D597" t="n">
        <v>33.82899</v>
      </c>
      <c r="E597" t="n">
        <v>72.2149</v>
      </c>
      <c r="F597" t="n">
        <v>91.42264</v>
      </c>
      <c r="G597" t="n">
        <v>58.17574</v>
      </c>
      <c r="H597" t="n">
        <v>70.08678</v>
      </c>
      <c r="I597" t="n">
        <v>41.84206</v>
      </c>
      <c r="J597" t="n">
        <v>25.88698</v>
      </c>
      <c r="K597" t="n">
        <v>69.09999999999999</v>
      </c>
      <c r="L597" t="n">
        <v>78.55192</v>
      </c>
      <c r="M597" t="n">
        <v>72.37286</v>
      </c>
      <c r="N597" t="n">
        <v>73.48999999999999</v>
      </c>
      <c r="O597" t="n">
        <v>67.64801</v>
      </c>
      <c r="P597" t="n">
        <v>55.83375</v>
      </c>
      <c r="R597" t="n">
        <v>75.99603999999999</v>
      </c>
      <c r="S597" t="n">
        <v>78.23</v>
      </c>
      <c r="T597" t="n">
        <v>55.15344</v>
      </c>
      <c r="U597" t="n">
        <v>74.17402</v>
      </c>
      <c r="V597" t="n">
        <v>71.40000000000001</v>
      </c>
      <c r="W597" t="n">
        <v>67.24535</v>
      </c>
      <c r="X597" t="n">
        <v>43.15281</v>
      </c>
      <c r="Y597" t="n">
        <v>29.92313</v>
      </c>
      <c r="Z597" t="n">
        <v>34.24454</v>
      </c>
      <c r="AA597" t="n">
        <v>70.07227</v>
      </c>
      <c r="AB597" t="n">
        <v>42.65556</v>
      </c>
      <c r="AC597" t="n">
        <v>70.76613</v>
      </c>
      <c r="AD597" t="n">
        <v>72.12962</v>
      </c>
      <c r="AE597" t="n">
        <v>99.36371</v>
      </c>
      <c r="AF597" t="n">
        <v>64.50707</v>
      </c>
      <c r="AG597" t="n">
        <v>67.97020000000001</v>
      </c>
      <c r="AH597" t="n">
        <v>70.48692</v>
      </c>
      <c r="AI597" t="n">
        <v>52.21962</v>
      </c>
      <c r="AJ597" t="n">
        <v>41.90498</v>
      </c>
      <c r="AK597" t="n">
        <v>71.66</v>
      </c>
      <c r="AL597" t="n">
        <v>71.3</v>
      </c>
      <c r="AM597" t="n">
        <v>66.11156</v>
      </c>
      <c r="AN597" t="n">
        <v>61.28026</v>
      </c>
      <c r="AO597" t="n">
        <v>59.5008</v>
      </c>
      <c r="AP597" t="n">
        <v>69.99861</v>
      </c>
      <c r="AQ597" t="n">
        <v>7.892378</v>
      </c>
      <c r="AR597" t="n">
        <v>66.95737</v>
      </c>
      <c r="AS597" t="n">
        <v>48.3494</v>
      </c>
      <c r="AT597" t="n">
        <v>54.60204</v>
      </c>
      <c r="AU597" t="n">
        <v>81.71483000000001</v>
      </c>
      <c r="AV597" t="n">
        <v>5.666522</v>
      </c>
      <c r="AW597" t="n">
        <v>68.9402</v>
      </c>
      <c r="AX597" t="n">
        <v>42.17343</v>
      </c>
    </row>
    <row r="598">
      <c r="A598" s="92" t="n">
        <v>36039</v>
      </c>
      <c r="B598" t="n">
        <v>72.46674</v>
      </c>
      <c r="C598" t="n">
        <v>72.35697999999999</v>
      </c>
      <c r="D598" t="n">
        <v>33.75452</v>
      </c>
      <c r="E598" t="n">
        <v>72.05688000000001</v>
      </c>
      <c r="F598" t="n">
        <v>91.34976</v>
      </c>
      <c r="G598" t="n">
        <v>58.47944</v>
      </c>
      <c r="H598" t="n">
        <v>71.34927</v>
      </c>
      <c r="I598" t="n">
        <v>41.96443</v>
      </c>
      <c r="J598" t="n">
        <v>25.78588</v>
      </c>
      <c r="K598" t="n">
        <v>69.2</v>
      </c>
      <c r="L598" t="n">
        <v>78.36533</v>
      </c>
      <c r="M598" t="n">
        <v>72.65107999999999</v>
      </c>
      <c r="N598" t="n">
        <v>73.47</v>
      </c>
      <c r="O598" t="n">
        <v>67.69807</v>
      </c>
      <c r="P598" t="n">
        <v>55.83375</v>
      </c>
      <c r="R598" t="n">
        <v>76.22395</v>
      </c>
      <c r="S598" t="n">
        <v>78.2</v>
      </c>
      <c r="T598" t="n">
        <v>56.09018</v>
      </c>
      <c r="U598" t="n">
        <v>74.29935999999999</v>
      </c>
      <c r="V598" t="n">
        <v>71.7</v>
      </c>
      <c r="W598" t="n">
        <v>68.51696</v>
      </c>
      <c r="X598" t="n">
        <v>43.39407</v>
      </c>
      <c r="Y598" t="n">
        <v>31.04783</v>
      </c>
      <c r="Z598" t="n">
        <v>34.82496</v>
      </c>
      <c r="AA598" t="n">
        <v>70.37129</v>
      </c>
      <c r="AB598" t="n">
        <v>42.69726</v>
      </c>
      <c r="AC598" t="n">
        <v>71.77419</v>
      </c>
      <c r="AD598" t="n">
        <v>72.12962</v>
      </c>
      <c r="AE598" t="n">
        <v>100.1782</v>
      </c>
      <c r="AF598" t="n">
        <v>64.78221000000001</v>
      </c>
      <c r="AG598" t="n">
        <v>67.6695</v>
      </c>
      <c r="AH598" t="n">
        <v>70.42504</v>
      </c>
      <c r="AI598" t="n">
        <v>52.23822</v>
      </c>
      <c r="AJ598" t="n">
        <v>42.58463</v>
      </c>
      <c r="AK598" t="n">
        <v>72.25</v>
      </c>
      <c r="AL598" t="n">
        <v>71.90000000000001</v>
      </c>
      <c r="AM598" t="n">
        <v>66.41329</v>
      </c>
      <c r="AN598" t="n">
        <v>61.67069</v>
      </c>
      <c r="AO598" t="n">
        <v>59.99312</v>
      </c>
      <c r="AP598" t="n">
        <v>69.91502</v>
      </c>
      <c r="AQ598" t="n">
        <v>10.92542</v>
      </c>
      <c r="AR598" t="n">
        <v>67.30521</v>
      </c>
      <c r="AS598" t="n">
        <v>48.55816</v>
      </c>
      <c r="AT598" t="n">
        <v>54.65123</v>
      </c>
      <c r="AU598" t="n">
        <v>82.04353</v>
      </c>
      <c r="AV598" t="n">
        <v>6.047201</v>
      </c>
      <c r="AW598" t="n">
        <v>69.02458</v>
      </c>
      <c r="AX598" t="n">
        <v>42.90928</v>
      </c>
    </row>
    <row r="599">
      <c r="A599" s="92" t="n">
        <v>36069</v>
      </c>
      <c r="B599" t="n">
        <v>72.54626</v>
      </c>
      <c r="C599" t="n">
        <v>72.36689</v>
      </c>
      <c r="D599" t="n">
        <v>33.76125</v>
      </c>
      <c r="E599" t="n">
        <v>72.37291999999999</v>
      </c>
      <c r="F599" t="n">
        <v>91.33152</v>
      </c>
      <c r="G599" t="n">
        <v>58.94562</v>
      </c>
      <c r="H599" t="n">
        <v>71.2055</v>
      </c>
      <c r="I599" t="n">
        <v>42.11127</v>
      </c>
      <c r="J599" t="n">
        <v>25.86655</v>
      </c>
      <c r="K599" t="n">
        <v>69.09999999999999</v>
      </c>
      <c r="L599" t="n">
        <v>78.27204</v>
      </c>
      <c r="M599" t="n">
        <v>72.68586000000001</v>
      </c>
      <c r="N599" t="n">
        <v>73.45</v>
      </c>
      <c r="O599" t="n">
        <v>67.70406</v>
      </c>
      <c r="P599" t="n">
        <v>55.93629</v>
      </c>
      <c r="R599" t="n">
        <v>76.23865000000001</v>
      </c>
      <c r="S599" t="n">
        <v>78.16</v>
      </c>
      <c r="T599" t="n">
        <v>56.51108</v>
      </c>
      <c r="U599" t="n">
        <v>74.47481000000001</v>
      </c>
      <c r="V599" t="n">
        <v>71.7</v>
      </c>
      <c r="W599" t="n">
        <v>68.55457</v>
      </c>
      <c r="X599" t="n">
        <v>43.78509</v>
      </c>
      <c r="Y599" t="n">
        <v>30.9666</v>
      </c>
      <c r="Z599" t="n">
        <v>35.90288</v>
      </c>
      <c r="AA599" t="n">
        <v>70.37129</v>
      </c>
      <c r="AB599" t="n">
        <v>42.90574</v>
      </c>
      <c r="AC599" t="n">
        <v>73.99194</v>
      </c>
      <c r="AD599" t="n">
        <v>72.2627</v>
      </c>
      <c r="AE599" t="n">
        <v>100.8908</v>
      </c>
      <c r="AF599" t="n">
        <v>65.00042999999999</v>
      </c>
      <c r="AG599" t="n">
        <v>67.95180000000001</v>
      </c>
      <c r="AH599" t="n">
        <v>70.48004</v>
      </c>
      <c r="AI599" t="n">
        <v>52.3219</v>
      </c>
      <c r="AJ599" t="n">
        <v>43.19486</v>
      </c>
      <c r="AK599" t="n">
        <v>72.41</v>
      </c>
      <c r="AL599" t="n">
        <v>71.90000000000001</v>
      </c>
      <c r="AM599" t="n">
        <v>66.72790999999999</v>
      </c>
      <c r="AN599" t="n">
        <v>61.9986</v>
      </c>
      <c r="AO599" t="n">
        <v>60.34478</v>
      </c>
      <c r="AP599" t="n">
        <v>70.16481</v>
      </c>
      <c r="AQ599" t="n">
        <v>11.42143</v>
      </c>
      <c r="AR599" t="n">
        <v>67.30521</v>
      </c>
      <c r="AS599" t="n">
        <v>49.10094</v>
      </c>
      <c r="AT599" t="n">
        <v>54.8152</v>
      </c>
      <c r="AU599" t="n">
        <v>82.21906</v>
      </c>
      <c r="AV599" t="n">
        <v>6.413166</v>
      </c>
      <c r="AW599" t="n">
        <v>69.19335</v>
      </c>
      <c r="AX599" t="n">
        <v>43.09325</v>
      </c>
    </row>
    <row r="600">
      <c r="A600" s="92" t="n">
        <v>36100</v>
      </c>
      <c r="B600" t="n">
        <v>72.62578999999999</v>
      </c>
      <c r="C600" t="n">
        <v>72.35697999999999</v>
      </c>
      <c r="D600" t="n">
        <v>33.72065</v>
      </c>
      <c r="E600" t="n">
        <v>72.37291999999999</v>
      </c>
      <c r="F600" t="n">
        <v>91.18335999999999</v>
      </c>
      <c r="G600" t="n">
        <v>59.00262</v>
      </c>
      <c r="H600" t="n">
        <v>70.71635999999999</v>
      </c>
      <c r="I600" t="n">
        <v>42.1847</v>
      </c>
      <c r="J600" t="n">
        <v>26.20752</v>
      </c>
      <c r="K600" t="n">
        <v>68.90000000000001</v>
      </c>
      <c r="L600" t="n">
        <v>78.27204</v>
      </c>
      <c r="M600" t="n">
        <v>72.82496999999999</v>
      </c>
      <c r="N600" t="n">
        <v>73.45</v>
      </c>
      <c r="O600" t="n">
        <v>67.64310999999999</v>
      </c>
      <c r="P600" t="n">
        <v>55.88502</v>
      </c>
      <c r="R600" t="n">
        <v>76.0475</v>
      </c>
      <c r="S600" t="n">
        <v>78.11</v>
      </c>
      <c r="T600" t="n">
        <v>56.75276</v>
      </c>
      <c r="U600" t="n">
        <v>74.4739</v>
      </c>
      <c r="V600" t="n">
        <v>71.8</v>
      </c>
      <c r="W600" t="n">
        <v>68.50024999999999</v>
      </c>
      <c r="X600" t="n">
        <v>43.90156</v>
      </c>
      <c r="Y600" t="n">
        <v>30.99159</v>
      </c>
      <c r="Z600" t="n">
        <v>36.31746</v>
      </c>
      <c r="AA600" t="n">
        <v>70.17194000000001</v>
      </c>
      <c r="AB600" t="n">
        <v>42.98914</v>
      </c>
      <c r="AC600" t="n">
        <v>74.89919</v>
      </c>
      <c r="AD600" t="n">
        <v>72.32924</v>
      </c>
      <c r="AE600" t="n">
        <v>100.789</v>
      </c>
      <c r="AF600" t="n">
        <v>64.78221000000001</v>
      </c>
      <c r="AG600" t="n">
        <v>68.0745</v>
      </c>
      <c r="AH600" t="n">
        <v>70.52128999999999</v>
      </c>
      <c r="AI600" t="n">
        <v>52.54506</v>
      </c>
      <c r="AJ600" t="n">
        <v>43.95982</v>
      </c>
      <c r="AK600" t="n">
        <v>72.41</v>
      </c>
      <c r="AL600" t="n">
        <v>72</v>
      </c>
      <c r="AM600" t="n">
        <v>66.87242000000001</v>
      </c>
      <c r="AN600" t="n">
        <v>62.24394</v>
      </c>
      <c r="AO600" t="n">
        <v>60.62611</v>
      </c>
      <c r="AP600" t="n">
        <v>70.51014000000001</v>
      </c>
      <c r="AQ600" t="n">
        <v>12.06903</v>
      </c>
      <c r="AR600" t="n">
        <v>67.07332</v>
      </c>
      <c r="AS600" t="n">
        <v>49.3097</v>
      </c>
      <c r="AT600" t="n">
        <v>55.02016</v>
      </c>
      <c r="AU600" t="n">
        <v>82.01161999999999</v>
      </c>
      <c r="AV600" t="n">
        <v>6.68847</v>
      </c>
      <c r="AW600" t="n">
        <v>69.19335</v>
      </c>
      <c r="AX600" t="n">
        <v>43.09325</v>
      </c>
    </row>
    <row r="601">
      <c r="A601" s="92" t="n">
        <v>36130</v>
      </c>
      <c r="B601" t="n">
        <v>72.68543</v>
      </c>
      <c r="C601" t="n">
        <v>72.29752000000001</v>
      </c>
      <c r="D601" t="n">
        <v>33.83201</v>
      </c>
      <c r="E601" t="n">
        <v>72.13589</v>
      </c>
      <c r="F601" t="n">
        <v>91.16392</v>
      </c>
      <c r="G601" t="n">
        <v>59.30291</v>
      </c>
      <c r="H601" t="n">
        <v>70.71896</v>
      </c>
      <c r="I601" t="n">
        <v>42.56812</v>
      </c>
      <c r="J601" t="n">
        <v>26.40436</v>
      </c>
      <c r="K601" t="n">
        <v>68.8</v>
      </c>
      <c r="L601" t="n">
        <v>78.36533</v>
      </c>
      <c r="M601" t="n">
        <v>72.72063</v>
      </c>
      <c r="N601" t="n">
        <v>73.48999999999999</v>
      </c>
      <c r="O601" t="n">
        <v>67.83029999999999</v>
      </c>
      <c r="P601" t="n">
        <v>55.98756</v>
      </c>
      <c r="R601" t="n">
        <v>76.00339</v>
      </c>
      <c r="S601" t="n">
        <v>78.19</v>
      </c>
      <c r="T601" t="n">
        <v>57.04195</v>
      </c>
      <c r="U601" t="n">
        <v>74.43446</v>
      </c>
      <c r="V601" t="n">
        <v>72</v>
      </c>
      <c r="W601" t="n">
        <v>68.83591</v>
      </c>
      <c r="X601" t="n">
        <v>44.01803</v>
      </c>
      <c r="Y601" t="n">
        <v>31.42897</v>
      </c>
      <c r="Z601" t="n">
        <v>35.57121</v>
      </c>
      <c r="AA601" t="n">
        <v>70.07227</v>
      </c>
      <c r="AB601" t="n">
        <v>42.90574</v>
      </c>
      <c r="AC601" t="n">
        <v>75</v>
      </c>
      <c r="AD601" t="n">
        <v>72.39578</v>
      </c>
      <c r="AE601" t="n">
        <v>100.3818</v>
      </c>
      <c r="AF601" t="n">
        <v>64.67258</v>
      </c>
      <c r="AG601" t="n">
        <v>68.1114</v>
      </c>
      <c r="AH601" t="n">
        <v>70.45941999999999</v>
      </c>
      <c r="AI601" t="n">
        <v>52.64735</v>
      </c>
      <c r="AJ601" t="n">
        <v>45.03242</v>
      </c>
      <c r="AK601" t="n">
        <v>72.20999999999999</v>
      </c>
      <c r="AL601" t="n">
        <v>72.09999999999999</v>
      </c>
      <c r="AM601" t="n">
        <v>67.00523</v>
      </c>
      <c r="AN601" t="n">
        <v>62.49777</v>
      </c>
      <c r="AO601" t="n">
        <v>60.8371</v>
      </c>
      <c r="AP601" t="n">
        <v>70.75894</v>
      </c>
      <c r="AQ601" t="n">
        <v>13.47024</v>
      </c>
      <c r="AR601" t="n">
        <v>66.72548999999999</v>
      </c>
      <c r="AS601" t="n">
        <v>49.43496</v>
      </c>
      <c r="AT601" t="n">
        <v>55.3891</v>
      </c>
      <c r="AU601" t="n">
        <v>81.88078</v>
      </c>
      <c r="AV601" t="n">
        <v>6.908239</v>
      </c>
      <c r="AW601" t="n">
        <v>69.15116</v>
      </c>
      <c r="AX601" t="n">
        <v>43.09325</v>
      </c>
    </row>
    <row r="602">
      <c r="A602" s="92" t="n">
        <v>36161</v>
      </c>
      <c r="B602" t="n">
        <v>72.62578999999999</v>
      </c>
      <c r="C602" t="n">
        <v>72.54528000000001</v>
      </c>
      <c r="D602" t="n">
        <v>34.0689</v>
      </c>
      <c r="E602" t="n">
        <v>72.29391</v>
      </c>
      <c r="F602" t="n">
        <v>91.35075999999999</v>
      </c>
      <c r="G602" t="n">
        <v>59.10555</v>
      </c>
      <c r="H602" t="n">
        <v>71.07863999999999</v>
      </c>
      <c r="I602" t="n">
        <v>43.51444</v>
      </c>
      <c r="J602" t="n">
        <v>26.87871</v>
      </c>
      <c r="K602" t="n">
        <v>69.3</v>
      </c>
      <c r="L602" t="n">
        <v>78.27204</v>
      </c>
      <c r="M602" t="n">
        <v>72.65107999999999</v>
      </c>
      <c r="N602" t="n">
        <v>73.44</v>
      </c>
      <c r="O602" t="n">
        <v>68.07952</v>
      </c>
      <c r="P602" t="n">
        <v>56.60281</v>
      </c>
      <c r="R602" t="n">
        <v>75.84165</v>
      </c>
      <c r="S602" t="n">
        <v>77.97</v>
      </c>
      <c r="T602" t="n">
        <v>57.24244</v>
      </c>
      <c r="U602" t="n">
        <v>74.45207000000001</v>
      </c>
      <c r="V602" t="n">
        <v>71.8</v>
      </c>
      <c r="W602" t="n">
        <v>68.14091000000001</v>
      </c>
      <c r="X602" t="n">
        <v>45.12451</v>
      </c>
      <c r="Y602" t="n">
        <v>32.35997</v>
      </c>
      <c r="Z602" t="n">
        <v>34.82496</v>
      </c>
      <c r="AA602" t="n">
        <v>69.47421</v>
      </c>
      <c r="AB602" t="n">
        <v>43.15592</v>
      </c>
      <c r="AC602" t="n">
        <v>74.59677000000001</v>
      </c>
      <c r="AD602" t="n">
        <v>72.46232000000001</v>
      </c>
      <c r="AE602" t="n">
        <v>99.87273999999999</v>
      </c>
      <c r="AF602" t="n">
        <v>64.61776</v>
      </c>
      <c r="AG602" t="n">
        <v>68.76009999999999</v>
      </c>
      <c r="AH602" t="n">
        <v>69.28394</v>
      </c>
      <c r="AI602" t="n">
        <v>53.27034</v>
      </c>
      <c r="AJ602" t="n">
        <v>46.16961</v>
      </c>
      <c r="AK602" t="n">
        <v>72.25</v>
      </c>
      <c r="AL602" t="n">
        <v>72.40000000000001</v>
      </c>
      <c r="AM602" t="n">
        <v>67.19195000000001</v>
      </c>
      <c r="AN602" t="n">
        <v>62.67902</v>
      </c>
      <c r="AO602" t="n">
        <v>61.75142</v>
      </c>
      <c r="AP602" t="n">
        <v>70.52606</v>
      </c>
      <c r="AQ602" t="n">
        <v>14.59905</v>
      </c>
      <c r="AR602" t="n">
        <v>66.64541</v>
      </c>
      <c r="AS602" t="n">
        <v>50.8963</v>
      </c>
      <c r="AT602" t="n">
        <v>55.94659</v>
      </c>
      <c r="AU602" t="n">
        <v>81.91269</v>
      </c>
      <c r="AV602" t="n">
        <v>7.240028</v>
      </c>
      <c r="AW602" t="n">
        <v>69.31992</v>
      </c>
      <c r="AX602" t="n">
        <v>43.41518</v>
      </c>
    </row>
    <row r="603">
      <c r="A603" s="92" t="n">
        <v>36192</v>
      </c>
      <c r="B603" t="n">
        <v>72.76496</v>
      </c>
      <c r="C603" t="n">
        <v>72.70385</v>
      </c>
      <c r="D603" t="n">
        <v>34.42666</v>
      </c>
      <c r="E603" t="n">
        <v>72.37291999999999</v>
      </c>
      <c r="F603" t="n">
        <v>91.65951</v>
      </c>
      <c r="G603" t="n">
        <v>59.14809</v>
      </c>
      <c r="H603" t="n">
        <v>71.35999</v>
      </c>
      <c r="I603" t="n">
        <v>44.24865</v>
      </c>
      <c r="J603" t="n">
        <v>27.07447</v>
      </c>
      <c r="K603" t="n">
        <v>69.3</v>
      </c>
      <c r="L603" t="n">
        <v>78.36533</v>
      </c>
      <c r="M603" t="n">
        <v>73.20753000000001</v>
      </c>
      <c r="N603" t="n">
        <v>73.61</v>
      </c>
      <c r="O603" t="n">
        <v>68.11978999999999</v>
      </c>
      <c r="P603" t="n">
        <v>56.75662</v>
      </c>
      <c r="R603" t="n">
        <v>76.02544</v>
      </c>
      <c r="S603" t="n">
        <v>78.20999999999999</v>
      </c>
      <c r="T603" t="n">
        <v>57.41549</v>
      </c>
      <c r="U603" t="n">
        <v>74.50378000000001</v>
      </c>
      <c r="V603" t="n">
        <v>71.90000000000001</v>
      </c>
      <c r="W603" t="n">
        <v>67.81197</v>
      </c>
      <c r="X603" t="n">
        <v>45.72351</v>
      </c>
      <c r="Y603" t="n">
        <v>32.77236</v>
      </c>
      <c r="Z603" t="n">
        <v>34.41038</v>
      </c>
      <c r="AA603" t="n">
        <v>69.87291</v>
      </c>
      <c r="AB603" t="n">
        <v>43.11422</v>
      </c>
      <c r="AC603" t="n">
        <v>74.09274000000001</v>
      </c>
      <c r="AD603" t="n">
        <v>72.59541</v>
      </c>
      <c r="AE603" t="n">
        <v>99.46552</v>
      </c>
      <c r="AF603" t="n">
        <v>64.89185000000001</v>
      </c>
      <c r="AG603" t="n">
        <v>68.788</v>
      </c>
      <c r="AH603" t="n">
        <v>70.56253</v>
      </c>
      <c r="AI603" t="n">
        <v>53.34472</v>
      </c>
      <c r="AJ603" t="n">
        <v>46.79008</v>
      </c>
      <c r="AK603" t="n">
        <v>72.61</v>
      </c>
      <c r="AL603" t="n">
        <v>72.5</v>
      </c>
      <c r="AM603" t="n">
        <v>67.34912</v>
      </c>
      <c r="AN603" t="n">
        <v>62.91426</v>
      </c>
      <c r="AO603" t="n">
        <v>62.10308</v>
      </c>
      <c r="AP603" t="n">
        <v>70.54895999999999</v>
      </c>
      <c r="AQ603" t="n">
        <v>15.20199</v>
      </c>
      <c r="AR603" t="n">
        <v>66.51237999999999</v>
      </c>
      <c r="AS603" t="n">
        <v>51.35558</v>
      </c>
      <c r="AT603" t="n">
        <v>56.15976</v>
      </c>
      <c r="AU603" t="n">
        <v>81.9063</v>
      </c>
      <c r="AV603" t="n">
        <v>7.469765</v>
      </c>
      <c r="AW603" t="n">
        <v>69.40430000000001</v>
      </c>
      <c r="AX603" t="n">
        <v>43.41518</v>
      </c>
    </row>
    <row r="604">
      <c r="A604" s="92" t="n">
        <v>36220</v>
      </c>
      <c r="B604" t="n">
        <v>72.76496</v>
      </c>
      <c r="C604" t="n">
        <v>72.76331</v>
      </c>
      <c r="D604" t="n">
        <v>34.8053</v>
      </c>
      <c r="E604" t="n">
        <v>72.68895999999999</v>
      </c>
      <c r="F604" t="n">
        <v>91.75533</v>
      </c>
      <c r="G604" t="n">
        <v>59.52409</v>
      </c>
      <c r="H604" t="n">
        <v>71.00346</v>
      </c>
      <c r="I604" t="n">
        <v>44.66471</v>
      </c>
      <c r="J604" t="n">
        <v>26.97336</v>
      </c>
      <c r="K604" t="n">
        <v>69.3</v>
      </c>
      <c r="L604" t="n">
        <v>78.36533</v>
      </c>
      <c r="M604" t="n">
        <v>73.55531000000001</v>
      </c>
      <c r="N604" t="n">
        <v>73.84999999999999</v>
      </c>
      <c r="O604" t="n">
        <v>68.42017</v>
      </c>
      <c r="P604" t="n">
        <v>57.06424</v>
      </c>
      <c r="R604" t="n">
        <v>76.20923999999999</v>
      </c>
      <c r="S604" t="n">
        <v>78.47</v>
      </c>
      <c r="T604" t="n">
        <v>57.67025</v>
      </c>
      <c r="U604" t="n">
        <v>74.69971</v>
      </c>
      <c r="V604" t="n">
        <v>72.3</v>
      </c>
      <c r="W604" t="n">
        <v>69.31398</v>
      </c>
      <c r="X604" t="n">
        <v>46.26427</v>
      </c>
      <c r="Y604" t="n">
        <v>32.70988</v>
      </c>
      <c r="Z604" t="n">
        <v>34.32746</v>
      </c>
      <c r="AA604" t="n">
        <v>70.07227</v>
      </c>
      <c r="AB604" t="n">
        <v>43.32271</v>
      </c>
      <c r="AC604" t="n">
        <v>73.89113</v>
      </c>
      <c r="AD604" t="n">
        <v>72.72848999999999</v>
      </c>
      <c r="AE604" t="n">
        <v>99.56732</v>
      </c>
      <c r="AF604" t="n">
        <v>65.00042999999999</v>
      </c>
      <c r="AG604" t="n">
        <v>68.63200000000001</v>
      </c>
      <c r="AH604" t="n">
        <v>70.64502</v>
      </c>
      <c r="AI604" t="n">
        <v>53.34472</v>
      </c>
      <c r="AJ604" t="n">
        <v>47.22479</v>
      </c>
      <c r="AK604" t="n">
        <v>73.23999999999999</v>
      </c>
      <c r="AL604" t="n">
        <v>73</v>
      </c>
      <c r="AM604" t="n">
        <v>67.62751</v>
      </c>
      <c r="AN604" t="n">
        <v>63.2755</v>
      </c>
      <c r="AO604" t="n">
        <v>62.73606</v>
      </c>
      <c r="AP604" t="n">
        <v>70.85048999999999</v>
      </c>
      <c r="AQ604" t="n">
        <v>15.62612</v>
      </c>
      <c r="AR604" t="n">
        <v>66.44588</v>
      </c>
      <c r="AS604" t="n">
        <v>51.48083</v>
      </c>
      <c r="AT604" t="n">
        <v>56.34012</v>
      </c>
      <c r="AU604" t="n">
        <v>82.21587</v>
      </c>
      <c r="AV604" t="n">
        <v>7.7726</v>
      </c>
      <c r="AW604" t="n">
        <v>69.61526000000001</v>
      </c>
      <c r="AX604" t="n">
        <v>43.41518</v>
      </c>
    </row>
    <row r="605">
      <c r="A605" s="92" t="n">
        <v>36251</v>
      </c>
      <c r="B605" t="n">
        <v>72.76496</v>
      </c>
      <c r="C605" t="n">
        <v>73.04080999999999</v>
      </c>
      <c r="D605" t="n">
        <v>35.00019</v>
      </c>
      <c r="E605" t="n">
        <v>73.08401000000001</v>
      </c>
      <c r="F605" t="n">
        <v>91.9084</v>
      </c>
      <c r="G605" t="n">
        <v>59.74783</v>
      </c>
      <c r="H605" t="n">
        <v>70.65607</v>
      </c>
      <c r="I605" t="n">
        <v>45.0155</v>
      </c>
      <c r="J605" t="n">
        <v>27.00671</v>
      </c>
      <c r="K605" t="n">
        <v>69.40000000000001</v>
      </c>
      <c r="L605" t="n">
        <v>78.7385</v>
      </c>
      <c r="M605" t="n">
        <v>73.76397</v>
      </c>
      <c r="N605" t="n">
        <v>74.11</v>
      </c>
      <c r="O605" t="n">
        <v>68.67319000000001</v>
      </c>
      <c r="P605" t="n">
        <v>57.16678</v>
      </c>
      <c r="R605" t="n">
        <v>76.76797999999999</v>
      </c>
      <c r="S605" t="n">
        <v>78.69</v>
      </c>
      <c r="T605" t="n">
        <v>58.03292</v>
      </c>
      <c r="U605" t="n">
        <v>75.13472</v>
      </c>
      <c r="V605" t="n">
        <v>72.59999999999999</v>
      </c>
      <c r="W605" t="n">
        <v>70.03502</v>
      </c>
      <c r="X605" t="n">
        <v>46.79671</v>
      </c>
      <c r="Y605" t="n">
        <v>32.49118</v>
      </c>
      <c r="Z605" t="n">
        <v>34.41038</v>
      </c>
      <c r="AA605" t="n">
        <v>70.47096999999999</v>
      </c>
      <c r="AB605" t="n">
        <v>43.57289</v>
      </c>
      <c r="AC605" t="n">
        <v>74.09274000000001</v>
      </c>
      <c r="AD605" t="n">
        <v>72.9281</v>
      </c>
      <c r="AE605" t="n">
        <v>100.0764</v>
      </c>
      <c r="AF605" t="n">
        <v>65.16488</v>
      </c>
      <c r="AG605" t="n">
        <v>68.646</v>
      </c>
      <c r="AH605" t="n">
        <v>70.98184999999999</v>
      </c>
      <c r="AI605" t="n">
        <v>53.27034</v>
      </c>
      <c r="AJ605" t="n">
        <v>47.65818</v>
      </c>
      <c r="AK605" t="n">
        <v>73.40000000000001</v>
      </c>
      <c r="AL605" t="n">
        <v>73.2</v>
      </c>
      <c r="AM605" t="n">
        <v>68.07634</v>
      </c>
      <c r="AN605" t="n">
        <v>63.6951</v>
      </c>
      <c r="AO605" t="n">
        <v>63.22839</v>
      </c>
      <c r="AP605" t="n">
        <v>71.30132</v>
      </c>
      <c r="AQ605" t="n">
        <v>16.0996</v>
      </c>
      <c r="AR605" t="n">
        <v>66.37936000000001</v>
      </c>
      <c r="AS605" t="n">
        <v>51.73135</v>
      </c>
      <c r="AT605" t="n">
        <v>56.55328</v>
      </c>
      <c r="AU605" t="n">
        <v>82.39776999999999</v>
      </c>
      <c r="AV605" t="n">
        <v>8.150906000000001</v>
      </c>
      <c r="AW605" t="n">
        <v>70.12155</v>
      </c>
      <c r="AX605" t="n">
        <v>43.50716</v>
      </c>
    </row>
    <row r="606">
      <c r="A606" s="92" t="n">
        <v>36281</v>
      </c>
      <c r="B606" t="n">
        <v>72.90412999999999</v>
      </c>
      <c r="C606" t="n">
        <v>73.16965</v>
      </c>
      <c r="D606" t="n">
        <v>35.10529</v>
      </c>
      <c r="E606" t="n">
        <v>73.24203</v>
      </c>
      <c r="F606" t="n">
        <v>91.70220999999999</v>
      </c>
      <c r="G606" t="n">
        <v>59.81844</v>
      </c>
      <c r="H606" t="n">
        <v>69.95301000000001</v>
      </c>
      <c r="I606" t="n">
        <v>45.23576</v>
      </c>
      <c r="J606" t="n">
        <v>27.22613</v>
      </c>
      <c r="K606" t="n">
        <v>69.40000000000001</v>
      </c>
      <c r="L606" t="n">
        <v>78.7385</v>
      </c>
      <c r="M606" t="n">
        <v>73.90308</v>
      </c>
      <c r="N606" t="n">
        <v>74.16</v>
      </c>
      <c r="O606" t="n">
        <v>68.67102</v>
      </c>
      <c r="P606" t="n">
        <v>57.37186</v>
      </c>
      <c r="R606" t="n">
        <v>76.95913</v>
      </c>
      <c r="S606" t="n">
        <v>78.7</v>
      </c>
      <c r="T606" t="n">
        <v>58.1609</v>
      </c>
      <c r="U606" t="n">
        <v>75.16616999999999</v>
      </c>
      <c r="V606" t="n">
        <v>72.8</v>
      </c>
      <c r="W606" t="n">
        <v>69.99858</v>
      </c>
      <c r="X606" t="n">
        <v>47.10453</v>
      </c>
      <c r="Y606" t="n">
        <v>32.39746</v>
      </c>
      <c r="Z606" t="n">
        <v>34.74204</v>
      </c>
      <c r="AA606" t="n">
        <v>70.77</v>
      </c>
      <c r="AB606" t="n">
        <v>43.73967</v>
      </c>
      <c r="AC606" t="n">
        <v>74.49596</v>
      </c>
      <c r="AD606" t="n">
        <v>73.06117999999999</v>
      </c>
      <c r="AE606" t="n">
        <v>100.0764</v>
      </c>
      <c r="AF606" t="n">
        <v>65.05524</v>
      </c>
      <c r="AG606" t="n">
        <v>68.6392</v>
      </c>
      <c r="AH606" t="n">
        <v>71.1812</v>
      </c>
      <c r="AI606" t="n">
        <v>53.5028</v>
      </c>
      <c r="AJ606" t="n">
        <v>47.94488</v>
      </c>
      <c r="AK606" t="n">
        <v>73.42</v>
      </c>
      <c r="AL606" t="n">
        <v>73.09999999999999</v>
      </c>
      <c r="AM606" t="n">
        <v>68.17856</v>
      </c>
      <c r="AN606" t="n">
        <v>63.88489</v>
      </c>
      <c r="AO606" t="n">
        <v>63.65038</v>
      </c>
      <c r="AP606" t="n">
        <v>71.38591</v>
      </c>
      <c r="AQ606" t="n">
        <v>16.45701</v>
      </c>
      <c r="AR606" t="n">
        <v>66.71192000000001</v>
      </c>
      <c r="AS606" t="n">
        <v>51.85661</v>
      </c>
      <c r="AT606" t="n">
        <v>56.89762</v>
      </c>
      <c r="AU606" t="n">
        <v>82.55415000000001</v>
      </c>
      <c r="AV606" t="n">
        <v>8.390611</v>
      </c>
      <c r="AW606" t="n">
        <v>70.12155</v>
      </c>
      <c r="AX606" t="n">
        <v>43.46117</v>
      </c>
    </row>
    <row r="607">
      <c r="A607" s="92" t="n">
        <v>36312</v>
      </c>
      <c r="B607" t="n">
        <v>72.76496</v>
      </c>
      <c r="C607" t="n">
        <v>73.0309</v>
      </c>
      <c r="D607" t="n">
        <v>35.17188</v>
      </c>
      <c r="E607" t="n">
        <v>73.40004999999999</v>
      </c>
      <c r="F607" t="n">
        <v>91.80977</v>
      </c>
      <c r="G607" t="n">
        <v>59.90181</v>
      </c>
      <c r="H607" t="n">
        <v>69.04216</v>
      </c>
      <c r="I607" t="n">
        <v>45.35814</v>
      </c>
      <c r="J607" t="n">
        <v>27.60475</v>
      </c>
      <c r="K607" t="n">
        <v>69.40000000000001</v>
      </c>
      <c r="L607" t="n">
        <v>78.83179</v>
      </c>
      <c r="M607" t="n">
        <v>74.11175</v>
      </c>
      <c r="N607" t="n">
        <v>74.16</v>
      </c>
      <c r="O607" t="n">
        <v>68.68571</v>
      </c>
      <c r="P607" t="n">
        <v>57.37186</v>
      </c>
      <c r="R607" t="n">
        <v>76.91502</v>
      </c>
      <c r="S607" t="n">
        <v>78.69</v>
      </c>
      <c r="T607" t="n">
        <v>58.20358</v>
      </c>
      <c r="U607" t="n">
        <v>75.14342000000001</v>
      </c>
      <c r="V607" t="n">
        <v>72.7</v>
      </c>
      <c r="W607" t="n">
        <v>70.00104</v>
      </c>
      <c r="X607" t="n">
        <v>47.33748</v>
      </c>
      <c r="Y607" t="n">
        <v>32.29124</v>
      </c>
      <c r="Z607" t="n">
        <v>34.82496</v>
      </c>
      <c r="AA607" t="n">
        <v>70.96935000000001</v>
      </c>
      <c r="AB607" t="n">
        <v>44.11494</v>
      </c>
      <c r="AC607" t="n">
        <v>74.69758</v>
      </c>
      <c r="AD607" t="n">
        <v>73.06117999999999</v>
      </c>
      <c r="AE607" t="n">
        <v>99.77094</v>
      </c>
      <c r="AF607" t="n">
        <v>64.67258</v>
      </c>
      <c r="AG607" t="n">
        <v>68.601</v>
      </c>
      <c r="AH607" t="n">
        <v>71.14682999999999</v>
      </c>
      <c r="AI607" t="n">
        <v>53.89333</v>
      </c>
      <c r="AJ607" t="n">
        <v>48.2599</v>
      </c>
      <c r="AK607" t="n">
        <v>73.14</v>
      </c>
      <c r="AL607" t="n">
        <v>73.2</v>
      </c>
      <c r="AM607" t="n">
        <v>68.23452</v>
      </c>
      <c r="AN607" t="n">
        <v>64.02701999999999</v>
      </c>
      <c r="AO607" t="n">
        <v>63.79104</v>
      </c>
      <c r="AP607" t="n">
        <v>71.49538</v>
      </c>
      <c r="AQ607" t="n">
        <v>16.77134</v>
      </c>
      <c r="AR607" t="n">
        <v>66.5789</v>
      </c>
      <c r="AS607" t="n">
        <v>52.10712</v>
      </c>
      <c r="AT607" t="n">
        <v>56.89762</v>
      </c>
      <c r="AU607" t="n">
        <v>82.67542</v>
      </c>
      <c r="AV607" t="n">
        <v>8.663541</v>
      </c>
      <c r="AW607" t="n">
        <v>70.12155</v>
      </c>
      <c r="AX607" t="n">
        <v>43.69112</v>
      </c>
    </row>
    <row r="608">
      <c r="A608" s="92" t="n">
        <v>36342</v>
      </c>
      <c r="B608" t="n">
        <v>72.76496</v>
      </c>
      <c r="C608" t="n">
        <v>73.13992</v>
      </c>
      <c r="D608" t="n">
        <v>35.55516</v>
      </c>
      <c r="E608" t="n">
        <v>73.55807</v>
      </c>
      <c r="F608" t="n">
        <v>91.83302</v>
      </c>
      <c r="G608" t="n">
        <v>59.94349</v>
      </c>
      <c r="H608" t="n">
        <v>68.62926</v>
      </c>
      <c r="I608" t="n">
        <v>45.49682</v>
      </c>
      <c r="J608" t="n">
        <v>27.67359</v>
      </c>
      <c r="K608" t="n">
        <v>70</v>
      </c>
      <c r="L608" t="n">
        <v>79.20496</v>
      </c>
      <c r="M608" t="n">
        <v>73.97264</v>
      </c>
      <c r="N608" t="n">
        <v>74.26000000000001</v>
      </c>
      <c r="O608" t="n">
        <v>68.98336</v>
      </c>
      <c r="P608" t="n">
        <v>57.37186</v>
      </c>
      <c r="R608" t="n">
        <v>76.78268</v>
      </c>
      <c r="S608" t="n">
        <v>78.48</v>
      </c>
      <c r="T608" t="n">
        <v>58.37138</v>
      </c>
      <c r="U608" t="n">
        <v>75.24290999999999</v>
      </c>
      <c r="V608" t="n">
        <v>72.40000000000001</v>
      </c>
      <c r="W608" t="n">
        <v>68.63875</v>
      </c>
      <c r="X608" t="n">
        <v>47.67025</v>
      </c>
      <c r="Y608" t="n">
        <v>31.94758</v>
      </c>
      <c r="Z608" t="n">
        <v>35.15663</v>
      </c>
      <c r="AA608" t="n">
        <v>70.77</v>
      </c>
      <c r="AB608" t="n">
        <v>44.24003</v>
      </c>
      <c r="AC608" t="n">
        <v>74.89919</v>
      </c>
      <c r="AD608" t="n">
        <v>73.2608</v>
      </c>
      <c r="AE608" t="n">
        <v>99.36371</v>
      </c>
      <c r="AF608" t="n">
        <v>64.45226</v>
      </c>
      <c r="AG608" t="n">
        <v>68.2427</v>
      </c>
      <c r="AH608" t="n">
        <v>70.26006</v>
      </c>
      <c r="AI608" t="n">
        <v>53.39122</v>
      </c>
      <c r="AJ608" t="n">
        <v>48.57885</v>
      </c>
      <c r="AK608" t="n">
        <v>73.06</v>
      </c>
      <c r="AL608" t="n">
        <v>73</v>
      </c>
      <c r="AM608" t="n">
        <v>68.39879000000001</v>
      </c>
      <c r="AN608" t="n">
        <v>64.22144</v>
      </c>
      <c r="AO608" t="n">
        <v>63.58005</v>
      </c>
      <c r="AP608" t="n">
        <v>71.47945</v>
      </c>
      <c r="AQ608" t="n">
        <v>17.24429</v>
      </c>
      <c r="AR608" t="n">
        <v>66.5789</v>
      </c>
      <c r="AS608" t="n">
        <v>55.07155</v>
      </c>
      <c r="AT608" t="n">
        <v>57.82405</v>
      </c>
      <c r="AU608" t="n">
        <v>82.31480000000001</v>
      </c>
      <c r="AV608" t="n">
        <v>8.994381000000001</v>
      </c>
      <c r="AW608" t="n">
        <v>70.3325</v>
      </c>
      <c r="AX608" t="n">
        <v>43.73711</v>
      </c>
    </row>
    <row r="609">
      <c r="A609" s="92" t="n">
        <v>36373</v>
      </c>
      <c r="B609" t="n">
        <v>72.8246</v>
      </c>
      <c r="C609" t="n">
        <v>73.05072</v>
      </c>
      <c r="D609" t="n">
        <v>35.75423</v>
      </c>
      <c r="E609" t="n">
        <v>73.71608999999999</v>
      </c>
      <c r="F609" t="n">
        <v>92.28751</v>
      </c>
      <c r="G609" t="n">
        <v>60.06173</v>
      </c>
      <c r="H609" t="n">
        <v>69.17564</v>
      </c>
      <c r="I609" t="n">
        <v>45.72524</v>
      </c>
      <c r="J609" t="n">
        <v>27.83816</v>
      </c>
      <c r="K609" t="n">
        <v>70.09999999999999</v>
      </c>
      <c r="L609" t="n">
        <v>79.11167</v>
      </c>
      <c r="M609" t="n">
        <v>74.35518999999999</v>
      </c>
      <c r="N609" t="n">
        <v>74.34999999999999</v>
      </c>
      <c r="O609" t="n">
        <v>69.27721</v>
      </c>
      <c r="P609" t="n">
        <v>57.26933</v>
      </c>
      <c r="R609" t="n">
        <v>76.83414999999999</v>
      </c>
      <c r="S609" t="n">
        <v>78.61</v>
      </c>
      <c r="T609" t="n">
        <v>58.59399</v>
      </c>
      <c r="U609" t="n">
        <v>75.39198</v>
      </c>
      <c r="V609" t="n">
        <v>72.59999999999999</v>
      </c>
      <c r="W609" t="n">
        <v>68.57668</v>
      </c>
      <c r="X609" t="n">
        <v>47.84496</v>
      </c>
      <c r="Y609" t="n">
        <v>31.65391</v>
      </c>
      <c r="Z609" t="n">
        <v>35.32246</v>
      </c>
      <c r="AA609" t="n">
        <v>71.1687</v>
      </c>
      <c r="AB609" t="n">
        <v>44.40682</v>
      </c>
      <c r="AC609" t="n">
        <v>75.30242</v>
      </c>
      <c r="AD609" t="n">
        <v>73.32735</v>
      </c>
      <c r="AE609" t="n">
        <v>99.66913</v>
      </c>
      <c r="AF609" t="n">
        <v>65.11111</v>
      </c>
      <c r="AG609" t="n">
        <v>68.1093</v>
      </c>
      <c r="AH609" t="n">
        <v>71.40804</v>
      </c>
      <c r="AI609" t="n">
        <v>53.30753</v>
      </c>
      <c r="AJ609" t="n">
        <v>48.85228</v>
      </c>
      <c r="AK609" t="n">
        <v>73.45999999999999</v>
      </c>
      <c r="AL609" t="n">
        <v>72.7</v>
      </c>
      <c r="AM609" t="n">
        <v>68.63826</v>
      </c>
      <c r="AN609" t="n">
        <v>64.49921000000001</v>
      </c>
      <c r="AO609" t="n">
        <v>63.93171</v>
      </c>
      <c r="AP609" t="n">
        <v>71.36799999999999</v>
      </c>
      <c r="AQ609" t="n">
        <v>17.44432</v>
      </c>
      <c r="AR609" t="n">
        <v>66.44588</v>
      </c>
      <c r="AS609" t="n">
        <v>55.36382</v>
      </c>
      <c r="AT609" t="n">
        <v>58.34056</v>
      </c>
      <c r="AU609" t="n">
        <v>82.31480000000001</v>
      </c>
      <c r="AV609" t="n">
        <v>9.372687000000001</v>
      </c>
      <c r="AW609" t="n">
        <v>70.50127000000001</v>
      </c>
      <c r="AX609" t="n">
        <v>43.55315</v>
      </c>
    </row>
    <row r="610">
      <c r="A610" s="92" t="n">
        <v>36404</v>
      </c>
      <c r="B610" t="n">
        <v>72.8246</v>
      </c>
      <c r="C610" t="n">
        <v>73.20929</v>
      </c>
      <c r="D610" t="n">
        <v>35.86514</v>
      </c>
      <c r="E610" t="n">
        <v>73.95312</v>
      </c>
      <c r="F610" t="n">
        <v>92.46183000000001</v>
      </c>
      <c r="G610" t="n">
        <v>60.19785</v>
      </c>
      <c r="H610" t="n">
        <v>70.77847</v>
      </c>
      <c r="I610" t="n">
        <v>45.88024</v>
      </c>
      <c r="J610" t="n">
        <v>28.02102</v>
      </c>
      <c r="K610" t="n">
        <v>70</v>
      </c>
      <c r="L610" t="n">
        <v>78.92509</v>
      </c>
      <c r="M610" t="n">
        <v>74.70296999999999</v>
      </c>
      <c r="N610" t="n">
        <v>74.43000000000001</v>
      </c>
      <c r="O610" t="n">
        <v>69.41052000000001</v>
      </c>
      <c r="P610" t="n">
        <v>57.37186</v>
      </c>
      <c r="R610" t="n">
        <v>77.09146</v>
      </c>
      <c r="S610" t="n">
        <v>78.73999999999999</v>
      </c>
      <c r="T610" t="n">
        <v>58.97417</v>
      </c>
      <c r="U610" t="n">
        <v>75.63409</v>
      </c>
      <c r="V610" t="n">
        <v>72.8</v>
      </c>
      <c r="W610" t="n">
        <v>69.90322</v>
      </c>
      <c r="X610" t="n">
        <v>48.10286</v>
      </c>
      <c r="Y610" t="n">
        <v>31.43522</v>
      </c>
      <c r="Z610" t="n">
        <v>35.57121</v>
      </c>
      <c r="AA610" t="n">
        <v>71.36806</v>
      </c>
      <c r="AB610" t="n">
        <v>44.82378</v>
      </c>
      <c r="AC610" t="n">
        <v>75.50404</v>
      </c>
      <c r="AD610" t="n">
        <v>73.46043</v>
      </c>
      <c r="AE610" t="n">
        <v>99.97454999999999</v>
      </c>
      <c r="AF610" t="n">
        <v>65.27557</v>
      </c>
      <c r="AG610" t="n">
        <v>68.5574</v>
      </c>
      <c r="AH610" t="n">
        <v>71.58677</v>
      </c>
      <c r="AI610" t="n">
        <v>53.4656</v>
      </c>
      <c r="AJ610" t="n">
        <v>49.32432</v>
      </c>
      <c r="AK610" t="n">
        <v>73.8</v>
      </c>
      <c r="AL610" t="n">
        <v>73.40000000000001</v>
      </c>
      <c r="AM610" t="n">
        <v>68.99593</v>
      </c>
      <c r="AN610" t="n">
        <v>64.90956</v>
      </c>
      <c r="AO610" t="n">
        <v>64.84602</v>
      </c>
      <c r="AP610" t="n">
        <v>71.35207</v>
      </c>
      <c r="AQ610" t="n">
        <v>17.7025</v>
      </c>
      <c r="AR610" t="n">
        <v>66.37936000000001</v>
      </c>
      <c r="AS610" t="n">
        <v>55.69784</v>
      </c>
      <c r="AT610" t="n">
        <v>58.77508</v>
      </c>
      <c r="AU610" t="n">
        <v>82.89882</v>
      </c>
      <c r="AV610" t="n">
        <v>9.933738999999999</v>
      </c>
      <c r="AW610" t="n">
        <v>70.83880000000001</v>
      </c>
      <c r="AX610" t="n">
        <v>43.73711</v>
      </c>
    </row>
    <row r="611">
      <c r="A611" s="92" t="n">
        <v>36434</v>
      </c>
      <c r="B611" t="n">
        <v>73.12282</v>
      </c>
      <c r="C611" t="n">
        <v>73.30840000000001</v>
      </c>
      <c r="D611" t="n">
        <v>36.29203</v>
      </c>
      <c r="E611" t="n">
        <v>74.03213</v>
      </c>
      <c r="F611" t="n">
        <v>92.46093</v>
      </c>
      <c r="G611" t="n">
        <v>60.41137</v>
      </c>
      <c r="H611" t="n">
        <v>70.77827000000001</v>
      </c>
      <c r="I611" t="n">
        <v>46.03524</v>
      </c>
      <c r="J611" t="n">
        <v>28.43298</v>
      </c>
      <c r="K611" t="n">
        <v>70.09999999999999</v>
      </c>
      <c r="L611" t="n">
        <v>78.83179</v>
      </c>
      <c r="M611" t="n">
        <v>74.84209</v>
      </c>
      <c r="N611" t="n">
        <v>74.47</v>
      </c>
      <c r="O611" t="n">
        <v>69.3844</v>
      </c>
      <c r="P611" t="n">
        <v>57.52568</v>
      </c>
      <c r="R611" t="n">
        <v>77.25320000000001</v>
      </c>
      <c r="S611" t="n">
        <v>78.79000000000001</v>
      </c>
      <c r="T611" t="n">
        <v>59.26833</v>
      </c>
      <c r="U611" t="n">
        <v>75.74114</v>
      </c>
      <c r="V611" t="n">
        <v>72.8</v>
      </c>
      <c r="W611" t="n">
        <v>70.09686000000001</v>
      </c>
      <c r="X611" t="n">
        <v>48.38572</v>
      </c>
      <c r="Y611" t="n">
        <v>31.45397</v>
      </c>
      <c r="Z611" t="n">
        <v>36.23454</v>
      </c>
      <c r="AA611" t="n">
        <v>71.46773</v>
      </c>
      <c r="AB611" t="n">
        <v>45.15736</v>
      </c>
      <c r="AC611" t="n">
        <v>76.00806</v>
      </c>
      <c r="AD611" t="n">
        <v>73.72659</v>
      </c>
      <c r="AE611" t="n">
        <v>100.1782</v>
      </c>
      <c r="AF611" t="n">
        <v>65.76891999999999</v>
      </c>
      <c r="AG611" t="n">
        <v>68.1053</v>
      </c>
      <c r="AH611" t="n">
        <v>71.79299</v>
      </c>
      <c r="AI611" t="n">
        <v>53.81894</v>
      </c>
      <c r="AJ611" t="n">
        <v>49.63672</v>
      </c>
      <c r="AK611" t="n">
        <v>73.86</v>
      </c>
      <c r="AL611" t="n">
        <v>73.7</v>
      </c>
      <c r="AM611" t="n">
        <v>69.26061</v>
      </c>
      <c r="AN611" t="n">
        <v>65.29371999999999</v>
      </c>
      <c r="AO611" t="n">
        <v>65.54934</v>
      </c>
      <c r="AP611" t="n">
        <v>71.54813</v>
      </c>
      <c r="AQ611" t="n">
        <v>17.94502</v>
      </c>
      <c r="AR611" t="n">
        <v>66.51237999999999</v>
      </c>
      <c r="AS611" t="n">
        <v>55.9901</v>
      </c>
      <c r="AT611" t="n">
        <v>59.05383</v>
      </c>
      <c r="AU611" t="n">
        <v>82.99456000000001</v>
      </c>
      <c r="AV611" t="n">
        <v>10.56219</v>
      </c>
      <c r="AW611" t="n">
        <v>70.96536999999999</v>
      </c>
      <c r="AX611" t="n">
        <v>43.8291</v>
      </c>
    </row>
    <row r="612">
      <c r="A612" s="92" t="n">
        <v>36465</v>
      </c>
      <c r="B612" t="n">
        <v>73.18246000000001</v>
      </c>
      <c r="C612" t="n">
        <v>73.46696</v>
      </c>
      <c r="D612" t="n">
        <v>36.63681</v>
      </c>
      <c r="E612" t="n">
        <v>73.95312</v>
      </c>
      <c r="F612" t="n">
        <v>92.37272</v>
      </c>
      <c r="G612" t="n">
        <v>60.5126</v>
      </c>
      <c r="H612" t="n">
        <v>70.07992</v>
      </c>
      <c r="I612" t="n">
        <v>46.25551</v>
      </c>
      <c r="J612" t="n">
        <v>28.69866</v>
      </c>
      <c r="K612" t="n">
        <v>70.3</v>
      </c>
      <c r="L612" t="n">
        <v>79.01837999999999</v>
      </c>
      <c r="M612" t="n">
        <v>74.9812</v>
      </c>
      <c r="N612" t="n">
        <v>74.56999999999999</v>
      </c>
      <c r="O612" t="n">
        <v>69.49596</v>
      </c>
      <c r="P612" t="n">
        <v>57.67949</v>
      </c>
      <c r="R612" t="n">
        <v>77.24585</v>
      </c>
      <c r="S612" t="n">
        <v>78.81999999999999</v>
      </c>
      <c r="T612" t="n">
        <v>59.39603</v>
      </c>
      <c r="U612" t="n">
        <v>75.73927</v>
      </c>
      <c r="V612" t="n">
        <v>72.90000000000001</v>
      </c>
      <c r="W612" t="n">
        <v>70.27603999999999</v>
      </c>
      <c r="X612" t="n">
        <v>48.56043</v>
      </c>
      <c r="Y612" t="n">
        <v>31.48521</v>
      </c>
      <c r="Z612" t="n">
        <v>36.31746</v>
      </c>
      <c r="AA612" t="n">
        <v>71.56741</v>
      </c>
      <c r="AB612" t="n">
        <v>45.15736</v>
      </c>
      <c r="AC612" t="n">
        <v>75.90725999999999</v>
      </c>
      <c r="AD612" t="n">
        <v>73.85966000000001</v>
      </c>
      <c r="AE612" t="n">
        <v>99.56732</v>
      </c>
      <c r="AF612" t="n">
        <v>65.65823</v>
      </c>
      <c r="AG612" t="n">
        <v>68.12820000000001</v>
      </c>
      <c r="AH612" t="n">
        <v>71.85486</v>
      </c>
      <c r="AI612" t="n">
        <v>54.24667</v>
      </c>
      <c r="AJ612" t="n">
        <v>50.07814</v>
      </c>
      <c r="AK612" t="n">
        <v>73.95</v>
      </c>
      <c r="AL612" t="n">
        <v>74</v>
      </c>
      <c r="AM612" t="n">
        <v>69.39798999999999</v>
      </c>
      <c r="AN612" t="n">
        <v>65.62446</v>
      </c>
      <c r="AO612" t="n">
        <v>66.11199999999999</v>
      </c>
      <c r="AP612" t="n">
        <v>71.96511</v>
      </c>
      <c r="AQ612" t="n">
        <v>18.16574</v>
      </c>
      <c r="AR612" t="n">
        <v>66.37936000000001</v>
      </c>
      <c r="AS612" t="n">
        <v>56.19887</v>
      </c>
      <c r="AT612" t="n">
        <v>59.33258</v>
      </c>
      <c r="AU612" t="n">
        <v>82.76797000000001</v>
      </c>
      <c r="AV612" t="n">
        <v>11.006</v>
      </c>
      <c r="AW612" t="n">
        <v>71.00757</v>
      </c>
      <c r="AX612" t="n">
        <v>43.92108</v>
      </c>
    </row>
    <row r="613">
      <c r="A613" s="92" t="n">
        <v>36495</v>
      </c>
      <c r="B613" t="n">
        <v>73.67949</v>
      </c>
      <c r="C613" t="n">
        <v>73.6949</v>
      </c>
      <c r="D613" t="n">
        <v>36.85652</v>
      </c>
      <c r="E613" t="n">
        <v>74.03213</v>
      </c>
      <c r="F613" t="n">
        <v>92.68456999999999</v>
      </c>
      <c r="G613" t="n">
        <v>60.67253</v>
      </c>
      <c r="H613" t="n">
        <v>70.01177</v>
      </c>
      <c r="I613" t="n">
        <v>46.50024</v>
      </c>
      <c r="J613" t="n">
        <v>29.07405</v>
      </c>
      <c r="K613" t="n">
        <v>70.40000000000001</v>
      </c>
      <c r="L613" t="n">
        <v>79.29826</v>
      </c>
      <c r="M613" t="n">
        <v>75.05076</v>
      </c>
      <c r="N613" t="n">
        <v>74.83</v>
      </c>
      <c r="O613" t="n">
        <v>69.80938999999999</v>
      </c>
      <c r="P613" t="n">
        <v>58.14093</v>
      </c>
      <c r="Q613" t="n">
        <v>71.59999999999999</v>
      </c>
      <c r="R613" t="n">
        <v>77.54728</v>
      </c>
      <c r="S613" t="n">
        <v>79.17</v>
      </c>
      <c r="T613" t="n">
        <v>59.54368</v>
      </c>
      <c r="U613" t="n">
        <v>75.78153</v>
      </c>
      <c r="V613" t="n">
        <v>73.09999999999999</v>
      </c>
      <c r="W613" t="n">
        <v>70.72505</v>
      </c>
      <c r="X613" t="n">
        <v>48.95144</v>
      </c>
      <c r="Y613" t="n">
        <v>32.03506</v>
      </c>
      <c r="Z613" t="n">
        <v>35.73704</v>
      </c>
      <c r="AA613" t="n">
        <v>72.46449</v>
      </c>
      <c r="AB613" t="n">
        <v>45.28244</v>
      </c>
      <c r="AC613" t="n">
        <v>75.90725999999999</v>
      </c>
      <c r="AD613" t="n">
        <v>73.92621</v>
      </c>
      <c r="AE613" t="n">
        <v>99.2619</v>
      </c>
      <c r="AF613" t="n">
        <v>65.54859999999999</v>
      </c>
      <c r="AG613" t="n">
        <v>68.32429999999999</v>
      </c>
      <c r="AH613" t="n">
        <v>72.12982</v>
      </c>
      <c r="AI613" t="n">
        <v>54.33035</v>
      </c>
      <c r="AJ613" t="n">
        <v>50.57981</v>
      </c>
      <c r="AK613" t="n">
        <v>73.7</v>
      </c>
      <c r="AL613" t="n">
        <v>74.09999999999999</v>
      </c>
      <c r="AM613" t="n">
        <v>69.62618999999999</v>
      </c>
      <c r="AN613" t="n">
        <v>66.14337</v>
      </c>
      <c r="AO613" t="n">
        <v>66.67465</v>
      </c>
      <c r="AP613" t="n">
        <v>72.14424</v>
      </c>
      <c r="AQ613" t="n">
        <v>18.39463</v>
      </c>
      <c r="AR613" t="n">
        <v>66.5789</v>
      </c>
      <c r="AS613" t="n">
        <v>56.44938</v>
      </c>
      <c r="AT613" t="n">
        <v>59.82449</v>
      </c>
      <c r="AU613" t="n">
        <v>82.95627</v>
      </c>
      <c r="AV613" t="n">
        <v>11.66056</v>
      </c>
      <c r="AW613" t="n">
        <v>71.00757</v>
      </c>
      <c r="AX613" t="n">
        <v>44.05905</v>
      </c>
    </row>
    <row r="614">
      <c r="A614" s="92" t="n">
        <v>36526</v>
      </c>
      <c r="B614" t="n">
        <v>73.46080000000001</v>
      </c>
      <c r="C614" t="n">
        <v>73.83365000000001</v>
      </c>
      <c r="D614" t="n">
        <v>37.08505</v>
      </c>
      <c r="E614" t="n">
        <v>73.87411</v>
      </c>
      <c r="F614" t="n">
        <v>92.79904000000001</v>
      </c>
      <c r="G614" t="n">
        <v>60.77887</v>
      </c>
      <c r="H614" t="n">
        <v>70.93649000000001</v>
      </c>
      <c r="I614" t="n">
        <v>47.10393</v>
      </c>
      <c r="J614" t="n">
        <v>29.59142</v>
      </c>
      <c r="K614" t="n">
        <v>71.59999999999999</v>
      </c>
      <c r="L614" t="n">
        <v>79.48484000000001</v>
      </c>
      <c r="M614" t="n">
        <v>74.94642</v>
      </c>
      <c r="N614" t="n">
        <v>74.86</v>
      </c>
      <c r="O614" t="n">
        <v>70.03901999999999</v>
      </c>
      <c r="P614" t="n">
        <v>58.44855</v>
      </c>
      <c r="Q614" t="n">
        <v>71.8</v>
      </c>
      <c r="R614" t="n">
        <v>77.56198000000001</v>
      </c>
      <c r="S614" t="n">
        <v>79.17</v>
      </c>
      <c r="T614" t="n">
        <v>59.79984</v>
      </c>
      <c r="U614" t="n">
        <v>75.87418</v>
      </c>
      <c r="V614" t="n">
        <v>72.59999999999999</v>
      </c>
      <c r="W614" t="n">
        <v>69.93342</v>
      </c>
      <c r="X614" t="n">
        <v>49.66691</v>
      </c>
      <c r="Y614" t="n">
        <v>32.4537</v>
      </c>
      <c r="Z614" t="n">
        <v>35.73704</v>
      </c>
      <c r="AA614" t="n">
        <v>72.26514</v>
      </c>
      <c r="AB614" t="n">
        <v>45.65771</v>
      </c>
      <c r="AC614" t="n">
        <v>75.50404</v>
      </c>
      <c r="AD614" t="n">
        <v>74.05929</v>
      </c>
      <c r="AE614" t="n">
        <v>99.1601</v>
      </c>
      <c r="AF614" t="n">
        <v>65.83955</v>
      </c>
      <c r="AG614" t="n">
        <v>69.3462</v>
      </c>
      <c r="AH614" t="n">
        <v>71.51115</v>
      </c>
      <c r="AI614" t="n">
        <v>54.91615</v>
      </c>
      <c r="AJ614" t="n">
        <v>51.25897</v>
      </c>
      <c r="AK614" t="n">
        <v>73.55</v>
      </c>
      <c r="AL614" t="n">
        <v>74.5</v>
      </c>
      <c r="AM614" t="n">
        <v>69.84876</v>
      </c>
      <c r="AN614" t="n">
        <v>66.36038000000001</v>
      </c>
      <c r="AO614" t="n">
        <v>67.87029</v>
      </c>
      <c r="AP614" t="n">
        <v>72.00292</v>
      </c>
      <c r="AQ614" t="n">
        <v>18.82323</v>
      </c>
      <c r="AR614" t="n">
        <v>66.64541</v>
      </c>
      <c r="AS614" t="n">
        <v>57.82722</v>
      </c>
      <c r="AT614" t="n">
        <v>60.3</v>
      </c>
      <c r="AU614" t="n">
        <v>82.27969</v>
      </c>
      <c r="AV614" t="n">
        <v>12.22683</v>
      </c>
      <c r="AW614" t="n">
        <v>71.21852</v>
      </c>
      <c r="AX614" t="n">
        <v>44.56495</v>
      </c>
    </row>
    <row r="615">
      <c r="A615" s="92" t="n">
        <v>36557</v>
      </c>
      <c r="B615" t="n">
        <v>73.95782</v>
      </c>
      <c r="C615" t="n">
        <v>74.11114999999999</v>
      </c>
      <c r="D615" t="n">
        <v>37.13331</v>
      </c>
      <c r="E615" t="n">
        <v>74.34817</v>
      </c>
      <c r="F615" t="n">
        <v>93.14778</v>
      </c>
      <c r="G615" t="n">
        <v>61.11745</v>
      </c>
      <c r="H615" t="n">
        <v>71.8595</v>
      </c>
      <c r="I615" t="n">
        <v>48.18894</v>
      </c>
      <c r="J615" t="n">
        <v>30.0206</v>
      </c>
      <c r="K615" t="n">
        <v>71.8</v>
      </c>
      <c r="L615" t="n">
        <v>79.57813</v>
      </c>
      <c r="M615" t="n">
        <v>75.40388</v>
      </c>
      <c r="N615" t="n">
        <v>75.09999999999999</v>
      </c>
      <c r="O615" t="n">
        <v>70.13805000000001</v>
      </c>
      <c r="P615" t="n">
        <v>58.49982</v>
      </c>
      <c r="Q615" t="n">
        <v>72.09999999999999</v>
      </c>
      <c r="R615" t="n">
        <v>78.13963</v>
      </c>
      <c r="S615" t="n">
        <v>79.27</v>
      </c>
      <c r="T615" t="n">
        <v>60.08085</v>
      </c>
      <c r="U615" t="n">
        <v>76.14841</v>
      </c>
      <c r="V615" t="n">
        <v>72.8</v>
      </c>
      <c r="W615" t="n">
        <v>69.78516999999999</v>
      </c>
      <c r="X615" t="n">
        <v>50.25907</v>
      </c>
      <c r="Y615" t="n">
        <v>32.47869</v>
      </c>
      <c r="Z615" t="n">
        <v>35.65413</v>
      </c>
      <c r="AA615" t="n">
        <v>72.86320000000001</v>
      </c>
      <c r="AB615" t="n">
        <v>45.53262</v>
      </c>
      <c r="AC615" t="n">
        <v>75.30242</v>
      </c>
      <c r="AD615" t="n">
        <v>74.32545</v>
      </c>
      <c r="AE615" t="n">
        <v>98.85467</v>
      </c>
      <c r="AF615" t="n">
        <v>66.04089</v>
      </c>
      <c r="AG615" t="n">
        <v>69.3486</v>
      </c>
      <c r="AH615" t="n">
        <v>72.44602999999999</v>
      </c>
      <c r="AI615" t="n">
        <v>55.1951</v>
      </c>
      <c r="AJ615" t="n">
        <v>51.71365</v>
      </c>
      <c r="AK615" t="n">
        <v>74</v>
      </c>
      <c r="AL615" t="n">
        <v>74.8</v>
      </c>
      <c r="AM615" t="n">
        <v>70.18002</v>
      </c>
      <c r="AN615" t="n">
        <v>66.68208</v>
      </c>
      <c r="AO615" t="n">
        <v>68.43295000000001</v>
      </c>
      <c r="AP615" t="n">
        <v>71.83872</v>
      </c>
      <c r="AQ615" t="n">
        <v>19.01899</v>
      </c>
      <c r="AR615" t="n">
        <v>66.17982000000001</v>
      </c>
      <c r="AS615" t="n">
        <v>59.78959</v>
      </c>
      <c r="AT615" t="n">
        <v>60.89</v>
      </c>
      <c r="AU615" t="n">
        <v>82.66904</v>
      </c>
      <c r="AV615" t="n">
        <v>12.67966</v>
      </c>
      <c r="AW615" t="n">
        <v>71.64042999999999</v>
      </c>
      <c r="AX615" t="n">
        <v>44.42698</v>
      </c>
    </row>
    <row r="616">
      <c r="A616" s="92" t="n">
        <v>36586</v>
      </c>
      <c r="B616" t="n">
        <v>74.17652</v>
      </c>
      <c r="C616" t="n">
        <v>74.39855</v>
      </c>
      <c r="D616" t="n">
        <v>37.21498</v>
      </c>
      <c r="E616" t="n">
        <v>74.90124</v>
      </c>
      <c r="F616" t="n">
        <v>93.116</v>
      </c>
      <c r="G616" t="n">
        <v>61.56236</v>
      </c>
      <c r="H616" t="n">
        <v>70.86145999999999</v>
      </c>
      <c r="I616" t="n">
        <v>49.01289</v>
      </c>
      <c r="J616" t="n">
        <v>30.22389</v>
      </c>
      <c r="K616" t="n">
        <v>71.8</v>
      </c>
      <c r="L616" t="n">
        <v>79.57813</v>
      </c>
      <c r="M616" t="n">
        <v>75.93758</v>
      </c>
      <c r="N616" t="n">
        <v>75.37</v>
      </c>
      <c r="O616" t="n">
        <v>70.41611</v>
      </c>
      <c r="P616" t="n">
        <v>58.85872</v>
      </c>
      <c r="Q616" t="n">
        <v>72.42</v>
      </c>
      <c r="R616" t="n">
        <v>78.60648</v>
      </c>
      <c r="S616" t="n">
        <v>79.64</v>
      </c>
      <c r="T616" t="n">
        <v>60.3745</v>
      </c>
      <c r="U616" t="n">
        <v>76.57286999999999</v>
      </c>
      <c r="V616" t="n">
        <v>73</v>
      </c>
      <c r="W616" t="n">
        <v>71.49325</v>
      </c>
      <c r="X616" t="n">
        <v>50.70318</v>
      </c>
      <c r="Y616" t="n">
        <v>32.32873</v>
      </c>
      <c r="Z616" t="n">
        <v>35.98579</v>
      </c>
      <c r="AA616" t="n">
        <v>73.36157</v>
      </c>
      <c r="AB616" t="n">
        <v>45.8662</v>
      </c>
      <c r="AC616" t="n">
        <v>75</v>
      </c>
      <c r="AD616" t="n">
        <v>74.52507</v>
      </c>
      <c r="AE616" t="n">
        <v>99.05828</v>
      </c>
      <c r="AF616" t="n">
        <v>66.37296000000001</v>
      </c>
      <c r="AG616" t="n">
        <v>69.20059999999999</v>
      </c>
      <c r="AH616" t="n">
        <v>72.63163</v>
      </c>
      <c r="AI616" t="n">
        <v>55.07422</v>
      </c>
      <c r="AJ616" t="n">
        <v>52.00035</v>
      </c>
      <c r="AK616" t="n">
        <v>74.66</v>
      </c>
      <c r="AL616" t="n">
        <v>74.90000000000001</v>
      </c>
      <c r="AM616" t="n">
        <v>70.60759</v>
      </c>
      <c r="AN616" t="n">
        <v>67.01649</v>
      </c>
      <c r="AO616" t="n">
        <v>69.06594</v>
      </c>
      <c r="AP616" t="n">
        <v>71.9472</v>
      </c>
      <c r="AQ616" t="n">
        <v>19.14071</v>
      </c>
      <c r="AR616" t="n">
        <v>65.91377</v>
      </c>
      <c r="AS616" t="n">
        <v>59.99834</v>
      </c>
      <c r="AT616" t="n">
        <v>61.43</v>
      </c>
      <c r="AU616" t="n">
        <v>83.06477</v>
      </c>
      <c r="AV616" t="n">
        <v>13.0499</v>
      </c>
      <c r="AW616" t="n">
        <v>72.2311</v>
      </c>
      <c r="AX616" t="n">
        <v>44.88688</v>
      </c>
    </row>
    <row r="617">
      <c r="A617" s="92" t="n">
        <v>36617</v>
      </c>
      <c r="B617" t="n">
        <v>74.11687000000001</v>
      </c>
      <c r="C617" t="n">
        <v>74.5373</v>
      </c>
      <c r="D617" t="n">
        <v>37.37136</v>
      </c>
      <c r="E617" t="n">
        <v>74.66421</v>
      </c>
      <c r="F617" t="n">
        <v>93.1974</v>
      </c>
      <c r="G617" t="n">
        <v>61.85841</v>
      </c>
      <c r="H617" t="n">
        <v>70.44410000000001</v>
      </c>
      <c r="I617" t="n">
        <v>49.50237</v>
      </c>
      <c r="J617" t="n">
        <v>30.11848</v>
      </c>
      <c r="K617" t="n">
        <v>71.7</v>
      </c>
      <c r="L617" t="n">
        <v>79.57813</v>
      </c>
      <c r="M617" t="n">
        <v>76.01382</v>
      </c>
      <c r="N617" t="n">
        <v>75.45</v>
      </c>
      <c r="O617" t="n">
        <v>70.70887</v>
      </c>
      <c r="P617" t="n">
        <v>58.96126</v>
      </c>
      <c r="Q617" t="n">
        <v>72.59</v>
      </c>
      <c r="R617" t="n">
        <v>78.79639</v>
      </c>
      <c r="S617" t="n">
        <v>79.64</v>
      </c>
      <c r="T617" t="n">
        <v>60.52412</v>
      </c>
      <c r="U617" t="n">
        <v>76.63454</v>
      </c>
      <c r="V617" t="n">
        <v>73.3</v>
      </c>
      <c r="W617" t="n">
        <v>71.83856</v>
      </c>
      <c r="X617" t="n">
        <v>51.1473</v>
      </c>
      <c r="Y617" t="n">
        <v>32.50993</v>
      </c>
      <c r="Z617" t="n">
        <v>36.31746</v>
      </c>
      <c r="AA617" t="n">
        <v>73.85995</v>
      </c>
      <c r="AB617" t="n">
        <v>46.15807</v>
      </c>
      <c r="AC617" t="n">
        <v>75.40322999999999</v>
      </c>
      <c r="AD617" t="n">
        <v>74.59161</v>
      </c>
      <c r="AE617" t="n">
        <v>99.2619</v>
      </c>
      <c r="AF617" t="n">
        <v>66.10625</v>
      </c>
      <c r="AG617" t="n">
        <v>69.1837</v>
      </c>
      <c r="AH617" t="n">
        <v>72.90658999999999</v>
      </c>
      <c r="AI617" t="n">
        <v>55.26949</v>
      </c>
      <c r="AJ617" t="n">
        <v>52.29621</v>
      </c>
      <c r="AK617" t="n">
        <v>74.78</v>
      </c>
      <c r="AL617" t="n">
        <v>75.09999999999999</v>
      </c>
      <c r="AM617" t="n">
        <v>70.74347</v>
      </c>
      <c r="AN617" t="n">
        <v>67.22409</v>
      </c>
      <c r="AO617" t="n">
        <v>69.34726999999999</v>
      </c>
      <c r="AP617" t="n">
        <v>72.78614</v>
      </c>
      <c r="AQ617" t="n">
        <v>19.31106</v>
      </c>
      <c r="AR617" t="n">
        <v>65.84726000000001</v>
      </c>
      <c r="AS617" t="n">
        <v>59.99834</v>
      </c>
      <c r="AT617" t="n">
        <v>61.78</v>
      </c>
      <c r="AU617" t="n">
        <v>82.99137</v>
      </c>
      <c r="AV617" t="n">
        <v>13.35321</v>
      </c>
      <c r="AW617" t="n">
        <v>72.27330000000001</v>
      </c>
      <c r="AX617" t="n">
        <v>45.48476</v>
      </c>
    </row>
    <row r="618">
      <c r="A618" s="92" t="n">
        <v>36647</v>
      </c>
      <c r="B618" t="n">
        <v>74.17652</v>
      </c>
      <c r="C618" t="n">
        <v>74.75533</v>
      </c>
      <c r="D618" t="n">
        <v>37.37507</v>
      </c>
      <c r="E618" t="n">
        <v>74.98025</v>
      </c>
      <c r="F618" t="n">
        <v>93.15159</v>
      </c>
      <c r="G618" t="n">
        <v>61.98941</v>
      </c>
      <c r="H618" t="n">
        <v>70.02296</v>
      </c>
      <c r="I618" t="n">
        <v>49.75526</v>
      </c>
      <c r="J618" t="n">
        <v>30.09482</v>
      </c>
      <c r="K618" t="n">
        <v>71.8</v>
      </c>
      <c r="L618" t="n">
        <v>79.48484000000001</v>
      </c>
      <c r="M618" t="n">
        <v>76.31879000000001</v>
      </c>
      <c r="N618" t="n">
        <v>75.54000000000001</v>
      </c>
      <c r="O618" t="n">
        <v>70.82641</v>
      </c>
      <c r="P618" t="n">
        <v>59.01253</v>
      </c>
      <c r="Q618" t="n">
        <v>72.76000000000001</v>
      </c>
      <c r="R618" t="n">
        <v>79.03377999999999</v>
      </c>
      <c r="S618" t="n">
        <v>79.8</v>
      </c>
      <c r="T618" t="n">
        <v>60.65647</v>
      </c>
      <c r="U618" t="n">
        <v>76.73885</v>
      </c>
      <c r="V618" t="n">
        <v>73.5</v>
      </c>
      <c r="W618" t="n">
        <v>72.04763</v>
      </c>
      <c r="X618" t="n">
        <v>51.36935</v>
      </c>
      <c r="Y618" t="n">
        <v>32.78485</v>
      </c>
      <c r="Z618" t="n">
        <v>36.48329</v>
      </c>
      <c r="AA618" t="n">
        <v>74.45801</v>
      </c>
      <c r="AB618" t="n">
        <v>46.32486</v>
      </c>
      <c r="AC618" t="n">
        <v>75.90725999999999</v>
      </c>
      <c r="AD618" t="n">
        <v>74.85777</v>
      </c>
      <c r="AE618" t="n">
        <v>99.36371</v>
      </c>
      <c r="AF618" t="n">
        <v>65.77314</v>
      </c>
      <c r="AG618" t="n">
        <v>68.9494</v>
      </c>
      <c r="AH618" t="n">
        <v>72.99596</v>
      </c>
      <c r="AI618" t="n">
        <v>55.14861</v>
      </c>
      <c r="AJ618" t="n">
        <v>52.49171</v>
      </c>
      <c r="AK618" t="n">
        <v>75.02</v>
      </c>
      <c r="AL618" t="n">
        <v>75.2</v>
      </c>
      <c r="AM618" t="n">
        <v>70.88643</v>
      </c>
      <c r="AN618" t="n">
        <v>67.44183</v>
      </c>
      <c r="AO618" t="n">
        <v>69.83959</v>
      </c>
      <c r="AP618" t="n">
        <v>73.19616000000001</v>
      </c>
      <c r="AQ618" t="n">
        <v>19.64901</v>
      </c>
      <c r="AR618" t="n">
        <v>65.71424</v>
      </c>
      <c r="AS618" t="n">
        <v>60.16536</v>
      </c>
      <c r="AT618" t="n">
        <v>62.04</v>
      </c>
      <c r="AU618" t="n">
        <v>83.3871</v>
      </c>
      <c r="AV618" t="n">
        <v>13.6494</v>
      </c>
      <c r="AW618" t="n">
        <v>72.35768</v>
      </c>
      <c r="AX618" t="n">
        <v>45.66872</v>
      </c>
    </row>
    <row r="619">
      <c r="A619" s="92" t="n">
        <v>36678</v>
      </c>
      <c r="B619" t="n">
        <v>74.75306999999999</v>
      </c>
      <c r="C619" t="n">
        <v>75.03283</v>
      </c>
      <c r="D619" t="n">
        <v>37.46114</v>
      </c>
      <c r="E619" t="n">
        <v>75.45431000000001</v>
      </c>
      <c r="F619" t="n">
        <v>93.49832000000001</v>
      </c>
      <c r="G619" t="n">
        <v>62.13148</v>
      </c>
      <c r="H619" t="n">
        <v>69.38737</v>
      </c>
      <c r="I619" t="n">
        <v>49.7471</v>
      </c>
      <c r="J619" t="n">
        <v>30.50248</v>
      </c>
      <c r="K619" t="n">
        <v>72.3</v>
      </c>
      <c r="L619" t="n">
        <v>79.85800999999999</v>
      </c>
      <c r="M619" t="n">
        <v>76.54752000000001</v>
      </c>
      <c r="N619" t="n">
        <v>75.8</v>
      </c>
      <c r="O619" t="n">
        <v>71.0408</v>
      </c>
      <c r="P619" t="n">
        <v>59.21761</v>
      </c>
      <c r="Q619" t="n">
        <v>73.06</v>
      </c>
      <c r="R619" t="n">
        <v>79.22369</v>
      </c>
      <c r="S619" t="n">
        <v>80</v>
      </c>
      <c r="T619" t="n">
        <v>60.87984</v>
      </c>
      <c r="U619" t="n">
        <v>77.02066000000001</v>
      </c>
      <c r="V619" t="n">
        <v>73.59999999999999</v>
      </c>
      <c r="W619" t="n">
        <v>71.77039000000001</v>
      </c>
      <c r="X619" t="n">
        <v>51.66543</v>
      </c>
      <c r="Y619" t="n">
        <v>32.94731</v>
      </c>
      <c r="Z619" t="n">
        <v>36.64912</v>
      </c>
      <c r="AA619" t="n">
        <v>74.95639</v>
      </c>
      <c r="AB619" t="n">
        <v>46.49165</v>
      </c>
      <c r="AC619" t="n">
        <v>76.20968000000001</v>
      </c>
      <c r="AD619" t="n">
        <v>75.05739</v>
      </c>
      <c r="AE619" t="n">
        <v>99.1601</v>
      </c>
      <c r="AF619" t="n">
        <v>66.10625</v>
      </c>
      <c r="AG619" t="n">
        <v>69.46420000000001</v>
      </c>
      <c r="AH619" t="n">
        <v>73.47027</v>
      </c>
      <c r="AI619" t="n">
        <v>55.1951</v>
      </c>
      <c r="AJ619" t="n">
        <v>52.80263</v>
      </c>
      <c r="AK619" t="n">
        <v>74.94</v>
      </c>
      <c r="AL619" t="n">
        <v>75.59999999999999</v>
      </c>
      <c r="AM619" t="n">
        <v>71.14904</v>
      </c>
      <c r="AN619" t="n">
        <v>67.66522999999999</v>
      </c>
      <c r="AO619" t="n">
        <v>70.33190999999999</v>
      </c>
      <c r="AP619" t="n">
        <v>73.56238999999999</v>
      </c>
      <c r="AQ619" t="n">
        <v>20.15006</v>
      </c>
      <c r="AR619" t="n">
        <v>65.78075</v>
      </c>
      <c r="AS619" t="n">
        <v>60.1236</v>
      </c>
      <c r="AT619" t="n">
        <v>62.44</v>
      </c>
      <c r="AU619" t="n">
        <v>83.37114</v>
      </c>
      <c r="AV619" t="n">
        <v>13.74196</v>
      </c>
      <c r="AW619" t="n">
        <v>72.73739999999999</v>
      </c>
      <c r="AX619" t="n">
        <v>45.94467</v>
      </c>
    </row>
    <row r="620">
      <c r="A620" s="92" t="n">
        <v>36708</v>
      </c>
      <c r="B620" t="n">
        <v>74.81271</v>
      </c>
      <c r="C620" t="n">
        <v>75.18149</v>
      </c>
      <c r="D620" t="n">
        <v>38.06438</v>
      </c>
      <c r="E620" t="n">
        <v>75.69134</v>
      </c>
      <c r="F620" t="n">
        <v>93.56759</v>
      </c>
      <c r="G620" t="n">
        <v>62.214</v>
      </c>
      <c r="H620" t="n">
        <v>68.97241</v>
      </c>
      <c r="I620" t="n">
        <v>49.73079</v>
      </c>
      <c r="J620" t="n">
        <v>30.90368</v>
      </c>
      <c r="K620" t="n">
        <v>72.7</v>
      </c>
      <c r="L620" t="n">
        <v>80.23117999999999</v>
      </c>
      <c r="M620" t="n">
        <v>76.24254999999999</v>
      </c>
      <c r="N620" t="n">
        <v>75.87</v>
      </c>
      <c r="O620" t="n">
        <v>71.47232</v>
      </c>
      <c r="P620" t="n">
        <v>59.73032</v>
      </c>
      <c r="Q620" t="n">
        <v>73.23999999999999</v>
      </c>
      <c r="R620" t="n">
        <v>78.97047000000001</v>
      </c>
      <c r="S620" t="n">
        <v>79.87</v>
      </c>
      <c r="T620" t="n">
        <v>61.08989</v>
      </c>
      <c r="U620" t="n">
        <v>77.10999</v>
      </c>
      <c r="V620" t="n">
        <v>73.3</v>
      </c>
      <c r="W620" t="n">
        <v>70.51872</v>
      </c>
      <c r="X620" t="n">
        <v>52.18357</v>
      </c>
      <c r="Y620" t="n">
        <v>33.3722</v>
      </c>
      <c r="Z620" t="n">
        <v>36.89788</v>
      </c>
      <c r="AA620" t="n">
        <v>75.15575</v>
      </c>
      <c r="AB620" t="n">
        <v>46.74183</v>
      </c>
      <c r="AC620" t="n">
        <v>76.41128999999999</v>
      </c>
      <c r="AD620" t="n">
        <v>75.19047</v>
      </c>
      <c r="AE620" t="n">
        <v>98.85467</v>
      </c>
      <c r="AF620" t="n">
        <v>66.37296000000001</v>
      </c>
      <c r="AG620" t="n">
        <v>69.1862</v>
      </c>
      <c r="AH620" t="n">
        <v>72.67975</v>
      </c>
      <c r="AI620" t="n">
        <v>54.91615</v>
      </c>
      <c r="AJ620" t="n">
        <v>53.00861</v>
      </c>
      <c r="AK620" t="n">
        <v>74.75</v>
      </c>
      <c r="AL620" t="n">
        <v>75.3</v>
      </c>
      <c r="AM620" t="n">
        <v>71.32805999999999</v>
      </c>
      <c r="AN620" t="n">
        <v>67.81032</v>
      </c>
      <c r="AO620" t="n">
        <v>70.82423</v>
      </c>
      <c r="AP620" t="n">
        <v>73.80421</v>
      </c>
      <c r="AQ620" t="n">
        <v>20.51074</v>
      </c>
      <c r="AR620" t="n">
        <v>65.58121</v>
      </c>
      <c r="AS620" t="n">
        <v>60.1236</v>
      </c>
      <c r="AT620" t="n">
        <v>62.96</v>
      </c>
      <c r="AU620" t="n">
        <v>82.97541</v>
      </c>
      <c r="AV620" t="n">
        <v>14.05049</v>
      </c>
      <c r="AW620" t="n">
        <v>72.90617</v>
      </c>
      <c r="AX620" t="n">
        <v>46.35858</v>
      </c>
    </row>
    <row r="621">
      <c r="A621" s="92" t="n">
        <v>36739</v>
      </c>
      <c r="B621" t="n">
        <v>74.81271</v>
      </c>
      <c r="C621" t="n">
        <v>75.15176</v>
      </c>
      <c r="D621" t="n">
        <v>38.56297</v>
      </c>
      <c r="E621" t="n">
        <v>75.61233</v>
      </c>
      <c r="F621" t="n">
        <v>93.32550999999999</v>
      </c>
      <c r="G621" t="n">
        <v>62.37478</v>
      </c>
      <c r="H621" t="n">
        <v>69.38317000000001</v>
      </c>
      <c r="I621" t="n">
        <v>49.88579</v>
      </c>
      <c r="J621" t="n">
        <v>31.10805</v>
      </c>
      <c r="K621" t="n">
        <v>72.8</v>
      </c>
      <c r="L621" t="n">
        <v>80.04459</v>
      </c>
      <c r="M621" t="n">
        <v>76.16631</v>
      </c>
      <c r="N621" t="n">
        <v>75.93000000000001</v>
      </c>
      <c r="O621" t="n">
        <v>71.77215</v>
      </c>
      <c r="P621" t="n">
        <v>59.83286</v>
      </c>
      <c r="Q621" t="n">
        <v>73.34</v>
      </c>
      <c r="R621" t="n">
        <v>79.28699</v>
      </c>
      <c r="S621" t="n">
        <v>80.02</v>
      </c>
      <c r="T621" t="n">
        <v>61.21309</v>
      </c>
      <c r="U621" t="n">
        <v>77.13269</v>
      </c>
      <c r="V621" t="n">
        <v>73.3</v>
      </c>
      <c r="W621" t="n">
        <v>70.62862</v>
      </c>
      <c r="X621" t="n">
        <v>52.47964</v>
      </c>
      <c r="Y621" t="n">
        <v>33.5409</v>
      </c>
      <c r="Z621" t="n">
        <v>36.73204</v>
      </c>
      <c r="AA621" t="n">
        <v>75.55445</v>
      </c>
      <c r="AB621" t="n">
        <v>46.49165</v>
      </c>
      <c r="AC621" t="n">
        <v>75.90725999999999</v>
      </c>
      <c r="AD621" t="n">
        <v>75.25700999999999</v>
      </c>
      <c r="AE621" t="n">
        <v>99.1601</v>
      </c>
      <c r="AF621" t="n">
        <v>66.70502</v>
      </c>
      <c r="AG621" t="n">
        <v>68.76179999999999</v>
      </c>
      <c r="AH621" t="n">
        <v>73.64899</v>
      </c>
      <c r="AI621" t="n">
        <v>54.6</v>
      </c>
      <c r="AJ621" t="n">
        <v>53.29988</v>
      </c>
      <c r="AK621" t="n">
        <v>75.08</v>
      </c>
      <c r="AL621" t="n">
        <v>75.3</v>
      </c>
      <c r="AM621" t="n">
        <v>71.41969</v>
      </c>
      <c r="AN621" t="n">
        <v>67.92764</v>
      </c>
      <c r="AO621" t="n">
        <v>70.61324</v>
      </c>
      <c r="AP621" t="n">
        <v>73.83308</v>
      </c>
      <c r="AQ621" t="n">
        <v>20.71175</v>
      </c>
      <c r="AR621" t="n">
        <v>65.64773</v>
      </c>
      <c r="AS621" t="n">
        <v>60.16536</v>
      </c>
      <c r="AT621" t="n">
        <v>63.13</v>
      </c>
      <c r="AU621" t="n">
        <v>83.03286</v>
      </c>
      <c r="AV621" t="n">
        <v>14.35569</v>
      </c>
      <c r="AW621" t="n">
        <v>72.90617</v>
      </c>
      <c r="AX621" t="n">
        <v>46.54255</v>
      </c>
    </row>
    <row r="622">
      <c r="A622" s="92" t="n">
        <v>36770</v>
      </c>
      <c r="B622" t="n">
        <v>75.03140999999999</v>
      </c>
      <c r="C622" t="n">
        <v>75.67702</v>
      </c>
      <c r="D622" t="n">
        <v>38.6516</v>
      </c>
      <c r="E622" t="n">
        <v>75.92837</v>
      </c>
      <c r="F622" t="n">
        <v>93.79322999999999</v>
      </c>
      <c r="G622" t="n">
        <v>62.75419</v>
      </c>
      <c r="H622" t="n">
        <v>70.77847</v>
      </c>
      <c r="I622" t="n">
        <v>50.0979</v>
      </c>
      <c r="J622" t="n">
        <v>31.22637</v>
      </c>
      <c r="K622" t="n">
        <v>72.8</v>
      </c>
      <c r="L622" t="n">
        <v>80.23117999999999</v>
      </c>
      <c r="M622" t="n">
        <v>76.7</v>
      </c>
      <c r="N622" t="n">
        <v>76.26000000000001</v>
      </c>
      <c r="O622" t="n">
        <v>71.9577</v>
      </c>
      <c r="P622" t="n">
        <v>60.08921</v>
      </c>
      <c r="Q622" t="n">
        <v>73.76000000000001</v>
      </c>
      <c r="R622" t="n">
        <v>79.95958</v>
      </c>
      <c r="S622" t="n">
        <v>80.43000000000001</v>
      </c>
      <c r="T622" t="n">
        <v>61.5863</v>
      </c>
      <c r="U622" t="n">
        <v>77.43835</v>
      </c>
      <c r="V622" t="n">
        <v>73.8</v>
      </c>
      <c r="W622" t="n">
        <v>72.09966</v>
      </c>
      <c r="X622" t="n">
        <v>53.0718</v>
      </c>
      <c r="Y622" t="n">
        <v>33.52216</v>
      </c>
      <c r="Z622" t="n">
        <v>36.81496</v>
      </c>
      <c r="AA622" t="n">
        <v>75.85348</v>
      </c>
      <c r="AB622" t="n">
        <v>46.57504</v>
      </c>
      <c r="AC622" t="n">
        <v>75.50404</v>
      </c>
      <c r="AD622" t="n">
        <v>75.39009</v>
      </c>
      <c r="AE622" t="n">
        <v>99.05828</v>
      </c>
      <c r="AF622" t="n">
        <v>67.5705</v>
      </c>
      <c r="AG622" t="n">
        <v>68.7876</v>
      </c>
      <c r="AH622" t="n">
        <v>74.03394</v>
      </c>
      <c r="AI622" t="n">
        <v>54.6465</v>
      </c>
      <c r="AJ622" t="n">
        <v>53.68924</v>
      </c>
      <c r="AK622" t="n">
        <v>75.98999999999999</v>
      </c>
      <c r="AL622" t="n">
        <v>76</v>
      </c>
      <c r="AM622" t="n">
        <v>71.7928</v>
      </c>
      <c r="AN622" t="n">
        <v>68.37157000000001</v>
      </c>
      <c r="AO622" t="n">
        <v>71.31656</v>
      </c>
      <c r="AP622" t="n">
        <v>73.7664</v>
      </c>
      <c r="AQ622" t="n">
        <v>20.98514</v>
      </c>
      <c r="AR622" t="n">
        <v>65.58121</v>
      </c>
      <c r="AS622" t="n">
        <v>60.54113</v>
      </c>
      <c r="AT622" t="n">
        <v>64.01000000000001</v>
      </c>
      <c r="AU622" t="n">
        <v>83.62007</v>
      </c>
      <c r="AV622" t="n">
        <v>14.79713</v>
      </c>
      <c r="AW622" t="n">
        <v>73.28588000000001</v>
      </c>
      <c r="AX622" t="n">
        <v>46.7725</v>
      </c>
    </row>
    <row r="623">
      <c r="A623" s="92" t="n">
        <v>36800</v>
      </c>
      <c r="B623" t="n">
        <v>75.17058</v>
      </c>
      <c r="C623" t="n">
        <v>75.48872</v>
      </c>
      <c r="D623" t="n">
        <v>38.70566</v>
      </c>
      <c r="E623" t="n">
        <v>76.08638999999999</v>
      </c>
      <c r="F623" t="n">
        <v>93.69269</v>
      </c>
      <c r="G623" t="n">
        <v>63.1336</v>
      </c>
      <c r="H623" t="n">
        <v>70.77827000000001</v>
      </c>
      <c r="I623" t="n">
        <v>50.17132</v>
      </c>
      <c r="J623" t="n">
        <v>31.42321</v>
      </c>
      <c r="K623" t="n">
        <v>73</v>
      </c>
      <c r="L623" t="n">
        <v>80.13789</v>
      </c>
      <c r="M623" t="n">
        <v>76.85249</v>
      </c>
      <c r="N623" t="n">
        <v>76.3</v>
      </c>
      <c r="O623" t="n">
        <v>72.14162</v>
      </c>
      <c r="P623" t="n">
        <v>60.65319</v>
      </c>
      <c r="Q623" t="n">
        <v>73.91</v>
      </c>
      <c r="R623" t="n">
        <v>80.0308</v>
      </c>
      <c r="S623" t="n">
        <v>80.33</v>
      </c>
      <c r="T623" t="n">
        <v>61.80011</v>
      </c>
      <c r="U623" t="n">
        <v>77.51918999999999</v>
      </c>
      <c r="V623" t="n">
        <v>73.8</v>
      </c>
      <c r="W623" t="n">
        <v>72.922</v>
      </c>
      <c r="X623" t="n">
        <v>53.36787</v>
      </c>
      <c r="Y623" t="n">
        <v>33.90955</v>
      </c>
      <c r="Z623" t="n">
        <v>37.22954</v>
      </c>
      <c r="AA623" t="n">
        <v>76.35186</v>
      </c>
      <c r="AB623" t="n">
        <v>47.0754</v>
      </c>
      <c r="AC623" t="n">
        <v>75.90725999999999</v>
      </c>
      <c r="AD623" t="n">
        <v>75.65625</v>
      </c>
      <c r="AE623" t="n">
        <v>99.05828</v>
      </c>
      <c r="AF623" t="n">
        <v>67.50409000000001</v>
      </c>
      <c r="AG623" t="n">
        <v>68.901</v>
      </c>
      <c r="AH623" t="n">
        <v>74.26766000000001</v>
      </c>
      <c r="AI623" t="n">
        <v>54.87896</v>
      </c>
      <c r="AJ623" t="n">
        <v>54.05894</v>
      </c>
      <c r="AK623" t="n">
        <v>76.12</v>
      </c>
      <c r="AL623" t="n">
        <v>76</v>
      </c>
      <c r="AM623" t="n">
        <v>71.96146</v>
      </c>
      <c r="AN623" t="n">
        <v>68.58826000000001</v>
      </c>
      <c r="AO623" t="n">
        <v>71.87921</v>
      </c>
      <c r="AP623" t="n">
        <v>74.06695000000001</v>
      </c>
      <c r="AQ623" t="n">
        <v>21.42793</v>
      </c>
      <c r="AR623" t="n">
        <v>65.5147</v>
      </c>
      <c r="AS623" t="n">
        <v>60.79165</v>
      </c>
      <c r="AT623" t="n">
        <v>64.38</v>
      </c>
      <c r="AU623" t="n">
        <v>83.80198</v>
      </c>
      <c r="AV623" t="n">
        <v>15.25566</v>
      </c>
      <c r="AW623" t="n">
        <v>73.41245000000001</v>
      </c>
      <c r="AX623" t="n">
        <v>46.91047</v>
      </c>
    </row>
    <row r="624">
      <c r="A624" s="92" t="n">
        <v>36831</v>
      </c>
      <c r="B624" t="n">
        <v>75.44891</v>
      </c>
      <c r="C624" t="n">
        <v>75.73648</v>
      </c>
      <c r="D624" t="n">
        <v>38.82955</v>
      </c>
      <c r="E624" t="n">
        <v>76.32341</v>
      </c>
      <c r="F624" t="n">
        <v>94.13936</v>
      </c>
      <c r="G624" t="n">
        <v>63.34713</v>
      </c>
      <c r="H624" t="n">
        <v>70.99095</v>
      </c>
      <c r="I624" t="n">
        <v>50.34263</v>
      </c>
      <c r="J624" t="n">
        <v>31.68351</v>
      </c>
      <c r="K624" t="n">
        <v>73.09999999999999</v>
      </c>
      <c r="L624" t="n">
        <v>80.23117999999999</v>
      </c>
      <c r="M624" t="n">
        <v>76.92873</v>
      </c>
      <c r="N624" t="n">
        <v>76.45999999999999</v>
      </c>
      <c r="O624" t="n">
        <v>72.3212</v>
      </c>
      <c r="P624" t="n">
        <v>60.96081</v>
      </c>
      <c r="Q624" t="n">
        <v>74.13</v>
      </c>
      <c r="R624" t="n">
        <v>80.00706</v>
      </c>
      <c r="S624" t="n">
        <v>80.51000000000001</v>
      </c>
      <c r="T624" t="n">
        <v>61.9707</v>
      </c>
      <c r="U624" t="n">
        <v>77.57172</v>
      </c>
      <c r="V624" t="n">
        <v>74</v>
      </c>
      <c r="W624" t="n">
        <v>73.2589</v>
      </c>
      <c r="X624" t="n">
        <v>53.73797</v>
      </c>
      <c r="Y624" t="n">
        <v>34.35943</v>
      </c>
      <c r="Z624" t="n">
        <v>37.31246</v>
      </c>
      <c r="AA624" t="n">
        <v>76.65089</v>
      </c>
      <c r="AB624" t="n">
        <v>47.20049</v>
      </c>
      <c r="AC624" t="n">
        <v>75.90725999999999</v>
      </c>
      <c r="AD624" t="n">
        <v>75.85587</v>
      </c>
      <c r="AE624" t="n">
        <v>98.75286</v>
      </c>
      <c r="AF624" t="n">
        <v>67.10456000000001</v>
      </c>
      <c r="AG624" t="n">
        <v>69.15770000000001</v>
      </c>
      <c r="AH624" t="n">
        <v>74.48076</v>
      </c>
      <c r="AI624" t="n">
        <v>55.11141</v>
      </c>
      <c r="AJ624" t="n">
        <v>54.52116</v>
      </c>
      <c r="AK624" t="n">
        <v>76.11</v>
      </c>
      <c r="AL624" t="n">
        <v>76.40000000000001</v>
      </c>
      <c r="AM624" t="n">
        <v>72.11324</v>
      </c>
      <c r="AN624" t="n">
        <v>68.9145</v>
      </c>
      <c r="AO624" t="n">
        <v>72.16055</v>
      </c>
      <c r="AP624" t="n">
        <v>74.65212</v>
      </c>
      <c r="AQ624" t="n">
        <v>21.75364</v>
      </c>
      <c r="AR624" t="n">
        <v>65.38168</v>
      </c>
      <c r="AS624" t="n">
        <v>61.04216</v>
      </c>
      <c r="AT624" t="n">
        <v>65.11</v>
      </c>
      <c r="AU624" t="n">
        <v>83.84985</v>
      </c>
      <c r="AV624" t="n">
        <v>15.82193</v>
      </c>
      <c r="AW624" t="n">
        <v>73.45464</v>
      </c>
      <c r="AX624" t="n">
        <v>47.00245</v>
      </c>
    </row>
    <row r="625">
      <c r="A625" s="92" t="n">
        <v>36861</v>
      </c>
      <c r="B625" t="n">
        <v>75.58808000000001</v>
      </c>
      <c r="C625" t="n">
        <v>75.53827</v>
      </c>
      <c r="D625" t="n">
        <v>39.05855</v>
      </c>
      <c r="E625" t="n">
        <v>76.40242000000001</v>
      </c>
      <c r="F625" t="n">
        <v>94.06869</v>
      </c>
      <c r="G625" t="n">
        <v>63.41858</v>
      </c>
      <c r="H625" t="n">
        <v>71.06194000000001</v>
      </c>
      <c r="I625" t="n">
        <v>50.57106</v>
      </c>
      <c r="J625" t="n">
        <v>32.05352</v>
      </c>
      <c r="K625" t="n">
        <v>73.2</v>
      </c>
      <c r="L625" t="n">
        <v>80.88422</v>
      </c>
      <c r="M625" t="n">
        <v>76.85249</v>
      </c>
      <c r="N625" t="n">
        <v>76.75</v>
      </c>
      <c r="O625" t="n">
        <v>72.5715</v>
      </c>
      <c r="P625" t="n">
        <v>61.06335</v>
      </c>
      <c r="Q625" t="n">
        <v>74.44</v>
      </c>
      <c r="R625" t="n">
        <v>79.88836999999999</v>
      </c>
      <c r="S625" t="n">
        <v>80.47</v>
      </c>
      <c r="T625" t="n">
        <v>62.11291</v>
      </c>
      <c r="U625" t="n">
        <v>77.62711</v>
      </c>
      <c r="V625" t="n">
        <v>74</v>
      </c>
      <c r="W625" t="n">
        <v>73.48741</v>
      </c>
      <c r="X625" t="n">
        <v>53.88601</v>
      </c>
      <c r="Y625" t="n">
        <v>35.028</v>
      </c>
      <c r="Z625" t="n">
        <v>36.98079</v>
      </c>
      <c r="AA625" t="n">
        <v>76.65089</v>
      </c>
      <c r="AB625" t="n">
        <v>47.20049</v>
      </c>
      <c r="AC625" t="n">
        <v>75.90725999999999</v>
      </c>
      <c r="AD625" t="n">
        <v>75.92242</v>
      </c>
      <c r="AE625" t="n">
        <v>98.85467</v>
      </c>
      <c r="AF625" t="n">
        <v>67.37021</v>
      </c>
      <c r="AG625" t="n">
        <v>69.3108</v>
      </c>
      <c r="AH625" t="n">
        <v>74.63199</v>
      </c>
      <c r="AI625" t="n">
        <v>55.30668</v>
      </c>
      <c r="AJ625" t="n">
        <v>55.11141</v>
      </c>
      <c r="AK625" t="n">
        <v>75.66</v>
      </c>
      <c r="AL625" t="n">
        <v>76.3</v>
      </c>
      <c r="AM625" t="n">
        <v>72.24688999999999</v>
      </c>
      <c r="AN625" t="n">
        <v>69.15787</v>
      </c>
      <c r="AO625" t="n">
        <v>72.30121</v>
      </c>
      <c r="AP625" t="n">
        <v>74.92977999999999</v>
      </c>
      <c r="AQ625" t="n">
        <v>22.1104</v>
      </c>
      <c r="AR625" t="n">
        <v>65.38168</v>
      </c>
      <c r="AS625" t="n">
        <v>61.16742</v>
      </c>
      <c r="AT625" t="n">
        <v>65.14</v>
      </c>
      <c r="AU625" t="n">
        <v>83.76687</v>
      </c>
      <c r="AV625" t="n">
        <v>16.2121</v>
      </c>
      <c r="AW625" t="n">
        <v>73.41245000000001</v>
      </c>
      <c r="AX625" t="n">
        <v>47.14042</v>
      </c>
    </row>
    <row r="626">
      <c r="A626" s="92" t="n">
        <v>36892</v>
      </c>
      <c r="B626" t="n">
        <v>75.67026</v>
      </c>
      <c r="C626" t="n">
        <v>75.45898</v>
      </c>
      <c r="D626" t="n">
        <v>39.28128</v>
      </c>
      <c r="E626" t="n">
        <v>76.08638999999999</v>
      </c>
      <c r="F626" t="n">
        <v>94.00123000000001</v>
      </c>
      <c r="G626" t="n">
        <v>63.63211</v>
      </c>
      <c r="H626" t="n">
        <v>71.78771999999999</v>
      </c>
      <c r="I626" t="n">
        <v>51.10132</v>
      </c>
      <c r="J626" t="n">
        <v>32.49883</v>
      </c>
      <c r="K626" t="n">
        <v>74.59999999999999</v>
      </c>
      <c r="L626" t="n">
        <v>80.60433999999999</v>
      </c>
      <c r="M626" t="n">
        <v>76.7</v>
      </c>
      <c r="N626" t="n">
        <v>76.43000000000001</v>
      </c>
      <c r="O626" t="n">
        <v>72.59708000000001</v>
      </c>
      <c r="P626" t="n">
        <v>61.83241</v>
      </c>
      <c r="Q626" t="n">
        <v>74.31</v>
      </c>
      <c r="R626" t="n">
        <v>79.83298000000001</v>
      </c>
      <c r="S626" t="n">
        <v>80.13</v>
      </c>
      <c r="T626" t="n">
        <v>62.33384</v>
      </c>
      <c r="U626" t="n">
        <v>77.81124</v>
      </c>
      <c r="V626" t="n">
        <v>73.5</v>
      </c>
      <c r="W626" t="n">
        <v>72.31429</v>
      </c>
      <c r="X626" t="n">
        <v>54.70022</v>
      </c>
      <c r="Y626" t="n">
        <v>35.14047</v>
      </c>
      <c r="Z626" t="n">
        <v>36.89788</v>
      </c>
      <c r="AA626" t="n">
        <v>76.05283</v>
      </c>
      <c r="AB626" t="n">
        <v>47.28388</v>
      </c>
      <c r="AC626" t="n">
        <v>75.40322999999999</v>
      </c>
      <c r="AD626" t="n">
        <v>76.25511</v>
      </c>
      <c r="AE626" t="n">
        <v>98.85467</v>
      </c>
      <c r="AF626" t="n">
        <v>68.10392</v>
      </c>
      <c r="AG626" t="n">
        <v>69.14319999999999</v>
      </c>
      <c r="AH626" t="n">
        <v>73.58713</v>
      </c>
      <c r="AI626" t="n">
        <v>55.66002</v>
      </c>
      <c r="AJ626" t="n">
        <v>55.41693</v>
      </c>
      <c r="AK626" t="n">
        <v>76.31</v>
      </c>
      <c r="AL626" t="n">
        <v>76.90000000000001</v>
      </c>
      <c r="AM626" t="n">
        <v>72.48912</v>
      </c>
      <c r="AN626" t="n">
        <v>69.19412</v>
      </c>
      <c r="AO626" t="n">
        <v>72.86386</v>
      </c>
      <c r="AP626" t="n">
        <v>75.20544</v>
      </c>
      <c r="AQ626" t="n">
        <v>22.72064</v>
      </c>
      <c r="AR626" t="n">
        <v>65.31516000000001</v>
      </c>
      <c r="AS626" t="n">
        <v>62.29473</v>
      </c>
      <c r="AT626" t="n">
        <v>65.38</v>
      </c>
      <c r="AU626" t="n">
        <v>83.51794</v>
      </c>
      <c r="AV626" t="n">
        <v>16.61841</v>
      </c>
      <c r="AW626" t="n">
        <v>73.87656</v>
      </c>
      <c r="AX626" t="n">
        <v>47.7383</v>
      </c>
    </row>
    <row r="627">
      <c r="A627" s="92" t="n">
        <v>36923</v>
      </c>
      <c r="B627" t="n">
        <v>75.96876</v>
      </c>
      <c r="C627" t="n">
        <v>75.78603</v>
      </c>
      <c r="D627" t="n">
        <v>39.46202</v>
      </c>
      <c r="E627" t="n">
        <v>76.48143</v>
      </c>
      <c r="F627" t="n">
        <v>93.87412</v>
      </c>
      <c r="G627" t="n">
        <v>63.43645</v>
      </c>
      <c r="H627" t="n">
        <v>71.8595</v>
      </c>
      <c r="I627" t="n">
        <v>52.07212</v>
      </c>
      <c r="J627" t="n">
        <v>32.87422</v>
      </c>
      <c r="K627" t="n">
        <v>74.59999999999999</v>
      </c>
      <c r="L627" t="n">
        <v>81.07080000000001</v>
      </c>
      <c r="M627" t="n">
        <v>77.3</v>
      </c>
      <c r="N627" t="n">
        <v>76.66</v>
      </c>
      <c r="O627" t="n">
        <v>72.83542</v>
      </c>
      <c r="P627" t="n">
        <v>62.03749</v>
      </c>
      <c r="Q627" t="n">
        <v>74.59</v>
      </c>
      <c r="R627" t="n">
        <v>80.32358000000001</v>
      </c>
      <c r="S627" t="n">
        <v>80.34999999999999</v>
      </c>
      <c r="T627" t="n">
        <v>62.52628</v>
      </c>
      <c r="U627" t="n">
        <v>78.05312000000001</v>
      </c>
      <c r="V627" t="n">
        <v>73.7</v>
      </c>
      <c r="W627" t="n">
        <v>72.24261</v>
      </c>
      <c r="X627" t="n">
        <v>55.44041</v>
      </c>
      <c r="Y627" t="n">
        <v>35.44038</v>
      </c>
      <c r="Z627" t="n">
        <v>36.73204</v>
      </c>
      <c r="AA627" t="n">
        <v>76.75055999999999</v>
      </c>
      <c r="AB627" t="n">
        <v>47.36727</v>
      </c>
      <c r="AC627" t="n">
        <v>75.40322999999999</v>
      </c>
      <c r="AD627" t="n">
        <v>76.52128</v>
      </c>
      <c r="AE627" t="n">
        <v>98.54925</v>
      </c>
      <c r="AF627" t="n">
        <v>68.43598</v>
      </c>
      <c r="AG627" t="n">
        <v>69.2547</v>
      </c>
      <c r="AH627" t="n">
        <v>74.52200000000001</v>
      </c>
      <c r="AI627" t="n">
        <v>55.54844</v>
      </c>
      <c r="AJ627" t="n">
        <v>55.38026</v>
      </c>
      <c r="AK627" t="n">
        <v>76.98</v>
      </c>
      <c r="AL627" t="n">
        <v>77.5</v>
      </c>
      <c r="AM627" t="n">
        <v>72.74392</v>
      </c>
      <c r="AN627" t="n">
        <v>69.52272000000001</v>
      </c>
      <c r="AO627" t="n">
        <v>72.9342</v>
      </c>
      <c r="AP627" t="n">
        <v>75.298</v>
      </c>
      <c r="AQ627" t="n">
        <v>23.23867</v>
      </c>
      <c r="AR627" t="n">
        <v>65.18214</v>
      </c>
      <c r="AS627" t="n">
        <v>63.75607</v>
      </c>
      <c r="AT627" t="n">
        <v>66.13</v>
      </c>
      <c r="AU627" t="n">
        <v>83.82111999999999</v>
      </c>
      <c r="AV627" t="n">
        <v>16.91745</v>
      </c>
      <c r="AW627" t="n">
        <v>74.17189999999999</v>
      </c>
      <c r="AX627" t="n">
        <v>47.87627</v>
      </c>
    </row>
    <row r="628">
      <c r="A628" s="92" t="n">
        <v>36951</v>
      </c>
      <c r="B628" t="n">
        <v>76.11801</v>
      </c>
      <c r="C628" t="n">
        <v>75.95451</v>
      </c>
      <c r="D628" t="n">
        <v>39.6119</v>
      </c>
      <c r="E628" t="n">
        <v>76.71845999999999</v>
      </c>
      <c r="F628" t="n">
        <v>94.02468</v>
      </c>
      <c r="G628" t="n">
        <v>63.73845</v>
      </c>
      <c r="H628" t="n">
        <v>71.42834999999999</v>
      </c>
      <c r="I628" t="n">
        <v>52.83896</v>
      </c>
      <c r="J628" t="n">
        <v>33.4357</v>
      </c>
      <c r="K628" t="n">
        <v>74.7</v>
      </c>
      <c r="L628" t="n">
        <v>81.07080000000001</v>
      </c>
      <c r="M628" t="n">
        <v>77.7</v>
      </c>
      <c r="N628" t="n">
        <v>77.06999999999999</v>
      </c>
      <c r="O628" t="n">
        <v>73.14233</v>
      </c>
      <c r="P628" t="n">
        <v>62.29385</v>
      </c>
      <c r="Q628" t="n">
        <v>75.01000000000001</v>
      </c>
      <c r="R628" t="n">
        <v>80.75878</v>
      </c>
      <c r="S628" t="n">
        <v>80.70999999999999</v>
      </c>
      <c r="T628" t="n">
        <v>62.81161</v>
      </c>
      <c r="U628" t="n">
        <v>78.18942</v>
      </c>
      <c r="V628" t="n">
        <v>73.90000000000001</v>
      </c>
      <c r="W628" t="n">
        <v>73.65900999999999</v>
      </c>
      <c r="X628" t="n">
        <v>55.95855</v>
      </c>
      <c r="Y628" t="n">
        <v>35.75905</v>
      </c>
      <c r="Z628" t="n">
        <v>36.89788</v>
      </c>
      <c r="AA628" t="n">
        <v>77.34862</v>
      </c>
      <c r="AB628" t="n">
        <v>47.61745</v>
      </c>
      <c r="AC628" t="n">
        <v>75.50404</v>
      </c>
      <c r="AD628" t="n">
        <v>76.58781</v>
      </c>
      <c r="AE628" t="n">
        <v>98.44744</v>
      </c>
      <c r="AF628" t="n">
        <v>69.03579999999999</v>
      </c>
      <c r="AG628" t="n">
        <v>69.6317</v>
      </c>
      <c r="AH628" t="n">
        <v>74.72823</v>
      </c>
      <c r="AI628" t="n">
        <v>55.81809</v>
      </c>
      <c r="AJ628" t="n">
        <v>55.73114</v>
      </c>
      <c r="AK628" t="n">
        <v>77.7</v>
      </c>
      <c r="AL628" t="n">
        <v>77.7</v>
      </c>
      <c r="AM628" t="n">
        <v>73.03425</v>
      </c>
      <c r="AN628" t="n">
        <v>69.96966999999999</v>
      </c>
      <c r="AO628" t="n">
        <v>73.28585</v>
      </c>
      <c r="AP628" t="n">
        <v>75.6284</v>
      </c>
      <c r="AQ628" t="n">
        <v>23.67091</v>
      </c>
      <c r="AR628" t="n">
        <v>65.18214</v>
      </c>
      <c r="AS628" t="n">
        <v>64.25709999999999</v>
      </c>
      <c r="AT628" t="n">
        <v>66.84</v>
      </c>
      <c r="AU628" t="n">
        <v>84.44025000000001</v>
      </c>
      <c r="AV628" t="n">
        <v>17.94462</v>
      </c>
      <c r="AW628" t="n">
        <v>74.34066</v>
      </c>
      <c r="AX628" t="n">
        <v>48.19821</v>
      </c>
    </row>
    <row r="629">
      <c r="A629" s="92" t="n">
        <v>36982</v>
      </c>
      <c r="B629" t="n">
        <v>76.49114</v>
      </c>
      <c r="C629" t="n">
        <v>76.6086</v>
      </c>
      <c r="D629" t="n">
        <v>39.84159</v>
      </c>
      <c r="E629" t="n">
        <v>77.27153</v>
      </c>
      <c r="F629" t="n">
        <v>94.28461</v>
      </c>
      <c r="G629" t="n">
        <v>64.02938</v>
      </c>
      <c r="H629" t="n">
        <v>71.57120999999999</v>
      </c>
      <c r="I629" t="n">
        <v>53.44265</v>
      </c>
      <c r="J629" t="n">
        <v>33.85519</v>
      </c>
      <c r="K629" t="n">
        <v>74.90000000000001</v>
      </c>
      <c r="L629" t="n">
        <v>81.44396999999999</v>
      </c>
      <c r="M629" t="n">
        <v>78</v>
      </c>
      <c r="N629" t="n">
        <v>77.54000000000001</v>
      </c>
      <c r="O629" t="n">
        <v>73.52213999999999</v>
      </c>
      <c r="P629" t="n">
        <v>62.70401</v>
      </c>
      <c r="Q629" t="n">
        <v>75.52</v>
      </c>
      <c r="R629" t="n">
        <v>81.13069</v>
      </c>
      <c r="S629" t="n">
        <v>81.09999999999999</v>
      </c>
      <c r="T629" t="n">
        <v>63.26242</v>
      </c>
      <c r="U629" t="n">
        <v>78.50776999999999</v>
      </c>
      <c r="V629" t="n">
        <v>74.40000000000001</v>
      </c>
      <c r="W629" t="n">
        <v>74.35207</v>
      </c>
      <c r="X629" t="n">
        <v>56.40266</v>
      </c>
      <c r="Y629" t="n">
        <v>35.92775</v>
      </c>
      <c r="Z629" t="n">
        <v>37.14663</v>
      </c>
      <c r="AA629" t="n">
        <v>78.04635</v>
      </c>
      <c r="AB629" t="n">
        <v>48.2012</v>
      </c>
      <c r="AC629" t="n">
        <v>76.20968000000001</v>
      </c>
      <c r="AD629" t="n">
        <v>76.92052</v>
      </c>
      <c r="AE629" t="n">
        <v>98.54925</v>
      </c>
      <c r="AF629" t="n">
        <v>69.30146000000001</v>
      </c>
      <c r="AG629" t="n">
        <v>69.768</v>
      </c>
      <c r="AH629" t="n">
        <v>74.96194</v>
      </c>
      <c r="AI629" t="n">
        <v>56.01336</v>
      </c>
      <c r="AJ629" t="n">
        <v>56.01226</v>
      </c>
      <c r="AK629" t="n">
        <v>78.13</v>
      </c>
      <c r="AL629" t="n">
        <v>78</v>
      </c>
      <c r="AM629" t="n">
        <v>73.52721</v>
      </c>
      <c r="AN629" t="n">
        <v>70.74879</v>
      </c>
      <c r="AO629" t="n">
        <v>73.84851</v>
      </c>
      <c r="AP629" t="n">
        <v>76.05534</v>
      </c>
      <c r="AQ629" t="n">
        <v>24.09462</v>
      </c>
      <c r="AR629" t="n">
        <v>65.18214</v>
      </c>
      <c r="AS629" t="n">
        <v>64.54937</v>
      </c>
      <c r="AT629" t="n">
        <v>67.28</v>
      </c>
      <c r="AU629" t="n">
        <v>85.17426</v>
      </c>
      <c r="AV629" t="n">
        <v>19.79913</v>
      </c>
      <c r="AW629" t="n">
        <v>74.63599000000001</v>
      </c>
      <c r="AX629" t="n">
        <v>48.42816</v>
      </c>
    </row>
    <row r="630">
      <c r="A630" s="92" t="n">
        <v>37012</v>
      </c>
      <c r="B630" t="n">
        <v>76.64039</v>
      </c>
      <c r="C630" t="n">
        <v>77.09422000000001</v>
      </c>
      <c r="D630" t="n">
        <v>40.00492</v>
      </c>
      <c r="E630" t="n">
        <v>77.90361</v>
      </c>
      <c r="F630" t="n">
        <v>94.79634</v>
      </c>
      <c r="G630" t="n">
        <v>64.30756</v>
      </c>
      <c r="H630" t="n">
        <v>71.21335000000001</v>
      </c>
      <c r="I630" t="n">
        <v>53.67107</v>
      </c>
      <c r="J630" t="n">
        <v>34.08752</v>
      </c>
      <c r="K630" t="n">
        <v>75.40000000000001</v>
      </c>
      <c r="L630" t="n">
        <v>81.72385</v>
      </c>
      <c r="M630" t="n">
        <v>78.40000000000001</v>
      </c>
      <c r="N630" t="n">
        <v>77.90000000000001</v>
      </c>
      <c r="O630" t="n">
        <v>73.8002</v>
      </c>
      <c r="P630" t="n">
        <v>63.11418</v>
      </c>
      <c r="Q630" t="n">
        <v>75.94</v>
      </c>
      <c r="R630" t="n">
        <v>81.66876000000001</v>
      </c>
      <c r="S630" t="n">
        <v>81.59999999999999</v>
      </c>
      <c r="T630" t="n">
        <v>63.60884</v>
      </c>
      <c r="U630" t="n">
        <v>78.84152</v>
      </c>
      <c r="V630" t="n">
        <v>74.90000000000001</v>
      </c>
      <c r="W630" t="n">
        <v>74.66629</v>
      </c>
      <c r="X630" t="n">
        <v>56.9208</v>
      </c>
      <c r="Y630" t="n">
        <v>36.33389</v>
      </c>
      <c r="Z630" t="n">
        <v>37.39537</v>
      </c>
      <c r="AA630" t="n">
        <v>78.54473</v>
      </c>
      <c r="AB630" t="n">
        <v>48.91005</v>
      </c>
      <c r="AC630" t="n">
        <v>76.5121</v>
      </c>
      <c r="AD630" t="n">
        <v>77.12014000000001</v>
      </c>
      <c r="AE630" t="n">
        <v>98.65105</v>
      </c>
      <c r="AF630" t="n">
        <v>69.23505</v>
      </c>
      <c r="AG630" t="n">
        <v>70.1704</v>
      </c>
      <c r="AH630" t="n">
        <v>75.38126</v>
      </c>
      <c r="AI630" t="n">
        <v>56.60845</v>
      </c>
      <c r="AJ630" t="n">
        <v>56.14079</v>
      </c>
      <c r="AK630" t="n">
        <v>78.39</v>
      </c>
      <c r="AL630" t="n">
        <v>78.40000000000001</v>
      </c>
      <c r="AM630" t="n">
        <v>73.91566</v>
      </c>
      <c r="AN630" t="n">
        <v>71.30955</v>
      </c>
      <c r="AO630" t="n">
        <v>74.69249000000001</v>
      </c>
      <c r="AP630" t="n">
        <v>76.69126</v>
      </c>
      <c r="AQ630" t="n">
        <v>24.5235</v>
      </c>
      <c r="AR630" t="n">
        <v>65.04911</v>
      </c>
      <c r="AS630" t="n">
        <v>64.75812999999999</v>
      </c>
      <c r="AT630" t="n">
        <v>68.06</v>
      </c>
      <c r="AU630" t="n">
        <v>85.75190000000001</v>
      </c>
      <c r="AV630" t="n">
        <v>20.79971</v>
      </c>
      <c r="AW630" t="n">
        <v>74.97353</v>
      </c>
      <c r="AX630" t="n">
        <v>48.61213</v>
      </c>
    </row>
    <row r="631">
      <c r="A631" s="92" t="n">
        <v>37043</v>
      </c>
      <c r="B631" t="n">
        <v>76.78964000000001</v>
      </c>
      <c r="C631" t="n">
        <v>77.23296999999999</v>
      </c>
      <c r="D631" t="n">
        <v>40.21304</v>
      </c>
      <c r="E631" t="n">
        <v>77.98262</v>
      </c>
      <c r="F631" t="n">
        <v>94.97597</v>
      </c>
      <c r="G631" t="n">
        <v>64.34329</v>
      </c>
      <c r="H631" t="n">
        <v>70.3588</v>
      </c>
      <c r="I631" t="n">
        <v>53.69555</v>
      </c>
      <c r="J631" t="n">
        <v>34.18218</v>
      </c>
      <c r="K631" t="n">
        <v>76.2</v>
      </c>
      <c r="L631" t="n">
        <v>81.81713999999999</v>
      </c>
      <c r="M631" t="n">
        <v>78.3</v>
      </c>
      <c r="N631" t="n">
        <v>78.02</v>
      </c>
      <c r="O631" t="n">
        <v>74.04888</v>
      </c>
      <c r="P631" t="n">
        <v>63.26799</v>
      </c>
      <c r="Q631" t="n">
        <v>76.08</v>
      </c>
      <c r="R631" t="n">
        <v>81.66085</v>
      </c>
      <c r="S631" t="n">
        <v>81.65000000000001</v>
      </c>
      <c r="T631" t="n">
        <v>63.79024</v>
      </c>
      <c r="U631" t="n">
        <v>78.92877</v>
      </c>
      <c r="V631" t="n">
        <v>75</v>
      </c>
      <c r="W631" t="n">
        <v>74.58658</v>
      </c>
      <c r="X631" t="n">
        <v>57.06884</v>
      </c>
      <c r="Y631" t="n">
        <v>36.93998</v>
      </c>
      <c r="Z631" t="n">
        <v>37.89288</v>
      </c>
      <c r="AA631" t="n">
        <v>78.94344</v>
      </c>
      <c r="AB631" t="n">
        <v>49.66058</v>
      </c>
      <c r="AC631" t="n">
        <v>76.71371000000001</v>
      </c>
      <c r="AD631" t="n">
        <v>77.31976</v>
      </c>
      <c r="AE631" t="n">
        <v>98.44744</v>
      </c>
      <c r="AF631" t="n">
        <v>69.43429</v>
      </c>
      <c r="AG631" t="n">
        <v>70.55670000000001</v>
      </c>
      <c r="AH631" t="n">
        <v>75.60811</v>
      </c>
      <c r="AI631" t="n">
        <v>56.8781</v>
      </c>
      <c r="AJ631" t="n">
        <v>56.27358</v>
      </c>
      <c r="AK631" t="n">
        <v>78.09</v>
      </c>
      <c r="AL631" t="n">
        <v>78.40000000000001</v>
      </c>
      <c r="AM631" t="n">
        <v>74.06095000000001</v>
      </c>
      <c r="AN631" t="n">
        <v>71.54722</v>
      </c>
      <c r="AO631" t="n">
        <v>74.62215999999999</v>
      </c>
      <c r="AP631" t="n">
        <v>76.8913</v>
      </c>
      <c r="AQ631" t="n">
        <v>24.92079</v>
      </c>
      <c r="AR631" t="n">
        <v>65.04911</v>
      </c>
      <c r="AS631" t="n">
        <v>64.92514</v>
      </c>
      <c r="AT631" t="n">
        <v>68.33</v>
      </c>
      <c r="AU631" t="n">
        <v>85.62743</v>
      </c>
      <c r="AV631" t="n">
        <v>21.45143</v>
      </c>
      <c r="AW631" t="n">
        <v>75.1001</v>
      </c>
      <c r="AX631" t="n">
        <v>48.84208</v>
      </c>
    </row>
    <row r="632">
      <c r="A632" s="92" t="n">
        <v>37073</v>
      </c>
      <c r="B632" t="n">
        <v>76.86427</v>
      </c>
      <c r="C632" t="n">
        <v>77.17350999999999</v>
      </c>
      <c r="D632" t="n">
        <v>40.74783</v>
      </c>
      <c r="E632" t="n">
        <v>77.74559000000001</v>
      </c>
      <c r="F632" t="n">
        <v>94.83222000000001</v>
      </c>
      <c r="G632" t="n">
        <v>64.21908999999999</v>
      </c>
      <c r="H632" t="n">
        <v>70.00700000000001</v>
      </c>
      <c r="I632" t="n">
        <v>53.75265</v>
      </c>
      <c r="J632" t="n">
        <v>34.38977</v>
      </c>
      <c r="K632" t="n">
        <v>77</v>
      </c>
      <c r="L632" t="n">
        <v>81.91043000000001</v>
      </c>
      <c r="M632" t="n">
        <v>78.09999999999999</v>
      </c>
      <c r="N632" t="n">
        <v>77.84</v>
      </c>
      <c r="O632" t="n">
        <v>74.23063</v>
      </c>
      <c r="P632" t="n">
        <v>63.52435</v>
      </c>
      <c r="Q632" t="n">
        <v>75.93000000000001</v>
      </c>
      <c r="R632" t="n">
        <v>81.05155999999999</v>
      </c>
      <c r="S632" t="n">
        <v>81.48</v>
      </c>
      <c r="T632" t="n">
        <v>63.79277</v>
      </c>
      <c r="U632" t="n">
        <v>78.73555</v>
      </c>
      <c r="V632" t="n">
        <v>74.5</v>
      </c>
      <c r="W632" t="n">
        <v>73.28421</v>
      </c>
      <c r="X632" t="n">
        <v>57.14286</v>
      </c>
      <c r="Y632" t="n">
        <v>37.72102</v>
      </c>
      <c r="Z632" t="n">
        <v>38.39037</v>
      </c>
      <c r="AA632" t="n">
        <v>78.74408</v>
      </c>
      <c r="AB632" t="n">
        <v>50.04842</v>
      </c>
      <c r="AC632" t="n">
        <v>77.11694</v>
      </c>
      <c r="AD632" t="n">
        <v>77.38630000000001</v>
      </c>
      <c r="AE632" t="n">
        <v>98.14202</v>
      </c>
      <c r="AF632" t="n">
        <v>69.56711</v>
      </c>
      <c r="AG632" t="n">
        <v>69.9924</v>
      </c>
      <c r="AH632" t="n">
        <v>74.86571000000001</v>
      </c>
      <c r="AI632" t="n">
        <v>56.63634</v>
      </c>
      <c r="AJ632" t="n">
        <v>56.12737</v>
      </c>
      <c r="AK632" t="n">
        <v>77.98</v>
      </c>
      <c r="AL632" t="n">
        <v>77.40000000000001</v>
      </c>
      <c r="AM632" t="n">
        <v>73.96120999999999</v>
      </c>
      <c r="AN632" t="n">
        <v>71.56319999999999</v>
      </c>
      <c r="AO632" t="n">
        <v>74.41116</v>
      </c>
      <c r="AP632" t="n">
        <v>76.97787</v>
      </c>
      <c r="AQ632" t="n">
        <v>25.03293</v>
      </c>
      <c r="AR632" t="n">
        <v>64.91609</v>
      </c>
      <c r="AS632" t="n">
        <v>64.9669</v>
      </c>
      <c r="AT632" t="n">
        <v>68.48</v>
      </c>
      <c r="AU632" t="n">
        <v>85.19022</v>
      </c>
      <c r="AV632" t="n">
        <v>21.96501</v>
      </c>
      <c r="AW632" t="n">
        <v>74.88914</v>
      </c>
      <c r="AX632" t="n">
        <v>48.79609</v>
      </c>
    </row>
    <row r="633">
      <c r="A633" s="92" t="n">
        <v>37104</v>
      </c>
      <c r="B633" t="n">
        <v>76.71502</v>
      </c>
      <c r="C633" t="n">
        <v>77.1636</v>
      </c>
      <c r="D633" t="n">
        <v>41.03297</v>
      </c>
      <c r="E633" t="n">
        <v>77.74559000000001</v>
      </c>
      <c r="F633" t="n">
        <v>94.30616000000001</v>
      </c>
      <c r="G633" t="n">
        <v>64.73461</v>
      </c>
      <c r="H633" t="n">
        <v>70.077</v>
      </c>
      <c r="I633" t="n">
        <v>53.89133</v>
      </c>
      <c r="J633" t="n">
        <v>34.66298</v>
      </c>
      <c r="K633" t="n">
        <v>76.90000000000001</v>
      </c>
      <c r="L633" t="n">
        <v>81.72385</v>
      </c>
      <c r="M633" t="n">
        <v>78.09999999999999</v>
      </c>
      <c r="N633" t="n">
        <v>77.78</v>
      </c>
      <c r="O633" t="n">
        <v>74.4102</v>
      </c>
      <c r="P633" t="n">
        <v>63.47308</v>
      </c>
      <c r="Q633" t="n">
        <v>75.91</v>
      </c>
      <c r="R633" t="n">
        <v>81.30477</v>
      </c>
      <c r="S633" t="n">
        <v>81.48</v>
      </c>
      <c r="T633" t="n">
        <v>63.9141</v>
      </c>
      <c r="U633" t="n">
        <v>78.77151000000001</v>
      </c>
      <c r="V633" t="n">
        <v>74.8</v>
      </c>
      <c r="W633" t="n">
        <v>73.30228</v>
      </c>
      <c r="X633" t="n">
        <v>56.99482</v>
      </c>
      <c r="Y633" t="n">
        <v>37.64604</v>
      </c>
      <c r="Z633" t="n">
        <v>38.63912</v>
      </c>
      <c r="AA633" t="n">
        <v>78.94344</v>
      </c>
      <c r="AB633" t="n">
        <v>50.2071</v>
      </c>
      <c r="AC633" t="n">
        <v>77.31855</v>
      </c>
      <c r="AD633" t="n">
        <v>77.38630000000001</v>
      </c>
      <c r="AE633" t="n">
        <v>98.44744</v>
      </c>
      <c r="AF633" t="n">
        <v>69.83382</v>
      </c>
      <c r="AG633" t="n">
        <v>70.426</v>
      </c>
      <c r="AH633" t="n">
        <v>75.73184000000001</v>
      </c>
      <c r="AI633" t="n">
        <v>56.26441</v>
      </c>
      <c r="AJ633" t="n">
        <v>56.45991</v>
      </c>
      <c r="AK633" t="n">
        <v>78.27</v>
      </c>
      <c r="AL633" t="n">
        <v>77.3</v>
      </c>
      <c r="AM633" t="n">
        <v>74.07746</v>
      </c>
      <c r="AN633" t="n">
        <v>71.72667</v>
      </c>
      <c r="AO633" t="n">
        <v>74.20016</v>
      </c>
      <c r="AP633" t="n">
        <v>76.82959</v>
      </c>
      <c r="AQ633" t="n">
        <v>25.03543</v>
      </c>
      <c r="AR633" t="n">
        <v>64.84958</v>
      </c>
      <c r="AS633" t="n">
        <v>64.88339000000001</v>
      </c>
      <c r="AT633" t="n">
        <v>68.45</v>
      </c>
      <c r="AU633" t="n">
        <v>85.40085000000001</v>
      </c>
      <c r="AV633" t="n">
        <v>22.61055</v>
      </c>
      <c r="AW633" t="n">
        <v>74.88914</v>
      </c>
      <c r="AX633" t="n">
        <v>48.70411</v>
      </c>
    </row>
    <row r="634">
      <c r="A634" s="92" t="n">
        <v>37135</v>
      </c>
      <c r="B634" t="n">
        <v>76.9389</v>
      </c>
      <c r="C634" t="n">
        <v>77.38163</v>
      </c>
      <c r="D634" t="n">
        <v>41.14782</v>
      </c>
      <c r="E634" t="n">
        <v>77.90361</v>
      </c>
      <c r="F634" t="n">
        <v>94.42635</v>
      </c>
      <c r="G634" t="n">
        <v>65.2093</v>
      </c>
      <c r="H634" t="n">
        <v>70.7077</v>
      </c>
      <c r="I634" t="n">
        <v>54.08713</v>
      </c>
      <c r="J634" t="n">
        <v>34.8738</v>
      </c>
      <c r="K634" t="n">
        <v>76.2</v>
      </c>
      <c r="L634" t="n">
        <v>81.72385</v>
      </c>
      <c r="M634" t="n">
        <v>78.40000000000001</v>
      </c>
      <c r="N634" t="n">
        <v>77.98999999999999</v>
      </c>
      <c r="O634" t="n">
        <v>74.40040999999999</v>
      </c>
      <c r="P634" t="n">
        <v>63.52435</v>
      </c>
      <c r="Q634" t="n">
        <v>76.17</v>
      </c>
      <c r="R634" t="n">
        <v>81.89033000000001</v>
      </c>
      <c r="S634" t="n">
        <v>81.63</v>
      </c>
      <c r="T634" t="n">
        <v>64.22196</v>
      </c>
      <c r="U634" t="n">
        <v>78.98099000000001</v>
      </c>
      <c r="V634" t="n">
        <v>75</v>
      </c>
      <c r="W634" t="n">
        <v>74.70238999999999</v>
      </c>
      <c r="X634" t="n">
        <v>57.2909</v>
      </c>
      <c r="Y634" t="n">
        <v>37.88347</v>
      </c>
      <c r="Z634" t="n">
        <v>38.55621</v>
      </c>
      <c r="AA634" t="n">
        <v>79.34214</v>
      </c>
      <c r="AB634" t="n">
        <v>50.53816</v>
      </c>
      <c r="AC634" t="n">
        <v>77.52016</v>
      </c>
      <c r="AD634" t="n">
        <v>77.38630000000001</v>
      </c>
      <c r="AE634" t="n">
        <v>98.34563</v>
      </c>
      <c r="AF634" t="n">
        <v>69.76739999999999</v>
      </c>
      <c r="AG634" t="n">
        <v>70.29559999999999</v>
      </c>
      <c r="AH634" t="n">
        <v>75.82120999999999</v>
      </c>
      <c r="AI634" t="n">
        <v>56.63634</v>
      </c>
      <c r="AJ634" t="n">
        <v>56.98549</v>
      </c>
      <c r="AK634" t="n">
        <v>79.23</v>
      </c>
      <c r="AL634" t="n">
        <v>77.7</v>
      </c>
      <c r="AM634" t="n">
        <v>74.41481</v>
      </c>
      <c r="AN634" t="n">
        <v>72.1741</v>
      </c>
      <c r="AO634" t="n">
        <v>74.41116</v>
      </c>
      <c r="AP634" t="n">
        <v>76.80271999999999</v>
      </c>
      <c r="AQ634" t="n">
        <v>25.18565</v>
      </c>
      <c r="AR634" t="n">
        <v>64.84958</v>
      </c>
      <c r="AS634" t="n">
        <v>65.00864</v>
      </c>
      <c r="AT634" t="n">
        <v>69.05</v>
      </c>
      <c r="AU634" t="n">
        <v>86.1189</v>
      </c>
      <c r="AV634" t="n">
        <v>23.94198</v>
      </c>
      <c r="AW634" t="n">
        <v>75.22667</v>
      </c>
      <c r="AX634" t="n">
        <v>48.84208</v>
      </c>
    </row>
    <row r="635">
      <c r="A635" s="92" t="n">
        <v>37165</v>
      </c>
      <c r="B635" t="n">
        <v>77.01352</v>
      </c>
      <c r="C635" t="n">
        <v>77.2627</v>
      </c>
      <c r="D635" t="n">
        <v>41.48934</v>
      </c>
      <c r="E635" t="n">
        <v>77.50856</v>
      </c>
      <c r="F635" t="n">
        <v>94.28319999999999</v>
      </c>
      <c r="G635" t="n">
        <v>65.29778</v>
      </c>
      <c r="H635" t="n">
        <v>70.91982</v>
      </c>
      <c r="I635" t="n">
        <v>54.19318</v>
      </c>
      <c r="J635" t="n">
        <v>34.87057</v>
      </c>
      <c r="K635" t="n">
        <v>76.2</v>
      </c>
      <c r="L635" t="n">
        <v>81.63055</v>
      </c>
      <c r="M635" t="n">
        <v>78.5</v>
      </c>
      <c r="N635" t="n">
        <v>78.06</v>
      </c>
      <c r="O635" t="n">
        <v>74.32259000000001</v>
      </c>
      <c r="P635" t="n">
        <v>63.52435</v>
      </c>
      <c r="Q635" t="n">
        <v>76.3</v>
      </c>
      <c r="R635" t="n">
        <v>81.70833</v>
      </c>
      <c r="S635" t="n">
        <v>81.68000000000001</v>
      </c>
      <c r="T635" t="n">
        <v>64.36621</v>
      </c>
      <c r="U635" t="n">
        <v>78.82071999999999</v>
      </c>
      <c r="V635" t="n">
        <v>74.90000000000001</v>
      </c>
      <c r="W635" t="n">
        <v>74.93904000000001</v>
      </c>
      <c r="X635" t="n">
        <v>57.43893</v>
      </c>
      <c r="Y635" t="n">
        <v>38.13965</v>
      </c>
      <c r="Z635" t="n">
        <v>38.80495</v>
      </c>
      <c r="AA635" t="n">
        <v>79.54149</v>
      </c>
      <c r="AB635" t="n">
        <v>50.86404</v>
      </c>
      <c r="AC635" t="n">
        <v>77.52016</v>
      </c>
      <c r="AD635" t="n">
        <v>77.51938</v>
      </c>
      <c r="AE635" t="n">
        <v>98.34563</v>
      </c>
      <c r="AF635" t="n">
        <v>69.76739999999999</v>
      </c>
      <c r="AG635" t="n">
        <v>70.5044</v>
      </c>
      <c r="AH635" t="n">
        <v>75.95180999999999</v>
      </c>
      <c r="AI635" t="n">
        <v>56.71073</v>
      </c>
      <c r="AJ635" t="n">
        <v>57.24303</v>
      </c>
      <c r="AK635" t="n">
        <v>79.15000000000001</v>
      </c>
      <c r="AL635" t="n">
        <v>77.7</v>
      </c>
      <c r="AM635" t="n">
        <v>74.46702999999999</v>
      </c>
      <c r="AN635" t="n">
        <v>72.50676</v>
      </c>
      <c r="AO635" t="n">
        <v>74.69249000000001</v>
      </c>
      <c r="AP635" t="n">
        <v>77.10028</v>
      </c>
      <c r="AQ635" t="n">
        <v>25.46017</v>
      </c>
      <c r="AR635" t="n">
        <v>64.91609</v>
      </c>
      <c r="AS635" t="n">
        <v>65.0504</v>
      </c>
      <c r="AT635" t="n">
        <v>69.37</v>
      </c>
      <c r="AU635" t="n">
        <v>85.88593</v>
      </c>
      <c r="AV635" t="n">
        <v>25.39587</v>
      </c>
      <c r="AW635" t="n">
        <v>74.97353</v>
      </c>
      <c r="AX635" t="n">
        <v>48.79609</v>
      </c>
    </row>
    <row r="636">
      <c r="A636" s="92" t="n">
        <v>37196</v>
      </c>
      <c r="B636" t="n">
        <v>76.9389</v>
      </c>
      <c r="C636" t="n">
        <v>77.3519</v>
      </c>
      <c r="D636" t="n">
        <v>41.784</v>
      </c>
      <c r="E636" t="n">
        <v>76.79747</v>
      </c>
      <c r="F636" t="n">
        <v>94.40951</v>
      </c>
      <c r="G636" t="n">
        <v>65.29182</v>
      </c>
      <c r="H636" t="n">
        <v>70.77798</v>
      </c>
      <c r="I636" t="n">
        <v>54.25029</v>
      </c>
      <c r="J636" t="n">
        <v>35.18143</v>
      </c>
      <c r="K636" t="n">
        <v>76.2</v>
      </c>
      <c r="L636" t="n">
        <v>81.44396999999999</v>
      </c>
      <c r="M636" t="n">
        <v>78.3</v>
      </c>
      <c r="N636" t="n">
        <v>78.01000000000001</v>
      </c>
      <c r="O636" t="n">
        <v>74.26709</v>
      </c>
      <c r="P636" t="n">
        <v>63.52435</v>
      </c>
      <c r="Q636" t="n">
        <v>76.31999999999999</v>
      </c>
      <c r="R636" t="n">
        <v>81.34434</v>
      </c>
      <c r="S636" t="n">
        <v>81.45999999999999</v>
      </c>
      <c r="T636" t="n">
        <v>64.46062000000001</v>
      </c>
      <c r="U636" t="n">
        <v>78.65013999999999</v>
      </c>
      <c r="V636" t="n">
        <v>74.90000000000001</v>
      </c>
      <c r="W636" t="n">
        <v>75.01864999999999</v>
      </c>
      <c r="X636" t="n">
        <v>57.51295</v>
      </c>
      <c r="Y636" t="n">
        <v>38.79573</v>
      </c>
      <c r="Z636" t="n">
        <v>39.13662</v>
      </c>
      <c r="AA636" t="n">
        <v>79.54149</v>
      </c>
      <c r="AB636" t="n">
        <v>51.03903</v>
      </c>
      <c r="AC636" t="n">
        <v>77.11694</v>
      </c>
      <c r="AD636" t="n">
        <v>77.65246</v>
      </c>
      <c r="AE636" t="n">
        <v>97.8366</v>
      </c>
      <c r="AF636" t="n">
        <v>69.36893000000001</v>
      </c>
      <c r="AG636" t="n">
        <v>70.4774</v>
      </c>
      <c r="AH636" t="n">
        <v>76.06180000000001</v>
      </c>
      <c r="AI636" t="n">
        <v>56.84091</v>
      </c>
      <c r="AJ636" t="n">
        <v>57.45867</v>
      </c>
      <c r="AK636" t="n">
        <v>79.05</v>
      </c>
      <c r="AL636" t="n">
        <v>77.7</v>
      </c>
      <c r="AM636" t="n">
        <v>74.44826</v>
      </c>
      <c r="AN636" t="n">
        <v>72.71706</v>
      </c>
      <c r="AO636" t="n">
        <v>74.76282999999999</v>
      </c>
      <c r="AP636" t="n">
        <v>77.61281</v>
      </c>
      <c r="AQ636" t="n">
        <v>25.80643</v>
      </c>
      <c r="AR636" t="n">
        <v>64.84958</v>
      </c>
      <c r="AS636" t="n">
        <v>65.00864</v>
      </c>
      <c r="AT636" t="n">
        <v>69.66</v>
      </c>
      <c r="AU636" t="n">
        <v>85.91785</v>
      </c>
      <c r="AV636" t="n">
        <v>26.46908</v>
      </c>
      <c r="AW636" t="n">
        <v>74.84695000000001</v>
      </c>
      <c r="AX636" t="n">
        <v>49.02604</v>
      </c>
    </row>
    <row r="637">
      <c r="A637" s="92" t="n">
        <v>37226</v>
      </c>
      <c r="B637" t="n">
        <v>77.08814</v>
      </c>
      <c r="C637" t="n">
        <v>77.18342</v>
      </c>
      <c r="D637" t="n">
        <v>42.05568</v>
      </c>
      <c r="E637" t="n">
        <v>76.95549</v>
      </c>
      <c r="F637" t="n">
        <v>94.37463</v>
      </c>
      <c r="G637" t="n">
        <v>65.0902</v>
      </c>
      <c r="H637" t="n">
        <v>70.84876</v>
      </c>
      <c r="I637" t="n">
        <v>54.43792</v>
      </c>
      <c r="J637" t="n">
        <v>35.56543</v>
      </c>
      <c r="K637" t="n">
        <v>76.2</v>
      </c>
      <c r="L637" t="n">
        <v>82.19031</v>
      </c>
      <c r="M637" t="n">
        <v>78.5</v>
      </c>
      <c r="N637" t="n">
        <v>78.36</v>
      </c>
      <c r="O637" t="n">
        <v>74.53645</v>
      </c>
      <c r="P637" t="n">
        <v>63.62688</v>
      </c>
      <c r="Q637" t="n">
        <v>76.68000000000001</v>
      </c>
      <c r="R637" t="n">
        <v>81.31268</v>
      </c>
      <c r="S637" t="n">
        <v>81.56</v>
      </c>
      <c r="T637" t="n">
        <v>64.56274999999999</v>
      </c>
      <c r="U637" t="n">
        <v>78.57021</v>
      </c>
      <c r="V637" t="n">
        <v>75</v>
      </c>
      <c r="W637" t="n">
        <v>75.72512</v>
      </c>
      <c r="X637" t="n">
        <v>57.51295</v>
      </c>
      <c r="Y637" t="n">
        <v>39.42056</v>
      </c>
      <c r="Z637" t="n">
        <v>38.88787</v>
      </c>
      <c r="AA637" t="n">
        <v>79.94019</v>
      </c>
      <c r="AB637" t="n">
        <v>51.27538</v>
      </c>
      <c r="AC637" t="n">
        <v>77.01613</v>
      </c>
      <c r="AD637" t="n">
        <v>77.71899999999999</v>
      </c>
      <c r="AE637" t="n">
        <v>97.73479</v>
      </c>
      <c r="AF637" t="n">
        <v>69.50175</v>
      </c>
      <c r="AG637" t="n">
        <v>70.7189</v>
      </c>
      <c r="AH637" t="n">
        <v>75.91744</v>
      </c>
      <c r="AI637" t="n">
        <v>57.06407</v>
      </c>
      <c r="AJ637" t="n">
        <v>57.53824</v>
      </c>
      <c r="AK637" t="n">
        <v>78.81</v>
      </c>
      <c r="AL637" t="n">
        <v>77.90000000000001</v>
      </c>
      <c r="AM637" t="n">
        <v>74.49589</v>
      </c>
      <c r="AN637" t="n">
        <v>73.10684000000001</v>
      </c>
      <c r="AO637" t="n">
        <v>74.90349000000001</v>
      </c>
      <c r="AP637" t="n">
        <v>77.76506999999999</v>
      </c>
      <c r="AQ637" t="n">
        <v>26.21933</v>
      </c>
      <c r="AR637" t="n">
        <v>64.98260000000001</v>
      </c>
      <c r="AS637" t="n">
        <v>65.17565999999999</v>
      </c>
      <c r="AT637" t="n">
        <v>69.73</v>
      </c>
      <c r="AU637" t="n">
        <v>85.99444</v>
      </c>
      <c r="AV637" t="n">
        <v>27.32253</v>
      </c>
      <c r="AW637" t="n">
        <v>74.55161</v>
      </c>
      <c r="AX637" t="n">
        <v>49.30198</v>
      </c>
    </row>
    <row r="638">
      <c r="A638" s="92" t="n">
        <v>37257</v>
      </c>
      <c r="B638" t="n">
        <v>77.31202</v>
      </c>
      <c r="C638" t="n">
        <v>77.64922</v>
      </c>
      <c r="D638" t="n">
        <v>42.27447</v>
      </c>
      <c r="E638" t="n">
        <v>77.11351000000001</v>
      </c>
      <c r="F638" t="n">
        <v>94.4914</v>
      </c>
      <c r="G638" t="n">
        <v>65.03746</v>
      </c>
      <c r="H638" t="n">
        <v>71.0613</v>
      </c>
      <c r="I638" t="n">
        <v>54.87029</v>
      </c>
      <c r="J638" t="n">
        <v>35.96341</v>
      </c>
      <c r="K638" t="n">
        <v>77.5</v>
      </c>
      <c r="L638" t="n">
        <v>82.28360000000001</v>
      </c>
      <c r="M638" t="n">
        <v>78.59999999999999</v>
      </c>
      <c r="N638" t="n">
        <v>78.45</v>
      </c>
      <c r="O638" t="n">
        <v>74.43402</v>
      </c>
      <c r="P638" t="n">
        <v>64.44722</v>
      </c>
      <c r="Q638" t="n">
        <v>76.86</v>
      </c>
      <c r="R638" t="n">
        <v>81.65294</v>
      </c>
      <c r="S638" t="n">
        <v>81.94</v>
      </c>
      <c r="T638" t="n">
        <v>64.8142</v>
      </c>
      <c r="U638" t="n">
        <v>78.68997</v>
      </c>
      <c r="V638" t="n">
        <v>74.8</v>
      </c>
      <c r="W638" t="n">
        <v>75.52200999999999</v>
      </c>
      <c r="X638" t="n">
        <v>58.25315</v>
      </c>
      <c r="Y638" t="n">
        <v>40.25783</v>
      </c>
      <c r="Z638" t="n">
        <v>38.72204</v>
      </c>
      <c r="AA638" t="n">
        <v>79.84052</v>
      </c>
      <c r="AB638" t="n">
        <v>51.75925</v>
      </c>
      <c r="AC638" t="n">
        <v>77.82258</v>
      </c>
      <c r="AD638" t="n">
        <v>78.0517</v>
      </c>
      <c r="AE638" t="n">
        <v>97.53118000000001</v>
      </c>
      <c r="AF638" t="n">
        <v>69.90022999999999</v>
      </c>
      <c r="AG638" t="n">
        <v>71.392</v>
      </c>
      <c r="AH638" t="n">
        <v>75.2919</v>
      </c>
      <c r="AI638" t="n">
        <v>57.56618</v>
      </c>
      <c r="AJ638" t="n">
        <v>58.06939</v>
      </c>
      <c r="AK638" t="n">
        <v>79.38</v>
      </c>
      <c r="AL638" t="n">
        <v>78</v>
      </c>
      <c r="AM638" t="n">
        <v>74.75006999999999</v>
      </c>
      <c r="AN638" t="n">
        <v>73.46093</v>
      </c>
      <c r="AO638" t="n">
        <v>75.53648</v>
      </c>
      <c r="AP638" t="n">
        <v>77.88947</v>
      </c>
      <c r="AQ638" t="n">
        <v>27.02951</v>
      </c>
      <c r="AR638" t="n">
        <v>65.11562000000001</v>
      </c>
      <c r="AS638" t="n">
        <v>66.0107</v>
      </c>
      <c r="AT638" t="n">
        <v>70.84999999999999</v>
      </c>
      <c r="AU638" t="n">
        <v>85.78381</v>
      </c>
      <c r="AV638" t="n">
        <v>28.77594</v>
      </c>
      <c r="AW638" t="n">
        <v>74.72038000000001</v>
      </c>
      <c r="AX638" t="n">
        <v>50.12982</v>
      </c>
    </row>
    <row r="639">
      <c r="A639" s="92" t="n">
        <v>37288</v>
      </c>
      <c r="B639" t="n">
        <v>77.38664</v>
      </c>
      <c r="C639" t="n">
        <v>77.77804999999999</v>
      </c>
      <c r="D639" t="n">
        <v>42.42667</v>
      </c>
      <c r="E639" t="n">
        <v>77.58757</v>
      </c>
      <c r="F639" t="n">
        <v>94.48849</v>
      </c>
      <c r="G639" t="n">
        <v>65.04340999999999</v>
      </c>
      <c r="H639" t="n">
        <v>71.84298</v>
      </c>
      <c r="I639" t="n">
        <v>55.56371</v>
      </c>
      <c r="J639" t="n">
        <v>36.12475</v>
      </c>
      <c r="K639" t="n">
        <v>77.5</v>
      </c>
      <c r="L639" t="n">
        <v>82.56348</v>
      </c>
      <c r="M639" t="n">
        <v>79.2</v>
      </c>
      <c r="N639" t="n">
        <v>78.58</v>
      </c>
      <c r="O639" t="n">
        <v>74.49825</v>
      </c>
      <c r="P639" t="n">
        <v>64.80611</v>
      </c>
      <c r="Q639" t="n">
        <v>77.02</v>
      </c>
      <c r="R639" t="n">
        <v>81.77954</v>
      </c>
      <c r="S639" t="n">
        <v>82.04000000000001</v>
      </c>
      <c r="T639" t="n">
        <v>65.01849</v>
      </c>
      <c r="U639" t="n">
        <v>78.88718</v>
      </c>
      <c r="V639" t="n">
        <v>75</v>
      </c>
      <c r="W639" t="n">
        <v>74.7225</v>
      </c>
      <c r="X639" t="n">
        <v>58.8453</v>
      </c>
      <c r="Y639" t="n">
        <v>40.71395</v>
      </c>
      <c r="Z639" t="n">
        <v>38.63912</v>
      </c>
      <c r="AA639" t="n">
        <v>80.3389</v>
      </c>
      <c r="AB639" t="n">
        <v>51.62032</v>
      </c>
      <c r="AC639" t="n">
        <v>78.52822999999999</v>
      </c>
      <c r="AD639" t="n">
        <v>78.31786</v>
      </c>
      <c r="AE639" t="n">
        <v>97.02213999999999</v>
      </c>
      <c r="AF639" t="n">
        <v>70.23335</v>
      </c>
      <c r="AG639" t="n">
        <v>71.2302</v>
      </c>
      <c r="AH639" t="n">
        <v>76.21303</v>
      </c>
      <c r="AI639" t="n">
        <v>57.38021</v>
      </c>
      <c r="AJ639" t="n">
        <v>58.03206</v>
      </c>
      <c r="AK639" t="n">
        <v>79.81</v>
      </c>
      <c r="AL639" t="n">
        <v>78.09999999999999</v>
      </c>
      <c r="AM639" t="n">
        <v>74.94902</v>
      </c>
      <c r="AN639" t="n">
        <v>73.68468</v>
      </c>
      <c r="AO639" t="n">
        <v>75.60680000000001</v>
      </c>
      <c r="AP639" t="n">
        <v>77.75512000000001</v>
      </c>
      <c r="AQ639" t="n">
        <v>27.34305</v>
      </c>
      <c r="AR639" t="n">
        <v>65.18214</v>
      </c>
      <c r="AS639" t="n">
        <v>66.25542</v>
      </c>
      <c r="AT639" t="n">
        <v>71.5</v>
      </c>
      <c r="AU639" t="n">
        <v>85.99124999999999</v>
      </c>
      <c r="AV639" t="n">
        <v>29.28051</v>
      </c>
      <c r="AW639" t="n">
        <v>75.01572</v>
      </c>
      <c r="AX639" t="n">
        <v>50.73503</v>
      </c>
    </row>
    <row r="640">
      <c r="A640" s="92" t="n">
        <v>37316</v>
      </c>
      <c r="B640" t="n">
        <v>77.5359</v>
      </c>
      <c r="C640" t="n">
        <v>77.98618</v>
      </c>
      <c r="D640" t="n">
        <v>42.68119</v>
      </c>
      <c r="E640" t="n">
        <v>78.14064</v>
      </c>
      <c r="F640" t="n">
        <v>94.50373999999999</v>
      </c>
      <c r="G640" t="n">
        <v>65.38709</v>
      </c>
      <c r="H640" t="n">
        <v>70.90902</v>
      </c>
      <c r="I640" t="n">
        <v>55.9553</v>
      </c>
      <c r="J640" t="n">
        <v>36.40764</v>
      </c>
      <c r="K640" t="n">
        <v>77.5</v>
      </c>
      <c r="L640" t="n">
        <v>82.75006</v>
      </c>
      <c r="M640" t="n">
        <v>79.7</v>
      </c>
      <c r="N640" t="n">
        <v>79.02</v>
      </c>
      <c r="O640" t="n">
        <v>75.11381</v>
      </c>
      <c r="P640" t="n">
        <v>64.95992</v>
      </c>
      <c r="Q640" t="n">
        <v>77.44</v>
      </c>
      <c r="R640" t="n">
        <v>82.21475</v>
      </c>
      <c r="S640" t="n">
        <v>82.40000000000001</v>
      </c>
      <c r="T640" t="n">
        <v>65.28525999999999</v>
      </c>
      <c r="U640" t="n">
        <v>79.23407</v>
      </c>
      <c r="V640" t="n">
        <v>75.2</v>
      </c>
      <c r="W640" t="n">
        <v>76.6127</v>
      </c>
      <c r="X640" t="n">
        <v>59.28941</v>
      </c>
      <c r="Y640" t="n">
        <v>40.83892</v>
      </c>
      <c r="Z640" t="n">
        <v>38.80495</v>
      </c>
      <c r="AA640" t="n">
        <v>81.03663</v>
      </c>
      <c r="AB640" t="n">
        <v>51.8288</v>
      </c>
      <c r="AC640" t="n">
        <v>78.83064</v>
      </c>
      <c r="AD640" t="n">
        <v>78.51749</v>
      </c>
      <c r="AE640" t="n">
        <v>97.22575000000001</v>
      </c>
      <c r="AF640" t="n">
        <v>70.63288</v>
      </c>
      <c r="AG640" t="n">
        <v>70.7634</v>
      </c>
      <c r="AH640" t="n">
        <v>76.27489</v>
      </c>
      <c r="AI640" t="n">
        <v>57.60337</v>
      </c>
      <c r="AJ640" t="n">
        <v>58.3289</v>
      </c>
      <c r="AK640" t="n">
        <v>80.52</v>
      </c>
      <c r="AL640" t="n">
        <v>78.40000000000001</v>
      </c>
      <c r="AM640" t="n">
        <v>75.31</v>
      </c>
      <c r="AN640" t="n">
        <v>74.02204999999999</v>
      </c>
      <c r="AO640" t="n">
        <v>75.74747000000001</v>
      </c>
      <c r="AP640" t="n">
        <v>78.09050000000001</v>
      </c>
      <c r="AQ640" t="n">
        <v>27.63836</v>
      </c>
      <c r="AR640" t="n">
        <v>65.11562000000001</v>
      </c>
      <c r="AS640" t="n">
        <v>66.31659999999999</v>
      </c>
      <c r="AT640" t="n">
        <v>71.97</v>
      </c>
      <c r="AU640" t="n">
        <v>86.72845</v>
      </c>
      <c r="AV640" t="n">
        <v>29.62891</v>
      </c>
      <c r="AW640" t="n">
        <v>75.43763</v>
      </c>
      <c r="AX640" t="n">
        <v>51.24397</v>
      </c>
    </row>
    <row r="641">
      <c r="A641" s="92" t="n">
        <v>37347</v>
      </c>
      <c r="B641" t="n">
        <v>77.8344</v>
      </c>
      <c r="C641" t="n">
        <v>78.006</v>
      </c>
      <c r="D641" t="n">
        <v>43.02271</v>
      </c>
      <c r="E641" t="n">
        <v>78.61469</v>
      </c>
      <c r="F641" t="n">
        <v>95.31909</v>
      </c>
      <c r="G641" t="n">
        <v>65.63039000000001</v>
      </c>
      <c r="H641" t="n">
        <v>70.69629999999999</v>
      </c>
      <c r="I641" t="n">
        <v>56.46925</v>
      </c>
      <c r="J641" t="n">
        <v>36.4711</v>
      </c>
      <c r="K641" t="n">
        <v>77.5</v>
      </c>
      <c r="L641" t="n">
        <v>82.65676999999999</v>
      </c>
      <c r="M641" t="n">
        <v>80</v>
      </c>
      <c r="N641" t="n">
        <v>79.38</v>
      </c>
      <c r="O641" t="n">
        <v>76.13403</v>
      </c>
      <c r="P641" t="n">
        <v>65.57517</v>
      </c>
      <c r="Q641" t="n">
        <v>77.81</v>
      </c>
      <c r="R641" t="n">
        <v>82.55501</v>
      </c>
      <c r="S641" t="n">
        <v>82.70999999999999</v>
      </c>
      <c r="T641" t="n">
        <v>65.59945999999999</v>
      </c>
      <c r="U641" t="n">
        <v>79.57458</v>
      </c>
      <c r="V641" t="n">
        <v>75.59999999999999</v>
      </c>
      <c r="W641" t="n">
        <v>77.20278999999999</v>
      </c>
      <c r="X641" t="n">
        <v>59.80755</v>
      </c>
      <c r="Y641" t="n">
        <v>40.75769</v>
      </c>
      <c r="Z641" t="n">
        <v>38.88787</v>
      </c>
      <c r="AA641" t="n">
        <v>81.73436</v>
      </c>
      <c r="AB641" t="n">
        <v>51.8288</v>
      </c>
      <c r="AC641" t="n">
        <v>80.04031999999999</v>
      </c>
      <c r="AD641" t="n">
        <v>78.7171</v>
      </c>
      <c r="AE641" t="n">
        <v>97.53118000000001</v>
      </c>
      <c r="AF641" t="n">
        <v>71.03242</v>
      </c>
      <c r="AG641" t="n">
        <v>70.7315</v>
      </c>
      <c r="AH641" t="n">
        <v>76.57048</v>
      </c>
      <c r="AI641" t="n">
        <v>57.64987</v>
      </c>
      <c r="AJ641" t="n">
        <v>58.64753</v>
      </c>
      <c r="AK641" t="n">
        <v>80.90000000000001</v>
      </c>
      <c r="AL641" t="n">
        <v>78.5</v>
      </c>
      <c r="AM641" t="n">
        <v>75.70138</v>
      </c>
      <c r="AN641" t="n">
        <v>74.38307</v>
      </c>
      <c r="AO641" t="n">
        <v>76.09913</v>
      </c>
      <c r="AP641" t="n">
        <v>78.72443</v>
      </c>
      <c r="AQ641" t="n">
        <v>27.95896</v>
      </c>
      <c r="AR641" t="n">
        <v>65.04911</v>
      </c>
      <c r="AS641" t="n">
        <v>66.5613</v>
      </c>
      <c r="AT641" t="n">
        <v>72.95999999999999</v>
      </c>
      <c r="AU641" t="n">
        <v>87.10503</v>
      </c>
      <c r="AV641" t="n">
        <v>30.2379</v>
      </c>
      <c r="AW641" t="n">
        <v>75.85954</v>
      </c>
      <c r="AX641" t="n">
        <v>52.1174</v>
      </c>
    </row>
    <row r="642">
      <c r="A642" s="92" t="n">
        <v>37377</v>
      </c>
      <c r="B642" t="n">
        <v>78.05826999999999</v>
      </c>
      <c r="C642" t="n">
        <v>78.12492</v>
      </c>
      <c r="D642" t="n">
        <v>43.11296</v>
      </c>
      <c r="E642" t="n">
        <v>78.77271</v>
      </c>
      <c r="F642" t="n">
        <v>95.41061000000001</v>
      </c>
      <c r="G642" t="n">
        <v>65.68994000000001</v>
      </c>
      <c r="H642" t="n">
        <v>70.48421</v>
      </c>
      <c r="I642" t="n">
        <v>56.80372</v>
      </c>
      <c r="J642" t="n">
        <v>36.69913</v>
      </c>
      <c r="K642" t="n">
        <v>77.40000000000001</v>
      </c>
      <c r="L642" t="n">
        <v>82.75006</v>
      </c>
      <c r="M642" t="n">
        <v>80</v>
      </c>
      <c r="N642" t="n">
        <v>79.52</v>
      </c>
      <c r="O642" t="n">
        <v>76.40808</v>
      </c>
      <c r="P642" t="n">
        <v>65.72898000000001</v>
      </c>
      <c r="Q642" t="n">
        <v>77.94</v>
      </c>
      <c r="R642" t="n">
        <v>82.73699999999999</v>
      </c>
      <c r="S642" t="n">
        <v>82.81</v>
      </c>
      <c r="T642" t="n">
        <v>65.72745</v>
      </c>
      <c r="U642" t="n">
        <v>79.65617</v>
      </c>
      <c r="V642" t="n">
        <v>75.8</v>
      </c>
      <c r="W642" t="n">
        <v>77.19394</v>
      </c>
      <c r="X642" t="n">
        <v>60.10363</v>
      </c>
      <c r="Y642" t="n">
        <v>41.08885</v>
      </c>
      <c r="Z642" t="n">
        <v>39.13662</v>
      </c>
      <c r="AA642" t="n">
        <v>82.23274000000001</v>
      </c>
      <c r="AB642" t="n">
        <v>51.8288</v>
      </c>
      <c r="AC642" t="n">
        <v>80.84677000000001</v>
      </c>
      <c r="AD642" t="n">
        <v>78.91673</v>
      </c>
      <c r="AE642" t="n">
        <v>97.8366</v>
      </c>
      <c r="AF642" t="n">
        <v>71.29807</v>
      </c>
      <c r="AG642" t="n">
        <v>70.48399999999999</v>
      </c>
      <c r="AH642" t="n">
        <v>76.79733</v>
      </c>
      <c r="AI642" t="n">
        <v>57.75215</v>
      </c>
      <c r="AJ642" t="n">
        <v>58.7664</v>
      </c>
      <c r="AK642" t="n">
        <v>80.92</v>
      </c>
      <c r="AL642" t="n">
        <v>78.7</v>
      </c>
      <c r="AM642" t="n">
        <v>75.8086</v>
      </c>
      <c r="AN642" t="n">
        <v>74.53548000000001</v>
      </c>
      <c r="AO642" t="n">
        <v>75.95847000000001</v>
      </c>
      <c r="AP642" t="n">
        <v>79.24392</v>
      </c>
      <c r="AQ642" t="n">
        <v>28.43147</v>
      </c>
      <c r="AR642" t="n">
        <v>65.04911</v>
      </c>
      <c r="AS642" t="n">
        <v>66.68366</v>
      </c>
      <c r="AT642" t="n">
        <v>73.18000000000001</v>
      </c>
      <c r="AU642" t="n">
        <v>87.32843</v>
      </c>
      <c r="AV642" t="n">
        <v>30.41306</v>
      </c>
      <c r="AW642" t="n">
        <v>75.85954</v>
      </c>
      <c r="AX642" t="n">
        <v>52.37187</v>
      </c>
    </row>
    <row r="643">
      <c r="A643" s="92" t="n">
        <v>37408</v>
      </c>
      <c r="B643" t="n">
        <v>78.13290000000001</v>
      </c>
      <c r="C643" t="n">
        <v>77.90689</v>
      </c>
      <c r="D643" t="n">
        <v>43.29393</v>
      </c>
      <c r="E643" t="n">
        <v>78.93073</v>
      </c>
      <c r="F643" t="n">
        <v>95.28551</v>
      </c>
      <c r="G643" t="n">
        <v>65.60657999999999</v>
      </c>
      <c r="H643" t="n">
        <v>69.84985</v>
      </c>
      <c r="I643" t="n">
        <v>57.04846</v>
      </c>
      <c r="J643" t="n">
        <v>36.93362</v>
      </c>
      <c r="K643" t="n">
        <v>77.09999999999999</v>
      </c>
      <c r="L643" t="n">
        <v>82.75006</v>
      </c>
      <c r="M643" t="n">
        <v>80</v>
      </c>
      <c r="N643" t="n">
        <v>79.48999999999999</v>
      </c>
      <c r="O643" t="n">
        <v>76.41128999999999</v>
      </c>
      <c r="P643" t="n">
        <v>65.67771</v>
      </c>
      <c r="Q643" t="n">
        <v>77.89</v>
      </c>
      <c r="R643" t="n">
        <v>82.56292000000001</v>
      </c>
      <c r="S643" t="n">
        <v>82.8</v>
      </c>
      <c r="T643" t="n">
        <v>65.76688</v>
      </c>
      <c r="U643" t="n">
        <v>79.67915000000001</v>
      </c>
      <c r="V643" t="n">
        <v>75.8</v>
      </c>
      <c r="W643" t="n">
        <v>77.05561</v>
      </c>
      <c r="X643" t="n">
        <v>59.80755</v>
      </c>
      <c r="Y643" t="n">
        <v>41.21382</v>
      </c>
      <c r="Z643" t="n">
        <v>39.46829</v>
      </c>
      <c r="AA643" t="n">
        <v>82.33242</v>
      </c>
      <c r="AB643" t="n">
        <v>52.04976</v>
      </c>
      <c r="AC643" t="n">
        <v>81.85484</v>
      </c>
      <c r="AD643" t="n">
        <v>78.98327</v>
      </c>
      <c r="AE643" t="n">
        <v>97.73479</v>
      </c>
      <c r="AF643" t="n">
        <v>71.23165</v>
      </c>
      <c r="AG643" t="n">
        <v>70.242</v>
      </c>
      <c r="AH643" t="n">
        <v>76.91418</v>
      </c>
      <c r="AI643" t="n">
        <v>57.436</v>
      </c>
      <c r="AJ643" t="n">
        <v>59.05293</v>
      </c>
      <c r="AK643" t="n">
        <v>80.65000000000001</v>
      </c>
      <c r="AL643" t="n">
        <v>78.7</v>
      </c>
      <c r="AM643" t="n">
        <v>75.84026</v>
      </c>
      <c r="AN643" t="n">
        <v>74.53026</v>
      </c>
      <c r="AO643" t="n">
        <v>75.67713999999999</v>
      </c>
      <c r="AP643" t="n">
        <v>79.49969</v>
      </c>
      <c r="AQ643" t="n">
        <v>28.58215</v>
      </c>
      <c r="AR643" t="n">
        <v>64.91609</v>
      </c>
      <c r="AS643" t="n">
        <v>66.43895000000001</v>
      </c>
      <c r="AT643" t="n">
        <v>73.01000000000001</v>
      </c>
      <c r="AU643" t="n">
        <v>87.20077999999999</v>
      </c>
      <c r="AV643" t="n">
        <v>30.59058</v>
      </c>
      <c r="AW643" t="n">
        <v>75.90173</v>
      </c>
      <c r="AX643" t="n">
        <v>52.8189</v>
      </c>
    </row>
    <row r="644">
      <c r="A644" s="92" t="n">
        <v>37438</v>
      </c>
      <c r="B644" t="n">
        <v>78.05826999999999</v>
      </c>
      <c r="C644" t="n">
        <v>78.16457</v>
      </c>
      <c r="D644" t="n">
        <v>43.80923</v>
      </c>
      <c r="E644" t="n">
        <v>79.40479000000001</v>
      </c>
      <c r="F644" t="n">
        <v>94.78331</v>
      </c>
      <c r="G644" t="n">
        <v>65.89751</v>
      </c>
      <c r="H644" t="n">
        <v>69.3609</v>
      </c>
      <c r="I644" t="n">
        <v>57.05662</v>
      </c>
      <c r="J644" t="n">
        <v>37.47466</v>
      </c>
      <c r="K644" t="n">
        <v>77.5</v>
      </c>
      <c r="L644" t="n">
        <v>82.84335</v>
      </c>
      <c r="M644" t="n">
        <v>79.8</v>
      </c>
      <c r="N644" t="n">
        <v>79.41</v>
      </c>
      <c r="O644" t="n">
        <v>75.88137999999999</v>
      </c>
      <c r="P644" t="n">
        <v>65.47263</v>
      </c>
      <c r="Q644" t="n">
        <v>77.8</v>
      </c>
      <c r="R644" t="n">
        <v>82.41257</v>
      </c>
      <c r="S644" t="n">
        <v>82.8</v>
      </c>
      <c r="T644" t="n">
        <v>65.85283</v>
      </c>
      <c r="U644" t="n">
        <v>79.70471000000001</v>
      </c>
      <c r="V644" t="n">
        <v>75.59999999999999</v>
      </c>
      <c r="W644" t="n">
        <v>75.73087</v>
      </c>
      <c r="X644" t="n">
        <v>59.73353</v>
      </c>
      <c r="Y644" t="n">
        <v>41.50124</v>
      </c>
      <c r="Z644" t="n">
        <v>39.88287</v>
      </c>
      <c r="AA644" t="n">
        <v>81.93371999999999</v>
      </c>
      <c r="AB644" t="n">
        <v>52.09487</v>
      </c>
      <c r="AC644" t="n">
        <v>82.45968000000001</v>
      </c>
      <c r="AD644" t="n">
        <v>79.11635</v>
      </c>
      <c r="AE644" t="n">
        <v>97.32756999999999</v>
      </c>
      <c r="AF644" t="n">
        <v>71.03242</v>
      </c>
      <c r="AG644" t="n">
        <v>70.0484</v>
      </c>
      <c r="AH644" t="n">
        <v>76.37112999999999</v>
      </c>
      <c r="AI644" t="n">
        <v>57.20354</v>
      </c>
      <c r="AJ644" t="n">
        <v>59.22245</v>
      </c>
      <c r="AK644" t="n">
        <v>80.54000000000001</v>
      </c>
      <c r="AL644" t="n">
        <v>78.59999999999999</v>
      </c>
      <c r="AM644" t="n">
        <v>75.86198</v>
      </c>
      <c r="AN644" t="n">
        <v>74.49757</v>
      </c>
      <c r="AO644" t="n">
        <v>75.32548</v>
      </c>
      <c r="AP644" t="n">
        <v>79.63602</v>
      </c>
      <c r="AQ644" t="n">
        <v>28.78794</v>
      </c>
      <c r="AR644" t="n">
        <v>65.11562000000001</v>
      </c>
      <c r="AS644" t="n">
        <v>66.25542</v>
      </c>
      <c r="AT644" t="n">
        <v>73.40000000000001</v>
      </c>
      <c r="AU644" t="n">
        <v>86.89121</v>
      </c>
      <c r="AV644" t="n">
        <v>31.03154</v>
      </c>
      <c r="AW644" t="n">
        <v>75.98611</v>
      </c>
      <c r="AX644" t="n">
        <v>53.65796</v>
      </c>
    </row>
    <row r="645">
      <c r="A645" s="92" t="n">
        <v>37469</v>
      </c>
      <c r="B645" t="n">
        <v>78.20753000000001</v>
      </c>
      <c r="C645" t="n">
        <v>78.13482999999999</v>
      </c>
      <c r="D645" t="n">
        <v>44.09391</v>
      </c>
      <c r="E645" t="n">
        <v>79.72083000000001</v>
      </c>
      <c r="F645" t="n">
        <v>94.75183</v>
      </c>
      <c r="G645" t="n">
        <v>66.14592</v>
      </c>
      <c r="H645" t="n">
        <v>69.56898</v>
      </c>
      <c r="I645" t="n">
        <v>57.11372</v>
      </c>
      <c r="J645" t="n">
        <v>37.91889</v>
      </c>
      <c r="K645" t="n">
        <v>77.40000000000001</v>
      </c>
      <c r="L645" t="n">
        <v>82.75006</v>
      </c>
      <c r="M645" t="n">
        <v>79.90000000000001</v>
      </c>
      <c r="N645" t="n">
        <v>79.45999999999999</v>
      </c>
      <c r="O645" t="n">
        <v>76.09869999999999</v>
      </c>
      <c r="P645" t="n">
        <v>65.16501</v>
      </c>
      <c r="Q645" t="n">
        <v>77.84</v>
      </c>
      <c r="R645" t="n">
        <v>82.41257</v>
      </c>
      <c r="S645" t="n">
        <v>82.98999999999999</v>
      </c>
      <c r="T645" t="n">
        <v>66.06346000000001</v>
      </c>
      <c r="U645" t="n">
        <v>79.91714</v>
      </c>
      <c r="V645" t="n">
        <v>75.8</v>
      </c>
      <c r="W645" t="n">
        <v>75.90038</v>
      </c>
      <c r="X645" t="n">
        <v>59.58549</v>
      </c>
      <c r="Y645" t="n">
        <v>41.62621</v>
      </c>
      <c r="Z645" t="n">
        <v>40.13162</v>
      </c>
      <c r="AA645" t="n">
        <v>82.43210000000001</v>
      </c>
      <c r="AB645" t="n">
        <v>51.8288</v>
      </c>
      <c r="AC645" t="n">
        <v>82.15725999999999</v>
      </c>
      <c r="AD645" t="n">
        <v>79.24943</v>
      </c>
      <c r="AE645" t="n">
        <v>97.63299000000001</v>
      </c>
      <c r="AF645" t="n">
        <v>71.49836000000001</v>
      </c>
      <c r="AG645" t="n">
        <v>69.65179999999999</v>
      </c>
      <c r="AH645" t="n">
        <v>77.12728</v>
      </c>
      <c r="AI645" t="n">
        <v>56.76652</v>
      </c>
      <c r="AJ645" t="n">
        <v>59.44762</v>
      </c>
      <c r="AK645" t="n">
        <v>80.81</v>
      </c>
      <c r="AL645" t="n">
        <v>78.3</v>
      </c>
      <c r="AM645" t="n">
        <v>76.08208999999999</v>
      </c>
      <c r="AN645" t="n">
        <v>74.66302</v>
      </c>
      <c r="AO645" t="n">
        <v>75.04415</v>
      </c>
      <c r="AP645" t="n">
        <v>79.69474</v>
      </c>
      <c r="AQ645" t="n">
        <v>28.81385</v>
      </c>
      <c r="AR645" t="n">
        <v>65.24865</v>
      </c>
      <c r="AS645" t="n">
        <v>66.62248</v>
      </c>
      <c r="AT645" t="n">
        <v>73.45999999999999</v>
      </c>
      <c r="AU645" t="n">
        <v>86.94228</v>
      </c>
      <c r="AV645" t="n">
        <v>31.70936</v>
      </c>
      <c r="AW645" t="n">
        <v>76.23926</v>
      </c>
      <c r="AX645" t="n">
        <v>53.94681</v>
      </c>
    </row>
    <row r="646">
      <c r="A646" s="92" t="n">
        <v>37500</v>
      </c>
      <c r="B646" t="n">
        <v>78.20753000000001</v>
      </c>
      <c r="C646" t="n">
        <v>78.35287</v>
      </c>
      <c r="D646" t="n">
        <v>44.4113</v>
      </c>
      <c r="E646" t="n">
        <v>79.72083000000001</v>
      </c>
      <c r="F646" t="n">
        <v>94.89548000000001</v>
      </c>
      <c r="G646" t="n">
        <v>66.70397</v>
      </c>
      <c r="H646" t="n">
        <v>70.26467</v>
      </c>
      <c r="I646" t="n">
        <v>57.31767</v>
      </c>
      <c r="J646" t="n">
        <v>38.06947</v>
      </c>
      <c r="K646" t="n">
        <v>77</v>
      </c>
      <c r="L646" t="n">
        <v>82.75006</v>
      </c>
      <c r="M646" t="n">
        <v>80.3</v>
      </c>
      <c r="N646" t="n">
        <v>79.66</v>
      </c>
      <c r="O646" t="n">
        <v>76.38346</v>
      </c>
      <c r="P646" t="n">
        <v>65.21628</v>
      </c>
      <c r="Q646" t="n">
        <v>78.05</v>
      </c>
      <c r="R646" t="n">
        <v>82.71326000000001</v>
      </c>
      <c r="S646" t="n">
        <v>83.14</v>
      </c>
      <c r="T646" t="n">
        <v>66.29425000000001</v>
      </c>
      <c r="U646" t="n">
        <v>80.02224</v>
      </c>
      <c r="V646" t="n">
        <v>76</v>
      </c>
      <c r="W646" t="n">
        <v>77.33344</v>
      </c>
      <c r="X646" t="n">
        <v>59.95559</v>
      </c>
      <c r="Y646" t="n">
        <v>41.87614</v>
      </c>
      <c r="Z646" t="n">
        <v>40.21454</v>
      </c>
      <c r="AA646" t="n">
        <v>82.8308</v>
      </c>
      <c r="AB646" t="n">
        <v>52.07898</v>
      </c>
      <c r="AC646" t="n">
        <v>82.45968000000001</v>
      </c>
      <c r="AD646" t="n">
        <v>79.38251</v>
      </c>
      <c r="AE646" t="n">
        <v>97.63299000000001</v>
      </c>
      <c r="AF646" t="n">
        <v>71.89895</v>
      </c>
      <c r="AG646" t="n">
        <v>69.25449999999999</v>
      </c>
      <c r="AH646" t="n">
        <v>77.35413</v>
      </c>
      <c r="AI646" t="n">
        <v>57.20354</v>
      </c>
      <c r="AJ646" t="n">
        <v>59.80519</v>
      </c>
      <c r="AK646" t="n">
        <v>81.69</v>
      </c>
      <c r="AL646" t="n">
        <v>78.8</v>
      </c>
      <c r="AM646" t="n">
        <v>76.29733</v>
      </c>
      <c r="AN646" t="n">
        <v>74.99619</v>
      </c>
      <c r="AO646" t="n">
        <v>75.25514</v>
      </c>
      <c r="AP646" t="n">
        <v>79.64797</v>
      </c>
      <c r="AQ646" t="n">
        <v>28.92911</v>
      </c>
      <c r="AR646" t="n">
        <v>65.31516000000001</v>
      </c>
      <c r="AS646" t="n">
        <v>66.80602</v>
      </c>
      <c r="AT646" t="n">
        <v>74.02</v>
      </c>
      <c r="AU646" t="n">
        <v>87.60289</v>
      </c>
      <c r="AV646" t="n">
        <v>32.812</v>
      </c>
      <c r="AW646" t="n">
        <v>76.36583</v>
      </c>
      <c r="AX646" t="n">
        <v>54.42135</v>
      </c>
    </row>
    <row r="647">
      <c r="A647" s="92" t="n">
        <v>37530</v>
      </c>
      <c r="B647" t="n">
        <v>78.35677</v>
      </c>
      <c r="C647" t="n">
        <v>78.26367</v>
      </c>
      <c r="D647" t="n">
        <v>44.99319</v>
      </c>
      <c r="E647" t="n">
        <v>79.95786</v>
      </c>
      <c r="F647" t="n">
        <v>95.44971</v>
      </c>
      <c r="G647" t="n">
        <v>67.285</v>
      </c>
      <c r="H647" t="n">
        <v>70.40519999999999</v>
      </c>
      <c r="I647" t="n">
        <v>57.64399</v>
      </c>
      <c r="J647" t="n">
        <v>38.3201</v>
      </c>
      <c r="K647" t="n">
        <v>76.7</v>
      </c>
      <c r="L647" t="n">
        <v>82.65676999999999</v>
      </c>
      <c r="M647" t="n">
        <v>80.5</v>
      </c>
      <c r="N647" t="n">
        <v>79.84999999999999</v>
      </c>
      <c r="O647" t="n">
        <v>77.14033000000001</v>
      </c>
      <c r="P647" t="n">
        <v>65.57517</v>
      </c>
      <c r="Q647" t="n">
        <v>78.26000000000001</v>
      </c>
      <c r="R647" t="n">
        <v>82.92691000000001</v>
      </c>
      <c r="S647" t="n">
        <v>83.27</v>
      </c>
      <c r="T647" t="n">
        <v>66.51224999999999</v>
      </c>
      <c r="U647" t="n">
        <v>80.10221</v>
      </c>
      <c r="V647" t="n">
        <v>76.09999999999999</v>
      </c>
      <c r="W647" t="n">
        <v>77.73438</v>
      </c>
      <c r="X647" t="n">
        <v>60.25167</v>
      </c>
      <c r="Y647" t="n">
        <v>42.08233</v>
      </c>
      <c r="Z647" t="n">
        <v>40.38037</v>
      </c>
      <c r="AA647" t="n">
        <v>83.22951</v>
      </c>
      <c r="AB647" t="n">
        <v>52.37086</v>
      </c>
      <c r="AC647" t="n">
        <v>82.96371000000001</v>
      </c>
      <c r="AD647" t="n">
        <v>79.58213000000001</v>
      </c>
      <c r="AE647" t="n">
        <v>97.42937000000001</v>
      </c>
      <c r="AF647" t="n">
        <v>71.69759999999999</v>
      </c>
      <c r="AG647" t="n">
        <v>69.7004</v>
      </c>
      <c r="AH647" t="n">
        <v>77.63596</v>
      </c>
      <c r="AI647" t="n">
        <v>57.64057</v>
      </c>
      <c r="AJ647" t="n">
        <v>60.06879</v>
      </c>
      <c r="AK647" t="n">
        <v>81.48999999999999</v>
      </c>
      <c r="AL647" t="n">
        <v>79.09999999999999</v>
      </c>
      <c r="AM647" t="n">
        <v>76.47758</v>
      </c>
      <c r="AN647" t="n">
        <v>75.28308</v>
      </c>
      <c r="AO647" t="n">
        <v>75.46614</v>
      </c>
      <c r="AP647" t="n">
        <v>80.16148</v>
      </c>
      <c r="AQ647" t="n">
        <v>29.23865</v>
      </c>
      <c r="AR647" t="n">
        <v>65.31516000000001</v>
      </c>
      <c r="AS647" t="n">
        <v>66.80602</v>
      </c>
      <c r="AT647" t="n">
        <v>74.36</v>
      </c>
      <c r="AU647" t="n">
        <v>87.88692</v>
      </c>
      <c r="AV647" t="n">
        <v>33.89043</v>
      </c>
      <c r="AW647" t="n">
        <v>76.4924</v>
      </c>
      <c r="AX647" t="n">
        <v>55.23289</v>
      </c>
    </row>
    <row r="648">
      <c r="A648" s="92" t="n">
        <v>37561</v>
      </c>
      <c r="B648" t="n">
        <v>78.28215</v>
      </c>
      <c r="C648" t="n">
        <v>78.20421</v>
      </c>
      <c r="D648" t="n">
        <v>46.35208</v>
      </c>
      <c r="E648" t="n">
        <v>80.19489</v>
      </c>
      <c r="F648" t="n">
        <v>95.27378</v>
      </c>
      <c r="G648" t="n">
        <v>67.22545</v>
      </c>
      <c r="H648" t="n">
        <v>70.33479</v>
      </c>
      <c r="I648" t="n">
        <v>58.08451</v>
      </c>
      <c r="J648" t="n">
        <v>38.71592</v>
      </c>
      <c r="K648" t="n">
        <v>76.59999999999999</v>
      </c>
      <c r="L648" t="n">
        <v>82.37689</v>
      </c>
      <c r="M648" t="n">
        <v>80.5</v>
      </c>
      <c r="N648" t="n">
        <v>79.79000000000001</v>
      </c>
      <c r="O648" t="n">
        <v>77.25915999999999</v>
      </c>
      <c r="P648" t="n">
        <v>65.47263</v>
      </c>
      <c r="Q648" t="n">
        <v>78.23999999999999</v>
      </c>
      <c r="R648" t="n">
        <v>82.66579</v>
      </c>
      <c r="S648" t="n">
        <v>83.27</v>
      </c>
      <c r="T648" t="n">
        <v>66.71587</v>
      </c>
      <c r="U648" t="n">
        <v>80.10303999999999</v>
      </c>
      <c r="V648" t="n">
        <v>76.09999999999999</v>
      </c>
      <c r="W648" t="n">
        <v>77.75109999999999</v>
      </c>
      <c r="X648" t="n">
        <v>60.25167</v>
      </c>
      <c r="Y648" t="n">
        <v>42.83213</v>
      </c>
      <c r="Z648" t="n">
        <v>40.5462</v>
      </c>
      <c r="AA648" t="n">
        <v>83.32917999999999</v>
      </c>
      <c r="AB648" t="n">
        <v>52.24577</v>
      </c>
      <c r="AC648" t="n">
        <v>82.25806</v>
      </c>
      <c r="AD648" t="n">
        <v>79.84829000000001</v>
      </c>
      <c r="AE648" t="n">
        <v>97.42937000000001</v>
      </c>
      <c r="AF648" t="n">
        <v>71.76506999999999</v>
      </c>
      <c r="AG648" t="n">
        <v>69.7805</v>
      </c>
      <c r="AH648" t="n">
        <v>77.7047</v>
      </c>
      <c r="AI648" t="n">
        <v>57.74285</v>
      </c>
      <c r="AJ648" t="n">
        <v>60.5546</v>
      </c>
      <c r="AK648" t="n">
        <v>81.25</v>
      </c>
      <c r="AL648" t="n">
        <v>79.40000000000001</v>
      </c>
      <c r="AM648" t="n">
        <v>76.55962</v>
      </c>
      <c r="AN648" t="n">
        <v>75.40029</v>
      </c>
      <c r="AO648" t="n">
        <v>75.39581</v>
      </c>
      <c r="AP648" t="n">
        <v>80.74267999999999</v>
      </c>
      <c r="AQ648" t="n">
        <v>29.70939</v>
      </c>
      <c r="AR648" t="n">
        <v>65.38168</v>
      </c>
      <c r="AS648" t="n">
        <v>66.80602</v>
      </c>
      <c r="AT648" t="n">
        <v>74.36</v>
      </c>
      <c r="AU648" t="n">
        <v>87.67310000000001</v>
      </c>
      <c r="AV648" t="n">
        <v>34.87726</v>
      </c>
      <c r="AW648" t="n">
        <v>76.4924</v>
      </c>
      <c r="AX648" t="n">
        <v>55.89313</v>
      </c>
    </row>
    <row r="649">
      <c r="A649" s="92" t="n">
        <v>37591</v>
      </c>
      <c r="B649" t="n">
        <v>78.50603</v>
      </c>
      <c r="C649" t="n">
        <v>78.24384999999999</v>
      </c>
      <c r="D649" t="n">
        <v>47.32537</v>
      </c>
      <c r="E649" t="n">
        <v>79.87885</v>
      </c>
      <c r="F649" t="n">
        <v>95.21535</v>
      </c>
      <c r="G649" t="n">
        <v>66.92856</v>
      </c>
      <c r="H649" t="n">
        <v>70.5458</v>
      </c>
      <c r="I649" t="n">
        <v>58.24768</v>
      </c>
      <c r="J649" t="n">
        <v>39.00957</v>
      </c>
      <c r="K649" t="n">
        <v>76.7</v>
      </c>
      <c r="L649" t="n">
        <v>83.12323000000001</v>
      </c>
      <c r="M649" t="n">
        <v>80.5</v>
      </c>
      <c r="N649" t="n">
        <v>80.17</v>
      </c>
      <c r="O649" t="n">
        <v>77.51608</v>
      </c>
      <c r="P649" t="n">
        <v>65.37009</v>
      </c>
      <c r="Q649" t="n">
        <v>78.59999999999999</v>
      </c>
      <c r="R649" t="n">
        <v>82.65788000000001</v>
      </c>
      <c r="S649" t="n">
        <v>83.41</v>
      </c>
      <c r="T649" t="n">
        <v>66.84841</v>
      </c>
      <c r="U649" t="n">
        <v>80.09645</v>
      </c>
      <c r="V649" t="n">
        <v>76.3</v>
      </c>
      <c r="W649" t="n">
        <v>78.29031999999999</v>
      </c>
      <c r="X649" t="n">
        <v>60.32568</v>
      </c>
      <c r="Y649" t="n">
        <v>43.33199</v>
      </c>
      <c r="Z649" t="n">
        <v>40.13162</v>
      </c>
      <c r="AA649" t="n">
        <v>83.92724</v>
      </c>
      <c r="AB649" t="n">
        <v>52.29653</v>
      </c>
      <c r="AC649" t="n">
        <v>82.05645</v>
      </c>
      <c r="AD649" t="n">
        <v>79.91482999999999</v>
      </c>
      <c r="AE649" t="n">
        <v>97.42937000000001</v>
      </c>
      <c r="AF649" t="n">
        <v>72.09608</v>
      </c>
      <c r="AG649" t="n">
        <v>70.02800000000001</v>
      </c>
      <c r="AH649" t="n">
        <v>77.61534</v>
      </c>
      <c r="AI649" t="n">
        <v>57.85443</v>
      </c>
      <c r="AJ649" t="n">
        <v>60.8182</v>
      </c>
      <c r="AK649" t="n">
        <v>80.97</v>
      </c>
      <c r="AL649" t="n">
        <v>80</v>
      </c>
      <c r="AM649" t="n">
        <v>76.62625</v>
      </c>
      <c r="AN649" t="n">
        <v>75.70484</v>
      </c>
      <c r="AO649" t="n">
        <v>75.46614</v>
      </c>
      <c r="AP649" t="n">
        <v>80.85414</v>
      </c>
      <c r="AQ649" t="n">
        <v>30.16692</v>
      </c>
      <c r="AR649" t="n">
        <v>65.44819</v>
      </c>
      <c r="AS649" t="n">
        <v>67.29544</v>
      </c>
      <c r="AT649" t="n">
        <v>74.79000000000001</v>
      </c>
      <c r="AU649" t="n">
        <v>87.7848</v>
      </c>
      <c r="AV649" t="n">
        <v>35.45065</v>
      </c>
      <c r="AW649" t="n">
        <v>76.32364</v>
      </c>
      <c r="AX649" t="n">
        <v>55.9619</v>
      </c>
    </row>
    <row r="650">
      <c r="A650" s="92" t="n">
        <v>37622</v>
      </c>
      <c r="B650" t="n">
        <v>78.65528</v>
      </c>
      <c r="C650" t="n">
        <v>78.59072</v>
      </c>
      <c r="D650" t="n">
        <v>48.39031</v>
      </c>
      <c r="E650" t="n">
        <v>80.58994</v>
      </c>
      <c r="F650" t="n">
        <v>95.29143000000001</v>
      </c>
      <c r="G650" t="n">
        <v>66.99406</v>
      </c>
      <c r="H650" t="n">
        <v>71.3218</v>
      </c>
      <c r="I650" t="n">
        <v>58.92479</v>
      </c>
      <c r="J650" t="n">
        <v>39.26234</v>
      </c>
      <c r="K650" t="n">
        <v>77.09999999999999</v>
      </c>
      <c r="L650" t="n">
        <v>83.12323000000001</v>
      </c>
      <c r="M650" t="n">
        <v>80.59999999999999</v>
      </c>
      <c r="N650" t="n">
        <v>80.14</v>
      </c>
      <c r="O650" t="n">
        <v>77.19707</v>
      </c>
      <c r="P650" t="n">
        <v>66.08788</v>
      </c>
      <c r="Q650" t="n">
        <v>78.64</v>
      </c>
      <c r="R650" t="n">
        <v>82.76074</v>
      </c>
      <c r="S650" t="n">
        <v>83.56999999999999</v>
      </c>
      <c r="T650" t="n">
        <v>67.13151000000001</v>
      </c>
      <c r="U650" t="n">
        <v>80.28019999999999</v>
      </c>
      <c r="V650" t="n">
        <v>75.90000000000001</v>
      </c>
      <c r="W650" t="n">
        <v>77.89012</v>
      </c>
      <c r="X650" t="n">
        <v>61.06588</v>
      </c>
      <c r="Y650" t="n">
        <v>43.74438</v>
      </c>
      <c r="Z650" t="n">
        <v>40.04871</v>
      </c>
      <c r="AA650" t="n">
        <v>83.62821</v>
      </c>
      <c r="AB650" t="n">
        <v>52.48424</v>
      </c>
      <c r="AC650" t="n">
        <v>82.25806</v>
      </c>
      <c r="AD650" t="n">
        <v>80.24753</v>
      </c>
      <c r="AE650" t="n">
        <v>97.12394999999999</v>
      </c>
      <c r="AF650" t="n">
        <v>72.56413000000001</v>
      </c>
      <c r="AG650" t="n">
        <v>69.9995</v>
      </c>
      <c r="AH650" t="n">
        <v>77.03104</v>
      </c>
      <c r="AI650" t="n">
        <v>58.38444</v>
      </c>
      <c r="AJ650" t="n">
        <v>61.06406</v>
      </c>
      <c r="AK650" t="n">
        <v>81.25</v>
      </c>
      <c r="AL650" t="n">
        <v>81.90000000000001</v>
      </c>
      <c r="AM650" t="n">
        <v>76.87173</v>
      </c>
      <c r="AN650" t="n">
        <v>75.86623</v>
      </c>
      <c r="AO650" t="n">
        <v>75.74747000000001</v>
      </c>
      <c r="AP650" t="n">
        <v>80.97356000000001</v>
      </c>
      <c r="AQ650" t="n">
        <v>30.89092</v>
      </c>
      <c r="AR650" t="n">
        <v>65.44819</v>
      </c>
      <c r="AS650" t="n">
        <v>70.84374</v>
      </c>
      <c r="AT650" t="n">
        <v>75.52</v>
      </c>
      <c r="AU650" t="n">
        <v>88.06882</v>
      </c>
      <c r="AV650" t="n">
        <v>36.36817</v>
      </c>
      <c r="AW650" t="n">
        <v>76.66117</v>
      </c>
      <c r="AX650" t="n">
        <v>56.41582</v>
      </c>
    </row>
    <row r="651">
      <c r="A651" s="92" t="n">
        <v>37653</v>
      </c>
      <c r="B651" t="n">
        <v>78.7299</v>
      </c>
      <c r="C651" t="n">
        <v>79.1358</v>
      </c>
      <c r="D651" t="n">
        <v>49.15015</v>
      </c>
      <c r="E651" t="n">
        <v>81.22202</v>
      </c>
      <c r="F651" t="n">
        <v>95.38525</v>
      </c>
      <c r="G651" t="n">
        <v>67.53426</v>
      </c>
      <c r="H651" t="n">
        <v>71.9637</v>
      </c>
      <c r="I651" t="n">
        <v>59.58558</v>
      </c>
      <c r="J651" t="n">
        <v>39.5818</v>
      </c>
      <c r="K651" t="n">
        <v>77.3</v>
      </c>
      <c r="L651" t="n">
        <v>83.58969</v>
      </c>
      <c r="M651" t="n">
        <v>81.40000000000001</v>
      </c>
      <c r="N651" t="n">
        <v>80.45999999999999</v>
      </c>
      <c r="O651" t="n">
        <v>77.36086</v>
      </c>
      <c r="P651" t="n">
        <v>66.34423</v>
      </c>
      <c r="Q651" t="n">
        <v>78.95999999999999</v>
      </c>
      <c r="R651" t="n">
        <v>83.30673</v>
      </c>
      <c r="S651" t="n">
        <v>84.15000000000001</v>
      </c>
      <c r="T651" t="n">
        <v>67.51862</v>
      </c>
      <c r="U651" t="n">
        <v>80.70613</v>
      </c>
      <c r="V651" t="n">
        <v>76.09999999999999</v>
      </c>
      <c r="W651" t="n">
        <v>77.96507</v>
      </c>
      <c r="X651" t="n">
        <v>61.50999</v>
      </c>
      <c r="Y651" t="n">
        <v>43.82561</v>
      </c>
      <c r="Z651" t="n">
        <v>40.13162</v>
      </c>
      <c r="AA651" t="n">
        <v>84.42561000000001</v>
      </c>
      <c r="AB651" t="n">
        <v>52.41255</v>
      </c>
      <c r="AC651" t="n">
        <v>82.56049</v>
      </c>
      <c r="AD651" t="n">
        <v>80.38061</v>
      </c>
      <c r="AE651" t="n">
        <v>96.81853</v>
      </c>
      <c r="AF651" t="n">
        <v>72.96261</v>
      </c>
      <c r="AG651" t="n">
        <v>69.81999999999999</v>
      </c>
      <c r="AH651" t="n">
        <v>78.08278</v>
      </c>
      <c r="AI651" t="n">
        <v>58.5704</v>
      </c>
      <c r="AJ651" t="n">
        <v>61.23368</v>
      </c>
      <c r="AK651" t="n">
        <v>81.75</v>
      </c>
      <c r="AL651" t="n">
        <v>82</v>
      </c>
      <c r="AM651" t="n">
        <v>77.2659</v>
      </c>
      <c r="AN651" t="n">
        <v>76.21563999999999</v>
      </c>
      <c r="AO651" t="n">
        <v>75.81780000000001</v>
      </c>
      <c r="AP651" t="n">
        <v>80.96062000000001</v>
      </c>
      <c r="AQ651" t="n">
        <v>31.39445</v>
      </c>
      <c r="AR651" t="n">
        <v>65.38168</v>
      </c>
      <c r="AS651" t="n">
        <v>71.27199</v>
      </c>
      <c r="AT651" t="n">
        <v>75.90000000000001</v>
      </c>
      <c r="AU651" t="n">
        <v>88.84752</v>
      </c>
      <c r="AV651" t="n">
        <v>36.92845</v>
      </c>
      <c r="AW651" t="n">
        <v>77.25185</v>
      </c>
      <c r="AX651" t="n">
        <v>56.35392</v>
      </c>
    </row>
    <row r="652">
      <c r="A652" s="92" t="n">
        <v>37681</v>
      </c>
      <c r="B652" t="n">
        <v>78.95377999999999</v>
      </c>
      <c r="C652" t="n">
        <v>79.35383</v>
      </c>
      <c r="D652" t="n">
        <v>49.75477</v>
      </c>
      <c r="E652" t="n">
        <v>81.45905</v>
      </c>
      <c r="F652" t="n">
        <v>95.76917</v>
      </c>
      <c r="G652" t="n">
        <v>68.32285</v>
      </c>
      <c r="H652" t="n">
        <v>71.53191</v>
      </c>
      <c r="I652" t="n">
        <v>60.20558</v>
      </c>
      <c r="J652" t="n">
        <v>39.8378</v>
      </c>
      <c r="K652" t="n">
        <v>77.2</v>
      </c>
      <c r="L652" t="n">
        <v>83.68298</v>
      </c>
      <c r="M652" t="n">
        <v>82</v>
      </c>
      <c r="N652" t="n">
        <v>80.93000000000001</v>
      </c>
      <c r="O652" t="n">
        <v>77.89718999999999</v>
      </c>
      <c r="P652" t="n">
        <v>66.49805000000001</v>
      </c>
      <c r="Q652" t="n">
        <v>79.41</v>
      </c>
      <c r="R652" t="n">
        <v>83.53619999999999</v>
      </c>
      <c r="S652" t="n">
        <v>84.48999999999999</v>
      </c>
      <c r="T652" t="n">
        <v>67.88046</v>
      </c>
      <c r="U652" t="n">
        <v>81.0776</v>
      </c>
      <c r="V652" t="n">
        <v>76.40000000000001</v>
      </c>
      <c r="W652" t="n">
        <v>79.73578999999999</v>
      </c>
      <c r="X652" t="n">
        <v>62.02813</v>
      </c>
      <c r="Y652" t="n">
        <v>43.74438</v>
      </c>
      <c r="Z652" t="n">
        <v>40.38037</v>
      </c>
      <c r="AA652" t="n">
        <v>85.02367</v>
      </c>
      <c r="AB652" t="n">
        <v>52.95722</v>
      </c>
      <c r="AC652" t="n">
        <v>82.7621</v>
      </c>
      <c r="AD652" t="n">
        <v>80.64677</v>
      </c>
      <c r="AE652" t="n">
        <v>97.12394999999999</v>
      </c>
      <c r="AF652" t="n">
        <v>73.82809</v>
      </c>
      <c r="AG652" t="n">
        <v>69.9957</v>
      </c>
      <c r="AH652" t="n">
        <v>78.30275</v>
      </c>
      <c r="AI652" t="n">
        <v>58.88655</v>
      </c>
      <c r="AJ652" t="n">
        <v>61.62021</v>
      </c>
      <c r="AK652" t="n">
        <v>82.53</v>
      </c>
      <c r="AL652" t="n">
        <v>81.40000000000001</v>
      </c>
      <c r="AM652" t="n">
        <v>77.67624000000001</v>
      </c>
      <c r="AN652" t="n">
        <v>76.58365000000001</v>
      </c>
      <c r="AO652" t="n">
        <v>76.02879</v>
      </c>
      <c r="AP652" t="n">
        <v>81.01734999999999</v>
      </c>
      <c r="AQ652" t="n">
        <v>31.72409</v>
      </c>
      <c r="AR652" t="n">
        <v>65.38168</v>
      </c>
      <c r="AS652" t="n">
        <v>71.57787</v>
      </c>
      <c r="AT652" t="n">
        <v>76.44</v>
      </c>
      <c r="AU652" t="n">
        <v>89.30389</v>
      </c>
      <c r="AV652" t="n">
        <v>37.65374</v>
      </c>
      <c r="AW652" t="n">
        <v>77.71594</v>
      </c>
      <c r="AX652" t="n">
        <v>56.68404</v>
      </c>
    </row>
    <row r="653">
      <c r="A653" s="92" t="n">
        <v>37712</v>
      </c>
      <c r="B653" t="n">
        <v>78.87916</v>
      </c>
      <c r="C653" t="n">
        <v>79.15562</v>
      </c>
      <c r="D653" t="n">
        <v>50.23736</v>
      </c>
      <c r="E653" t="n">
        <v>80.90598</v>
      </c>
      <c r="F653" t="n">
        <v>95.95953</v>
      </c>
      <c r="G653" t="n">
        <v>68.25735</v>
      </c>
      <c r="H653" t="n">
        <v>71.38885000000001</v>
      </c>
      <c r="I653" t="n">
        <v>60.89901</v>
      </c>
      <c r="J653" t="n">
        <v>40.22072</v>
      </c>
      <c r="K653" t="n">
        <v>77.40000000000001</v>
      </c>
      <c r="L653" t="n">
        <v>83.40311</v>
      </c>
      <c r="M653" t="n">
        <v>81.90000000000001</v>
      </c>
      <c r="N653" t="n">
        <v>81.05</v>
      </c>
      <c r="O653" t="n">
        <v>78.53094</v>
      </c>
      <c r="P653" t="n">
        <v>66.3955</v>
      </c>
      <c r="Q653" t="n">
        <v>79.54000000000001</v>
      </c>
      <c r="R653" t="n">
        <v>83.43333</v>
      </c>
      <c r="S653" t="n">
        <v>84.37</v>
      </c>
      <c r="T653" t="n">
        <v>67.98903</v>
      </c>
      <c r="U653" t="n">
        <v>81.00586</v>
      </c>
      <c r="V653" t="n">
        <v>76.8</v>
      </c>
      <c r="W653" t="n">
        <v>79.80904</v>
      </c>
      <c r="X653" t="n">
        <v>62.10215</v>
      </c>
      <c r="Y653" t="n">
        <v>43.86935</v>
      </c>
      <c r="Z653" t="n">
        <v>40.87787</v>
      </c>
      <c r="AA653" t="n">
        <v>85.22302000000001</v>
      </c>
      <c r="AB653" t="n">
        <v>53.038</v>
      </c>
      <c r="AC653" t="n">
        <v>82.56049</v>
      </c>
      <c r="AD653" t="n">
        <v>80.84639</v>
      </c>
      <c r="AE653" t="n">
        <v>97.42937000000001</v>
      </c>
      <c r="AF653" t="n">
        <v>73.69526</v>
      </c>
      <c r="AG653" t="n">
        <v>70.02679999999999</v>
      </c>
      <c r="AH653" t="n">
        <v>78.25463000000001</v>
      </c>
      <c r="AI653" t="n">
        <v>59.07252</v>
      </c>
      <c r="AJ653" t="n">
        <v>61.72541</v>
      </c>
      <c r="AK653" t="n">
        <v>82.61</v>
      </c>
      <c r="AL653" t="n">
        <v>80.8</v>
      </c>
      <c r="AM653" t="n">
        <v>77.67495</v>
      </c>
      <c r="AN653" t="n">
        <v>76.70685</v>
      </c>
      <c r="AO653" t="n">
        <v>76.16946</v>
      </c>
      <c r="AP653" t="n">
        <v>81.64033999999999</v>
      </c>
      <c r="AQ653" t="n">
        <v>32.04767</v>
      </c>
      <c r="AR653" t="n">
        <v>65.31516000000001</v>
      </c>
      <c r="AS653" t="n">
        <v>71.70023</v>
      </c>
      <c r="AT653" t="n">
        <v>76.81999999999999</v>
      </c>
      <c r="AU653" t="n">
        <v>88.98793999999999</v>
      </c>
      <c r="AV653" t="n">
        <v>38.02598</v>
      </c>
      <c r="AW653" t="n">
        <v>77.54718</v>
      </c>
      <c r="AX653" t="n">
        <v>56.81471</v>
      </c>
    </row>
    <row r="654">
      <c r="A654" s="92" t="n">
        <v>37742</v>
      </c>
      <c r="B654" t="n">
        <v>78.87916</v>
      </c>
      <c r="C654" t="n">
        <v>78.93759</v>
      </c>
      <c r="D654" t="n">
        <v>50.54385</v>
      </c>
      <c r="E654" t="n">
        <v>80.98499</v>
      </c>
      <c r="F654" t="n">
        <v>95.80576000000001</v>
      </c>
      <c r="G654" t="n">
        <v>67.99619</v>
      </c>
      <c r="H654" t="n">
        <v>70.88912999999999</v>
      </c>
      <c r="I654" t="n">
        <v>61.19269</v>
      </c>
      <c r="J654" t="n">
        <v>40.43261</v>
      </c>
      <c r="K654" t="n">
        <v>77.40000000000001</v>
      </c>
      <c r="L654" t="n">
        <v>83.21652</v>
      </c>
      <c r="M654" t="n">
        <v>81.8</v>
      </c>
      <c r="N654" t="n">
        <v>81</v>
      </c>
      <c r="O654" t="n">
        <v>78.45815</v>
      </c>
      <c r="P654" t="n">
        <v>66.19042</v>
      </c>
      <c r="Q654" t="n">
        <v>79.5</v>
      </c>
      <c r="R654" t="n">
        <v>83.33047000000001</v>
      </c>
      <c r="S654" t="n">
        <v>84.27</v>
      </c>
      <c r="T654" t="n">
        <v>67.97862000000001</v>
      </c>
      <c r="U654" t="n">
        <v>80.94923</v>
      </c>
      <c r="V654" t="n">
        <v>76.8</v>
      </c>
      <c r="W654" t="n">
        <v>80.14147</v>
      </c>
      <c r="X654" t="n">
        <v>62.25019</v>
      </c>
      <c r="Y654" t="n">
        <v>43.99432</v>
      </c>
      <c r="Z654" t="n">
        <v>40.96079</v>
      </c>
      <c r="AA654" t="n">
        <v>85.12335</v>
      </c>
      <c r="AB654" t="n">
        <v>52.95461</v>
      </c>
      <c r="AC654" t="n">
        <v>82.15725999999999</v>
      </c>
      <c r="AD654" t="n">
        <v>81.04601</v>
      </c>
      <c r="AE654" t="n">
        <v>97.63299000000001</v>
      </c>
      <c r="AF654" t="n">
        <v>73.56243000000001</v>
      </c>
      <c r="AG654" t="n">
        <v>69.92149999999999</v>
      </c>
      <c r="AH654" t="n">
        <v>78.28213</v>
      </c>
      <c r="AI654" t="n">
        <v>59.1748</v>
      </c>
      <c r="AJ654" t="n">
        <v>61.52624</v>
      </c>
      <c r="AK654" t="n">
        <v>82.55</v>
      </c>
      <c r="AL654" t="n">
        <v>80.3</v>
      </c>
      <c r="AM654" t="n">
        <v>77.63512</v>
      </c>
      <c r="AN654" t="n">
        <v>76.71939999999999</v>
      </c>
      <c r="AO654" t="n">
        <v>76.16946</v>
      </c>
      <c r="AP654" t="n">
        <v>82.10011</v>
      </c>
      <c r="AQ654" t="n">
        <v>32.30405</v>
      </c>
      <c r="AR654" t="n">
        <v>65.38168</v>
      </c>
      <c r="AS654" t="n">
        <v>71.76141</v>
      </c>
      <c r="AT654" t="n">
        <v>77.19</v>
      </c>
      <c r="AU654" t="n">
        <v>88.88262</v>
      </c>
      <c r="AV654" t="n">
        <v>38.39054</v>
      </c>
      <c r="AW654" t="n">
        <v>77.42061</v>
      </c>
      <c r="AX654" t="n">
        <v>56.81471</v>
      </c>
    </row>
    <row r="655">
      <c r="A655" s="92" t="n">
        <v>37773</v>
      </c>
      <c r="B655" t="n">
        <v>79.0284</v>
      </c>
      <c r="C655" t="n">
        <v>79.16553</v>
      </c>
      <c r="D655" t="n">
        <v>50.46798</v>
      </c>
      <c r="E655" t="n">
        <v>80.98499</v>
      </c>
      <c r="F655" t="n">
        <v>95.80766</v>
      </c>
      <c r="G655" t="n">
        <v>67.99619</v>
      </c>
      <c r="H655" t="n">
        <v>70.03846</v>
      </c>
      <c r="I655" t="n">
        <v>61.16006</v>
      </c>
      <c r="J655" t="n">
        <v>40.70367</v>
      </c>
      <c r="K655" t="n">
        <v>77.40000000000001</v>
      </c>
      <c r="L655" t="n">
        <v>83.49639999999999</v>
      </c>
      <c r="M655" t="n">
        <v>81.8</v>
      </c>
      <c r="N655" t="n">
        <v>81.09999999999999</v>
      </c>
      <c r="O655" t="n">
        <v>78.5106</v>
      </c>
      <c r="P655" t="n">
        <v>65.8828</v>
      </c>
      <c r="Q655" t="n">
        <v>79.58</v>
      </c>
      <c r="R655" t="n">
        <v>83.23551</v>
      </c>
      <c r="S655" t="n">
        <v>84.43000000000001</v>
      </c>
      <c r="T655" t="n">
        <v>67.97920999999999</v>
      </c>
      <c r="U655" t="n">
        <v>80.99679999999999</v>
      </c>
      <c r="V655" t="n">
        <v>76.7</v>
      </c>
      <c r="W655" t="n">
        <v>79.99426</v>
      </c>
      <c r="X655" t="n">
        <v>62.39822</v>
      </c>
      <c r="Y655" t="n">
        <v>44.07554</v>
      </c>
      <c r="Z655" t="n">
        <v>41.20954</v>
      </c>
      <c r="AA655" t="n">
        <v>85.22302000000001</v>
      </c>
      <c r="AB655" t="n">
        <v>52.95461</v>
      </c>
      <c r="AC655" t="n">
        <v>81.65322999999999</v>
      </c>
      <c r="AD655" t="n">
        <v>81.11256</v>
      </c>
      <c r="AE655" t="n">
        <v>97.32756999999999</v>
      </c>
      <c r="AF655" t="n">
        <v>73.36214</v>
      </c>
      <c r="AG655" t="n">
        <v>69.98309999999999</v>
      </c>
      <c r="AH655" t="n">
        <v>78.28213</v>
      </c>
      <c r="AI655" t="n">
        <v>59.58393</v>
      </c>
      <c r="AJ655" t="n">
        <v>61.57707</v>
      </c>
      <c r="AK655" t="n">
        <v>82.17</v>
      </c>
      <c r="AL655" t="n">
        <v>80.09999999999999</v>
      </c>
      <c r="AM655" t="n">
        <v>77.66175</v>
      </c>
      <c r="AN655" t="n">
        <v>76.77454</v>
      </c>
      <c r="AO655" t="n">
        <v>76.09913</v>
      </c>
      <c r="AP655" t="n">
        <v>82.09613</v>
      </c>
      <c r="AQ655" t="n">
        <v>32.56248</v>
      </c>
      <c r="AR655" t="n">
        <v>65.44819</v>
      </c>
      <c r="AS655" t="n">
        <v>72.0673</v>
      </c>
      <c r="AT655" t="n">
        <v>77.39</v>
      </c>
      <c r="AU655" t="n">
        <v>88.63688999999999</v>
      </c>
      <c r="AV655" t="n">
        <v>38.42125</v>
      </c>
      <c r="AW655" t="n">
        <v>77.50499000000001</v>
      </c>
      <c r="AX655" t="n">
        <v>56.71155</v>
      </c>
    </row>
    <row r="656">
      <c r="A656" s="92" t="n">
        <v>37803</v>
      </c>
      <c r="B656" t="n">
        <v>78.95377999999999</v>
      </c>
      <c r="C656" t="n">
        <v>79.31419</v>
      </c>
      <c r="D656" t="n">
        <v>50.5689</v>
      </c>
      <c r="E656" t="n">
        <v>81.06399999999999</v>
      </c>
      <c r="F656" t="n">
        <v>95.03962</v>
      </c>
      <c r="G656" t="n">
        <v>67.93747999999999</v>
      </c>
      <c r="H656" t="n">
        <v>69.68827</v>
      </c>
      <c r="I656" t="n">
        <v>61.07032</v>
      </c>
      <c r="J656" t="n">
        <v>41.02959</v>
      </c>
      <c r="K656" t="n">
        <v>77.5</v>
      </c>
      <c r="L656" t="n">
        <v>83.68298</v>
      </c>
      <c r="M656" t="n">
        <v>81.3</v>
      </c>
      <c r="N656" t="n">
        <v>80.98</v>
      </c>
      <c r="O656" t="n">
        <v>78.01815999999999</v>
      </c>
      <c r="P656" t="n">
        <v>65.98533999999999</v>
      </c>
      <c r="Q656" t="n">
        <v>79.47</v>
      </c>
      <c r="R656" t="n">
        <v>82.80031</v>
      </c>
      <c r="S656" t="n">
        <v>84.34</v>
      </c>
      <c r="T656" t="n">
        <v>67.99879</v>
      </c>
      <c r="U656" t="n">
        <v>81.03748</v>
      </c>
      <c r="V656" t="n">
        <v>76.59999999999999</v>
      </c>
      <c r="W656" t="n">
        <v>78.45117999999999</v>
      </c>
      <c r="X656" t="n">
        <v>62.54626</v>
      </c>
      <c r="Y656" t="n">
        <v>44.07554</v>
      </c>
      <c r="Z656" t="n">
        <v>41.5412</v>
      </c>
      <c r="AA656" t="n">
        <v>84.62497</v>
      </c>
      <c r="AB656" t="n">
        <v>52.91291</v>
      </c>
      <c r="AC656" t="n">
        <v>81.14919</v>
      </c>
      <c r="AD656" t="n">
        <v>81.24563999999999</v>
      </c>
      <c r="AE656" t="n">
        <v>97.12394999999999</v>
      </c>
      <c r="AF656" t="n">
        <v>73.29678</v>
      </c>
      <c r="AG656" t="n">
        <v>69.42619999999999</v>
      </c>
      <c r="AH656" t="n">
        <v>77.60847</v>
      </c>
      <c r="AI656" t="n">
        <v>59.37936</v>
      </c>
      <c r="AJ656" t="n">
        <v>61.66631</v>
      </c>
      <c r="AK656" t="n">
        <v>82.23999999999999</v>
      </c>
      <c r="AL656" t="n">
        <v>79.8</v>
      </c>
      <c r="AM656" t="n">
        <v>77.65309999999999</v>
      </c>
      <c r="AN656" t="n">
        <v>76.67451</v>
      </c>
      <c r="AO656" t="n">
        <v>75.81780000000001</v>
      </c>
      <c r="AP656" t="n">
        <v>81.8553</v>
      </c>
      <c r="AQ656" t="n">
        <v>32.79368</v>
      </c>
      <c r="AR656" t="n">
        <v>65.84726000000001</v>
      </c>
      <c r="AS656" t="n">
        <v>72.00612</v>
      </c>
      <c r="AT656" t="n">
        <v>77.76000000000001</v>
      </c>
      <c r="AU656" t="n">
        <v>88.33052000000001</v>
      </c>
      <c r="AV656" t="n">
        <v>38.34833</v>
      </c>
      <c r="AW656" t="n">
        <v>77.58937</v>
      </c>
      <c r="AX656" t="n">
        <v>56.4227</v>
      </c>
    </row>
    <row r="657">
      <c r="A657" s="92" t="n">
        <v>37834</v>
      </c>
      <c r="B657" t="n">
        <v>79.17766</v>
      </c>
      <c r="C657" t="n">
        <v>79.53222</v>
      </c>
      <c r="D657" t="n">
        <v>50.74083</v>
      </c>
      <c r="E657" t="n">
        <v>81.30103</v>
      </c>
      <c r="F657" t="n">
        <v>95.26085999999999</v>
      </c>
      <c r="G657" t="n">
        <v>68.04977</v>
      </c>
      <c r="H657" t="n">
        <v>70.17609</v>
      </c>
      <c r="I657" t="n">
        <v>61.26611</v>
      </c>
      <c r="J657" t="n">
        <v>41.19953</v>
      </c>
      <c r="K657" t="n">
        <v>77.3</v>
      </c>
      <c r="L657" t="n">
        <v>83.68298</v>
      </c>
      <c r="M657" t="n">
        <v>81.3</v>
      </c>
      <c r="N657" t="n">
        <v>81.09999999999999</v>
      </c>
      <c r="O657" t="n">
        <v>78.37679</v>
      </c>
      <c r="P657" t="n">
        <v>65.98533999999999</v>
      </c>
      <c r="Q657" t="n">
        <v>79.56</v>
      </c>
      <c r="R657" t="n">
        <v>82.91109</v>
      </c>
      <c r="S657" t="n">
        <v>84.54000000000001</v>
      </c>
      <c r="T657" t="n">
        <v>68.15926</v>
      </c>
      <c r="U657" t="n">
        <v>81.27427</v>
      </c>
      <c r="V657" t="n">
        <v>76.8</v>
      </c>
      <c r="W657" t="n">
        <v>78.41907</v>
      </c>
      <c r="X657" t="n">
        <v>62.39822</v>
      </c>
      <c r="Y657" t="n">
        <v>44.36921</v>
      </c>
      <c r="Z657" t="n">
        <v>41.37537</v>
      </c>
      <c r="AA657" t="n">
        <v>85.12335</v>
      </c>
      <c r="AB657" t="n">
        <v>52.87122</v>
      </c>
      <c r="AC657" t="n">
        <v>81.25</v>
      </c>
      <c r="AD657" t="n">
        <v>81.44525</v>
      </c>
      <c r="AE657" t="n">
        <v>97.32756999999999</v>
      </c>
      <c r="AF657" t="n">
        <v>73.62885</v>
      </c>
      <c r="AG657" t="n">
        <v>68.92449999999999</v>
      </c>
      <c r="AH657" t="n">
        <v>78.63958</v>
      </c>
      <c r="AI657" t="n">
        <v>58.73778</v>
      </c>
      <c r="AJ657" t="n">
        <v>61.8513</v>
      </c>
      <c r="AK657" t="n">
        <v>82.5</v>
      </c>
      <c r="AL657" t="n">
        <v>80</v>
      </c>
      <c r="AM657" t="n">
        <v>77.86275000000001</v>
      </c>
      <c r="AN657" t="n">
        <v>76.80255</v>
      </c>
      <c r="AO657" t="n">
        <v>75.53648</v>
      </c>
      <c r="AP657" t="n">
        <v>81.8951</v>
      </c>
      <c r="AQ657" t="n">
        <v>32.65923</v>
      </c>
      <c r="AR657" t="n">
        <v>65.71424</v>
      </c>
      <c r="AS657" t="n">
        <v>72.74025</v>
      </c>
      <c r="AT657" t="n">
        <v>77.48</v>
      </c>
      <c r="AU657" t="n">
        <v>88.30499</v>
      </c>
      <c r="AV657" t="n">
        <v>38.40973</v>
      </c>
      <c r="AW657" t="n">
        <v>77.88471</v>
      </c>
      <c r="AX657" t="n">
        <v>56.54649</v>
      </c>
    </row>
    <row r="658">
      <c r="A658" s="92" t="n">
        <v>37865</v>
      </c>
      <c r="B658" t="n">
        <v>79.32691</v>
      </c>
      <c r="C658" t="n">
        <v>79.76016</v>
      </c>
      <c r="D658" t="n">
        <v>51.13664</v>
      </c>
      <c r="E658" t="n">
        <v>81.45905</v>
      </c>
      <c r="F658" t="n">
        <v>95.39888999999999</v>
      </c>
      <c r="G658" t="n">
        <v>68.17993</v>
      </c>
      <c r="H658" t="n">
        <v>71.01819999999999</v>
      </c>
      <c r="I658" t="n">
        <v>61.39664</v>
      </c>
      <c r="J658" t="n">
        <v>41.25331</v>
      </c>
      <c r="K658" t="n">
        <v>77</v>
      </c>
      <c r="L658" t="n">
        <v>83.58969</v>
      </c>
      <c r="M658" t="n">
        <v>81.8</v>
      </c>
      <c r="N658" t="n">
        <v>81.39</v>
      </c>
      <c r="O658" t="n">
        <v>78.61017</v>
      </c>
      <c r="P658" t="n">
        <v>66.13914</v>
      </c>
      <c r="Q658" t="n">
        <v>79.88</v>
      </c>
      <c r="R658" t="n">
        <v>83.25134</v>
      </c>
      <c r="S658" t="n">
        <v>84.86</v>
      </c>
      <c r="T658" t="n">
        <v>68.43629</v>
      </c>
      <c r="U658" t="n">
        <v>81.46883</v>
      </c>
      <c r="V658" t="n">
        <v>77</v>
      </c>
      <c r="W658" t="n">
        <v>79.91298</v>
      </c>
      <c r="X658" t="n">
        <v>62.76832</v>
      </c>
      <c r="Y658" t="n">
        <v>44.53167</v>
      </c>
      <c r="Z658" t="n">
        <v>41.37537</v>
      </c>
      <c r="AA658" t="n">
        <v>85.22302000000001</v>
      </c>
      <c r="AB658" t="n">
        <v>53.24648</v>
      </c>
      <c r="AC658" t="n">
        <v>80.84677000000001</v>
      </c>
      <c r="AD658" t="n">
        <v>81.57832999999999</v>
      </c>
      <c r="AE658" t="n">
        <v>97.42937000000001</v>
      </c>
      <c r="AF658" t="n">
        <v>74.29509</v>
      </c>
      <c r="AG658" t="n">
        <v>68.67149999999999</v>
      </c>
      <c r="AH658" t="n">
        <v>78.99016</v>
      </c>
      <c r="AI658" t="n">
        <v>59.00743</v>
      </c>
      <c r="AJ658" t="n">
        <v>62.21951</v>
      </c>
      <c r="AK658" t="n">
        <v>83.31</v>
      </c>
      <c r="AL658" t="n">
        <v>80.40000000000001</v>
      </c>
      <c r="AM658" t="n">
        <v>78.11072</v>
      </c>
      <c r="AN658" t="n">
        <v>77.05901</v>
      </c>
      <c r="AO658" t="n">
        <v>75.88813</v>
      </c>
      <c r="AP658" t="n">
        <v>82.05034999999999</v>
      </c>
      <c r="AQ658" t="n">
        <v>32.77027</v>
      </c>
      <c r="AR658" t="n">
        <v>65.84726000000001</v>
      </c>
      <c r="AS658" t="n">
        <v>73.16849999999999</v>
      </c>
      <c r="AT658" t="n">
        <v>77.7</v>
      </c>
      <c r="AU658" t="n">
        <v>88.94645</v>
      </c>
      <c r="AV658" t="n">
        <v>38.9278</v>
      </c>
      <c r="AW658" t="n">
        <v>78.13786</v>
      </c>
      <c r="AX658" t="n">
        <v>56.16135</v>
      </c>
    </row>
    <row r="659">
      <c r="A659" s="92" t="n">
        <v>37895</v>
      </c>
      <c r="B659" t="n">
        <v>79.17766</v>
      </c>
      <c r="C659" t="n">
        <v>79.50248999999999</v>
      </c>
      <c r="D659" t="n">
        <v>51.28489</v>
      </c>
      <c r="E659" t="n">
        <v>81.22202</v>
      </c>
      <c r="F659" t="n">
        <v>95.88274</v>
      </c>
      <c r="G659" t="n">
        <v>68.07359</v>
      </c>
      <c r="H659" t="n">
        <v>71.65736</v>
      </c>
      <c r="I659" t="n">
        <v>61.43743</v>
      </c>
      <c r="J659" t="n">
        <v>41.73519</v>
      </c>
      <c r="K659" t="n">
        <v>77</v>
      </c>
      <c r="L659" t="n">
        <v>83.58969</v>
      </c>
      <c r="M659" t="n">
        <v>81.59999999999999</v>
      </c>
      <c r="N659" t="n">
        <v>81.51000000000001</v>
      </c>
      <c r="O659" t="n">
        <v>79.14008</v>
      </c>
      <c r="P659" t="n">
        <v>66.24169000000001</v>
      </c>
      <c r="Q659" t="n">
        <v>80.03</v>
      </c>
      <c r="R659" t="n">
        <v>83.1643</v>
      </c>
      <c r="S659" t="n">
        <v>85.04000000000001</v>
      </c>
      <c r="T659" t="n">
        <v>68.57456000000001</v>
      </c>
      <c r="U659" t="n">
        <v>81.43694000000001</v>
      </c>
      <c r="V659" t="n">
        <v>77.09999999999999</v>
      </c>
      <c r="W659" t="n">
        <v>80.20021</v>
      </c>
      <c r="X659" t="n">
        <v>63.21244</v>
      </c>
      <c r="Y659" t="n">
        <v>44.7816</v>
      </c>
      <c r="Z659" t="n">
        <v>41.70704</v>
      </c>
      <c r="AA659" t="n">
        <v>85.22302000000001</v>
      </c>
      <c r="AB659" t="n">
        <v>53.49666</v>
      </c>
      <c r="AC659" t="n">
        <v>80.84677000000001</v>
      </c>
      <c r="AD659" t="n">
        <v>81.64487</v>
      </c>
      <c r="AE659" t="n">
        <v>97.42937000000001</v>
      </c>
      <c r="AF659" t="n">
        <v>74.36044</v>
      </c>
      <c r="AG659" t="n">
        <v>68.77379999999999</v>
      </c>
      <c r="AH659" t="n">
        <v>78.94204000000001</v>
      </c>
      <c r="AI659" t="n">
        <v>59.51884</v>
      </c>
      <c r="AJ659" t="n">
        <v>62.44764</v>
      </c>
      <c r="AK659" t="n">
        <v>83.08</v>
      </c>
      <c r="AL659" t="n">
        <v>80.40000000000001</v>
      </c>
      <c r="AM659" t="n">
        <v>78.1524</v>
      </c>
      <c r="AN659" t="n">
        <v>77.21252</v>
      </c>
      <c r="AO659" t="n">
        <v>76.31013</v>
      </c>
      <c r="AP659" t="n">
        <v>82.4962</v>
      </c>
      <c r="AQ659" t="n">
        <v>33.09797</v>
      </c>
      <c r="AR659" t="n">
        <v>65.71424</v>
      </c>
      <c r="AS659" t="n">
        <v>73.22967</v>
      </c>
      <c r="AT659" t="n">
        <v>77.95</v>
      </c>
      <c r="AU659" t="n">
        <v>89.00709000000001</v>
      </c>
      <c r="AV659" t="n">
        <v>39.28852</v>
      </c>
      <c r="AW659" t="n">
        <v>78.05347</v>
      </c>
      <c r="AX659" t="n">
        <v>55.72807</v>
      </c>
    </row>
    <row r="660">
      <c r="A660" s="92" t="n">
        <v>37926</v>
      </c>
      <c r="B660" t="n">
        <v>79.32691</v>
      </c>
      <c r="C660" t="n">
        <v>79.65115</v>
      </c>
      <c r="D660" t="n">
        <v>51.45937</v>
      </c>
      <c r="E660" t="n">
        <v>81.45905</v>
      </c>
      <c r="F660" t="n">
        <v>95.76215000000001</v>
      </c>
      <c r="G660" t="n">
        <v>67.86602999999999</v>
      </c>
      <c r="H660" t="n">
        <v>72.37394</v>
      </c>
      <c r="I660" t="n">
        <v>61.64954</v>
      </c>
      <c r="J660" t="n">
        <v>42.32786</v>
      </c>
      <c r="K660" t="n">
        <v>77.40000000000001</v>
      </c>
      <c r="L660" t="n">
        <v>83.40311</v>
      </c>
      <c r="M660" t="n">
        <v>81.8</v>
      </c>
      <c r="N660" t="n">
        <v>81.54000000000001</v>
      </c>
      <c r="O660" t="n">
        <v>79.39807999999999</v>
      </c>
      <c r="P660" t="n">
        <v>66.13914</v>
      </c>
      <c r="Q660" t="n">
        <v>80.11</v>
      </c>
      <c r="R660" t="n">
        <v>83.08517000000001</v>
      </c>
      <c r="S660" t="n">
        <v>85.14</v>
      </c>
      <c r="T660" t="n">
        <v>68.62824000000001</v>
      </c>
      <c r="U660" t="n">
        <v>81.27743</v>
      </c>
      <c r="V660" t="n">
        <v>77.09999999999999</v>
      </c>
      <c r="W660" t="n">
        <v>80.35181</v>
      </c>
      <c r="X660" t="n">
        <v>63.58253</v>
      </c>
      <c r="Y660" t="n">
        <v>45.20024</v>
      </c>
      <c r="Z660" t="n">
        <v>41.78995</v>
      </c>
      <c r="AA660" t="n">
        <v>85.22302000000001</v>
      </c>
      <c r="AB660" t="n">
        <v>53.58006</v>
      </c>
      <c r="AC660" t="n">
        <v>80.74596</v>
      </c>
      <c r="AD660" t="n">
        <v>81.8445</v>
      </c>
      <c r="AE660" t="n">
        <v>96.92033000000001</v>
      </c>
      <c r="AF660" t="n">
        <v>74.22762</v>
      </c>
      <c r="AG660" t="n">
        <v>69.09990000000001</v>
      </c>
      <c r="AH660" t="n">
        <v>79.13451000000001</v>
      </c>
      <c r="AI660" t="n">
        <v>59.83498</v>
      </c>
      <c r="AJ660" t="n">
        <v>62.96596</v>
      </c>
      <c r="AK660" t="n">
        <v>82.87</v>
      </c>
      <c r="AL660" t="n">
        <v>80.5</v>
      </c>
      <c r="AM660" t="n">
        <v>78.10054</v>
      </c>
      <c r="AN660" t="n">
        <v>77.31449000000001</v>
      </c>
      <c r="AO660" t="n">
        <v>76.52112</v>
      </c>
      <c r="AP660" t="n">
        <v>82.72508999999999</v>
      </c>
      <c r="AQ660" t="n">
        <v>33.41571</v>
      </c>
      <c r="AR660" t="n">
        <v>65.71424</v>
      </c>
      <c r="AS660" t="n">
        <v>73.35203</v>
      </c>
      <c r="AT660" t="n">
        <v>78.14</v>
      </c>
      <c r="AU660" t="n">
        <v>88.82199</v>
      </c>
      <c r="AV660" t="n">
        <v>39.7874</v>
      </c>
      <c r="AW660" t="n">
        <v>77.84251</v>
      </c>
      <c r="AX660" t="n">
        <v>55.09534</v>
      </c>
    </row>
    <row r="661">
      <c r="A661" s="92" t="n">
        <v>37956</v>
      </c>
      <c r="B661" t="n">
        <v>79.47615999999999</v>
      </c>
      <c r="C661" t="n">
        <v>79.60159</v>
      </c>
      <c r="D661" t="n">
        <v>51.72688</v>
      </c>
      <c r="E661" t="n">
        <v>81.53806</v>
      </c>
      <c r="F661" t="n">
        <v>95.7807</v>
      </c>
      <c r="G661" t="n">
        <v>67.64655</v>
      </c>
      <c r="H661" t="n">
        <v>72.80817999999999</v>
      </c>
      <c r="I661" t="n">
        <v>62.0248</v>
      </c>
      <c r="J661" t="n">
        <v>42.85922</v>
      </c>
      <c r="K661" t="n">
        <v>77.5</v>
      </c>
      <c r="L661" t="n">
        <v>84.05615</v>
      </c>
      <c r="M661" t="n">
        <v>81.59999999999999</v>
      </c>
      <c r="N661" t="n">
        <v>81.79000000000001</v>
      </c>
      <c r="O661" t="n">
        <v>79.53403</v>
      </c>
      <c r="P661" t="n">
        <v>66.03661</v>
      </c>
      <c r="Q661" t="n">
        <v>80.36</v>
      </c>
      <c r="R661" t="n">
        <v>83.15639</v>
      </c>
      <c r="S661" t="n">
        <v>85.23</v>
      </c>
      <c r="T661" t="n">
        <v>68.7538</v>
      </c>
      <c r="U661" t="n">
        <v>81.32986</v>
      </c>
      <c r="V661" t="n">
        <v>77.3</v>
      </c>
      <c r="W661" t="n">
        <v>80.69813000000001</v>
      </c>
      <c r="X661" t="n">
        <v>63.73057</v>
      </c>
      <c r="Y661" t="n">
        <v>45.56889</v>
      </c>
      <c r="Z661" t="n">
        <v>41.62412</v>
      </c>
      <c r="AA661" t="n">
        <v>85.52206</v>
      </c>
      <c r="AB661" t="n">
        <v>53.74684</v>
      </c>
      <c r="AC661" t="n">
        <v>80.54436</v>
      </c>
      <c r="AD661" t="n">
        <v>81.91103</v>
      </c>
      <c r="AE661" t="n">
        <v>97.02213999999999</v>
      </c>
      <c r="AF661" t="n">
        <v>74.56179</v>
      </c>
      <c r="AG661" t="n">
        <v>69.0985</v>
      </c>
      <c r="AH661" t="n">
        <v>79.217</v>
      </c>
      <c r="AI661" t="n">
        <v>59.94656</v>
      </c>
      <c r="AJ661" t="n">
        <v>63.23665</v>
      </c>
      <c r="AK661" t="n">
        <v>82.34</v>
      </c>
      <c r="AL661" t="n">
        <v>80.5</v>
      </c>
      <c r="AM661" t="n">
        <v>78.17677999999999</v>
      </c>
      <c r="AN661" t="n">
        <v>77.50458999999999</v>
      </c>
      <c r="AO661" t="n">
        <v>76.66177999999999</v>
      </c>
      <c r="AP661" t="n">
        <v>82.77287</v>
      </c>
      <c r="AQ661" t="n">
        <v>33.78328</v>
      </c>
      <c r="AR661" t="n">
        <v>65.84726000000001</v>
      </c>
      <c r="AS661" t="n">
        <v>73.47438</v>
      </c>
      <c r="AT661" t="n">
        <v>78.23999999999999</v>
      </c>
      <c r="AU661" t="n">
        <v>88.90177</v>
      </c>
      <c r="AV661" t="n">
        <v>39.95625</v>
      </c>
      <c r="AW661" t="n">
        <v>77.75812999999999</v>
      </c>
      <c r="AX661" t="n">
        <v>55.0472</v>
      </c>
    </row>
    <row r="662">
      <c r="A662" s="92" t="n">
        <v>37987</v>
      </c>
      <c r="B662" t="n">
        <v>79.55079000000001</v>
      </c>
      <c r="C662" t="n">
        <v>79.83945</v>
      </c>
      <c r="D662" t="n">
        <v>52.1199</v>
      </c>
      <c r="E662" t="n">
        <v>81.61707</v>
      </c>
      <c r="F662" t="n">
        <v>95.45582</v>
      </c>
      <c r="G662" t="n">
        <v>67.52235</v>
      </c>
      <c r="H662" t="n">
        <v>73.60907</v>
      </c>
      <c r="I662" t="n">
        <v>62.57138</v>
      </c>
      <c r="J662" t="n">
        <v>43.58849</v>
      </c>
      <c r="K662" t="n">
        <v>78.90000000000001</v>
      </c>
      <c r="L662" t="n">
        <v>84.05615</v>
      </c>
      <c r="M662" t="n">
        <v>81.59999999999999</v>
      </c>
      <c r="N662" t="n">
        <v>81.61</v>
      </c>
      <c r="O662" t="n">
        <v>78.97629000000001</v>
      </c>
      <c r="P662" t="n">
        <v>66.3955</v>
      </c>
      <c r="Q662" t="n">
        <v>80.3</v>
      </c>
      <c r="R662" t="n">
        <v>82.92691000000001</v>
      </c>
      <c r="S662" t="n">
        <v>85.23</v>
      </c>
      <c r="T662" t="n">
        <v>68.99294999999999</v>
      </c>
      <c r="U662" t="n">
        <v>81.50855</v>
      </c>
      <c r="V662" t="n">
        <v>77</v>
      </c>
      <c r="W662" t="n">
        <v>80.17017</v>
      </c>
      <c r="X662" t="n">
        <v>65.06292000000001</v>
      </c>
      <c r="Y662" t="n">
        <v>45.86256</v>
      </c>
      <c r="Z662" t="n">
        <v>41.78995</v>
      </c>
      <c r="AA662" t="n">
        <v>85.12335</v>
      </c>
      <c r="AB662" t="n">
        <v>53.74684</v>
      </c>
      <c r="AC662" t="n">
        <v>80.34274000000001</v>
      </c>
      <c r="AD662" t="n">
        <v>82.04411</v>
      </c>
      <c r="AE662" t="n">
        <v>96.81853</v>
      </c>
      <c r="AF662" t="n">
        <v>75.02773999999999</v>
      </c>
      <c r="AG662" t="n">
        <v>69.08499999999999</v>
      </c>
      <c r="AH662" t="n">
        <v>78.65333</v>
      </c>
      <c r="AI662" t="n">
        <v>60.66254</v>
      </c>
      <c r="AJ662" t="n">
        <v>63.62967</v>
      </c>
      <c r="AK662" t="n">
        <v>82.34999999999999</v>
      </c>
      <c r="AL662" t="n">
        <v>80.40000000000001</v>
      </c>
      <c r="AM662" t="n">
        <v>78.36714000000001</v>
      </c>
      <c r="AN662" t="n">
        <v>77.5048</v>
      </c>
      <c r="AO662" t="n">
        <v>76.94311999999999</v>
      </c>
      <c r="AP662" t="n">
        <v>82.77784</v>
      </c>
      <c r="AQ662" t="n">
        <v>34.37449</v>
      </c>
      <c r="AR662" t="n">
        <v>66.0468</v>
      </c>
      <c r="AS662" t="n">
        <v>76.71680000000001</v>
      </c>
      <c r="AT662" t="n">
        <v>78.53</v>
      </c>
      <c r="AU662" t="n">
        <v>88.7071</v>
      </c>
      <c r="AV662" t="n">
        <v>40.22104</v>
      </c>
      <c r="AW662" t="n">
        <v>78.13786</v>
      </c>
      <c r="AX662" t="n">
        <v>55.28791</v>
      </c>
    </row>
    <row r="663">
      <c r="A663" s="92" t="n">
        <v>38018</v>
      </c>
      <c r="B663" t="n">
        <v>79.84929</v>
      </c>
      <c r="C663" t="n">
        <v>80.13676</v>
      </c>
      <c r="D663" t="n">
        <v>52.43776</v>
      </c>
      <c r="E663" t="n">
        <v>81.77509000000001</v>
      </c>
      <c r="F663" t="n">
        <v>95.47176</v>
      </c>
      <c r="G663" t="n">
        <v>67.5283</v>
      </c>
      <c r="H663" t="n">
        <v>73.46185</v>
      </c>
      <c r="I663" t="n">
        <v>63.32191</v>
      </c>
      <c r="J663" t="n">
        <v>44.15211</v>
      </c>
      <c r="K663" t="n">
        <v>79.09999999999999</v>
      </c>
      <c r="L663" t="n">
        <v>84.24274</v>
      </c>
      <c r="M663" t="n">
        <v>82.2</v>
      </c>
      <c r="N663" t="n">
        <v>81.8</v>
      </c>
      <c r="O663" t="n">
        <v>79.01269000000001</v>
      </c>
      <c r="P663" t="n">
        <v>66.65186</v>
      </c>
      <c r="Q663" t="n">
        <v>80.5</v>
      </c>
      <c r="R663" t="n">
        <v>83.39377</v>
      </c>
      <c r="S663" t="n">
        <v>85.59</v>
      </c>
      <c r="T663" t="n">
        <v>69.20932999999999</v>
      </c>
      <c r="U663" t="n">
        <v>81.81879000000001</v>
      </c>
      <c r="V663" t="n">
        <v>77.2</v>
      </c>
      <c r="W663" t="n">
        <v>79.92191</v>
      </c>
      <c r="X663" t="n">
        <v>65.87712999999999</v>
      </c>
      <c r="Y663" t="n">
        <v>45.81882</v>
      </c>
      <c r="Z663" t="n">
        <v>41.78995</v>
      </c>
      <c r="AA663" t="n">
        <v>85.82107999999999</v>
      </c>
      <c r="AB663" t="n">
        <v>53.58006</v>
      </c>
      <c r="AC663" t="n">
        <v>80.54436</v>
      </c>
      <c r="AD663" t="n">
        <v>82.24374</v>
      </c>
      <c r="AE663" t="n">
        <v>96.81853</v>
      </c>
      <c r="AF663" t="n">
        <v>75.35980000000001</v>
      </c>
      <c r="AG663" t="n">
        <v>68.92359999999999</v>
      </c>
      <c r="AH663" t="n">
        <v>79.67068999999999</v>
      </c>
      <c r="AI663" t="n">
        <v>61.09026</v>
      </c>
      <c r="AJ663" t="n">
        <v>64.01029</v>
      </c>
      <c r="AK663" t="n">
        <v>82.72</v>
      </c>
      <c r="AL663" t="n">
        <v>80.5</v>
      </c>
      <c r="AM663" t="n">
        <v>78.65655</v>
      </c>
      <c r="AN663" t="n">
        <v>77.70976</v>
      </c>
      <c r="AO663" t="n">
        <v>77.01344</v>
      </c>
      <c r="AP663" t="n">
        <v>82.65244</v>
      </c>
      <c r="AQ663" t="n">
        <v>34.7148</v>
      </c>
      <c r="AR663" t="n">
        <v>66.11331</v>
      </c>
      <c r="AS663" t="n">
        <v>77.32858</v>
      </c>
      <c r="AT663" t="n">
        <v>78.63</v>
      </c>
      <c r="AU663" t="n">
        <v>88.49328</v>
      </c>
      <c r="AV663" t="n">
        <v>40.42827</v>
      </c>
      <c r="AW663" t="n">
        <v>78.55977</v>
      </c>
      <c r="AX663" t="n">
        <v>55.45985</v>
      </c>
    </row>
    <row r="664">
      <c r="A664" s="92" t="n">
        <v>38047</v>
      </c>
      <c r="B664" t="n">
        <v>80.14779</v>
      </c>
      <c r="C664" t="n">
        <v>80.24578</v>
      </c>
      <c r="D664" t="n">
        <v>52.68416</v>
      </c>
      <c r="E664" t="n">
        <v>82.09113000000001</v>
      </c>
      <c r="F664" t="n">
        <v>95.67625</v>
      </c>
      <c r="G664" t="n">
        <v>67.81243000000001</v>
      </c>
      <c r="H664" t="n">
        <v>73.68223999999999</v>
      </c>
      <c r="I664" t="n">
        <v>63.95007</v>
      </c>
      <c r="J664" t="n">
        <v>44.35541</v>
      </c>
      <c r="K664" t="n">
        <v>79.09999999999999</v>
      </c>
      <c r="L664" t="n">
        <v>84.52261</v>
      </c>
      <c r="M664" t="n">
        <v>82.5</v>
      </c>
      <c r="N664" t="n">
        <v>82.31999999999999</v>
      </c>
      <c r="O664" t="n">
        <v>79.56401</v>
      </c>
      <c r="P664" t="n">
        <v>66.75439</v>
      </c>
      <c r="Q664" t="n">
        <v>80.98</v>
      </c>
      <c r="R664" t="n">
        <v>83.10890999999999</v>
      </c>
      <c r="S664" t="n">
        <v>85.93000000000001</v>
      </c>
      <c r="T664" t="n">
        <v>69.54367000000001</v>
      </c>
      <c r="U664" t="n">
        <v>82.20765</v>
      </c>
      <c r="V664" t="n">
        <v>77.3</v>
      </c>
      <c r="W664" t="n">
        <v>81.90009000000001</v>
      </c>
      <c r="X664" t="n">
        <v>66.24722</v>
      </c>
      <c r="Y664" t="n">
        <v>45.98753</v>
      </c>
      <c r="Z664" t="n">
        <v>41.78995</v>
      </c>
      <c r="AA664" t="n">
        <v>86.21979</v>
      </c>
      <c r="AB664" t="n">
        <v>53.91363</v>
      </c>
      <c r="AC664" t="n">
        <v>80.44355</v>
      </c>
      <c r="AD664" t="n">
        <v>82.5099</v>
      </c>
      <c r="AE664" t="n">
        <v>97.02213999999999</v>
      </c>
      <c r="AF664" t="n">
        <v>76.09139999999999</v>
      </c>
      <c r="AG664" t="n">
        <v>69.2734</v>
      </c>
      <c r="AH664" t="n">
        <v>79.70506</v>
      </c>
      <c r="AI664" t="n">
        <v>61.70395</v>
      </c>
      <c r="AJ664" t="n">
        <v>64.2272</v>
      </c>
      <c r="AK664" t="n">
        <v>83.44</v>
      </c>
      <c r="AL664" t="n">
        <v>80.90000000000001</v>
      </c>
      <c r="AM664" t="n">
        <v>79.04982</v>
      </c>
      <c r="AN664" t="n">
        <v>78.04519000000001</v>
      </c>
      <c r="AO664" t="n">
        <v>77.22444</v>
      </c>
      <c r="AP664" t="n">
        <v>82.84352</v>
      </c>
      <c r="AQ664" t="n">
        <v>34.97516</v>
      </c>
      <c r="AR664" t="n">
        <v>65.98029</v>
      </c>
      <c r="AS664" t="n">
        <v>77.45093</v>
      </c>
      <c r="AT664" t="n">
        <v>79.12</v>
      </c>
      <c r="AU664" t="n">
        <v>89.16027</v>
      </c>
      <c r="AV664" t="n">
        <v>40.81586</v>
      </c>
      <c r="AW664" t="n">
        <v>79.06605999999999</v>
      </c>
      <c r="AX664" t="n">
        <v>55.72119</v>
      </c>
    </row>
    <row r="665">
      <c r="A665" s="92" t="n">
        <v>38078</v>
      </c>
      <c r="B665" t="n">
        <v>80.14779</v>
      </c>
      <c r="C665" t="n">
        <v>80.68185</v>
      </c>
      <c r="D665" t="n">
        <v>52.87905</v>
      </c>
      <c r="E665" t="n">
        <v>82.24915</v>
      </c>
      <c r="F665" t="n">
        <v>96.48329</v>
      </c>
      <c r="G665" t="n">
        <v>68.06168</v>
      </c>
      <c r="H665" t="n">
        <v>74.05065</v>
      </c>
      <c r="I665" t="n">
        <v>64.23560000000001</v>
      </c>
      <c r="J665" t="n">
        <v>44.76092</v>
      </c>
      <c r="K665" t="n">
        <v>79.09999999999999</v>
      </c>
      <c r="L665" t="n">
        <v>84.80248</v>
      </c>
      <c r="M665" t="n">
        <v>82.59999999999999</v>
      </c>
      <c r="N665" t="n">
        <v>82.73999999999999</v>
      </c>
      <c r="O665" t="n">
        <v>80.65380999999999</v>
      </c>
      <c r="P665" t="n">
        <v>67.26711</v>
      </c>
      <c r="Q665" t="n">
        <v>81.39</v>
      </c>
      <c r="R665" t="n">
        <v>83.12473</v>
      </c>
      <c r="S665" t="n">
        <v>86.15000000000001</v>
      </c>
      <c r="T665" t="n">
        <v>69.78856</v>
      </c>
      <c r="U665" t="n">
        <v>82.43096</v>
      </c>
      <c r="V665" t="n">
        <v>77.59999999999999</v>
      </c>
      <c r="W665" t="n">
        <v>82.13366000000001</v>
      </c>
      <c r="X665" t="n">
        <v>66.39525999999999</v>
      </c>
      <c r="Y665" t="n">
        <v>46.44365</v>
      </c>
      <c r="Z665" t="n">
        <v>41.78995</v>
      </c>
      <c r="AA665" t="n">
        <v>86.41914</v>
      </c>
      <c r="AB665" t="n">
        <v>54.20551</v>
      </c>
      <c r="AC665" t="n">
        <v>81.35081</v>
      </c>
      <c r="AD665" t="n">
        <v>82.70952</v>
      </c>
      <c r="AE665" t="n">
        <v>97.02213999999999</v>
      </c>
      <c r="AF665" t="n">
        <v>76.09139999999999</v>
      </c>
      <c r="AG665" t="n">
        <v>69.5732</v>
      </c>
      <c r="AH665" t="n">
        <v>79.92503000000001</v>
      </c>
      <c r="AI665" t="n">
        <v>62.05729</v>
      </c>
      <c r="AJ665" t="n">
        <v>64.32411999999999</v>
      </c>
      <c r="AK665" t="n">
        <v>83.70999999999999</v>
      </c>
      <c r="AL665" t="n">
        <v>81</v>
      </c>
      <c r="AM665" t="n">
        <v>79.30403</v>
      </c>
      <c r="AN665" t="n">
        <v>78.37954999999999</v>
      </c>
      <c r="AO665" t="n">
        <v>77.85742999999999</v>
      </c>
      <c r="AP665" t="n">
        <v>83.54810999999999</v>
      </c>
      <c r="AQ665" t="n">
        <v>35.32141</v>
      </c>
      <c r="AR665" t="n">
        <v>65.71424</v>
      </c>
      <c r="AS665" t="n">
        <v>77.45093</v>
      </c>
      <c r="AT665" t="n">
        <v>79.48</v>
      </c>
      <c r="AU665" t="n">
        <v>89.17941999999999</v>
      </c>
      <c r="AV665" t="n">
        <v>41.01925</v>
      </c>
      <c r="AW665" t="n">
        <v>79.31921</v>
      </c>
      <c r="AX665" t="n">
        <v>55.78309</v>
      </c>
    </row>
    <row r="666">
      <c r="A666" s="92" t="n">
        <v>38108</v>
      </c>
      <c r="B666" t="n">
        <v>80.52092</v>
      </c>
      <c r="C666" t="n">
        <v>80.98907</v>
      </c>
      <c r="D666" t="n">
        <v>53.14865</v>
      </c>
      <c r="E666" t="n">
        <v>82.96023</v>
      </c>
      <c r="F666" t="n">
        <v>96.70632000000001</v>
      </c>
      <c r="G666" t="n">
        <v>68.41727</v>
      </c>
      <c r="H666" t="n">
        <v>73.9766</v>
      </c>
      <c r="I666" t="n">
        <v>64.48034</v>
      </c>
      <c r="J666" t="n">
        <v>45.06102</v>
      </c>
      <c r="K666" t="n">
        <v>79.5</v>
      </c>
      <c r="L666" t="n">
        <v>84.98907</v>
      </c>
      <c r="M666" t="n">
        <v>82.90000000000001</v>
      </c>
      <c r="N666" t="n">
        <v>83.01000000000001</v>
      </c>
      <c r="O666" t="n">
        <v>81.12913</v>
      </c>
      <c r="P666" t="n">
        <v>68.65141</v>
      </c>
      <c r="Q666" t="n">
        <v>81.69</v>
      </c>
      <c r="R666" t="n">
        <v>83.24342</v>
      </c>
      <c r="S666" t="n">
        <v>86.47</v>
      </c>
      <c r="T666" t="n">
        <v>70.07195</v>
      </c>
      <c r="U666" t="n">
        <v>82.80195999999999</v>
      </c>
      <c r="V666" t="n">
        <v>77.90000000000001</v>
      </c>
      <c r="W666" t="n">
        <v>82.49297</v>
      </c>
      <c r="X666" t="n">
        <v>66.98742</v>
      </c>
      <c r="Y666" t="n">
        <v>46.85604</v>
      </c>
      <c r="Z666" t="n">
        <v>42.12162</v>
      </c>
      <c r="AA666" t="n">
        <v>86.61848999999999</v>
      </c>
      <c r="AB666" t="n">
        <v>54.66417</v>
      </c>
      <c r="AC666" t="n">
        <v>81.65322999999999</v>
      </c>
      <c r="AD666" t="n">
        <v>82.90913999999999</v>
      </c>
      <c r="AE666" t="n">
        <v>97.12394999999999</v>
      </c>
      <c r="AF666" t="n">
        <v>76.02603999999999</v>
      </c>
      <c r="AG666" t="n">
        <v>70.64700000000001</v>
      </c>
      <c r="AH666" t="n">
        <v>80.09689</v>
      </c>
      <c r="AI666" t="n">
        <v>62.84765</v>
      </c>
      <c r="AJ666" t="n">
        <v>64.16276999999999</v>
      </c>
      <c r="AK666" t="n">
        <v>83.84999999999999</v>
      </c>
      <c r="AL666" t="n">
        <v>81.09999999999999</v>
      </c>
      <c r="AM666" t="n">
        <v>79.62621</v>
      </c>
      <c r="AN666" t="n">
        <v>78.67769</v>
      </c>
      <c r="AO666" t="n">
        <v>78.63108</v>
      </c>
      <c r="AP666" t="n">
        <v>84.09447</v>
      </c>
      <c r="AQ666" t="n">
        <v>35.58279</v>
      </c>
      <c r="AR666" t="n">
        <v>65.64773</v>
      </c>
      <c r="AS666" t="n">
        <v>77.75682</v>
      </c>
      <c r="AT666" t="n">
        <v>80.16</v>
      </c>
      <c r="AU666" t="n">
        <v>89.39963</v>
      </c>
      <c r="AV666" t="n">
        <v>41.19577</v>
      </c>
      <c r="AW666" t="n">
        <v>79.78331</v>
      </c>
      <c r="AX666" t="n">
        <v>55.78997</v>
      </c>
    </row>
    <row r="667">
      <c r="A667" s="92" t="n">
        <v>38139</v>
      </c>
      <c r="B667" t="n">
        <v>80.81941999999999</v>
      </c>
      <c r="C667" t="n">
        <v>80.94943000000001</v>
      </c>
      <c r="D667" t="n">
        <v>53.5259</v>
      </c>
      <c r="E667" t="n">
        <v>83.03924000000001</v>
      </c>
      <c r="F667" t="n">
        <v>96.87312</v>
      </c>
      <c r="G667" t="n">
        <v>68.71417</v>
      </c>
      <c r="H667" t="n">
        <v>73.45876</v>
      </c>
      <c r="I667" t="n">
        <v>64.87192</v>
      </c>
      <c r="J667" t="n">
        <v>45.54182</v>
      </c>
      <c r="K667" t="n">
        <v>79.59999999999999</v>
      </c>
      <c r="L667" t="n">
        <v>84.98907</v>
      </c>
      <c r="M667" t="n">
        <v>82.7</v>
      </c>
      <c r="N667" t="n">
        <v>83.05</v>
      </c>
      <c r="O667" t="n">
        <v>81.25758999999999</v>
      </c>
      <c r="P667" t="n">
        <v>68.85648999999999</v>
      </c>
      <c r="Q667" t="n">
        <v>81.75</v>
      </c>
      <c r="R667" t="n">
        <v>83.18803</v>
      </c>
      <c r="S667" t="n">
        <v>86.5</v>
      </c>
      <c r="T667" t="n">
        <v>70.20932000000001</v>
      </c>
      <c r="U667" t="n">
        <v>82.97906999999999</v>
      </c>
      <c r="V667" t="n">
        <v>77.90000000000001</v>
      </c>
      <c r="W667" t="n">
        <v>82.24975999999999</v>
      </c>
      <c r="X667" t="n">
        <v>67.06144</v>
      </c>
      <c r="Y667" t="n">
        <v>47.06223</v>
      </c>
      <c r="Z667" t="n">
        <v>42.45329</v>
      </c>
      <c r="AA667" t="n">
        <v>87.11687000000001</v>
      </c>
      <c r="AB667" t="n">
        <v>55.08113</v>
      </c>
      <c r="AC667" t="n">
        <v>81.65322999999999</v>
      </c>
      <c r="AD667" t="n">
        <v>83.04222</v>
      </c>
      <c r="AE667" t="n">
        <v>97.32756999999999</v>
      </c>
      <c r="AF667" t="n">
        <v>76.02603999999999</v>
      </c>
      <c r="AG667" t="n">
        <v>70.7213</v>
      </c>
      <c r="AH667" t="n">
        <v>80.30311</v>
      </c>
      <c r="AI667" t="n">
        <v>63.22889</v>
      </c>
      <c r="AJ667" t="n">
        <v>64.26561</v>
      </c>
      <c r="AK667" t="n">
        <v>83.31</v>
      </c>
      <c r="AL667" t="n">
        <v>81.09999999999999</v>
      </c>
      <c r="AM667" t="n">
        <v>79.77252</v>
      </c>
      <c r="AN667" t="n">
        <v>78.71702999999999</v>
      </c>
      <c r="AO667" t="n">
        <v>79.3344</v>
      </c>
      <c r="AP667" t="n">
        <v>84.28355999999999</v>
      </c>
      <c r="AQ667" t="n">
        <v>35.86034</v>
      </c>
      <c r="AR667" t="n">
        <v>65.58121</v>
      </c>
      <c r="AS667" t="n">
        <v>77.87917</v>
      </c>
      <c r="AT667" t="n">
        <v>80.42</v>
      </c>
      <c r="AU667" t="n">
        <v>89.01027999999999</v>
      </c>
      <c r="AV667" t="n">
        <v>41.14204</v>
      </c>
      <c r="AW667" t="n">
        <v>80.03645</v>
      </c>
      <c r="AX667" t="n">
        <v>55.83811</v>
      </c>
    </row>
    <row r="668">
      <c r="A668" s="92" t="n">
        <v>38169</v>
      </c>
      <c r="B668" t="n">
        <v>80.67017</v>
      </c>
      <c r="C668" t="n">
        <v>81.22693</v>
      </c>
      <c r="D668" t="n">
        <v>54.01289</v>
      </c>
      <c r="E668" t="n">
        <v>82.96023</v>
      </c>
      <c r="F668" t="n">
        <v>95.85929</v>
      </c>
      <c r="G668" t="n">
        <v>68.8741</v>
      </c>
      <c r="H668" t="n">
        <v>73.31184</v>
      </c>
      <c r="I668" t="n">
        <v>64.85561</v>
      </c>
      <c r="J668" t="n">
        <v>46.13233</v>
      </c>
      <c r="K668" t="n">
        <v>79.90000000000001</v>
      </c>
      <c r="L668" t="n">
        <v>85.17565</v>
      </c>
      <c r="M668" t="n">
        <v>82.40000000000001</v>
      </c>
      <c r="N668" t="n">
        <v>82.88</v>
      </c>
      <c r="O668" t="n">
        <v>80.64096000000001</v>
      </c>
      <c r="P668" t="n">
        <v>68.70268</v>
      </c>
      <c r="Q668" t="n">
        <v>81.62</v>
      </c>
      <c r="R668" t="n">
        <v>83.06934</v>
      </c>
      <c r="S668" t="n">
        <v>86.36</v>
      </c>
      <c r="T668" t="n">
        <v>70.23211000000001</v>
      </c>
      <c r="U668" t="n">
        <v>82.86897999999999</v>
      </c>
      <c r="V668" t="n">
        <v>77.7</v>
      </c>
      <c r="W668" t="n">
        <v>80.75452</v>
      </c>
      <c r="X668" t="n">
        <v>67.06144</v>
      </c>
      <c r="Y668" t="n">
        <v>47.27467</v>
      </c>
      <c r="Z668" t="n">
        <v>42.86787</v>
      </c>
      <c r="AA668" t="n">
        <v>86.81784</v>
      </c>
      <c r="AB668" t="n">
        <v>54.83095</v>
      </c>
      <c r="AC668" t="n">
        <v>81.55242</v>
      </c>
      <c r="AD668" t="n">
        <v>83.10876</v>
      </c>
      <c r="AE668" t="n">
        <v>97.02213999999999</v>
      </c>
      <c r="AF668" t="n">
        <v>76.49199</v>
      </c>
      <c r="AG668" t="n">
        <v>70.71850000000001</v>
      </c>
      <c r="AH668" t="n">
        <v>79.49196999999999</v>
      </c>
      <c r="AI668" t="n">
        <v>63.33117</v>
      </c>
      <c r="AJ668" t="n">
        <v>64.43405</v>
      </c>
      <c r="AK668" t="n">
        <v>83.19</v>
      </c>
      <c r="AL668" t="n">
        <v>81</v>
      </c>
      <c r="AM668" t="n">
        <v>79.68877000000001</v>
      </c>
      <c r="AN668" t="n">
        <v>78.61993</v>
      </c>
      <c r="AO668" t="n">
        <v>79.26407</v>
      </c>
      <c r="AP668" t="n">
        <v>84.12433</v>
      </c>
      <c r="AQ668" t="n">
        <v>36.19025</v>
      </c>
      <c r="AR668" t="n">
        <v>65.98029</v>
      </c>
      <c r="AS668" t="n">
        <v>78.12389</v>
      </c>
      <c r="AT668" t="n">
        <v>80.7</v>
      </c>
      <c r="AU668" t="n">
        <v>88.87624</v>
      </c>
      <c r="AV668" t="n">
        <v>41.33776</v>
      </c>
      <c r="AW668" t="n">
        <v>79.90988</v>
      </c>
      <c r="AX668" t="n">
        <v>55.94815</v>
      </c>
    </row>
    <row r="669">
      <c r="A669" s="92" t="n">
        <v>38200</v>
      </c>
      <c r="B669" t="n">
        <v>80.96867</v>
      </c>
      <c r="C669" t="n">
        <v>81.32603</v>
      </c>
      <c r="D669" t="n">
        <v>54.3855</v>
      </c>
      <c r="E669" t="n">
        <v>82.80222000000001</v>
      </c>
      <c r="F669" t="n">
        <v>96.21455</v>
      </c>
      <c r="G669" t="n">
        <v>69.13527000000001</v>
      </c>
      <c r="H669" t="n">
        <v>73.82503</v>
      </c>
      <c r="I669" t="n">
        <v>64.87192</v>
      </c>
      <c r="J669" t="n">
        <v>46.57764</v>
      </c>
      <c r="K669" t="n">
        <v>79.90000000000001</v>
      </c>
      <c r="L669" t="n">
        <v>85.26894</v>
      </c>
      <c r="M669" t="n">
        <v>82.2</v>
      </c>
      <c r="N669" t="n">
        <v>83.04000000000001</v>
      </c>
      <c r="O669" t="n">
        <v>80.99745</v>
      </c>
      <c r="P669" t="n">
        <v>68.60014</v>
      </c>
      <c r="Q669" t="n">
        <v>81.73999999999999</v>
      </c>
      <c r="R669" t="n">
        <v>83.28299</v>
      </c>
      <c r="S669" t="n">
        <v>86.55</v>
      </c>
      <c r="T669" t="n">
        <v>70.41451000000001</v>
      </c>
      <c r="U669" t="n">
        <v>82.94659</v>
      </c>
      <c r="V669" t="n">
        <v>77.90000000000001</v>
      </c>
      <c r="W669" t="n">
        <v>80.55513999999999</v>
      </c>
      <c r="X669" t="n">
        <v>66.83938000000001</v>
      </c>
      <c r="Y669" t="n">
        <v>47.31216</v>
      </c>
      <c r="Z669" t="n">
        <v>43.28245</v>
      </c>
      <c r="AA669" t="n">
        <v>87.41589999999999</v>
      </c>
      <c r="AB669" t="n">
        <v>54.83095</v>
      </c>
      <c r="AC669" t="n">
        <v>81.65322999999999</v>
      </c>
      <c r="AD669" t="n">
        <v>83.30838</v>
      </c>
      <c r="AE669" t="n">
        <v>97.12394999999999</v>
      </c>
      <c r="AF669" t="n">
        <v>77.15612</v>
      </c>
      <c r="AG669" t="n">
        <v>70.4392</v>
      </c>
      <c r="AH669" t="n">
        <v>80.42684</v>
      </c>
      <c r="AI669" t="n">
        <v>63.28468</v>
      </c>
      <c r="AJ669" t="n">
        <v>64.83181</v>
      </c>
      <c r="AK669" t="n">
        <v>83.47</v>
      </c>
      <c r="AL669" t="n">
        <v>80.8</v>
      </c>
      <c r="AM669" t="n">
        <v>79.80598000000001</v>
      </c>
      <c r="AN669" t="n">
        <v>78.76961</v>
      </c>
      <c r="AO669" t="n">
        <v>78.91240999999999</v>
      </c>
      <c r="AP669" t="n">
        <v>83.83174</v>
      </c>
      <c r="AQ669" t="n">
        <v>36.34225</v>
      </c>
      <c r="AR669" t="n">
        <v>65.98029</v>
      </c>
      <c r="AS669" t="n">
        <v>78.00153</v>
      </c>
      <c r="AT669" t="n">
        <v>80.34</v>
      </c>
      <c r="AU669" t="n">
        <v>88.77093000000001</v>
      </c>
      <c r="AV669" t="n">
        <v>41.65244</v>
      </c>
      <c r="AW669" t="n">
        <v>79.95207000000001</v>
      </c>
      <c r="AX669" t="n">
        <v>55.83811</v>
      </c>
    </row>
    <row r="670">
      <c r="A670" s="92" t="n">
        <v>38231</v>
      </c>
      <c r="B670" t="n">
        <v>80.96867</v>
      </c>
      <c r="C670" t="n">
        <v>81.38549999999999</v>
      </c>
      <c r="D670" t="n">
        <v>54.56508</v>
      </c>
      <c r="E670" t="n">
        <v>82.96023</v>
      </c>
      <c r="F670" t="n">
        <v>96.22005</v>
      </c>
      <c r="G670" t="n">
        <v>69.17100000000001</v>
      </c>
      <c r="H670" t="n">
        <v>74.6371</v>
      </c>
      <c r="I670" t="n">
        <v>65.06771000000001</v>
      </c>
      <c r="J670" t="n">
        <v>46.94012</v>
      </c>
      <c r="K670" t="n">
        <v>79.2</v>
      </c>
      <c r="L670" t="n">
        <v>85.08235999999999</v>
      </c>
      <c r="M670" t="n">
        <v>82.7</v>
      </c>
      <c r="N670" t="n">
        <v>83.14</v>
      </c>
      <c r="O670" t="n">
        <v>81.14197</v>
      </c>
      <c r="P670" t="n">
        <v>68.70268</v>
      </c>
      <c r="Q670" t="n">
        <v>81.86</v>
      </c>
      <c r="R670" t="n">
        <v>83.60741</v>
      </c>
      <c r="S670" t="n">
        <v>86.63</v>
      </c>
      <c r="T670" t="n">
        <v>70.61248999999999</v>
      </c>
      <c r="U670" t="n">
        <v>83.06802</v>
      </c>
      <c r="V670" t="n">
        <v>77.90000000000001</v>
      </c>
      <c r="W670" t="n">
        <v>82.1675</v>
      </c>
      <c r="X670" t="n">
        <v>66.9134</v>
      </c>
      <c r="Y670" t="n">
        <v>47.31216</v>
      </c>
      <c r="Z670" t="n">
        <v>43.36537</v>
      </c>
      <c r="AA670" t="n">
        <v>87.41589999999999</v>
      </c>
      <c r="AB670" t="n">
        <v>55.03944</v>
      </c>
      <c r="AC670" t="n">
        <v>81.55242</v>
      </c>
      <c r="AD670" t="n">
        <v>83.30838</v>
      </c>
      <c r="AE670" t="n">
        <v>97.42937000000001</v>
      </c>
      <c r="AF670" t="n">
        <v>77.15612</v>
      </c>
      <c r="AG670" t="n">
        <v>70.8566</v>
      </c>
      <c r="AH670" t="n">
        <v>80.56432</v>
      </c>
      <c r="AI670" t="n">
        <v>63.55433</v>
      </c>
      <c r="AJ670" t="n">
        <v>65.36785999999999</v>
      </c>
      <c r="AK670" t="n">
        <v>84.2</v>
      </c>
      <c r="AL670" t="n">
        <v>81.3</v>
      </c>
      <c r="AM670" t="n">
        <v>79.97253000000001</v>
      </c>
      <c r="AN670" t="n">
        <v>78.88269</v>
      </c>
      <c r="AO670" t="n">
        <v>79.1234</v>
      </c>
      <c r="AP670" t="n">
        <v>83.76506999999999</v>
      </c>
      <c r="AQ670" t="n">
        <v>36.49852</v>
      </c>
      <c r="AR670" t="n">
        <v>65.84726000000001</v>
      </c>
      <c r="AS670" t="n">
        <v>78.00153</v>
      </c>
      <c r="AT670" t="n">
        <v>80.25</v>
      </c>
      <c r="AU670" t="n">
        <v>89.41876999999999</v>
      </c>
      <c r="AV670" t="n">
        <v>42.0477</v>
      </c>
      <c r="AW670" t="n">
        <v>80.12083</v>
      </c>
      <c r="AX670" t="n">
        <v>55.85186</v>
      </c>
    </row>
    <row r="671">
      <c r="A671" s="92" t="n">
        <v>38261</v>
      </c>
      <c r="B671" t="n">
        <v>81.26716999999999</v>
      </c>
      <c r="C671" t="n">
        <v>81.78192</v>
      </c>
      <c r="D671" t="n">
        <v>54.80521</v>
      </c>
      <c r="E671" t="n">
        <v>83.11825</v>
      </c>
      <c r="F671" t="n">
        <v>97.12212</v>
      </c>
      <c r="G671" t="n">
        <v>69.37260999999999</v>
      </c>
      <c r="H671" t="n">
        <v>74.6371</v>
      </c>
      <c r="I671" t="n">
        <v>65.05956</v>
      </c>
      <c r="J671" t="n">
        <v>47.29185</v>
      </c>
      <c r="K671" t="n">
        <v>79.59999999999999</v>
      </c>
      <c r="L671" t="n">
        <v>85.17565</v>
      </c>
      <c r="M671" t="n">
        <v>83</v>
      </c>
      <c r="N671" t="n">
        <v>83.45999999999999</v>
      </c>
      <c r="O671" t="n">
        <v>81.97591</v>
      </c>
      <c r="P671" t="n">
        <v>68.95904</v>
      </c>
      <c r="Q671" t="n">
        <v>82.2</v>
      </c>
      <c r="R671" t="n">
        <v>83.87645999999999</v>
      </c>
      <c r="S671" t="n">
        <v>86.84999999999999</v>
      </c>
      <c r="T671" t="n">
        <v>70.95317</v>
      </c>
      <c r="U671" t="n">
        <v>83.40288</v>
      </c>
      <c r="V671" t="n">
        <v>78.09999999999999</v>
      </c>
      <c r="W671" t="n">
        <v>82.7954</v>
      </c>
      <c r="X671" t="n">
        <v>67.20947</v>
      </c>
      <c r="Y671" t="n">
        <v>47.5621</v>
      </c>
      <c r="Z671" t="n">
        <v>43.61412</v>
      </c>
      <c r="AA671" t="n">
        <v>87.51557</v>
      </c>
      <c r="AB671" t="n">
        <v>55.4564</v>
      </c>
      <c r="AC671" t="n">
        <v>81.55242</v>
      </c>
      <c r="AD671" t="n">
        <v>83.30838</v>
      </c>
      <c r="AE671" t="n">
        <v>97.93841</v>
      </c>
      <c r="AF671" t="n">
        <v>77.15612</v>
      </c>
      <c r="AG671" t="n">
        <v>70.9616</v>
      </c>
      <c r="AH671" t="n">
        <v>80.88052999999999</v>
      </c>
      <c r="AI671" t="n">
        <v>63.83328</v>
      </c>
      <c r="AJ671" t="n">
        <v>65.82058000000001</v>
      </c>
      <c r="AK671" t="n">
        <v>84.23</v>
      </c>
      <c r="AL671" t="n">
        <v>81.5</v>
      </c>
      <c r="AM671" t="n">
        <v>80.34359000000001</v>
      </c>
      <c r="AN671" t="n">
        <v>79.20981</v>
      </c>
      <c r="AO671" t="n">
        <v>79.61572</v>
      </c>
      <c r="AP671" t="n">
        <v>84.30544999999999</v>
      </c>
      <c r="AQ671" t="n">
        <v>36.91461</v>
      </c>
      <c r="AR671" t="n">
        <v>65.98029</v>
      </c>
      <c r="AS671" t="n">
        <v>78.06271</v>
      </c>
      <c r="AT671" t="n">
        <v>80.48999999999999</v>
      </c>
      <c r="AU671" t="n">
        <v>89.68365</v>
      </c>
      <c r="AV671" t="n">
        <v>42.99173</v>
      </c>
      <c r="AW671" t="n">
        <v>80.54275</v>
      </c>
      <c r="AX671" t="n">
        <v>56.01005</v>
      </c>
    </row>
    <row r="672">
      <c r="A672" s="92" t="n">
        <v>38292</v>
      </c>
      <c r="B672" t="n">
        <v>81.41642</v>
      </c>
      <c r="C672" t="n">
        <v>81.68282000000001</v>
      </c>
      <c r="D672" t="n">
        <v>55.18339</v>
      </c>
      <c r="E672" t="n">
        <v>83.43429</v>
      </c>
      <c r="F672" t="n">
        <v>97.21535</v>
      </c>
      <c r="G672" t="n">
        <v>69.55041</v>
      </c>
      <c r="H672" t="n">
        <v>74.41319</v>
      </c>
      <c r="I672" t="n">
        <v>65.23903</v>
      </c>
      <c r="J672" t="n">
        <v>47.95336</v>
      </c>
      <c r="K672" t="n">
        <v>79.59999999999999</v>
      </c>
      <c r="L672" t="n">
        <v>84.98907</v>
      </c>
      <c r="M672" t="n">
        <v>82.8</v>
      </c>
      <c r="N672" t="n">
        <v>83.40000000000001</v>
      </c>
      <c r="O672" t="n">
        <v>82.18146</v>
      </c>
      <c r="P672" t="n">
        <v>69.21539</v>
      </c>
      <c r="Q672" t="n">
        <v>82.15000000000001</v>
      </c>
      <c r="R672" t="n">
        <v>83.50454999999999</v>
      </c>
      <c r="S672" t="n">
        <v>86.90000000000001</v>
      </c>
      <c r="T672" t="n">
        <v>71.01325</v>
      </c>
      <c r="U672" t="n">
        <v>83.42296</v>
      </c>
      <c r="V672" t="n">
        <v>78.3</v>
      </c>
      <c r="W672" t="n">
        <v>82.87689</v>
      </c>
      <c r="X672" t="n">
        <v>67.28349</v>
      </c>
      <c r="Y672" t="n">
        <v>48.01822</v>
      </c>
      <c r="Z672" t="n">
        <v>43.5312</v>
      </c>
      <c r="AA672" t="n">
        <v>87.71493</v>
      </c>
      <c r="AB672" t="n">
        <v>55.58149</v>
      </c>
      <c r="AC672" t="n">
        <v>81.45161</v>
      </c>
      <c r="AD672" t="n">
        <v>83.37492</v>
      </c>
      <c r="AE672" t="n">
        <v>97.73479</v>
      </c>
      <c r="AF672" t="n">
        <v>76.69122</v>
      </c>
      <c r="AG672" t="n">
        <v>71.14619999999999</v>
      </c>
      <c r="AH672" t="n">
        <v>81.06613</v>
      </c>
      <c r="AI672" t="n">
        <v>64.14013</v>
      </c>
      <c r="AJ672" t="n">
        <v>66.38205000000001</v>
      </c>
      <c r="AK672" t="n">
        <v>83.98</v>
      </c>
      <c r="AL672" t="n">
        <v>81.5</v>
      </c>
      <c r="AM672" t="n">
        <v>80.4045</v>
      </c>
      <c r="AN672" t="n">
        <v>79.29709</v>
      </c>
      <c r="AO672" t="n">
        <v>79.82671999999999</v>
      </c>
      <c r="AP672" t="n">
        <v>84.76622999999999</v>
      </c>
      <c r="AQ672" t="n">
        <v>37.32436</v>
      </c>
      <c r="AR672" t="n">
        <v>66.11331</v>
      </c>
      <c r="AS672" t="n">
        <v>78.00153</v>
      </c>
      <c r="AT672" t="n">
        <v>80.95999999999999</v>
      </c>
      <c r="AU672" t="n">
        <v>89.16985</v>
      </c>
      <c r="AV672" t="n">
        <v>43.55585</v>
      </c>
      <c r="AW672" t="n">
        <v>80.58494</v>
      </c>
      <c r="AX672" t="n">
        <v>56.34016</v>
      </c>
    </row>
    <row r="673">
      <c r="A673" s="92" t="n">
        <v>38322</v>
      </c>
      <c r="B673" t="n">
        <v>81.78955000000001</v>
      </c>
      <c r="C673" t="n">
        <v>81.41522999999999</v>
      </c>
      <c r="D673" t="n">
        <v>55.65786</v>
      </c>
      <c r="E673" t="n">
        <v>83.27627</v>
      </c>
      <c r="F673" t="n">
        <v>97.05637</v>
      </c>
      <c r="G673" t="n">
        <v>69.28924000000001</v>
      </c>
      <c r="H673" t="n">
        <v>74.4876</v>
      </c>
      <c r="I673" t="n">
        <v>65.43481</v>
      </c>
      <c r="J673" t="n">
        <v>48.48579</v>
      </c>
      <c r="K673" t="n">
        <v>79.59999999999999</v>
      </c>
      <c r="L673" t="n">
        <v>85.92198999999999</v>
      </c>
      <c r="M673" t="n">
        <v>82.59999999999999</v>
      </c>
      <c r="N673" t="n">
        <v>83.72</v>
      </c>
      <c r="O673" t="n">
        <v>82.10117</v>
      </c>
      <c r="P673" t="n">
        <v>69.36920000000001</v>
      </c>
      <c r="Q673" t="n">
        <v>82.43000000000001</v>
      </c>
      <c r="R673" t="n">
        <v>83.51246999999999</v>
      </c>
      <c r="S673" t="n">
        <v>87</v>
      </c>
      <c r="T673" t="n">
        <v>71.01552</v>
      </c>
      <c r="U673" t="n">
        <v>83.32386</v>
      </c>
      <c r="V673" t="n">
        <v>78.59999999999999</v>
      </c>
      <c r="W673" t="n">
        <v>83.19361000000001</v>
      </c>
      <c r="X673" t="n">
        <v>67.20947</v>
      </c>
      <c r="Y673" t="n">
        <v>48.51809</v>
      </c>
      <c r="Z673" t="n">
        <v>43.19954</v>
      </c>
      <c r="AA673" t="n">
        <v>87.81461</v>
      </c>
      <c r="AB673" t="n">
        <v>55.83167</v>
      </c>
      <c r="AC673" t="n">
        <v>81.55242</v>
      </c>
      <c r="AD673" t="n">
        <v>83.57454</v>
      </c>
      <c r="AE673" t="n">
        <v>97.22575000000001</v>
      </c>
      <c r="AF673" t="n">
        <v>76.82510000000001</v>
      </c>
      <c r="AG673" t="n">
        <v>71.101</v>
      </c>
      <c r="AH673" t="n">
        <v>80.92178</v>
      </c>
      <c r="AI673" t="n">
        <v>64.33540000000001</v>
      </c>
      <c r="AJ673" t="n">
        <v>66.51917</v>
      </c>
      <c r="AK673" t="n">
        <v>83.25</v>
      </c>
      <c r="AL673" t="n">
        <v>81.40000000000001</v>
      </c>
      <c r="AM673" t="n">
        <v>80.34151</v>
      </c>
      <c r="AN673" t="n">
        <v>79.52334999999999</v>
      </c>
      <c r="AO673" t="n">
        <v>79.89704999999999</v>
      </c>
      <c r="AP673" t="n">
        <v>84.83190999999999</v>
      </c>
      <c r="AQ673" t="n">
        <v>37.74986</v>
      </c>
      <c r="AR673" t="n">
        <v>66.11331</v>
      </c>
      <c r="AS673" t="n">
        <v>77.87917</v>
      </c>
      <c r="AT673" t="n">
        <v>80.73999999999999</v>
      </c>
      <c r="AU673" t="n">
        <v>89.1507</v>
      </c>
      <c r="AV673" t="n">
        <v>43.694</v>
      </c>
      <c r="AW673" t="n">
        <v>80.28959999999999</v>
      </c>
      <c r="AX673" t="n">
        <v>56.25763</v>
      </c>
    </row>
    <row r="674">
      <c r="A674" s="92" t="n">
        <v>38353</v>
      </c>
      <c r="B674" t="n">
        <v>81.86417</v>
      </c>
      <c r="C674" t="n">
        <v>81.64317</v>
      </c>
      <c r="D674" t="n">
        <v>55.98059</v>
      </c>
      <c r="E674" t="n">
        <v>83.19726</v>
      </c>
      <c r="F674" t="n">
        <v>96.60588</v>
      </c>
      <c r="G674" t="n">
        <v>69.06976</v>
      </c>
      <c r="H674" t="n">
        <v>74.93453</v>
      </c>
      <c r="I674" t="n">
        <v>65.97324</v>
      </c>
      <c r="J674" t="n">
        <v>49.43664</v>
      </c>
      <c r="K674" t="n">
        <v>80.2</v>
      </c>
      <c r="L674" t="n">
        <v>85.26894</v>
      </c>
      <c r="M674" t="n">
        <v>82.40000000000001</v>
      </c>
      <c r="N674" t="n">
        <v>83.2</v>
      </c>
      <c r="O674" t="n">
        <v>81.40961</v>
      </c>
      <c r="P674" t="n">
        <v>69.21539</v>
      </c>
      <c r="Q674" t="n">
        <v>82.02</v>
      </c>
      <c r="R674" t="n">
        <v>83.08517000000001</v>
      </c>
      <c r="S674" t="n">
        <v>86.52</v>
      </c>
      <c r="T674" t="n">
        <v>71.14214</v>
      </c>
      <c r="U674" t="n">
        <v>83.28155</v>
      </c>
      <c r="V674" t="n">
        <v>78.3</v>
      </c>
      <c r="W674" t="n">
        <v>83.40212</v>
      </c>
      <c r="X674" t="n">
        <v>67.72761</v>
      </c>
      <c r="Y674" t="n">
        <v>49.18041</v>
      </c>
      <c r="Z674" t="n">
        <v>43.61412</v>
      </c>
      <c r="AA674" t="n">
        <v>87.0172</v>
      </c>
      <c r="AB674" t="n">
        <v>55.87337</v>
      </c>
      <c r="AC674" t="n">
        <v>81.04839</v>
      </c>
      <c r="AD674" t="n">
        <v>83.57454</v>
      </c>
      <c r="AE674" t="n">
        <v>97.02213999999999</v>
      </c>
      <c r="AF674" t="n">
        <v>77.58095</v>
      </c>
      <c r="AG674" t="n">
        <v>71.0819</v>
      </c>
      <c r="AH674" t="n">
        <v>80.2</v>
      </c>
      <c r="AI674" t="n">
        <v>64.68873000000001</v>
      </c>
      <c r="AJ674" t="n">
        <v>66.52153</v>
      </c>
      <c r="AK674" t="n">
        <v>83.58</v>
      </c>
      <c r="AL674" t="n">
        <v>81.2</v>
      </c>
      <c r="AM674" t="n">
        <v>80.34023000000001</v>
      </c>
      <c r="AN674" t="n">
        <v>79.28784</v>
      </c>
      <c r="AO674" t="n">
        <v>79.96738000000001</v>
      </c>
      <c r="AP674" t="n">
        <v>84.44677</v>
      </c>
      <c r="AQ674" t="n">
        <v>38.7389</v>
      </c>
      <c r="AR674" t="n">
        <v>66.0468</v>
      </c>
      <c r="AS674" t="n">
        <v>79.1639</v>
      </c>
      <c r="AT674" t="n">
        <v>80.22</v>
      </c>
      <c r="AU674" t="n">
        <v>88.68476</v>
      </c>
      <c r="AV674" t="n">
        <v>43.93576</v>
      </c>
      <c r="AW674" t="n">
        <v>80.45837</v>
      </c>
      <c r="AX674" t="n">
        <v>56.42957</v>
      </c>
    </row>
    <row r="675">
      <c r="A675" s="92" t="n">
        <v>38384</v>
      </c>
      <c r="B675" t="n">
        <v>82.11175</v>
      </c>
      <c r="C675" t="n">
        <v>82.18825</v>
      </c>
      <c r="D675" t="n">
        <v>56.31097</v>
      </c>
      <c r="E675" t="n">
        <v>83.5133</v>
      </c>
      <c r="F675" t="n">
        <v>96.81819</v>
      </c>
      <c r="G675" t="n">
        <v>69.00426</v>
      </c>
      <c r="H675" t="n">
        <v>76.28336</v>
      </c>
      <c r="I675" t="n">
        <v>66.65035</v>
      </c>
      <c r="J675" t="n">
        <v>49.97768</v>
      </c>
      <c r="K675" t="n">
        <v>80.40000000000001</v>
      </c>
      <c r="L675" t="n">
        <v>85.64211</v>
      </c>
      <c r="M675" t="n">
        <v>83.2</v>
      </c>
      <c r="N675" t="n">
        <v>83.5</v>
      </c>
      <c r="O675" t="n">
        <v>81.62050000000001</v>
      </c>
      <c r="P675" t="n">
        <v>69.62555999999999</v>
      </c>
      <c r="Q675" t="n">
        <v>82.31999999999999</v>
      </c>
      <c r="R675" t="n">
        <v>83.67204</v>
      </c>
      <c r="S675" t="n">
        <v>87.05</v>
      </c>
      <c r="T675" t="n">
        <v>71.46165000000001</v>
      </c>
      <c r="U675" t="n">
        <v>83.61951000000001</v>
      </c>
      <c r="V675" t="n">
        <v>78.5</v>
      </c>
      <c r="W675" t="n">
        <v>82.39727999999999</v>
      </c>
      <c r="X675" t="n">
        <v>68.02369</v>
      </c>
      <c r="Y675" t="n">
        <v>49.09918</v>
      </c>
      <c r="Z675" t="n">
        <v>43.5312</v>
      </c>
      <c r="AA675" t="n">
        <v>87.81461</v>
      </c>
      <c r="AB675" t="n">
        <v>55.99846</v>
      </c>
      <c r="AC675" t="n">
        <v>81.14919</v>
      </c>
      <c r="AD675" t="n">
        <v>83.84071</v>
      </c>
      <c r="AE675" t="n">
        <v>96.71672</v>
      </c>
      <c r="AF675" t="n">
        <v>77.8951</v>
      </c>
      <c r="AG675" t="n">
        <v>71.2059</v>
      </c>
      <c r="AH675" t="n">
        <v>81.45999999999999</v>
      </c>
      <c r="AI675" t="n">
        <v>65.3015</v>
      </c>
      <c r="AJ675" t="n">
        <v>66.74316</v>
      </c>
      <c r="AK675" t="n">
        <v>84.09999999999999</v>
      </c>
      <c r="AL675" t="n">
        <v>81.3</v>
      </c>
      <c r="AM675" t="n">
        <v>80.63763</v>
      </c>
      <c r="AN675" t="n">
        <v>79.54805</v>
      </c>
      <c r="AO675" t="n">
        <v>79.89704999999999</v>
      </c>
      <c r="AP675" t="n">
        <v>84.41094</v>
      </c>
      <c r="AQ675" t="n">
        <v>39.21539</v>
      </c>
      <c r="AR675" t="n">
        <v>65.98029</v>
      </c>
      <c r="AS675" t="n">
        <v>79.40862</v>
      </c>
      <c r="AT675" t="n">
        <v>80.68000000000001</v>
      </c>
      <c r="AU675" t="n">
        <v>89.10283</v>
      </c>
      <c r="AV675" t="n">
        <v>43.94344</v>
      </c>
      <c r="AW675" t="n">
        <v>80.92246</v>
      </c>
      <c r="AX675" t="n">
        <v>56.45708</v>
      </c>
    </row>
    <row r="676">
      <c r="A676" s="92" t="n">
        <v>38412</v>
      </c>
      <c r="B676" t="n">
        <v>82.52437</v>
      </c>
      <c r="C676" t="n">
        <v>82.71351</v>
      </c>
      <c r="D676" t="n">
        <v>56.65435</v>
      </c>
      <c r="E676" t="n">
        <v>83.98736</v>
      </c>
      <c r="F676" t="n">
        <v>97.05506</v>
      </c>
      <c r="G676" t="n">
        <v>69.44320999999999</v>
      </c>
      <c r="H676" t="n">
        <v>75.5968</v>
      </c>
      <c r="I676" t="n">
        <v>67.1643</v>
      </c>
      <c r="J676" t="n">
        <v>50.39395</v>
      </c>
      <c r="K676" t="n">
        <v>80.3</v>
      </c>
      <c r="L676" t="n">
        <v>86.01528</v>
      </c>
      <c r="M676" t="n">
        <v>83.7</v>
      </c>
      <c r="N676" t="n">
        <v>84.12</v>
      </c>
      <c r="O676" t="n">
        <v>82.26603</v>
      </c>
      <c r="P676" t="n">
        <v>70.08699</v>
      </c>
      <c r="Q676" t="n">
        <v>82.87</v>
      </c>
      <c r="R676" t="n">
        <v>83.92357</v>
      </c>
      <c r="S676" t="n">
        <v>87.59999999999999</v>
      </c>
      <c r="T676" t="n">
        <v>71.83748</v>
      </c>
      <c r="U676" t="n">
        <v>84.13348000000001</v>
      </c>
      <c r="V676" t="n">
        <v>78.8</v>
      </c>
      <c r="W676" t="n">
        <v>84.26922</v>
      </c>
      <c r="X676" t="n">
        <v>68.4678</v>
      </c>
      <c r="Y676" t="n">
        <v>50.05517</v>
      </c>
      <c r="Z676" t="n">
        <v>43.5312</v>
      </c>
      <c r="AA676" t="n">
        <v>88.01394999999999</v>
      </c>
      <c r="AB676" t="n">
        <v>56.41542</v>
      </c>
      <c r="AC676" t="n">
        <v>81.04839</v>
      </c>
      <c r="AD676" t="n">
        <v>84.10686</v>
      </c>
      <c r="AE676" t="n">
        <v>97.02213999999999</v>
      </c>
      <c r="AF676" t="n">
        <v>78.36526000000001</v>
      </c>
      <c r="AG676" t="n">
        <v>71.52670000000001</v>
      </c>
      <c r="AH676" t="n">
        <v>81.61</v>
      </c>
      <c r="AI676" t="n">
        <v>65.68013999999999</v>
      </c>
      <c r="AJ676" t="n">
        <v>67.04398999999999</v>
      </c>
      <c r="AK676" t="n">
        <v>84.88</v>
      </c>
      <c r="AL676" t="n">
        <v>81.7</v>
      </c>
      <c r="AM676" t="n">
        <v>81.11104</v>
      </c>
      <c r="AN676" t="n">
        <v>79.93969</v>
      </c>
      <c r="AO676" t="n">
        <v>79.96738000000001</v>
      </c>
      <c r="AP676" t="n">
        <v>84.69955</v>
      </c>
      <c r="AQ676" t="n">
        <v>39.74088</v>
      </c>
      <c r="AR676" t="n">
        <v>65.98029</v>
      </c>
      <c r="AS676" t="n">
        <v>79.34743</v>
      </c>
      <c r="AT676" t="n">
        <v>81.58</v>
      </c>
      <c r="AU676" t="n">
        <v>89.27835</v>
      </c>
      <c r="AV676" t="n">
        <v>44.05856</v>
      </c>
      <c r="AW676" t="n">
        <v>81.55533</v>
      </c>
      <c r="AX676" t="n">
        <v>56.80095</v>
      </c>
    </row>
    <row r="677">
      <c r="A677" s="92" t="n">
        <v>38443</v>
      </c>
      <c r="B677" t="n">
        <v>82.35932</v>
      </c>
      <c r="C677" t="n">
        <v>82.90181</v>
      </c>
      <c r="D677" t="n">
        <v>57.14714</v>
      </c>
      <c r="E677" t="n">
        <v>84.22439</v>
      </c>
      <c r="F677" t="n">
        <v>97.84957</v>
      </c>
      <c r="G677" t="n">
        <v>70.06592999999999</v>
      </c>
      <c r="H677" t="n">
        <v>75.37000999999999</v>
      </c>
      <c r="I677" t="n">
        <v>67.45798000000001</v>
      </c>
      <c r="J677" t="n">
        <v>50.8769</v>
      </c>
      <c r="K677" t="n">
        <v>80.40000000000001</v>
      </c>
      <c r="L677" t="n">
        <v>85.8287</v>
      </c>
      <c r="M677" t="n">
        <v>84.09999999999999</v>
      </c>
      <c r="N677" t="n">
        <v>84.47</v>
      </c>
      <c r="O677" t="n">
        <v>83.4511</v>
      </c>
      <c r="P677" t="n">
        <v>70.39462</v>
      </c>
      <c r="Q677" t="n">
        <v>83.25</v>
      </c>
      <c r="R677" t="n">
        <v>84.00740999999999</v>
      </c>
      <c r="S677" t="n">
        <v>87.77</v>
      </c>
      <c r="T677" t="n">
        <v>72.17805</v>
      </c>
      <c r="U677" t="n">
        <v>84.48763</v>
      </c>
      <c r="V677" t="n">
        <v>79.09999999999999</v>
      </c>
      <c r="W677" t="n">
        <v>84.91289999999999</v>
      </c>
      <c r="X677" t="n">
        <v>68.98594</v>
      </c>
      <c r="Y677" t="n">
        <v>50.21763</v>
      </c>
      <c r="Z677" t="n">
        <v>43.86287</v>
      </c>
      <c r="AA677" t="n">
        <v>88.41266</v>
      </c>
      <c r="AB677" t="n">
        <v>56.54051</v>
      </c>
      <c r="AC677" t="n">
        <v>81.55242</v>
      </c>
      <c r="AD677" t="n">
        <v>84.23994</v>
      </c>
      <c r="AE677" t="n">
        <v>97.12394999999999</v>
      </c>
      <c r="AF677" t="n">
        <v>78.44432</v>
      </c>
      <c r="AG677" t="n">
        <v>71.7803</v>
      </c>
      <c r="AH677" t="n">
        <v>81.90000000000001</v>
      </c>
      <c r="AI677" t="n">
        <v>66.36257000000001</v>
      </c>
      <c r="AJ677" t="n">
        <v>67.28276</v>
      </c>
      <c r="AK677" t="n">
        <v>85.03</v>
      </c>
      <c r="AL677" t="n">
        <v>82.09999999999999</v>
      </c>
      <c r="AM677" t="n">
        <v>81.47698</v>
      </c>
      <c r="AN677" t="n">
        <v>80.19943000000001</v>
      </c>
      <c r="AO677" t="n">
        <v>80.31905</v>
      </c>
      <c r="AP677" t="n">
        <v>85.27576000000001</v>
      </c>
      <c r="AQ677" t="n">
        <v>40.18597</v>
      </c>
      <c r="AR677" t="n">
        <v>65.84726000000001</v>
      </c>
      <c r="AS677" t="n">
        <v>79.53097</v>
      </c>
      <c r="AT677" t="n">
        <v>81.61</v>
      </c>
      <c r="AU677" t="n">
        <v>89.4092</v>
      </c>
      <c r="AV677" t="n">
        <v>44.37324</v>
      </c>
      <c r="AW677" t="n">
        <v>82.10381</v>
      </c>
      <c r="AX677" t="n">
        <v>56.97289</v>
      </c>
    </row>
    <row r="678">
      <c r="A678" s="92" t="n">
        <v>38473</v>
      </c>
      <c r="B678" t="n">
        <v>82.44185</v>
      </c>
      <c r="C678" t="n">
        <v>83.03064999999999</v>
      </c>
      <c r="D678" t="n">
        <v>57.42718</v>
      </c>
      <c r="E678" t="n">
        <v>84.3034</v>
      </c>
      <c r="F678" t="n">
        <v>97.75243</v>
      </c>
      <c r="G678" t="n">
        <v>70.25563</v>
      </c>
      <c r="H678" t="n">
        <v>75.21926999999999</v>
      </c>
      <c r="I678" t="n">
        <v>67.73536</v>
      </c>
      <c r="J678" t="n">
        <v>51.57498</v>
      </c>
      <c r="K678" t="n">
        <v>80.5</v>
      </c>
      <c r="L678" t="n">
        <v>86.01528</v>
      </c>
      <c r="M678" t="n">
        <v>84.09999999999999</v>
      </c>
      <c r="N678" t="n">
        <v>84.66</v>
      </c>
      <c r="O678" t="n">
        <v>83.61062</v>
      </c>
      <c r="P678" t="n">
        <v>70.54841999999999</v>
      </c>
      <c r="Q678" t="n">
        <v>83.43000000000001</v>
      </c>
      <c r="R678" t="n">
        <v>83.75588</v>
      </c>
      <c r="S678" t="n">
        <v>87.83</v>
      </c>
      <c r="T678" t="n">
        <v>72.21917999999999</v>
      </c>
      <c r="U678" t="n">
        <v>84.51573</v>
      </c>
      <c r="V678" t="n">
        <v>79.40000000000001</v>
      </c>
      <c r="W678" t="n">
        <v>85.16113</v>
      </c>
      <c r="X678" t="n">
        <v>69.35603</v>
      </c>
      <c r="Y678" t="n">
        <v>50.32385</v>
      </c>
      <c r="Z678" t="n">
        <v>43.69703</v>
      </c>
      <c r="AA678" t="n">
        <v>88.71169</v>
      </c>
      <c r="AB678" t="n">
        <v>56.24863</v>
      </c>
      <c r="AC678" t="n">
        <v>81.85484</v>
      </c>
      <c r="AD678" t="n">
        <v>84.5061</v>
      </c>
      <c r="AE678" t="n">
        <v>97.22575000000001</v>
      </c>
      <c r="AF678" t="n">
        <v>78.36526000000001</v>
      </c>
      <c r="AG678" t="n">
        <v>72.01090000000001</v>
      </c>
      <c r="AH678" t="n">
        <v>82.01000000000001</v>
      </c>
      <c r="AI678" t="n">
        <v>66.82926999999999</v>
      </c>
      <c r="AJ678" t="n">
        <v>67.11373</v>
      </c>
      <c r="AK678" t="n">
        <v>84.98</v>
      </c>
      <c r="AL678" t="n">
        <v>82.40000000000001</v>
      </c>
      <c r="AM678" t="n">
        <v>81.52639000000001</v>
      </c>
      <c r="AN678" t="n">
        <v>80.40215000000001</v>
      </c>
      <c r="AO678" t="n">
        <v>80.53004</v>
      </c>
      <c r="AP678" t="n">
        <v>85.63104</v>
      </c>
      <c r="AQ678" t="n">
        <v>40.50746</v>
      </c>
      <c r="AR678" t="n">
        <v>65.84726000000001</v>
      </c>
      <c r="AS678" t="n">
        <v>79.59215</v>
      </c>
      <c r="AT678" t="n">
        <v>81.88</v>
      </c>
      <c r="AU678" t="n">
        <v>89.46983</v>
      </c>
      <c r="AV678" t="n">
        <v>44.78001</v>
      </c>
      <c r="AW678" t="n">
        <v>82.01943</v>
      </c>
      <c r="AX678" t="n">
        <v>56.83534</v>
      </c>
    </row>
    <row r="679">
      <c r="A679" s="92" t="n">
        <v>38504</v>
      </c>
      <c r="B679" t="n">
        <v>82.68942</v>
      </c>
      <c r="C679" t="n">
        <v>83.27840999999999</v>
      </c>
      <c r="D679" t="n">
        <v>57.41558</v>
      </c>
      <c r="E679" t="n">
        <v>84.46142</v>
      </c>
      <c r="F679" t="n">
        <v>97.53270999999999</v>
      </c>
      <c r="G679" t="n">
        <v>70.54657</v>
      </c>
      <c r="H679" t="n">
        <v>74.61752</v>
      </c>
      <c r="I679" t="n">
        <v>68.00457</v>
      </c>
      <c r="J679" t="n">
        <v>51.81054</v>
      </c>
      <c r="K679" t="n">
        <v>81</v>
      </c>
      <c r="L679" t="n">
        <v>86.10857</v>
      </c>
      <c r="M679" t="n">
        <v>84.2</v>
      </c>
      <c r="N679" t="n">
        <v>84.75</v>
      </c>
      <c r="O679" t="n">
        <v>83.80544999999999</v>
      </c>
      <c r="P679" t="n">
        <v>71.00986</v>
      </c>
      <c r="Q679" t="n">
        <v>83.52</v>
      </c>
      <c r="R679" t="n">
        <v>83.83973</v>
      </c>
      <c r="S679" t="n">
        <v>87.93000000000001</v>
      </c>
      <c r="T679" t="n">
        <v>72.22098</v>
      </c>
      <c r="U679" t="n">
        <v>84.51577</v>
      </c>
      <c r="V679" t="n">
        <v>79.40000000000001</v>
      </c>
      <c r="W679" t="n">
        <v>84.98013</v>
      </c>
      <c r="X679" t="n">
        <v>69.57809</v>
      </c>
      <c r="Y679" t="n">
        <v>50.57378</v>
      </c>
      <c r="Z679" t="n">
        <v>43.86287</v>
      </c>
      <c r="AA679" t="n">
        <v>89.01071</v>
      </c>
      <c r="AB679" t="n">
        <v>56.62391</v>
      </c>
      <c r="AC679" t="n">
        <v>81.95564</v>
      </c>
      <c r="AD679" t="n">
        <v>84.5061</v>
      </c>
      <c r="AE679" t="n">
        <v>96.81853</v>
      </c>
      <c r="AF679" t="n">
        <v>78.12912</v>
      </c>
      <c r="AG679" t="n">
        <v>72.11320000000001</v>
      </c>
      <c r="AH679" t="n">
        <v>82.05</v>
      </c>
      <c r="AI679" t="n">
        <v>67.22153</v>
      </c>
      <c r="AJ679" t="n">
        <v>67.04931000000001</v>
      </c>
      <c r="AK679" t="n">
        <v>84.7</v>
      </c>
      <c r="AL679" t="n">
        <v>82.40000000000001</v>
      </c>
      <c r="AM679" t="n">
        <v>81.5322</v>
      </c>
      <c r="AN679" t="n">
        <v>80.4547</v>
      </c>
      <c r="AO679" t="n">
        <v>80.38937</v>
      </c>
      <c r="AP679" t="n">
        <v>85.65195</v>
      </c>
      <c r="AQ679" t="n">
        <v>40.76671</v>
      </c>
      <c r="AR679" t="n">
        <v>65.98029</v>
      </c>
      <c r="AS679" t="n">
        <v>79.83686</v>
      </c>
      <c r="AT679" t="n">
        <v>81.93000000000001</v>
      </c>
      <c r="AU679" t="n">
        <v>89.50175</v>
      </c>
      <c r="AV679" t="n">
        <v>44.82607</v>
      </c>
      <c r="AW679" t="n">
        <v>82.06162</v>
      </c>
      <c r="AX679" t="n">
        <v>56.71843</v>
      </c>
    </row>
    <row r="680">
      <c r="A680" s="92" t="n">
        <v>38534</v>
      </c>
      <c r="B680" t="n">
        <v>82.6069</v>
      </c>
      <c r="C680" t="n">
        <v>83.77394</v>
      </c>
      <c r="D680" t="n">
        <v>57.5592</v>
      </c>
      <c r="E680" t="n">
        <v>84.61944</v>
      </c>
      <c r="F680" t="n">
        <v>96.99912999999999</v>
      </c>
      <c r="G680" t="n">
        <v>70.97958</v>
      </c>
      <c r="H680" t="n">
        <v>74.61752</v>
      </c>
      <c r="I680" t="n">
        <v>68.0372</v>
      </c>
      <c r="J680" t="n">
        <v>52.4742</v>
      </c>
      <c r="K680" t="n">
        <v>81.2</v>
      </c>
      <c r="L680" t="n">
        <v>86.48174</v>
      </c>
      <c r="M680" t="n">
        <v>84.09999999999999</v>
      </c>
      <c r="N680" t="n">
        <v>84.66</v>
      </c>
      <c r="O680" t="n">
        <v>83.29267</v>
      </c>
      <c r="P680" t="n">
        <v>71.26621</v>
      </c>
      <c r="Q680" t="n">
        <v>83.45999999999999</v>
      </c>
      <c r="R680" t="n">
        <v>83.50436000000001</v>
      </c>
      <c r="S680" t="n">
        <v>87.8</v>
      </c>
      <c r="T680" t="n">
        <v>72.44851</v>
      </c>
      <c r="U680" t="n">
        <v>84.77799</v>
      </c>
      <c r="V680" t="n">
        <v>79.5</v>
      </c>
      <c r="W680" t="n">
        <v>83.93741</v>
      </c>
      <c r="X680" t="n">
        <v>69.57809</v>
      </c>
      <c r="Y680" t="n">
        <v>50.96742</v>
      </c>
      <c r="Z680" t="n">
        <v>44.60912</v>
      </c>
      <c r="AA680" t="n">
        <v>88.91104</v>
      </c>
      <c r="AB680" t="n">
        <v>56.7073</v>
      </c>
      <c r="AC680" t="n">
        <v>82.7621</v>
      </c>
      <c r="AD680" t="n">
        <v>84.83881</v>
      </c>
      <c r="AE680" t="n">
        <v>96.71672</v>
      </c>
      <c r="AF680" t="n">
        <v>78.44432</v>
      </c>
      <c r="AG680" t="n">
        <v>71.9746</v>
      </c>
      <c r="AH680" t="n">
        <v>81.53</v>
      </c>
      <c r="AI680" t="n">
        <v>67.19835999999999</v>
      </c>
      <c r="AJ680" t="n">
        <v>67.31171999999999</v>
      </c>
      <c r="AK680" t="n">
        <v>84.56999999999999</v>
      </c>
      <c r="AL680" t="n">
        <v>82.2</v>
      </c>
      <c r="AM680" t="n">
        <v>81.72524</v>
      </c>
      <c r="AN680" t="n">
        <v>80.45358</v>
      </c>
      <c r="AO680" t="n">
        <v>80.24871</v>
      </c>
      <c r="AP680" t="n">
        <v>85.9097</v>
      </c>
      <c r="AQ680" t="n">
        <v>40.95424</v>
      </c>
      <c r="AR680" t="n">
        <v>66.17982000000001</v>
      </c>
      <c r="AS680" t="n">
        <v>79.65333</v>
      </c>
      <c r="AT680" t="n">
        <v>82.5</v>
      </c>
      <c r="AU680" t="n">
        <v>89.16985</v>
      </c>
      <c r="AV680" t="n">
        <v>44.56895</v>
      </c>
      <c r="AW680" t="n">
        <v>82.44135</v>
      </c>
      <c r="AX680" t="n">
        <v>57.13795</v>
      </c>
    </row>
    <row r="681">
      <c r="A681" s="92" t="n">
        <v>38565</v>
      </c>
      <c r="B681" t="n">
        <v>82.6069</v>
      </c>
      <c r="C681" t="n">
        <v>83.86314</v>
      </c>
      <c r="D681" t="n">
        <v>57.65711</v>
      </c>
      <c r="E681" t="n">
        <v>84.93548</v>
      </c>
      <c r="F681" t="n">
        <v>97.13885999999999</v>
      </c>
      <c r="G681" t="n">
        <v>71.18715</v>
      </c>
      <c r="H681" t="n">
        <v>74.76675</v>
      </c>
      <c r="I681" t="n">
        <v>68.0372</v>
      </c>
      <c r="J681" t="n">
        <v>53.13033</v>
      </c>
      <c r="K681" t="n">
        <v>81.2</v>
      </c>
      <c r="L681" t="n">
        <v>86.57504</v>
      </c>
      <c r="M681" t="n">
        <v>84.09999999999999</v>
      </c>
      <c r="N681" t="n">
        <v>84.86</v>
      </c>
      <c r="O681" t="n">
        <v>83.65879</v>
      </c>
      <c r="P681" t="n">
        <v>71.4713</v>
      </c>
      <c r="Q681" t="n">
        <v>83.63</v>
      </c>
      <c r="R681" t="n">
        <v>83.83973</v>
      </c>
      <c r="S681" t="n">
        <v>88.14</v>
      </c>
      <c r="T681" t="n">
        <v>72.67358</v>
      </c>
      <c r="U681" t="n">
        <v>85.09135999999999</v>
      </c>
      <c r="V681" t="n">
        <v>79.7</v>
      </c>
      <c r="W681" t="n">
        <v>83.56197</v>
      </c>
      <c r="X681" t="n">
        <v>69.20799</v>
      </c>
      <c r="Y681" t="n">
        <v>51.2486</v>
      </c>
      <c r="Z681" t="n">
        <v>44.77495</v>
      </c>
      <c r="AA681" t="n">
        <v>89.30974999999999</v>
      </c>
      <c r="AB681" t="n">
        <v>56.79069</v>
      </c>
      <c r="AC681" t="n">
        <v>82.96371000000001</v>
      </c>
      <c r="AD681" t="n">
        <v>84.97189</v>
      </c>
      <c r="AE681" t="n">
        <v>96.81853</v>
      </c>
      <c r="AF681" t="n">
        <v>78.6794</v>
      </c>
      <c r="AG681" t="n">
        <v>72.0403</v>
      </c>
      <c r="AH681" t="n">
        <v>82.62</v>
      </c>
      <c r="AI681" t="n">
        <v>67.12721000000001</v>
      </c>
      <c r="AJ681" t="n">
        <v>67.3921</v>
      </c>
      <c r="AK681" t="n">
        <v>84.95999999999999</v>
      </c>
      <c r="AL681" t="n">
        <v>82.3</v>
      </c>
      <c r="AM681" t="n">
        <v>81.9931</v>
      </c>
      <c r="AN681" t="n">
        <v>80.63697999999999</v>
      </c>
      <c r="AO681" t="n">
        <v>80.17838</v>
      </c>
      <c r="AP681" t="n">
        <v>86.00424</v>
      </c>
      <c r="AQ681" t="n">
        <v>40.8969</v>
      </c>
      <c r="AR681" t="n">
        <v>66.24634</v>
      </c>
      <c r="AS681" t="n">
        <v>79.59215</v>
      </c>
      <c r="AT681" t="n">
        <v>81.97</v>
      </c>
      <c r="AU681" t="n">
        <v>89.34218</v>
      </c>
      <c r="AV681" t="n">
        <v>44.94886</v>
      </c>
      <c r="AW681" t="n">
        <v>82.86324999999999</v>
      </c>
      <c r="AX681" t="n">
        <v>57.23423</v>
      </c>
    </row>
    <row r="682">
      <c r="A682" s="92" t="n">
        <v>38596</v>
      </c>
      <c r="B682" t="n">
        <v>82.77194</v>
      </c>
      <c r="C682" t="n">
        <v>83.95233</v>
      </c>
      <c r="D682" t="n">
        <v>57.85896</v>
      </c>
      <c r="E682" t="n">
        <v>85.64655999999999</v>
      </c>
      <c r="F682" t="n">
        <v>97.56388</v>
      </c>
      <c r="G682" t="n">
        <v>71.89237</v>
      </c>
      <c r="H682" t="n">
        <v>75.29012</v>
      </c>
      <c r="I682" t="n">
        <v>68.33089</v>
      </c>
      <c r="J682" t="n">
        <v>53.22176</v>
      </c>
      <c r="K682" t="n">
        <v>81</v>
      </c>
      <c r="L682" t="n">
        <v>86.66833</v>
      </c>
      <c r="M682" t="n">
        <v>84.7</v>
      </c>
      <c r="N682" t="n">
        <v>85.3</v>
      </c>
      <c r="O682" t="n">
        <v>84.17265</v>
      </c>
      <c r="P682" t="n">
        <v>72.08655</v>
      </c>
      <c r="Q682" t="n">
        <v>84.06</v>
      </c>
      <c r="R682" t="n">
        <v>84.25893000000001</v>
      </c>
      <c r="S682" t="n">
        <v>88.48</v>
      </c>
      <c r="T682" t="n">
        <v>73.18633</v>
      </c>
      <c r="U682" t="n">
        <v>85.76454</v>
      </c>
      <c r="V682" t="n">
        <v>79.90000000000001</v>
      </c>
      <c r="W682" t="n">
        <v>85.40157000000001</v>
      </c>
      <c r="X682" t="n">
        <v>69.35603</v>
      </c>
      <c r="Y682" t="n">
        <v>51.5985</v>
      </c>
      <c r="Z682" t="n">
        <v>44.94078</v>
      </c>
      <c r="AA682" t="n">
        <v>90.10715</v>
      </c>
      <c r="AB682" t="n">
        <v>57.66632</v>
      </c>
      <c r="AC682" t="n">
        <v>83.06451</v>
      </c>
      <c r="AD682" t="n">
        <v>84.97189</v>
      </c>
      <c r="AE682" t="n">
        <v>97.12394999999999</v>
      </c>
      <c r="AF682" t="n">
        <v>79.07156000000001</v>
      </c>
      <c r="AG682" t="n">
        <v>72.6596</v>
      </c>
      <c r="AH682" t="n">
        <v>82.89</v>
      </c>
      <c r="AI682" t="n">
        <v>68.1456</v>
      </c>
      <c r="AJ682" t="n">
        <v>67.66219</v>
      </c>
      <c r="AK682" t="n">
        <v>85.73</v>
      </c>
      <c r="AL682" t="n">
        <v>82.90000000000001</v>
      </c>
      <c r="AM682" t="n">
        <v>82.58918</v>
      </c>
      <c r="AN682" t="n">
        <v>80.94593999999999</v>
      </c>
      <c r="AO682" t="n">
        <v>80.53004</v>
      </c>
      <c r="AP682" t="n">
        <v>86.16943999999999</v>
      </c>
      <c r="AQ682" t="n">
        <v>40.99915</v>
      </c>
      <c r="AR682" t="n">
        <v>66.37936000000001</v>
      </c>
      <c r="AS682" t="n">
        <v>79.77567999999999</v>
      </c>
      <c r="AT682" t="n">
        <v>82.83</v>
      </c>
      <c r="AU682" t="n">
        <v>89.95493</v>
      </c>
      <c r="AV682" t="n">
        <v>45.40937</v>
      </c>
      <c r="AW682" t="n">
        <v>83.87584</v>
      </c>
      <c r="AX682" t="n">
        <v>57.28238</v>
      </c>
    </row>
    <row r="683">
      <c r="A683" s="92" t="n">
        <v>38626</v>
      </c>
      <c r="B683" t="n">
        <v>82.85447000000001</v>
      </c>
      <c r="C683" t="n">
        <v>83.80367</v>
      </c>
      <c r="D683" t="n">
        <v>58.29282</v>
      </c>
      <c r="E683" t="n">
        <v>85.25151</v>
      </c>
      <c r="F683" t="n">
        <v>98.41703</v>
      </c>
      <c r="G683" t="n">
        <v>72.24285999999999</v>
      </c>
      <c r="H683" t="n">
        <v>75.59128</v>
      </c>
      <c r="I683" t="n">
        <v>68.48589</v>
      </c>
      <c r="J683" t="n">
        <v>53.88219</v>
      </c>
      <c r="K683" t="n">
        <v>81.7</v>
      </c>
      <c r="L683" t="n">
        <v>86.76161999999999</v>
      </c>
      <c r="M683" t="n">
        <v>84.7</v>
      </c>
      <c r="N683" t="n">
        <v>85.52</v>
      </c>
      <c r="O683" t="n">
        <v>84.85671000000001</v>
      </c>
      <c r="P683" t="n">
        <v>72.03527</v>
      </c>
      <c r="Q683" t="n">
        <v>84.3</v>
      </c>
      <c r="R683" t="n">
        <v>84.17509</v>
      </c>
      <c r="S683" t="n">
        <v>88.45999999999999</v>
      </c>
      <c r="T683" t="n">
        <v>73.55725</v>
      </c>
      <c r="U683" t="n">
        <v>85.87206</v>
      </c>
      <c r="V683" t="n">
        <v>80</v>
      </c>
      <c r="W683" t="n">
        <v>85.97086</v>
      </c>
      <c r="X683" t="n">
        <v>69.35603</v>
      </c>
      <c r="Y683" t="n">
        <v>56.09103</v>
      </c>
      <c r="Z683" t="n">
        <v>45.43828</v>
      </c>
      <c r="AA683" t="n">
        <v>90.10715</v>
      </c>
      <c r="AB683" t="n">
        <v>58.04159</v>
      </c>
      <c r="AC683" t="n">
        <v>83.66936</v>
      </c>
      <c r="AD683" t="n">
        <v>85.17151</v>
      </c>
      <c r="AE683" t="n">
        <v>97.12394999999999</v>
      </c>
      <c r="AF683" t="n">
        <v>78.91448</v>
      </c>
      <c r="AG683" t="n">
        <v>73.12949999999999</v>
      </c>
      <c r="AH683" t="n">
        <v>83.34999999999999</v>
      </c>
      <c r="AI683" t="n">
        <v>68.69768000000001</v>
      </c>
      <c r="AJ683" t="n">
        <v>67.82827</v>
      </c>
      <c r="AK683" t="n">
        <v>85.66</v>
      </c>
      <c r="AL683" t="n">
        <v>83</v>
      </c>
      <c r="AM683" t="n">
        <v>82.76049999999999</v>
      </c>
      <c r="AN683" t="n">
        <v>81.19710000000001</v>
      </c>
      <c r="AO683" t="n">
        <v>80.8817</v>
      </c>
      <c r="AP683" t="n">
        <v>86.57249</v>
      </c>
      <c r="AQ683" t="n">
        <v>41.22464</v>
      </c>
      <c r="AR683" t="n">
        <v>66.64541</v>
      </c>
      <c r="AS683" t="n">
        <v>80.63217</v>
      </c>
      <c r="AT683" t="n">
        <v>82.98</v>
      </c>
      <c r="AU683" t="n">
        <v>90.11449</v>
      </c>
      <c r="AV683" t="n">
        <v>46.22292</v>
      </c>
      <c r="AW683" t="n">
        <v>84.0446</v>
      </c>
      <c r="AX683" t="n">
        <v>57.35115</v>
      </c>
    </row>
    <row r="684">
      <c r="A684" s="92" t="n">
        <v>38657</v>
      </c>
      <c r="B684" t="n">
        <v>82.6069</v>
      </c>
      <c r="C684" t="n">
        <v>83.77394</v>
      </c>
      <c r="D684" t="n">
        <v>58.61346</v>
      </c>
      <c r="E684" t="n">
        <v>85.09350000000001</v>
      </c>
      <c r="F684" t="n">
        <v>98.14037</v>
      </c>
      <c r="G684" t="n">
        <v>72.07017</v>
      </c>
      <c r="H684" t="n">
        <v>75.36451</v>
      </c>
      <c r="I684" t="n">
        <v>68.56747</v>
      </c>
      <c r="J684" t="n">
        <v>54.75774</v>
      </c>
      <c r="K684" t="n">
        <v>81.5</v>
      </c>
      <c r="L684" t="n">
        <v>86.48174</v>
      </c>
      <c r="M684" t="n">
        <v>84.40000000000001</v>
      </c>
      <c r="N684" t="n">
        <v>85.33</v>
      </c>
      <c r="O684" t="n">
        <v>84.98518</v>
      </c>
      <c r="P684" t="n">
        <v>71.93273000000001</v>
      </c>
      <c r="Q684" t="n">
        <v>84.15000000000001</v>
      </c>
      <c r="R684" t="n">
        <v>84.00740999999999</v>
      </c>
      <c r="S684" t="n">
        <v>88.28</v>
      </c>
      <c r="T684" t="n">
        <v>73.42562</v>
      </c>
      <c r="U684" t="n">
        <v>85.41171</v>
      </c>
      <c r="V684" t="n">
        <v>80</v>
      </c>
      <c r="W684" t="n">
        <v>85.79525</v>
      </c>
      <c r="X684" t="n">
        <v>69.50407</v>
      </c>
      <c r="Y684" t="n">
        <v>56.82833</v>
      </c>
      <c r="Z684" t="n">
        <v>45.85286</v>
      </c>
      <c r="AA684" t="n">
        <v>90.00748</v>
      </c>
      <c r="AB684" t="n">
        <v>57.9165</v>
      </c>
      <c r="AC684" t="n">
        <v>83.56855</v>
      </c>
      <c r="AD684" t="n">
        <v>85.23804</v>
      </c>
      <c r="AE684" t="n">
        <v>96.71672</v>
      </c>
      <c r="AF684" t="n">
        <v>78.60033</v>
      </c>
      <c r="AG684" t="n">
        <v>73.1463</v>
      </c>
      <c r="AH684" t="n">
        <v>83.08</v>
      </c>
      <c r="AI684" t="n">
        <v>68.88981</v>
      </c>
      <c r="AJ684" t="n">
        <v>68.31645</v>
      </c>
      <c r="AK684" t="n">
        <v>85.44</v>
      </c>
      <c r="AL684" t="n">
        <v>83</v>
      </c>
      <c r="AM684" t="n">
        <v>82.46384</v>
      </c>
      <c r="AN684" t="n">
        <v>81.17932999999999</v>
      </c>
      <c r="AO684" t="n">
        <v>80.74104</v>
      </c>
      <c r="AP684" t="n">
        <v>86.93574</v>
      </c>
      <c r="AQ684" t="n">
        <v>41.5297</v>
      </c>
      <c r="AR684" t="n">
        <v>66.84495</v>
      </c>
      <c r="AS684" t="n">
        <v>80.63217</v>
      </c>
      <c r="AT684" t="n">
        <v>82.59999999999999</v>
      </c>
      <c r="AU684" t="n">
        <v>89.89748</v>
      </c>
      <c r="AV684" t="n">
        <v>46.87146</v>
      </c>
      <c r="AW684" t="n">
        <v>83.36954</v>
      </c>
      <c r="AX684" t="n">
        <v>57.33739</v>
      </c>
    </row>
    <row r="685">
      <c r="A685" s="92" t="n">
        <v>38687</v>
      </c>
      <c r="B685" t="n">
        <v>82.93698999999999</v>
      </c>
      <c r="C685" t="n">
        <v>83.76403000000001</v>
      </c>
      <c r="D685" t="n">
        <v>58.82436</v>
      </c>
      <c r="E685" t="n">
        <v>85.01449</v>
      </c>
      <c r="F685" t="n">
        <v>98.03310999999999</v>
      </c>
      <c r="G685" t="n">
        <v>71.82772</v>
      </c>
      <c r="H685" t="n">
        <v>75.66596</v>
      </c>
      <c r="I685" t="n">
        <v>68.60825</v>
      </c>
      <c r="J685" t="n">
        <v>55.31061</v>
      </c>
      <c r="K685" t="n">
        <v>81.40000000000001</v>
      </c>
      <c r="L685" t="n">
        <v>87.13479</v>
      </c>
      <c r="M685" t="n">
        <v>84.5</v>
      </c>
      <c r="N685" t="n">
        <v>85.62</v>
      </c>
      <c r="O685" t="n">
        <v>85.16824</v>
      </c>
      <c r="P685" t="n">
        <v>71.83019</v>
      </c>
      <c r="Q685" t="n">
        <v>84.39</v>
      </c>
      <c r="R685" t="n">
        <v>84.00740999999999</v>
      </c>
      <c r="S685" t="n">
        <v>88.39</v>
      </c>
      <c r="T685" t="n">
        <v>73.43513</v>
      </c>
      <c r="U685" t="n">
        <v>85.31968999999999</v>
      </c>
      <c r="V685" t="n">
        <v>80.3</v>
      </c>
      <c r="W685" t="n">
        <v>86.20647</v>
      </c>
      <c r="X685" t="n">
        <v>69.50407</v>
      </c>
      <c r="Y685" t="n">
        <v>56.80334</v>
      </c>
      <c r="Z685" t="n">
        <v>45.60411</v>
      </c>
      <c r="AA685" t="n">
        <v>89.90779999999999</v>
      </c>
      <c r="AB685" t="n">
        <v>58.12498</v>
      </c>
      <c r="AC685" t="n">
        <v>83.46774000000001</v>
      </c>
      <c r="AD685" t="n">
        <v>85.23804</v>
      </c>
      <c r="AE685" t="n">
        <v>96.81853</v>
      </c>
      <c r="AF685" t="n">
        <v>78.83647000000001</v>
      </c>
      <c r="AG685" t="n">
        <v>73.2003</v>
      </c>
      <c r="AH685" t="n">
        <v>82.93000000000001</v>
      </c>
      <c r="AI685" t="n">
        <v>68.81518</v>
      </c>
      <c r="AJ685" t="n">
        <v>68.73608</v>
      </c>
      <c r="AK685" t="n">
        <v>84.98</v>
      </c>
      <c r="AL685" t="n">
        <v>82.90000000000001</v>
      </c>
      <c r="AM685" t="n">
        <v>82.43384</v>
      </c>
      <c r="AN685" t="n">
        <v>81.37403</v>
      </c>
      <c r="AO685" t="n">
        <v>80.60037</v>
      </c>
      <c r="AP685" t="n">
        <v>87.02132</v>
      </c>
      <c r="AQ685" t="n">
        <v>41.87024</v>
      </c>
      <c r="AR685" t="n">
        <v>66.91146000000001</v>
      </c>
      <c r="AS685" t="n">
        <v>80.75452</v>
      </c>
      <c r="AT685" t="n">
        <v>82.56999999999999</v>
      </c>
      <c r="AU685" t="n">
        <v>89.93895999999999</v>
      </c>
      <c r="AV685" t="n">
        <v>47.06718</v>
      </c>
      <c r="AW685" t="n">
        <v>83.03202</v>
      </c>
      <c r="AX685" t="n">
        <v>57.39241</v>
      </c>
    </row>
    <row r="686">
      <c r="A686" s="92" t="n">
        <v>38718</v>
      </c>
      <c r="B686" t="n">
        <v>82.85447000000001</v>
      </c>
      <c r="C686" t="n">
        <v>83.78385</v>
      </c>
      <c r="D686" t="n">
        <v>59.17145</v>
      </c>
      <c r="E686" t="n">
        <v>85.48854</v>
      </c>
      <c r="F686" t="n">
        <v>97.85297</v>
      </c>
      <c r="G686" t="n">
        <v>71.88642</v>
      </c>
      <c r="H686" t="n">
        <v>76.64962</v>
      </c>
      <c r="I686" t="n">
        <v>68.98352</v>
      </c>
      <c r="J686" t="n">
        <v>55.96029</v>
      </c>
      <c r="K686" t="n">
        <v>82.59999999999999</v>
      </c>
      <c r="L686" t="n">
        <v>86.85491</v>
      </c>
      <c r="M686" t="n">
        <v>84.2</v>
      </c>
      <c r="N686" t="n">
        <v>85.23999999999999</v>
      </c>
      <c r="O686" t="n">
        <v>84.82246000000001</v>
      </c>
      <c r="P686" t="n">
        <v>72.44544</v>
      </c>
      <c r="Q686" t="n">
        <v>84.09999999999999</v>
      </c>
      <c r="R686" t="n">
        <v>83.75588</v>
      </c>
      <c r="S686" t="n">
        <v>88.3</v>
      </c>
      <c r="T686" t="n">
        <v>73.75037</v>
      </c>
      <c r="U686" t="n">
        <v>85.66297</v>
      </c>
      <c r="V686" t="n">
        <v>80</v>
      </c>
      <c r="W686" t="n">
        <v>86.10822</v>
      </c>
      <c r="X686" t="n">
        <v>69.57809</v>
      </c>
      <c r="Y686" t="n">
        <v>57.57188</v>
      </c>
      <c r="Z686" t="n">
        <v>45.5212</v>
      </c>
      <c r="AA686" t="n">
        <v>89.60877000000001</v>
      </c>
      <c r="AB686" t="n">
        <v>58.33346</v>
      </c>
      <c r="AC686" t="n">
        <v>83.16531999999999</v>
      </c>
      <c r="AD686" t="n">
        <v>85.43767</v>
      </c>
      <c r="AE686" t="n">
        <v>96.92033000000001</v>
      </c>
      <c r="AF686" t="n">
        <v>79.30663</v>
      </c>
      <c r="AG686" t="n">
        <v>73.54300000000001</v>
      </c>
      <c r="AH686" t="n">
        <v>82.51000000000001</v>
      </c>
      <c r="AI686" t="n">
        <v>69.54881</v>
      </c>
      <c r="AJ686" t="n">
        <v>69.13915</v>
      </c>
      <c r="AK686" t="n">
        <v>84.68000000000001</v>
      </c>
      <c r="AL686" t="n">
        <v>82.7</v>
      </c>
      <c r="AM686" t="n">
        <v>82.72887</v>
      </c>
      <c r="AN686" t="n">
        <v>81.29129</v>
      </c>
      <c r="AO686" t="n">
        <v>80.74888</v>
      </c>
      <c r="AP686" t="n">
        <v>86.72874</v>
      </c>
      <c r="AQ686" t="n">
        <v>42.88769</v>
      </c>
      <c r="AR686" t="n">
        <v>67.04449</v>
      </c>
      <c r="AS686" t="n">
        <v>82.40631999999999</v>
      </c>
      <c r="AT686" t="n">
        <v>82.13</v>
      </c>
      <c r="AU686" t="n">
        <v>89.22729</v>
      </c>
      <c r="AV686" t="n">
        <v>47.42023</v>
      </c>
      <c r="AW686" t="n">
        <v>83.66489</v>
      </c>
      <c r="AX686" t="n">
        <v>57.6125</v>
      </c>
    </row>
    <row r="687">
      <c r="A687" s="92" t="n">
        <v>38749</v>
      </c>
      <c r="B687" t="n">
        <v>83.10204</v>
      </c>
      <c r="C687" t="n">
        <v>84.15054000000001</v>
      </c>
      <c r="D687" t="n">
        <v>59.41413</v>
      </c>
      <c r="E687" t="n">
        <v>85.33052000000001</v>
      </c>
      <c r="F687" t="n">
        <v>98.15781</v>
      </c>
      <c r="G687" t="n">
        <v>71.82176</v>
      </c>
      <c r="H687" t="n">
        <v>77.03287</v>
      </c>
      <c r="I687" t="n">
        <v>69.43221</v>
      </c>
      <c r="J687" t="n">
        <v>56.45507</v>
      </c>
      <c r="K687" t="n">
        <v>82.59999999999999</v>
      </c>
      <c r="L687" t="n">
        <v>87.22808000000001</v>
      </c>
      <c r="M687" t="n">
        <v>85</v>
      </c>
      <c r="N687" t="n">
        <v>85.48</v>
      </c>
      <c r="O687" t="n">
        <v>84.86314</v>
      </c>
      <c r="P687" t="n">
        <v>72.80434</v>
      </c>
      <c r="Q687" t="n">
        <v>84.34999999999999</v>
      </c>
      <c r="R687" t="n">
        <v>84.42661</v>
      </c>
      <c r="S687" t="n">
        <v>88.64</v>
      </c>
      <c r="T687" t="n">
        <v>73.93436</v>
      </c>
      <c r="U687" t="n">
        <v>85.79901</v>
      </c>
      <c r="V687" t="n">
        <v>80.2</v>
      </c>
      <c r="W687" t="n">
        <v>85.0622</v>
      </c>
      <c r="X687" t="n">
        <v>69.72613</v>
      </c>
      <c r="Y687" t="n">
        <v>57.90929</v>
      </c>
      <c r="Z687" t="n">
        <v>45.5212</v>
      </c>
      <c r="AA687" t="n">
        <v>90.60553</v>
      </c>
      <c r="AB687" t="n">
        <v>58.29177</v>
      </c>
      <c r="AC687" t="n">
        <v>83.66936</v>
      </c>
      <c r="AD687" t="n">
        <v>85.63728999999999</v>
      </c>
      <c r="AE687" t="n">
        <v>96.61490999999999</v>
      </c>
      <c r="AF687" t="n">
        <v>79.46476</v>
      </c>
      <c r="AG687" t="n">
        <v>73.5772</v>
      </c>
      <c r="AH687" t="n">
        <v>83.88</v>
      </c>
      <c r="AI687" t="n">
        <v>69.80312000000001</v>
      </c>
      <c r="AJ687" t="n">
        <v>69.24494</v>
      </c>
      <c r="AK687" t="n">
        <v>85.01000000000001</v>
      </c>
      <c r="AL687" t="n">
        <v>83.40000000000001</v>
      </c>
      <c r="AM687" t="n">
        <v>82.86955</v>
      </c>
      <c r="AN687" t="n">
        <v>81.51781</v>
      </c>
      <c r="AO687" t="n">
        <v>80.74888</v>
      </c>
      <c r="AP687" t="n">
        <v>86.90688</v>
      </c>
      <c r="AQ687" t="n">
        <v>43.59963</v>
      </c>
      <c r="AR687" t="n">
        <v>67.04449</v>
      </c>
      <c r="AS687" t="n">
        <v>82.89574</v>
      </c>
      <c r="AT687" t="n">
        <v>82.43000000000001</v>
      </c>
      <c r="AU687" t="n">
        <v>89.64536</v>
      </c>
      <c r="AV687" t="n">
        <v>47.52384</v>
      </c>
      <c r="AW687" t="n">
        <v>83.83365000000001</v>
      </c>
      <c r="AX687" t="n">
        <v>57.68815</v>
      </c>
    </row>
    <row r="688">
      <c r="A688" s="92" t="n">
        <v>38777</v>
      </c>
      <c r="B688" t="n">
        <v>83.34962</v>
      </c>
      <c r="C688" t="n">
        <v>84.12081000000001</v>
      </c>
      <c r="D688" t="n">
        <v>59.66958</v>
      </c>
      <c r="E688" t="n">
        <v>85.80458</v>
      </c>
      <c r="F688" t="n">
        <v>98.05356</v>
      </c>
      <c r="G688" t="n">
        <v>72.24285999999999</v>
      </c>
      <c r="H688" t="n">
        <v>76.33958</v>
      </c>
      <c r="I688" t="n">
        <v>69.92167999999999</v>
      </c>
      <c r="J688" t="n">
        <v>56.5508</v>
      </c>
      <c r="K688" t="n">
        <v>82.59999999999999</v>
      </c>
      <c r="L688" t="n">
        <v>87.22808000000001</v>
      </c>
      <c r="M688" t="n">
        <v>85.3</v>
      </c>
      <c r="N688" t="n">
        <v>85.98</v>
      </c>
      <c r="O688" t="n">
        <v>85.46371000000001</v>
      </c>
      <c r="P688" t="n">
        <v>72.85561</v>
      </c>
      <c r="Q688" t="n">
        <v>84.79000000000001</v>
      </c>
      <c r="R688" t="n">
        <v>84.67812000000001</v>
      </c>
      <c r="S688" t="n">
        <v>88.89</v>
      </c>
      <c r="T688" t="n">
        <v>74.17192</v>
      </c>
      <c r="U688" t="n">
        <v>86.14387000000001</v>
      </c>
      <c r="V688" t="n">
        <v>80.40000000000001</v>
      </c>
      <c r="W688" t="n">
        <v>87.05247</v>
      </c>
      <c r="X688" t="n">
        <v>70.09622</v>
      </c>
      <c r="Y688" t="n">
        <v>57.92804</v>
      </c>
      <c r="Z688" t="n">
        <v>45.5212</v>
      </c>
      <c r="AA688" t="n">
        <v>91.00423000000001</v>
      </c>
      <c r="AB688" t="n">
        <v>58.91721</v>
      </c>
      <c r="AC688" t="n">
        <v>83.97177000000001</v>
      </c>
      <c r="AD688" t="n">
        <v>85.83691</v>
      </c>
      <c r="AE688" t="n">
        <v>96.81853</v>
      </c>
      <c r="AF688" t="n">
        <v>79.93492000000001</v>
      </c>
      <c r="AG688" t="n">
        <v>73.75879999999999</v>
      </c>
      <c r="AH688" t="n">
        <v>84.04000000000001</v>
      </c>
      <c r="AI688" t="n">
        <v>69.97516</v>
      </c>
      <c r="AJ688" t="n">
        <v>69.33183</v>
      </c>
      <c r="AK688" t="n">
        <v>85.68000000000001</v>
      </c>
      <c r="AL688" t="n">
        <v>83.59999999999999</v>
      </c>
      <c r="AM688" t="n">
        <v>83.20792</v>
      </c>
      <c r="AN688" t="n">
        <v>81.77634</v>
      </c>
      <c r="AO688" t="n">
        <v>80.66748</v>
      </c>
      <c r="AP688" t="n">
        <v>88.00358</v>
      </c>
      <c r="AQ688" t="n">
        <v>43.95715</v>
      </c>
      <c r="AR688" t="n">
        <v>67.37703999999999</v>
      </c>
      <c r="AS688" t="n">
        <v>82.89574</v>
      </c>
      <c r="AT688" t="n">
        <v>83.12</v>
      </c>
      <c r="AU688" t="n">
        <v>90.28044</v>
      </c>
      <c r="AV688" t="n">
        <v>47.65432</v>
      </c>
      <c r="AW688" t="n">
        <v>84.29774999999999</v>
      </c>
      <c r="AX688" t="n">
        <v>57.86008</v>
      </c>
    </row>
    <row r="689">
      <c r="A689" s="92" t="n">
        <v>38808</v>
      </c>
      <c r="B689" t="n">
        <v>83.76224000000001</v>
      </c>
      <c r="C689" t="n">
        <v>84.52715000000001</v>
      </c>
      <c r="D689" t="n">
        <v>59.79486</v>
      </c>
      <c r="E689" t="n">
        <v>86.27864</v>
      </c>
      <c r="F689" t="n">
        <v>98.88596</v>
      </c>
      <c r="G689" t="n">
        <v>72.70479</v>
      </c>
      <c r="H689" t="n">
        <v>76.49226</v>
      </c>
      <c r="I689" t="n">
        <v>70.23985</v>
      </c>
      <c r="J689" t="n">
        <v>56.7939</v>
      </c>
      <c r="K689" t="n">
        <v>82.59999999999999</v>
      </c>
      <c r="L689" t="n">
        <v>87.50796</v>
      </c>
      <c r="M689" t="n">
        <v>85.7</v>
      </c>
      <c r="N689" t="n">
        <v>86.55</v>
      </c>
      <c r="O689" t="n">
        <v>86.66912000000001</v>
      </c>
      <c r="P689" t="n">
        <v>73.41958</v>
      </c>
      <c r="Q689" t="n">
        <v>85.34999999999999</v>
      </c>
      <c r="R689" t="n">
        <v>85.09732</v>
      </c>
      <c r="S689" t="n">
        <v>89.27</v>
      </c>
      <c r="T689" t="n">
        <v>74.62508</v>
      </c>
      <c r="U689" t="n">
        <v>86.69082</v>
      </c>
      <c r="V689" t="n">
        <v>80.90000000000001</v>
      </c>
      <c r="W689" t="n">
        <v>87.69267000000001</v>
      </c>
      <c r="X689" t="n">
        <v>70.61436</v>
      </c>
      <c r="Y689" t="n">
        <v>57.95303</v>
      </c>
      <c r="Z689" t="n">
        <v>45.90373</v>
      </c>
      <c r="AA689" t="n">
        <v>91.80164000000001</v>
      </c>
      <c r="AB689" t="n">
        <v>59.62606</v>
      </c>
      <c r="AC689" t="n">
        <v>84.57661</v>
      </c>
      <c r="AD689" t="n">
        <v>86.10307</v>
      </c>
      <c r="AE689" t="n">
        <v>97.02213999999999</v>
      </c>
      <c r="AF689" t="n">
        <v>80.01398</v>
      </c>
      <c r="AG689" t="n">
        <v>74.27030000000001</v>
      </c>
      <c r="AH689" t="n">
        <v>84.3</v>
      </c>
      <c r="AI689" t="n">
        <v>70.39497</v>
      </c>
      <c r="AJ689" t="n">
        <v>69.43348</v>
      </c>
      <c r="AK689" t="n">
        <v>86.06999999999999</v>
      </c>
      <c r="AL689" t="n">
        <v>84.3</v>
      </c>
      <c r="AM689" t="n">
        <v>83.75033999999999</v>
      </c>
      <c r="AN689" t="n">
        <v>82.26363000000001</v>
      </c>
      <c r="AO689" t="n">
        <v>81.15588</v>
      </c>
      <c r="AP689" t="n">
        <v>88.45837</v>
      </c>
      <c r="AQ689" t="n">
        <v>44.111</v>
      </c>
      <c r="AR689" t="n">
        <v>67.44356000000001</v>
      </c>
      <c r="AS689" t="n">
        <v>83.07928</v>
      </c>
      <c r="AT689" t="n">
        <v>83.79000000000001</v>
      </c>
      <c r="AU689" t="n">
        <v>90.73681000000001</v>
      </c>
      <c r="AV689" t="n">
        <v>48.29134</v>
      </c>
      <c r="AW689" t="n">
        <v>85.015</v>
      </c>
      <c r="AX689" t="n">
        <v>57.99763</v>
      </c>
    </row>
    <row r="690">
      <c r="A690" s="92" t="n">
        <v>38838</v>
      </c>
      <c r="B690" t="n">
        <v>83.84475999999999</v>
      </c>
      <c r="C690" t="n">
        <v>84.84428</v>
      </c>
      <c r="D690" t="n">
        <v>59.85472</v>
      </c>
      <c r="E690" t="n">
        <v>86.67368999999999</v>
      </c>
      <c r="F690" t="n">
        <v>99.08373</v>
      </c>
      <c r="G690" t="n">
        <v>72.88258</v>
      </c>
      <c r="H690" t="n">
        <v>76.41576000000001</v>
      </c>
      <c r="I690" t="n">
        <v>70.46827</v>
      </c>
      <c r="J690" t="n">
        <v>57.69312</v>
      </c>
      <c r="K690" t="n">
        <v>83</v>
      </c>
      <c r="L690" t="n">
        <v>87.50796</v>
      </c>
      <c r="M690" t="n">
        <v>85.8</v>
      </c>
      <c r="N690" t="n">
        <v>86.79000000000001</v>
      </c>
      <c r="O690" t="n">
        <v>86.98172</v>
      </c>
      <c r="P690" t="n">
        <v>73.82975</v>
      </c>
      <c r="Q690" t="n">
        <v>85.61</v>
      </c>
      <c r="R690" t="n">
        <v>85.18116000000001</v>
      </c>
      <c r="S690" t="n">
        <v>89.65000000000001</v>
      </c>
      <c r="T690" t="n">
        <v>74.9093</v>
      </c>
      <c r="U690" t="n">
        <v>87.04834</v>
      </c>
      <c r="V690" t="n">
        <v>81.3</v>
      </c>
      <c r="W690" t="n">
        <v>87.8282</v>
      </c>
      <c r="X690" t="n">
        <v>71.28053</v>
      </c>
      <c r="Y690" t="n">
        <v>58.17172</v>
      </c>
      <c r="Z690" t="n">
        <v>46.28626</v>
      </c>
      <c r="AA690" t="n">
        <v>92.20035</v>
      </c>
      <c r="AB690" t="n">
        <v>60.50168</v>
      </c>
      <c r="AC690" t="n">
        <v>84.57661</v>
      </c>
      <c r="AD690" t="n">
        <v>86.36923</v>
      </c>
      <c r="AE690" t="n">
        <v>97.32756999999999</v>
      </c>
      <c r="AF690" t="n">
        <v>80.17001</v>
      </c>
      <c r="AG690" t="n">
        <v>74.59180000000001</v>
      </c>
      <c r="AH690" t="n">
        <v>84.59</v>
      </c>
      <c r="AI690" t="n">
        <v>71.25892</v>
      </c>
      <c r="AJ690" t="n">
        <v>69.12437</v>
      </c>
      <c r="AK690" t="n">
        <v>86.15000000000001</v>
      </c>
      <c r="AL690" t="n">
        <v>84.3</v>
      </c>
      <c r="AM690" t="n">
        <v>84.07042</v>
      </c>
      <c r="AN690" t="n">
        <v>82.58747</v>
      </c>
      <c r="AO690" t="n">
        <v>81.64427999999999</v>
      </c>
      <c r="AP690" t="n">
        <v>88.83853999999999</v>
      </c>
      <c r="AQ690" t="n">
        <v>44.32273</v>
      </c>
      <c r="AR690" t="n">
        <v>67.31053</v>
      </c>
      <c r="AS690" t="n">
        <v>83.44634000000001</v>
      </c>
      <c r="AT690" t="n">
        <v>84.52</v>
      </c>
      <c r="AU690" t="n">
        <v>90.87723</v>
      </c>
      <c r="AV690" t="n">
        <v>49.197</v>
      </c>
      <c r="AW690" t="n">
        <v>85.43691</v>
      </c>
      <c r="AX690" t="n">
        <v>58.21771</v>
      </c>
    </row>
    <row r="691">
      <c r="A691" s="92" t="n">
        <v>38869</v>
      </c>
      <c r="B691" t="n">
        <v>83.92728</v>
      </c>
      <c r="C691" t="n">
        <v>84.83437000000001</v>
      </c>
      <c r="D691" t="n">
        <v>59.72897</v>
      </c>
      <c r="E691" t="n">
        <v>86.51567</v>
      </c>
      <c r="F691" t="n">
        <v>99.05627</v>
      </c>
      <c r="G691" t="n">
        <v>73.30963</v>
      </c>
      <c r="H691" t="n">
        <v>76.03368</v>
      </c>
      <c r="I691" t="n">
        <v>70.68037</v>
      </c>
      <c r="J691" t="n">
        <v>58.24491</v>
      </c>
      <c r="K691" t="n">
        <v>83.2</v>
      </c>
      <c r="L691" t="n">
        <v>87.69454</v>
      </c>
      <c r="M691" t="n">
        <v>86</v>
      </c>
      <c r="N691" t="n">
        <v>86.84999999999999</v>
      </c>
      <c r="O691" t="n">
        <v>87.1134</v>
      </c>
      <c r="P691" t="n">
        <v>74.0861</v>
      </c>
      <c r="Q691" t="n">
        <v>85.67</v>
      </c>
      <c r="R691" t="n">
        <v>85.265</v>
      </c>
      <c r="S691" t="n">
        <v>89.65000000000001</v>
      </c>
      <c r="T691" t="n">
        <v>75.04685000000001</v>
      </c>
      <c r="U691" t="n">
        <v>87.17301</v>
      </c>
      <c r="V691" t="n">
        <v>81.5</v>
      </c>
      <c r="W691" t="n">
        <v>87.72897</v>
      </c>
      <c r="X691" t="n">
        <v>71.50259</v>
      </c>
      <c r="Y691" t="n">
        <v>58.43415</v>
      </c>
      <c r="Z691" t="n">
        <v>47.05132</v>
      </c>
      <c r="AA691" t="n">
        <v>92.3997</v>
      </c>
      <c r="AB691" t="n">
        <v>61.21053</v>
      </c>
      <c r="AC691" t="n">
        <v>84.67742</v>
      </c>
      <c r="AD691" t="n">
        <v>86.43577999999999</v>
      </c>
      <c r="AE691" t="n">
        <v>97.32756999999999</v>
      </c>
      <c r="AF691" t="n">
        <v>80.01398</v>
      </c>
      <c r="AG691" t="n">
        <v>74.7694</v>
      </c>
      <c r="AH691" t="n">
        <v>84.65000000000001</v>
      </c>
      <c r="AI691" t="n">
        <v>71.45174</v>
      </c>
      <c r="AJ691" t="n">
        <v>69.18407000000001</v>
      </c>
      <c r="AK691" t="n">
        <v>85.84</v>
      </c>
      <c r="AL691" t="n">
        <v>84.2</v>
      </c>
      <c r="AM691" t="n">
        <v>84.17022</v>
      </c>
      <c r="AN691" t="n">
        <v>82.67207999999999</v>
      </c>
      <c r="AO691" t="n">
        <v>81.40008</v>
      </c>
      <c r="AP691" t="n">
        <v>88.79675</v>
      </c>
      <c r="AQ691" t="n">
        <v>44.44683</v>
      </c>
      <c r="AR691" t="n">
        <v>67.37703999999999</v>
      </c>
      <c r="AS691" t="n">
        <v>83.50752</v>
      </c>
      <c r="AT691" t="n">
        <v>84.28</v>
      </c>
      <c r="AU691" t="n">
        <v>90.85169</v>
      </c>
      <c r="AV691" t="n">
        <v>49.36201</v>
      </c>
      <c r="AW691" t="n">
        <v>85.60567</v>
      </c>
      <c r="AX691" t="n">
        <v>58.64412</v>
      </c>
    </row>
    <row r="692">
      <c r="A692" s="92" t="n">
        <v>38899</v>
      </c>
      <c r="B692" t="n">
        <v>83.84475999999999</v>
      </c>
      <c r="C692" t="n">
        <v>85.12177</v>
      </c>
      <c r="D692" t="n">
        <v>59.84243</v>
      </c>
      <c r="E692" t="n">
        <v>86.59468</v>
      </c>
      <c r="F692" t="n">
        <v>98.38104</v>
      </c>
      <c r="G692" t="n">
        <v>73.70690999999999</v>
      </c>
      <c r="H692" t="n">
        <v>75.80558000000001</v>
      </c>
      <c r="I692" t="n">
        <v>70.97405999999999</v>
      </c>
      <c r="J692" t="n">
        <v>58.78487</v>
      </c>
      <c r="K692" t="n">
        <v>83.59999999999999</v>
      </c>
      <c r="L692" t="n">
        <v>88.06771000000001</v>
      </c>
      <c r="M692" t="n">
        <v>85.8</v>
      </c>
      <c r="N692" t="n">
        <v>86.75</v>
      </c>
      <c r="O692" t="n">
        <v>86.59524999999999</v>
      </c>
      <c r="P692" t="n">
        <v>74.49627</v>
      </c>
      <c r="Q692" t="n">
        <v>85.58</v>
      </c>
      <c r="R692" t="n">
        <v>85.09732</v>
      </c>
      <c r="S692" t="n">
        <v>89.5</v>
      </c>
      <c r="T692" t="n">
        <v>75.17377999999999</v>
      </c>
      <c r="U692" t="n">
        <v>87.32337</v>
      </c>
      <c r="V692" t="n">
        <v>81.5</v>
      </c>
      <c r="W692" t="n">
        <v>87.16526</v>
      </c>
      <c r="X692" t="n">
        <v>71.65063000000001</v>
      </c>
      <c r="Y692" t="n">
        <v>58.69658</v>
      </c>
      <c r="Z692" t="n">
        <v>47.43385</v>
      </c>
      <c r="AA692" t="n">
        <v>92.69873</v>
      </c>
      <c r="AB692" t="n">
        <v>61.4722</v>
      </c>
      <c r="AC692" t="n">
        <v>84.77822999999999</v>
      </c>
      <c r="AD692" t="n">
        <v>86.70193</v>
      </c>
      <c r="AE692" t="n">
        <v>97.02213999999999</v>
      </c>
      <c r="AF692" t="n">
        <v>80.32707000000001</v>
      </c>
      <c r="AG692" t="n">
        <v>75.1195</v>
      </c>
      <c r="AH692" t="n">
        <v>83.92</v>
      </c>
      <c r="AI692" t="n">
        <v>71.86712</v>
      </c>
      <c r="AJ692" t="n">
        <v>69.37379</v>
      </c>
      <c r="AK692" t="n">
        <v>85.68000000000001</v>
      </c>
      <c r="AL692" t="n">
        <v>83.90000000000001</v>
      </c>
      <c r="AM692" t="n">
        <v>84.30936</v>
      </c>
      <c r="AN692" t="n">
        <v>82.72422</v>
      </c>
      <c r="AO692" t="n">
        <v>81.48148</v>
      </c>
      <c r="AP692" t="n">
        <v>88.59074</v>
      </c>
      <c r="AQ692" t="n">
        <v>44.74463</v>
      </c>
      <c r="AR692" t="n">
        <v>67.6431</v>
      </c>
      <c r="AS692" t="n">
        <v>83.62988</v>
      </c>
      <c r="AT692" t="n">
        <v>84.09</v>
      </c>
      <c r="AU692" t="n">
        <v>90.69532</v>
      </c>
      <c r="AV692" t="n">
        <v>49.7803</v>
      </c>
      <c r="AW692" t="n">
        <v>85.85881999999999</v>
      </c>
      <c r="AX692" t="n">
        <v>59.04988</v>
      </c>
    </row>
    <row r="693">
      <c r="A693" s="92" t="n">
        <v>38930</v>
      </c>
      <c r="B693" t="n">
        <v>84.09233</v>
      </c>
      <c r="C693" t="n">
        <v>85.23079</v>
      </c>
      <c r="D693" t="n">
        <v>59.87236</v>
      </c>
      <c r="E693" t="n">
        <v>86.7527</v>
      </c>
      <c r="F693" t="n">
        <v>98.54944999999999</v>
      </c>
      <c r="G693" t="n">
        <v>73.90257</v>
      </c>
      <c r="H693" t="n">
        <v>76.033</v>
      </c>
      <c r="I693" t="n">
        <v>71.25143</v>
      </c>
      <c r="J693" t="n">
        <v>59.30117</v>
      </c>
      <c r="K693" t="n">
        <v>83.8</v>
      </c>
      <c r="L693" t="n">
        <v>87.88113</v>
      </c>
      <c r="M693" t="n">
        <v>85.8</v>
      </c>
      <c r="N693" t="n">
        <v>86.83</v>
      </c>
      <c r="O693" t="n">
        <v>86.7719</v>
      </c>
      <c r="P693" t="n">
        <v>75.06023999999999</v>
      </c>
      <c r="Q693" t="n">
        <v>85.67</v>
      </c>
      <c r="R693" t="n">
        <v>85.43268</v>
      </c>
      <c r="S693" t="n">
        <v>89.8</v>
      </c>
      <c r="T693" t="n">
        <v>75.34036</v>
      </c>
      <c r="U693" t="n">
        <v>87.53816</v>
      </c>
      <c r="V693" t="n">
        <v>81.8</v>
      </c>
      <c r="W693" t="n">
        <v>86.51667</v>
      </c>
      <c r="X693" t="n">
        <v>71.65063000000001</v>
      </c>
      <c r="Y693" t="n">
        <v>58.88403</v>
      </c>
      <c r="Z693" t="n">
        <v>47.43385</v>
      </c>
      <c r="AA693" t="n">
        <v>93.29678</v>
      </c>
      <c r="AB693" t="n">
        <v>61.66919</v>
      </c>
      <c r="AC693" t="n">
        <v>84.77822999999999</v>
      </c>
      <c r="AD693" t="n">
        <v>86.83501</v>
      </c>
      <c r="AE693" t="n">
        <v>97.73479</v>
      </c>
      <c r="AF693" t="n">
        <v>80.79723</v>
      </c>
      <c r="AG693" t="n">
        <v>75.0622</v>
      </c>
      <c r="AH693" t="n">
        <v>84.94</v>
      </c>
      <c r="AI693" t="n">
        <v>71.70175999999999</v>
      </c>
      <c r="AJ693" t="n">
        <v>69.72781000000001</v>
      </c>
      <c r="AK693" t="n">
        <v>86.13</v>
      </c>
      <c r="AL693" t="n">
        <v>83.90000000000001</v>
      </c>
      <c r="AM693" t="n">
        <v>84.50859</v>
      </c>
      <c r="AN693" t="n">
        <v>82.81809</v>
      </c>
      <c r="AO693" t="n">
        <v>81.72569</v>
      </c>
      <c r="AP693" t="n">
        <v>88.45440000000001</v>
      </c>
      <c r="AQ693" t="n">
        <v>44.82964</v>
      </c>
      <c r="AR693" t="n">
        <v>67.31053</v>
      </c>
      <c r="AS693" t="n">
        <v>83.69105999999999</v>
      </c>
      <c r="AT693" t="n">
        <v>84.62</v>
      </c>
      <c r="AU693" t="n">
        <v>90.75595</v>
      </c>
      <c r="AV693" t="n">
        <v>49.56156</v>
      </c>
      <c r="AW693" t="n">
        <v>86.02759</v>
      </c>
      <c r="AX693" t="n">
        <v>59.45565</v>
      </c>
    </row>
    <row r="694">
      <c r="A694" s="92" t="n">
        <v>38961</v>
      </c>
      <c r="B694" t="n">
        <v>83.92728</v>
      </c>
      <c r="C694" t="n">
        <v>84.98302</v>
      </c>
      <c r="D694" t="n">
        <v>59.99811</v>
      </c>
      <c r="E694" t="n">
        <v>86.27864</v>
      </c>
      <c r="F694" t="n">
        <v>98.33844000000001</v>
      </c>
      <c r="G694" t="n">
        <v>73.91448</v>
      </c>
      <c r="H694" t="n">
        <v>76.41316</v>
      </c>
      <c r="I694" t="n">
        <v>71.45538000000001</v>
      </c>
      <c r="J694" t="n">
        <v>59.20329</v>
      </c>
      <c r="K694" t="n">
        <v>83.2</v>
      </c>
      <c r="L694" t="n">
        <v>87.60124999999999</v>
      </c>
      <c r="M694" t="n">
        <v>86.09999999999999</v>
      </c>
      <c r="N694" t="n">
        <v>86.83</v>
      </c>
      <c r="O694" t="n">
        <v>86.62952</v>
      </c>
      <c r="P694" t="n">
        <v>74.80389</v>
      </c>
      <c r="Q694" t="n">
        <v>85.7</v>
      </c>
      <c r="R694" t="n">
        <v>85.51652</v>
      </c>
      <c r="S694" t="n">
        <v>89.59999999999999</v>
      </c>
      <c r="T694" t="n">
        <v>75.36055</v>
      </c>
      <c r="U694" t="n">
        <v>87.25044</v>
      </c>
      <c r="V694" t="n">
        <v>81.90000000000001</v>
      </c>
      <c r="W694" t="n">
        <v>87.90385999999999</v>
      </c>
      <c r="X694" t="n">
        <v>73.42709000000001</v>
      </c>
      <c r="Y694" t="n">
        <v>59.10896</v>
      </c>
      <c r="Z694" t="n">
        <v>47.81638</v>
      </c>
      <c r="AA694" t="n">
        <v>93.69549000000001</v>
      </c>
      <c r="AB694" t="n">
        <v>62.04446</v>
      </c>
      <c r="AC694" t="n">
        <v>83.97177000000001</v>
      </c>
      <c r="AD694" t="n">
        <v>86.76846999999999</v>
      </c>
      <c r="AE694" t="n">
        <v>97.73479</v>
      </c>
      <c r="AF694" t="n">
        <v>81.03232</v>
      </c>
      <c r="AG694" t="n">
        <v>74.9646</v>
      </c>
      <c r="AH694" t="n">
        <v>84.84999999999999</v>
      </c>
      <c r="AI694" t="n">
        <v>72.19334000000001</v>
      </c>
      <c r="AJ694" t="n">
        <v>70.43171</v>
      </c>
      <c r="AK694" t="n">
        <v>86.45999999999999</v>
      </c>
      <c r="AL694" t="n">
        <v>85.09999999999999</v>
      </c>
      <c r="AM694" t="n">
        <v>84.3909</v>
      </c>
      <c r="AN694" t="n">
        <v>82.8867</v>
      </c>
      <c r="AO694" t="n">
        <v>81.80708</v>
      </c>
      <c r="AP694" t="n">
        <v>88.82361</v>
      </c>
      <c r="AQ694" t="n">
        <v>44.86999</v>
      </c>
      <c r="AR694" t="n">
        <v>67.97566</v>
      </c>
      <c r="AS694" t="n">
        <v>83.44634000000001</v>
      </c>
      <c r="AT694" t="n">
        <v>84.93000000000001</v>
      </c>
      <c r="AU694" t="n">
        <v>91.28572</v>
      </c>
      <c r="AV694" t="n">
        <v>50.19859</v>
      </c>
      <c r="AW694" t="n">
        <v>85.60567</v>
      </c>
      <c r="AX694" t="n">
        <v>59.60696</v>
      </c>
    </row>
    <row r="695">
      <c r="A695" s="92" t="n">
        <v>38991</v>
      </c>
      <c r="B695" t="n">
        <v>83.84475999999999</v>
      </c>
      <c r="C695" t="n">
        <v>84.81455</v>
      </c>
      <c r="D695" t="n">
        <v>60.19601</v>
      </c>
      <c r="E695" t="n">
        <v>86.12062</v>
      </c>
      <c r="F695" t="n">
        <v>98.67155</v>
      </c>
      <c r="G695" t="n">
        <v>73.72478</v>
      </c>
      <c r="H695" t="n">
        <v>76.48958</v>
      </c>
      <c r="I695" t="n">
        <v>71.34932000000001</v>
      </c>
      <c r="J695" t="n">
        <v>59.31623</v>
      </c>
      <c r="K695" t="n">
        <v>82.7</v>
      </c>
      <c r="L695" t="n">
        <v>87.69454</v>
      </c>
      <c r="M695" t="n">
        <v>86</v>
      </c>
      <c r="N695" t="n">
        <v>86.90000000000001</v>
      </c>
      <c r="O695" t="n">
        <v>86.98493000000001</v>
      </c>
      <c r="P695" t="n">
        <v>74.70135000000001</v>
      </c>
      <c r="Q695" t="n">
        <v>85.76000000000001</v>
      </c>
      <c r="R695" t="n">
        <v>85.76804</v>
      </c>
      <c r="S695" t="n">
        <v>89.40000000000001</v>
      </c>
      <c r="T695" t="n">
        <v>75.37891999999999</v>
      </c>
      <c r="U695" t="n">
        <v>86.96075999999999</v>
      </c>
      <c r="V695" t="n">
        <v>82</v>
      </c>
      <c r="W695" t="n">
        <v>88.38887</v>
      </c>
      <c r="X695" t="n">
        <v>73.72317</v>
      </c>
      <c r="Y695" t="n">
        <v>59.62133</v>
      </c>
      <c r="Z695" t="n">
        <v>48.58145</v>
      </c>
      <c r="AA695" t="n">
        <v>93.59581</v>
      </c>
      <c r="AB695" t="n">
        <v>62.16954</v>
      </c>
      <c r="AC695" t="n">
        <v>83.56855</v>
      </c>
      <c r="AD695" t="n">
        <v>86.70193</v>
      </c>
      <c r="AE695" t="n">
        <v>97.53118000000001</v>
      </c>
      <c r="AF695" t="n">
        <v>80.64017</v>
      </c>
      <c r="AG695" t="n">
        <v>75.74299999999999</v>
      </c>
      <c r="AH695" t="n">
        <v>84.64</v>
      </c>
      <c r="AI695" t="n">
        <v>72.57798</v>
      </c>
      <c r="AJ695" t="n">
        <v>70.73963000000001</v>
      </c>
      <c r="AK695" t="n">
        <v>86.23999999999999</v>
      </c>
      <c r="AL695" t="n">
        <v>85.2</v>
      </c>
      <c r="AM695" t="n">
        <v>84.21630999999999</v>
      </c>
      <c r="AN695" t="n">
        <v>82.97913</v>
      </c>
      <c r="AO695" t="n">
        <v>81.72569</v>
      </c>
      <c r="AP695" t="n">
        <v>88.88630999999999</v>
      </c>
      <c r="AQ695" t="n">
        <v>44.99562</v>
      </c>
      <c r="AR695" t="n">
        <v>68.37473</v>
      </c>
      <c r="AS695" t="n">
        <v>83.62988</v>
      </c>
      <c r="AT695" t="n">
        <v>84.23</v>
      </c>
      <c r="AU695" t="n">
        <v>91.2953</v>
      </c>
      <c r="AV695" t="n">
        <v>50.83562</v>
      </c>
      <c r="AW695" t="n">
        <v>85.14157</v>
      </c>
      <c r="AX695" t="n">
        <v>59.92332</v>
      </c>
    </row>
    <row r="696">
      <c r="A696" s="92" t="n">
        <v>39022</v>
      </c>
      <c r="B696" t="n">
        <v>83.92728</v>
      </c>
      <c r="C696" t="n">
        <v>85.02267000000001</v>
      </c>
      <c r="D696" t="n">
        <v>60.38255</v>
      </c>
      <c r="E696" t="n">
        <v>86.27864</v>
      </c>
      <c r="F696" t="n">
        <v>98.62884</v>
      </c>
      <c r="G696" t="n">
        <v>73.60057</v>
      </c>
      <c r="H696" t="n">
        <v>76.71905</v>
      </c>
      <c r="I696" t="n">
        <v>71.52064</v>
      </c>
      <c r="J696" t="n">
        <v>59.91858</v>
      </c>
      <c r="K696" t="n">
        <v>82.7</v>
      </c>
      <c r="L696" t="n">
        <v>87.69454</v>
      </c>
      <c r="M696" t="n">
        <v>85.90000000000001</v>
      </c>
      <c r="N696" t="n">
        <v>86.94</v>
      </c>
      <c r="O696" t="n">
        <v>87.20010000000001</v>
      </c>
      <c r="P696" t="n">
        <v>75.26533000000001</v>
      </c>
      <c r="Q696" t="n">
        <v>85.81999999999999</v>
      </c>
      <c r="R696" t="n">
        <v>85.76804</v>
      </c>
      <c r="S696" t="n">
        <v>89.5</v>
      </c>
      <c r="T696" t="n">
        <v>75.40881</v>
      </c>
      <c r="U696" t="n">
        <v>86.86490999999999</v>
      </c>
      <c r="V696" t="n">
        <v>82.2</v>
      </c>
      <c r="W696" t="n">
        <v>88.30551</v>
      </c>
      <c r="X696" t="n">
        <v>73.94523</v>
      </c>
      <c r="Y696" t="n">
        <v>59.82127</v>
      </c>
      <c r="Z696" t="n">
        <v>48.58145</v>
      </c>
      <c r="AA696" t="n">
        <v>93.99451000000001</v>
      </c>
      <c r="AB696" t="n">
        <v>62.16954</v>
      </c>
      <c r="AC696" t="n">
        <v>83.36694</v>
      </c>
      <c r="AD696" t="n">
        <v>86.76846999999999</v>
      </c>
      <c r="AE696" t="n">
        <v>97.02213999999999</v>
      </c>
      <c r="AF696" t="n">
        <v>80.24907</v>
      </c>
      <c r="AG696" t="n">
        <v>76.3522</v>
      </c>
      <c r="AH696" t="n">
        <v>84.73</v>
      </c>
      <c r="AI696" t="n">
        <v>73.27907</v>
      </c>
      <c r="AJ696" t="n">
        <v>71.11078999999999</v>
      </c>
      <c r="AK696" t="n">
        <v>86.09999999999999</v>
      </c>
      <c r="AL696" t="n">
        <v>85.09999999999999</v>
      </c>
      <c r="AM696" t="n">
        <v>84.19338</v>
      </c>
      <c r="AN696" t="n">
        <v>83.12873</v>
      </c>
      <c r="AO696" t="n">
        <v>81.80708</v>
      </c>
      <c r="AP696" t="n">
        <v>89.00673</v>
      </c>
      <c r="AQ696" t="n">
        <v>45.27909</v>
      </c>
      <c r="AR696" t="n">
        <v>68.7073</v>
      </c>
      <c r="AS696" t="n">
        <v>84.11929000000001</v>
      </c>
      <c r="AT696" t="n">
        <v>84.51000000000001</v>
      </c>
      <c r="AU696" t="n">
        <v>91.41019</v>
      </c>
      <c r="AV696" t="n">
        <v>51.49184</v>
      </c>
      <c r="AW696" t="n">
        <v>85.015</v>
      </c>
      <c r="AX696" t="n">
        <v>59.92332</v>
      </c>
    </row>
    <row r="697">
      <c r="A697" s="92" t="n">
        <v>39052</v>
      </c>
      <c r="B697" t="n">
        <v>84.17486</v>
      </c>
      <c r="C697" t="n">
        <v>85.14158999999999</v>
      </c>
      <c r="D697" t="n">
        <v>60.67234</v>
      </c>
      <c r="E697" t="n">
        <v>86.43666</v>
      </c>
      <c r="F697" t="n">
        <v>98.64187</v>
      </c>
      <c r="G697" t="n">
        <v>73.67203000000001</v>
      </c>
      <c r="H697" t="n">
        <v>77.79311</v>
      </c>
      <c r="I697" t="n">
        <v>71.68380000000001</v>
      </c>
      <c r="J697" t="n">
        <v>60.52845</v>
      </c>
      <c r="K697" t="n">
        <v>82.8</v>
      </c>
      <c r="L697" t="n">
        <v>88.34759</v>
      </c>
      <c r="M697" t="n">
        <v>86</v>
      </c>
      <c r="N697" t="n">
        <v>87.27</v>
      </c>
      <c r="O697" t="n">
        <v>87.43884</v>
      </c>
      <c r="P697" t="n">
        <v>75.52168</v>
      </c>
      <c r="Q697" t="n">
        <v>86.12</v>
      </c>
      <c r="R697" t="n">
        <v>85.85187999999999</v>
      </c>
      <c r="S697" t="n">
        <v>89.70999999999999</v>
      </c>
      <c r="T697" t="n">
        <v>75.68651</v>
      </c>
      <c r="U697" t="n">
        <v>87.05871999999999</v>
      </c>
      <c r="V697" t="n">
        <v>82.59999999999999</v>
      </c>
      <c r="W697" t="n">
        <v>88.7141</v>
      </c>
      <c r="X697" t="n">
        <v>74.01924</v>
      </c>
      <c r="Y697" t="n">
        <v>60.55232</v>
      </c>
      <c r="Z697" t="n">
        <v>48.58145</v>
      </c>
      <c r="AA697" t="n">
        <v>94.39322</v>
      </c>
      <c r="AB697" t="n">
        <v>62.21124</v>
      </c>
      <c r="AC697" t="n">
        <v>83.36694</v>
      </c>
      <c r="AD697" t="n">
        <v>86.83501</v>
      </c>
      <c r="AE697" t="n">
        <v>97.12394999999999</v>
      </c>
      <c r="AF697" t="n">
        <v>80.48415</v>
      </c>
      <c r="AG697" t="n">
        <v>76.49339999999999</v>
      </c>
      <c r="AH697" t="n">
        <v>84.86</v>
      </c>
      <c r="AI697" t="n">
        <v>73.51922</v>
      </c>
      <c r="AJ697" t="n">
        <v>71.52213999999999</v>
      </c>
      <c r="AK697" t="n">
        <v>85.79000000000001</v>
      </c>
      <c r="AL697" t="n">
        <v>84.7</v>
      </c>
      <c r="AM697" t="n">
        <v>84.37719</v>
      </c>
      <c r="AN697" t="n">
        <v>83.37354999999999</v>
      </c>
      <c r="AO697" t="n">
        <v>81.72569</v>
      </c>
      <c r="AP697" t="n">
        <v>89.20377000000001</v>
      </c>
      <c r="AQ697" t="n">
        <v>45.6368</v>
      </c>
      <c r="AR697" t="n">
        <v>68.84032000000001</v>
      </c>
      <c r="AS697" t="n">
        <v>84.11929000000001</v>
      </c>
      <c r="AT697" t="n">
        <v>84.87</v>
      </c>
      <c r="AU697" t="n">
        <v>91.41019</v>
      </c>
      <c r="AV697" t="n">
        <v>51.6108</v>
      </c>
      <c r="AW697" t="n">
        <v>85.14157</v>
      </c>
      <c r="AX697" t="n">
        <v>60.15715</v>
      </c>
    </row>
    <row r="698">
      <c r="A698" s="92" t="n">
        <v>39083</v>
      </c>
      <c r="B698" t="n">
        <v>84.17486</v>
      </c>
      <c r="C698" t="n">
        <v>85.18124</v>
      </c>
      <c r="D698" t="n">
        <v>60.93938</v>
      </c>
      <c r="E698" t="n">
        <v>86.43666</v>
      </c>
      <c r="F698" t="n">
        <v>97.95282</v>
      </c>
      <c r="G698" t="n">
        <v>73.89747</v>
      </c>
      <c r="H698" t="n">
        <v>78.33766</v>
      </c>
      <c r="I698" t="n">
        <v>72.23038</v>
      </c>
      <c r="J698" t="n">
        <v>61.10498</v>
      </c>
      <c r="K698" t="n">
        <v>83.59999999999999</v>
      </c>
      <c r="L698" t="n">
        <v>88.34759</v>
      </c>
      <c r="M698" t="n">
        <v>85.7</v>
      </c>
      <c r="N698" t="n">
        <v>86.83</v>
      </c>
      <c r="O698" t="n">
        <v>86.85111000000001</v>
      </c>
      <c r="P698" t="n">
        <v>76.13692</v>
      </c>
      <c r="Q698" t="n">
        <v>85.8</v>
      </c>
      <c r="R698" t="n">
        <v>85.6842</v>
      </c>
      <c r="S698" t="n">
        <v>89.40000000000001</v>
      </c>
      <c r="T698" t="n">
        <v>75.81142</v>
      </c>
      <c r="U698" t="n">
        <v>87.12681000000001</v>
      </c>
      <c r="V698" t="n">
        <v>82.09999999999999</v>
      </c>
      <c r="W698" t="n">
        <v>88.45923999999999</v>
      </c>
      <c r="X698" t="n">
        <v>74.90748000000001</v>
      </c>
      <c r="Y698" t="n">
        <v>61.17715</v>
      </c>
      <c r="Z698" t="n">
        <v>48.58145</v>
      </c>
      <c r="AA698" t="n">
        <v>94.19387</v>
      </c>
      <c r="AB698" t="n">
        <v>62.33633</v>
      </c>
      <c r="AC698" t="n">
        <v>83.26613</v>
      </c>
      <c r="AD698" t="n">
        <v>86.90155</v>
      </c>
      <c r="AE698" t="n">
        <v>96.92033000000001</v>
      </c>
      <c r="AF698" t="n">
        <v>80.64017</v>
      </c>
      <c r="AG698" t="n">
        <v>76.5077</v>
      </c>
      <c r="AH698" t="n">
        <v>84.38</v>
      </c>
      <c r="AI698" t="n">
        <v>74.50984</v>
      </c>
      <c r="AJ698" t="n">
        <v>71.89153</v>
      </c>
      <c r="AK698" t="n">
        <v>85.89</v>
      </c>
      <c r="AL698" t="n">
        <v>83.7</v>
      </c>
      <c r="AM698" t="n">
        <v>84.45705</v>
      </c>
      <c r="AN698" t="n">
        <v>83.26643</v>
      </c>
      <c r="AO698" t="n">
        <v>82.05128000000001</v>
      </c>
      <c r="AP698" t="n">
        <v>88.95995000000001</v>
      </c>
      <c r="AQ698" t="n">
        <v>46.4035</v>
      </c>
      <c r="AR698" t="n">
        <v>69.43893</v>
      </c>
      <c r="AS698" t="n">
        <v>84.91459999999999</v>
      </c>
      <c r="AT698" t="n">
        <v>84.36</v>
      </c>
      <c r="AU698" t="n">
        <v>90.95701</v>
      </c>
      <c r="AV698" t="n">
        <v>52.12886</v>
      </c>
      <c r="AW698" t="n">
        <v>85.40147</v>
      </c>
      <c r="AX698" t="n">
        <v>60.59731</v>
      </c>
    </row>
    <row r="699">
      <c r="A699" s="92" t="n">
        <v>39114</v>
      </c>
      <c r="B699" t="n">
        <v>84.42243000000001</v>
      </c>
      <c r="C699" t="n">
        <v>85.63712</v>
      </c>
      <c r="D699" t="n">
        <v>61.20759</v>
      </c>
      <c r="E699" t="n">
        <v>87.06874000000001</v>
      </c>
      <c r="F699" t="n">
        <v>98.14658</v>
      </c>
      <c r="G699" t="n">
        <v>73.77242</v>
      </c>
      <c r="H699" t="n">
        <v>79.12103999999999</v>
      </c>
      <c r="I699" t="n">
        <v>73.0788</v>
      </c>
      <c r="J699" t="n">
        <v>61.32011</v>
      </c>
      <c r="K699" t="n">
        <v>83.8</v>
      </c>
      <c r="L699" t="n">
        <v>88.72075</v>
      </c>
      <c r="M699" t="n">
        <v>86.59999999999999</v>
      </c>
      <c r="N699" t="n">
        <v>87.08</v>
      </c>
      <c r="O699" t="n">
        <v>86.91</v>
      </c>
      <c r="P699" t="n">
        <v>76.23947</v>
      </c>
      <c r="Q699" t="n">
        <v>86.06999999999999</v>
      </c>
      <c r="R699" t="n">
        <v>86.27108</v>
      </c>
      <c r="S699" t="n">
        <v>89.56999999999999</v>
      </c>
      <c r="T699" t="n">
        <v>76.15842000000001</v>
      </c>
      <c r="U699" t="n">
        <v>87.43174999999999</v>
      </c>
      <c r="V699" t="n">
        <v>82.40000000000001</v>
      </c>
      <c r="W699" t="n">
        <v>87.33533</v>
      </c>
      <c r="X699" t="n">
        <v>75.86973</v>
      </c>
      <c r="Y699" t="n">
        <v>61.5583</v>
      </c>
      <c r="Z699" t="n">
        <v>48.96398</v>
      </c>
      <c r="AA699" t="n">
        <v>94.99128</v>
      </c>
      <c r="AB699" t="n">
        <v>62.58651</v>
      </c>
      <c r="AC699" t="n">
        <v>82.96371000000001</v>
      </c>
      <c r="AD699" t="n">
        <v>87.16772</v>
      </c>
      <c r="AE699" t="n">
        <v>96.4113</v>
      </c>
      <c r="AF699" t="n">
        <v>81.18939</v>
      </c>
      <c r="AG699" t="n">
        <v>76.74630000000001</v>
      </c>
      <c r="AH699" t="n">
        <v>85.56</v>
      </c>
      <c r="AI699" t="n">
        <v>74.89067</v>
      </c>
      <c r="AJ699" t="n">
        <v>72.09247999999999</v>
      </c>
      <c r="AK699" t="n">
        <v>86.28</v>
      </c>
      <c r="AL699" t="n">
        <v>84</v>
      </c>
      <c r="AM699" t="n">
        <v>84.74370999999999</v>
      </c>
      <c r="AN699" t="n">
        <v>83.52028</v>
      </c>
      <c r="AO699" t="n">
        <v>82.29548</v>
      </c>
      <c r="AP699" t="n">
        <v>88.94502</v>
      </c>
      <c r="AQ699" t="n">
        <v>46.91858</v>
      </c>
      <c r="AR699" t="n">
        <v>69.03986</v>
      </c>
      <c r="AS699" t="n">
        <v>85.09814</v>
      </c>
      <c r="AT699" t="n">
        <v>84.20999999999999</v>
      </c>
      <c r="AU699" t="n">
        <v>91.41656</v>
      </c>
      <c r="AV699" t="n">
        <v>52.35144</v>
      </c>
      <c r="AW699" t="n">
        <v>85.8584</v>
      </c>
      <c r="AX699" t="n">
        <v>60.52166</v>
      </c>
    </row>
    <row r="700">
      <c r="A700" s="92" t="n">
        <v>39142</v>
      </c>
      <c r="B700" t="n">
        <v>84.83505</v>
      </c>
      <c r="C700" t="n">
        <v>85.64703</v>
      </c>
      <c r="D700" t="n">
        <v>61.43403</v>
      </c>
      <c r="E700" t="n">
        <v>87.77982</v>
      </c>
      <c r="F700" t="n">
        <v>98.22307000000001</v>
      </c>
      <c r="G700" t="n">
        <v>74.08717</v>
      </c>
      <c r="H700" t="n">
        <v>78.88367</v>
      </c>
      <c r="I700" t="n">
        <v>73.96802</v>
      </c>
      <c r="J700" t="n">
        <v>61.76327</v>
      </c>
      <c r="K700" t="n">
        <v>84.09999999999999</v>
      </c>
      <c r="L700" t="n">
        <v>88.90733</v>
      </c>
      <c r="M700" t="n">
        <v>87</v>
      </c>
      <c r="N700" t="n">
        <v>87.66</v>
      </c>
      <c r="O700" t="n">
        <v>87.56944</v>
      </c>
      <c r="P700" t="n">
        <v>77.0598</v>
      </c>
      <c r="Q700" t="n">
        <v>86.61</v>
      </c>
      <c r="R700" t="n">
        <v>86.85796000000001</v>
      </c>
      <c r="S700" t="n">
        <v>89.95</v>
      </c>
      <c r="T700" t="n">
        <v>76.52264</v>
      </c>
      <c r="U700" t="n">
        <v>88.01073</v>
      </c>
      <c r="V700" t="n">
        <v>82.8</v>
      </c>
      <c r="W700" t="n">
        <v>89.34396</v>
      </c>
      <c r="X700" t="n">
        <v>76.46187999999999</v>
      </c>
      <c r="Y700" t="n">
        <v>61.70201</v>
      </c>
      <c r="Z700" t="n">
        <v>48.58145</v>
      </c>
      <c r="AA700" t="n">
        <v>95.68901</v>
      </c>
      <c r="AB700" t="n">
        <v>62.37803</v>
      </c>
      <c r="AC700" t="n">
        <v>83.16531999999999</v>
      </c>
      <c r="AD700" t="n">
        <v>87.3008</v>
      </c>
      <c r="AE700" t="n">
        <v>96.71672</v>
      </c>
      <c r="AF700" t="n">
        <v>81.66061000000001</v>
      </c>
      <c r="AG700" t="n">
        <v>77.1743</v>
      </c>
      <c r="AH700" t="n">
        <v>85.84</v>
      </c>
      <c r="AI700" t="n">
        <v>75.93749</v>
      </c>
      <c r="AJ700" t="n">
        <v>72.24850000000001</v>
      </c>
      <c r="AK700" t="n">
        <v>87.22</v>
      </c>
      <c r="AL700" t="n">
        <v>84.5</v>
      </c>
      <c r="AM700" t="n">
        <v>85.29226</v>
      </c>
      <c r="AN700" t="n">
        <v>83.94219</v>
      </c>
      <c r="AO700" t="n">
        <v>82.70247999999999</v>
      </c>
      <c r="AP700" t="n">
        <v>90.05566</v>
      </c>
      <c r="AQ700" t="n">
        <v>47.1954</v>
      </c>
      <c r="AR700" t="n">
        <v>69.30591</v>
      </c>
      <c r="AS700" t="n">
        <v>85.15931999999999</v>
      </c>
      <c r="AT700" t="n">
        <v>85.06</v>
      </c>
      <c r="AU700" t="n">
        <v>92.01654000000001</v>
      </c>
      <c r="AV700" t="n">
        <v>52.83113</v>
      </c>
      <c r="AW700" t="n">
        <v>86.64019999999999</v>
      </c>
      <c r="AX700" t="n">
        <v>60.94118</v>
      </c>
    </row>
    <row r="701">
      <c r="A701" s="92" t="n">
        <v>39173</v>
      </c>
      <c r="B701" t="n">
        <v>85.24767</v>
      </c>
      <c r="C701" t="n">
        <v>86.03355000000001</v>
      </c>
      <c r="D701" t="n">
        <v>61.58762</v>
      </c>
      <c r="E701" t="n">
        <v>88.17487</v>
      </c>
      <c r="F701" t="n">
        <v>99.33484</v>
      </c>
      <c r="G701" t="n">
        <v>74.51336999999999</v>
      </c>
      <c r="H701" t="n">
        <v>78.80479</v>
      </c>
      <c r="I701" t="n">
        <v>74.62881</v>
      </c>
      <c r="J701" t="n">
        <v>62.33442</v>
      </c>
      <c r="K701" t="n">
        <v>84.7</v>
      </c>
      <c r="L701" t="n">
        <v>89.37379</v>
      </c>
      <c r="M701" t="n">
        <v>87.09999999999999</v>
      </c>
      <c r="N701" t="n">
        <v>88.22</v>
      </c>
      <c r="O701" t="n">
        <v>88.77914</v>
      </c>
      <c r="P701" t="n">
        <v>77.46996</v>
      </c>
      <c r="Q701" t="n">
        <v>87.15000000000001</v>
      </c>
      <c r="R701" t="n">
        <v>87.27715000000001</v>
      </c>
      <c r="S701" t="n">
        <v>90.39</v>
      </c>
      <c r="T701" t="n">
        <v>76.90721000000001</v>
      </c>
      <c r="U701" t="n">
        <v>88.47504000000001</v>
      </c>
      <c r="V701" t="n">
        <v>83.09999999999999</v>
      </c>
      <c r="W701" t="n">
        <v>89.90961</v>
      </c>
      <c r="X701" t="n">
        <v>76.75796</v>
      </c>
      <c r="Y701" t="n">
        <v>61.60204</v>
      </c>
      <c r="Z701" t="n">
        <v>48.96398</v>
      </c>
      <c r="AA701" t="n">
        <v>96.38674</v>
      </c>
      <c r="AB701" t="n">
        <v>62.79499</v>
      </c>
      <c r="AC701" t="n">
        <v>83.56855</v>
      </c>
      <c r="AD701" t="n">
        <v>87.43388</v>
      </c>
      <c r="AE701" t="n">
        <v>97.02213999999999</v>
      </c>
      <c r="AF701" t="n">
        <v>81.97369</v>
      </c>
      <c r="AG701" t="n">
        <v>77.8394</v>
      </c>
      <c r="AH701" t="n">
        <v>86.06</v>
      </c>
      <c r="AI701" t="n">
        <v>76.62524999999999</v>
      </c>
      <c r="AJ701" t="n">
        <v>72.20536</v>
      </c>
      <c r="AK701" t="n">
        <v>87.64</v>
      </c>
      <c r="AL701" t="n">
        <v>84.5</v>
      </c>
      <c r="AM701" t="n">
        <v>85.77345</v>
      </c>
      <c r="AN701" t="n">
        <v>84.42404000000001</v>
      </c>
      <c r="AO701" t="n">
        <v>83.10948</v>
      </c>
      <c r="AP701" t="n">
        <v>90.87868</v>
      </c>
      <c r="AQ701" t="n">
        <v>47.46441</v>
      </c>
      <c r="AR701" t="n">
        <v>69.37242000000001</v>
      </c>
      <c r="AS701" t="n">
        <v>85.34285</v>
      </c>
      <c r="AT701" t="n">
        <v>85.98999999999999</v>
      </c>
      <c r="AU701" t="n">
        <v>92.48248</v>
      </c>
      <c r="AV701" t="n">
        <v>53.46816</v>
      </c>
      <c r="AW701" t="n">
        <v>87.20303</v>
      </c>
      <c r="AX701" t="n">
        <v>61.457</v>
      </c>
    </row>
    <row r="702">
      <c r="A702" s="92" t="n">
        <v>39203</v>
      </c>
      <c r="B702" t="n">
        <v>85.49525</v>
      </c>
      <c r="C702" t="n">
        <v>85.93444</v>
      </c>
      <c r="D702" t="n">
        <v>61.76001</v>
      </c>
      <c r="E702" t="n">
        <v>88.56992</v>
      </c>
      <c r="F702" t="n">
        <v>99.56719</v>
      </c>
      <c r="G702" t="n">
        <v>74.97615</v>
      </c>
      <c r="H702" t="n">
        <v>79.04121000000001</v>
      </c>
      <c r="I702" t="n">
        <v>74.85724</v>
      </c>
      <c r="J702" t="n">
        <v>62.9841</v>
      </c>
      <c r="K702" t="n">
        <v>85</v>
      </c>
      <c r="L702" t="n">
        <v>89.37379</v>
      </c>
      <c r="M702" t="n">
        <v>87.3</v>
      </c>
      <c r="N702" t="n">
        <v>88.43000000000001</v>
      </c>
      <c r="O702" t="n">
        <v>89.02321999999999</v>
      </c>
      <c r="P702" t="n">
        <v>78.03394</v>
      </c>
      <c r="Q702" t="n">
        <v>87.38</v>
      </c>
      <c r="R702" t="n">
        <v>87.19331</v>
      </c>
      <c r="S702" t="n">
        <v>90.61</v>
      </c>
      <c r="T702" t="n">
        <v>77.21481</v>
      </c>
      <c r="U702" t="n">
        <v>88.86913</v>
      </c>
      <c r="V702" t="n">
        <v>83.3</v>
      </c>
      <c r="W702" t="n">
        <v>90.13120000000001</v>
      </c>
      <c r="X702" t="n">
        <v>77.35011</v>
      </c>
      <c r="Y702" t="n">
        <v>61.66452</v>
      </c>
      <c r="Z702" t="n">
        <v>49.34651</v>
      </c>
      <c r="AA702" t="n">
        <v>96.78545</v>
      </c>
      <c r="AB702" t="n">
        <v>63.29535</v>
      </c>
      <c r="AC702" t="n">
        <v>83.56855</v>
      </c>
      <c r="AD702" t="n">
        <v>87.70004</v>
      </c>
      <c r="AE702" t="n">
        <v>97.32756999999999</v>
      </c>
      <c r="AF702" t="n">
        <v>82.05276000000001</v>
      </c>
      <c r="AG702" t="n">
        <v>78.20910000000001</v>
      </c>
      <c r="AH702" t="n">
        <v>86.20999999999999</v>
      </c>
      <c r="AI702" t="n">
        <v>77.07688</v>
      </c>
      <c r="AJ702" t="n">
        <v>71.85311</v>
      </c>
      <c r="AK702" t="n">
        <v>87.7</v>
      </c>
      <c r="AL702" t="n">
        <v>84.59999999999999</v>
      </c>
      <c r="AM702" t="n">
        <v>86.08405999999999</v>
      </c>
      <c r="AN702" t="n">
        <v>84.61139</v>
      </c>
      <c r="AO702" t="n">
        <v>83.51649</v>
      </c>
      <c r="AP702" t="n">
        <v>91.01103999999999</v>
      </c>
      <c r="AQ702" t="n">
        <v>47.76344</v>
      </c>
      <c r="AR702" t="n">
        <v>69.30591</v>
      </c>
      <c r="AS702" t="n">
        <v>85.34285</v>
      </c>
      <c r="AT702" t="n">
        <v>87.02</v>
      </c>
      <c r="AU702" t="n">
        <v>92.38354</v>
      </c>
      <c r="AV702" t="n">
        <v>53.73679</v>
      </c>
      <c r="AW702" t="n">
        <v>87.7359</v>
      </c>
      <c r="AX702" t="n">
        <v>61.73897</v>
      </c>
    </row>
    <row r="703">
      <c r="A703" s="92" t="n">
        <v>39234</v>
      </c>
      <c r="B703" t="n">
        <v>85.57777</v>
      </c>
      <c r="C703" t="n">
        <v>85.92453</v>
      </c>
      <c r="D703" t="n">
        <v>61.93286</v>
      </c>
      <c r="E703" t="n">
        <v>88.4119</v>
      </c>
      <c r="F703" t="n">
        <v>99.68116999999999</v>
      </c>
      <c r="G703" t="n">
        <v>75.67627</v>
      </c>
      <c r="H703" t="n">
        <v>79.35738000000001</v>
      </c>
      <c r="I703" t="n">
        <v>74.94698</v>
      </c>
      <c r="J703" t="n">
        <v>63.34228</v>
      </c>
      <c r="K703" t="n">
        <v>85.2</v>
      </c>
      <c r="L703" t="n">
        <v>89.37379</v>
      </c>
      <c r="M703" t="n">
        <v>87.2</v>
      </c>
      <c r="N703" t="n">
        <v>88.52</v>
      </c>
      <c r="O703" t="n">
        <v>89.18701</v>
      </c>
      <c r="P703" t="n">
        <v>78.39284000000001</v>
      </c>
      <c r="Q703" t="n">
        <v>87.48</v>
      </c>
      <c r="R703" t="n">
        <v>87.36099</v>
      </c>
      <c r="S703" t="n">
        <v>90.72</v>
      </c>
      <c r="T703" t="n">
        <v>77.38551</v>
      </c>
      <c r="U703" t="n">
        <v>88.97031</v>
      </c>
      <c r="V703" t="n">
        <v>83.5</v>
      </c>
      <c r="W703" t="n">
        <v>90.04034</v>
      </c>
      <c r="X703" t="n">
        <v>77.64619</v>
      </c>
      <c r="Y703" t="n">
        <v>61.80823</v>
      </c>
      <c r="Z703" t="n">
        <v>49.72904</v>
      </c>
      <c r="AA703" t="n">
        <v>96.98480000000001</v>
      </c>
      <c r="AB703" t="n">
        <v>63.62892</v>
      </c>
      <c r="AC703" t="n">
        <v>84.07258</v>
      </c>
      <c r="AD703" t="n">
        <v>87.89966</v>
      </c>
      <c r="AE703" t="n">
        <v>97.12394999999999</v>
      </c>
      <c r="AF703" t="n">
        <v>82.05276000000001</v>
      </c>
      <c r="AG703" t="n">
        <v>78.3954</v>
      </c>
      <c r="AH703" t="n">
        <v>86.37</v>
      </c>
      <c r="AI703" t="n">
        <v>77.73762000000001</v>
      </c>
      <c r="AJ703" t="n">
        <v>71.93940000000001</v>
      </c>
      <c r="AK703" t="n">
        <v>87.34</v>
      </c>
      <c r="AL703" t="n">
        <v>84.5</v>
      </c>
      <c r="AM703" t="n">
        <v>86.17064999999999</v>
      </c>
      <c r="AN703" t="n">
        <v>84.68386</v>
      </c>
      <c r="AO703" t="n">
        <v>83.51649</v>
      </c>
      <c r="AP703" t="n">
        <v>90.96426</v>
      </c>
      <c r="AQ703" t="n">
        <v>48.21719</v>
      </c>
      <c r="AR703" t="n">
        <v>69.43893</v>
      </c>
      <c r="AS703" t="n">
        <v>85.58756</v>
      </c>
      <c r="AT703" t="n">
        <v>87.34</v>
      </c>
      <c r="AU703" t="n">
        <v>92.53354</v>
      </c>
      <c r="AV703" t="n">
        <v>53.60631</v>
      </c>
      <c r="AW703" t="n">
        <v>87.90593</v>
      </c>
      <c r="AX703" t="n">
        <v>62.17913</v>
      </c>
    </row>
    <row r="704">
      <c r="A704" s="92" t="n">
        <v>39264</v>
      </c>
      <c r="B704" t="n">
        <v>85.57777</v>
      </c>
      <c r="C704" t="n">
        <v>86.29122</v>
      </c>
      <c r="D704" t="n">
        <v>62.08158</v>
      </c>
      <c r="E704" t="n">
        <v>88.49091</v>
      </c>
      <c r="F704" t="n">
        <v>99.08974000000001</v>
      </c>
      <c r="G704" t="n">
        <v>76.53037</v>
      </c>
      <c r="H704" t="n">
        <v>80.07159</v>
      </c>
      <c r="I704" t="n">
        <v>75.06934</v>
      </c>
      <c r="J704" t="n">
        <v>63.93064</v>
      </c>
      <c r="K704" t="n">
        <v>85.59999999999999</v>
      </c>
      <c r="L704" t="n">
        <v>89.84026</v>
      </c>
      <c r="M704" t="n">
        <v>86.8</v>
      </c>
      <c r="N704" t="n">
        <v>88.31</v>
      </c>
      <c r="O704" t="n">
        <v>88.5372</v>
      </c>
      <c r="P704" t="n">
        <v>79.26443</v>
      </c>
      <c r="Q704" t="n">
        <v>87.31</v>
      </c>
      <c r="R704" t="n">
        <v>87.27715000000001</v>
      </c>
      <c r="S704" t="n">
        <v>90.48999999999999</v>
      </c>
      <c r="T704" t="n">
        <v>77.53556</v>
      </c>
      <c r="U704" t="n">
        <v>88.95601000000001</v>
      </c>
      <c r="V704" t="n">
        <v>83.09999999999999</v>
      </c>
      <c r="W704" t="n">
        <v>89.36382</v>
      </c>
      <c r="X704" t="n">
        <v>77.64619</v>
      </c>
      <c r="Y704" t="n">
        <v>62.25186</v>
      </c>
      <c r="Z704" t="n">
        <v>50.4941</v>
      </c>
      <c r="AA704" t="n">
        <v>97.28382999999999</v>
      </c>
      <c r="AB704" t="n">
        <v>63.79571</v>
      </c>
      <c r="AC704" t="n">
        <v>84.97984</v>
      </c>
      <c r="AD704" t="n">
        <v>88.09927999999999</v>
      </c>
      <c r="AE704" t="n">
        <v>97.02213999999999</v>
      </c>
      <c r="AF704" t="n">
        <v>82.36691</v>
      </c>
      <c r="AG704" t="n">
        <v>78.9204</v>
      </c>
      <c r="AH704" t="n">
        <v>85.48</v>
      </c>
      <c r="AI704" t="n">
        <v>78.66455000000001</v>
      </c>
      <c r="AJ704" t="n">
        <v>72.24496000000001</v>
      </c>
      <c r="AK704" t="n">
        <v>86.93000000000001</v>
      </c>
      <c r="AL704" t="n">
        <v>84.3</v>
      </c>
      <c r="AM704" t="n">
        <v>86.15781</v>
      </c>
      <c r="AN704" t="n">
        <v>84.56392</v>
      </c>
      <c r="AO704" t="n">
        <v>83.27229</v>
      </c>
      <c r="AP704" t="n">
        <v>90.70153000000001</v>
      </c>
      <c r="AQ704" t="n">
        <v>48.63668</v>
      </c>
      <c r="AR704" t="n">
        <v>70.23708000000001</v>
      </c>
      <c r="AS704" t="n">
        <v>85.52638</v>
      </c>
      <c r="AT704" t="n">
        <v>87.36</v>
      </c>
      <c r="AU704" t="n">
        <v>92.38674</v>
      </c>
      <c r="AV704" t="n">
        <v>53.21488</v>
      </c>
      <c r="AW704" t="n">
        <v>87.88357000000001</v>
      </c>
      <c r="AX704" t="n">
        <v>62.71557</v>
      </c>
    </row>
    <row r="705">
      <c r="A705" s="92" t="n">
        <v>39295</v>
      </c>
      <c r="B705" t="n">
        <v>85.49525</v>
      </c>
      <c r="C705" t="n">
        <v>86.18221</v>
      </c>
      <c r="D705" t="n">
        <v>62.37345</v>
      </c>
      <c r="E705" t="n">
        <v>88.25388</v>
      </c>
      <c r="F705" t="n">
        <v>98.97898000000001</v>
      </c>
      <c r="G705" t="n">
        <v>77.36065000000001</v>
      </c>
      <c r="H705" t="n">
        <v>81.03245</v>
      </c>
      <c r="I705" t="n">
        <v>74.97145</v>
      </c>
      <c r="J705" t="n">
        <v>64.37918000000001</v>
      </c>
      <c r="K705" t="n">
        <v>85.90000000000001</v>
      </c>
      <c r="L705" t="n">
        <v>89.74696</v>
      </c>
      <c r="M705" t="n">
        <v>86.59999999999999</v>
      </c>
      <c r="N705" t="n">
        <v>88.37</v>
      </c>
      <c r="O705" t="n">
        <v>88.65924</v>
      </c>
      <c r="P705" t="n">
        <v>79.31570000000001</v>
      </c>
      <c r="Q705" t="n">
        <v>87.38</v>
      </c>
      <c r="R705" t="n">
        <v>87.36099</v>
      </c>
      <c r="S705" t="n">
        <v>90.86</v>
      </c>
      <c r="T705" t="n">
        <v>77.70628000000001</v>
      </c>
      <c r="U705" t="n">
        <v>88.96129999999999</v>
      </c>
      <c r="V705" t="n">
        <v>83.40000000000001</v>
      </c>
      <c r="W705" t="n">
        <v>88.70371</v>
      </c>
      <c r="X705" t="n">
        <v>77.57217</v>
      </c>
      <c r="Y705" t="n">
        <v>62.71424</v>
      </c>
      <c r="Z705" t="n">
        <v>50.87663</v>
      </c>
      <c r="AA705" t="n">
        <v>97.68253</v>
      </c>
      <c r="AB705" t="n">
        <v>63.79571</v>
      </c>
      <c r="AC705" t="n">
        <v>85.48387</v>
      </c>
      <c r="AD705" t="n">
        <v>88.23236</v>
      </c>
      <c r="AE705" t="n">
        <v>97.53118000000001</v>
      </c>
      <c r="AF705" t="n">
        <v>82.44492</v>
      </c>
      <c r="AG705" t="n">
        <v>79.19499999999999</v>
      </c>
      <c r="AH705" t="n">
        <v>86.53</v>
      </c>
      <c r="AI705" t="n">
        <v>78.94877</v>
      </c>
      <c r="AJ705" t="n">
        <v>72.53928000000001</v>
      </c>
      <c r="AK705" t="n">
        <v>87.08</v>
      </c>
      <c r="AL705" t="n">
        <v>84.2</v>
      </c>
      <c r="AM705" t="n">
        <v>86.17926</v>
      </c>
      <c r="AN705" t="n">
        <v>84.63929</v>
      </c>
      <c r="AO705" t="n">
        <v>82.94669</v>
      </c>
      <c r="AP705" t="n">
        <v>90.27261</v>
      </c>
      <c r="AQ705" t="n">
        <v>48.68045</v>
      </c>
      <c r="AR705" t="n">
        <v>70.70267</v>
      </c>
      <c r="AS705" t="n">
        <v>85.58756</v>
      </c>
      <c r="AT705" t="n">
        <v>87.62</v>
      </c>
      <c r="AU705" t="n">
        <v>92.36121</v>
      </c>
      <c r="AV705" t="n">
        <v>53.22639</v>
      </c>
      <c r="AW705" t="n">
        <v>87.72239999999999</v>
      </c>
      <c r="AX705" t="n">
        <v>63.11446</v>
      </c>
    </row>
    <row r="706">
      <c r="A706" s="92" t="n">
        <v>39326</v>
      </c>
      <c r="B706" t="n">
        <v>85.66029</v>
      </c>
      <c r="C706" t="n">
        <v>86.26148999999999</v>
      </c>
      <c r="D706" t="n">
        <v>62.48574</v>
      </c>
      <c r="E706" t="n">
        <v>88.4119</v>
      </c>
      <c r="F706" t="n">
        <v>99.0732</v>
      </c>
      <c r="G706" t="n">
        <v>78.23772</v>
      </c>
      <c r="H706" t="n">
        <v>81.27554000000001</v>
      </c>
      <c r="I706" t="n">
        <v>75.02855</v>
      </c>
      <c r="J706" t="n">
        <v>64.78684</v>
      </c>
      <c r="K706" t="n">
        <v>85.59999999999999</v>
      </c>
      <c r="L706" t="n">
        <v>89.93355</v>
      </c>
      <c r="M706" t="n">
        <v>87.2</v>
      </c>
      <c r="N706" t="n">
        <v>88.70999999999999</v>
      </c>
      <c r="O706" t="n">
        <v>88.95041999999999</v>
      </c>
      <c r="P706" t="n">
        <v>80.18731</v>
      </c>
      <c r="Q706" t="n">
        <v>87.75</v>
      </c>
      <c r="R706" t="n">
        <v>87.78019</v>
      </c>
      <c r="S706" t="n">
        <v>90.95999999999999</v>
      </c>
      <c r="T706" t="n">
        <v>77.96104</v>
      </c>
      <c r="U706" t="n">
        <v>89.13290000000001</v>
      </c>
      <c r="V706" t="n">
        <v>83.5</v>
      </c>
      <c r="W706" t="n">
        <v>90.47029999999999</v>
      </c>
      <c r="X706" t="n">
        <v>78.0903</v>
      </c>
      <c r="Y706" t="n">
        <v>63.22035</v>
      </c>
      <c r="Z706" t="n">
        <v>50.87663</v>
      </c>
      <c r="AA706" t="n">
        <v>97.98156</v>
      </c>
      <c r="AB706" t="n">
        <v>64.62963999999999</v>
      </c>
      <c r="AC706" t="n">
        <v>85.18145</v>
      </c>
      <c r="AD706" t="n">
        <v>88.23236</v>
      </c>
      <c r="AE706" t="n">
        <v>97.53118000000001</v>
      </c>
      <c r="AF706" t="n">
        <v>82.91613</v>
      </c>
      <c r="AG706" t="n">
        <v>80.2692</v>
      </c>
      <c r="AH706" t="n">
        <v>86.62</v>
      </c>
      <c r="AI706" t="n">
        <v>80.41255</v>
      </c>
      <c r="AJ706" t="n">
        <v>73.10252</v>
      </c>
      <c r="AK706" t="n">
        <v>87.59</v>
      </c>
      <c r="AL706" t="n">
        <v>84.8</v>
      </c>
      <c r="AM706" t="n">
        <v>86.42837</v>
      </c>
      <c r="AN706" t="n">
        <v>84.91540999999999</v>
      </c>
      <c r="AO706" t="n">
        <v>83.59789000000001</v>
      </c>
      <c r="AP706" t="n">
        <v>90.67665</v>
      </c>
      <c r="AQ706" t="n">
        <v>49.06503</v>
      </c>
      <c r="AR706" t="n">
        <v>71.30793</v>
      </c>
      <c r="AS706" t="n">
        <v>85.83226999999999</v>
      </c>
      <c r="AT706" t="n">
        <v>87.92</v>
      </c>
      <c r="AU706" t="n">
        <v>93.28352</v>
      </c>
      <c r="AV706" t="n">
        <v>53.77516</v>
      </c>
      <c r="AW706" t="n">
        <v>87.96416000000001</v>
      </c>
      <c r="AX706" t="n">
        <v>63.47209</v>
      </c>
    </row>
    <row r="707">
      <c r="A707" s="92" t="n">
        <v>39356</v>
      </c>
      <c r="B707" t="n">
        <v>86.15544</v>
      </c>
      <c r="C707" t="n">
        <v>86.71738000000001</v>
      </c>
      <c r="D707" t="n">
        <v>62.67321</v>
      </c>
      <c r="E707" t="n">
        <v>88.17487</v>
      </c>
      <c r="F707" t="n">
        <v>99.91914</v>
      </c>
      <c r="G707" t="n">
        <v>78.48102</v>
      </c>
      <c r="H707" t="n">
        <v>81.51937</v>
      </c>
      <c r="I707" t="n">
        <v>75.03671</v>
      </c>
      <c r="J707" t="n">
        <v>65.15577999999999</v>
      </c>
      <c r="K707" t="n">
        <v>86.09999999999999</v>
      </c>
      <c r="L707" t="n">
        <v>90.12013</v>
      </c>
      <c r="M707" t="n">
        <v>87.5</v>
      </c>
      <c r="N707" t="n">
        <v>89.15000000000001</v>
      </c>
      <c r="O707" t="n">
        <v>90.10339</v>
      </c>
      <c r="P707" t="n">
        <v>81.00763999999999</v>
      </c>
      <c r="Q707" t="n">
        <v>88.20999999999999</v>
      </c>
      <c r="R707" t="n">
        <v>88.03172000000001</v>
      </c>
      <c r="S707" t="n">
        <v>91.19</v>
      </c>
      <c r="T707" t="n">
        <v>78.31278</v>
      </c>
      <c r="U707" t="n">
        <v>89.32301</v>
      </c>
      <c r="V707" t="n">
        <v>83.8</v>
      </c>
      <c r="W707" t="n">
        <v>91.12526</v>
      </c>
      <c r="X707" t="n">
        <v>78.75648</v>
      </c>
      <c r="Y707" t="n">
        <v>63.72021</v>
      </c>
      <c r="Z707" t="n">
        <v>51.25916</v>
      </c>
      <c r="AA707" t="n">
        <v>98.18092</v>
      </c>
      <c r="AB707" t="n">
        <v>64.96321</v>
      </c>
      <c r="AC707" t="n">
        <v>85.28225999999999</v>
      </c>
      <c r="AD707" t="n">
        <v>88.49852</v>
      </c>
      <c r="AE707" t="n">
        <v>97.73479</v>
      </c>
      <c r="AF707" t="n">
        <v>83.07214</v>
      </c>
      <c r="AG707" t="n">
        <v>81.47110000000001</v>
      </c>
      <c r="AH707" t="n">
        <v>87.11</v>
      </c>
      <c r="AI707" t="n">
        <v>82.15138</v>
      </c>
      <c r="AJ707" t="n">
        <v>73.3874</v>
      </c>
      <c r="AK707" t="n">
        <v>87.63</v>
      </c>
      <c r="AL707" t="n">
        <v>85</v>
      </c>
      <c r="AM707" t="n">
        <v>86.71657999999999</v>
      </c>
      <c r="AN707" t="n">
        <v>85.36166</v>
      </c>
      <c r="AO707" t="n">
        <v>84.08628</v>
      </c>
      <c r="AP707" t="n">
        <v>91.17525000000001</v>
      </c>
      <c r="AQ707" t="n">
        <v>49.86969</v>
      </c>
      <c r="AR707" t="n">
        <v>72.03291</v>
      </c>
      <c r="AS707" t="n">
        <v>86.32169</v>
      </c>
      <c r="AT707" t="n">
        <v>88.5</v>
      </c>
      <c r="AU707" t="n">
        <v>93.77818000000001</v>
      </c>
      <c r="AV707" t="n">
        <v>54.74989</v>
      </c>
      <c r="AW707" t="n">
        <v>88.15233000000001</v>
      </c>
      <c r="AX707" t="n">
        <v>64.05668</v>
      </c>
    </row>
    <row r="708">
      <c r="A708" s="92" t="n">
        <v>39387</v>
      </c>
      <c r="B708" t="n">
        <v>86.56806</v>
      </c>
      <c r="C708" t="n">
        <v>87.53004</v>
      </c>
      <c r="D708" t="n">
        <v>62.91125</v>
      </c>
      <c r="E708" t="n">
        <v>88.4119</v>
      </c>
      <c r="F708" t="n">
        <v>100.3746</v>
      </c>
      <c r="G708" t="n">
        <v>79.07395</v>
      </c>
      <c r="H708" t="n">
        <v>82.09001000000001</v>
      </c>
      <c r="I708" t="n">
        <v>75.39566000000001</v>
      </c>
      <c r="J708" t="n">
        <v>65.96465000000001</v>
      </c>
      <c r="K708" t="n">
        <v>86.90000000000001</v>
      </c>
      <c r="L708" t="n">
        <v>90.58659</v>
      </c>
      <c r="M708" t="n">
        <v>88</v>
      </c>
      <c r="N708" t="n">
        <v>89.63</v>
      </c>
      <c r="O708" t="n">
        <v>90.74892</v>
      </c>
      <c r="P708" t="n">
        <v>82.1356</v>
      </c>
      <c r="Q708" t="n">
        <v>88.70999999999999</v>
      </c>
      <c r="R708" t="n">
        <v>88.28323</v>
      </c>
      <c r="S708" t="n">
        <v>91.69</v>
      </c>
      <c r="T708" t="n">
        <v>78.70377000000001</v>
      </c>
      <c r="U708" t="n">
        <v>89.72926</v>
      </c>
      <c r="V708" t="n">
        <v>84.09999999999999</v>
      </c>
      <c r="W708" t="n">
        <v>91.77847</v>
      </c>
      <c r="X708" t="n">
        <v>79.20059000000001</v>
      </c>
      <c r="Y708" t="n">
        <v>63.83893</v>
      </c>
      <c r="Z708" t="n">
        <v>51.25916</v>
      </c>
      <c r="AA708" t="n">
        <v>98.67928999999999</v>
      </c>
      <c r="AB708" t="n">
        <v>65.38018</v>
      </c>
      <c r="AC708" t="n">
        <v>85.48387</v>
      </c>
      <c r="AD708" t="n">
        <v>88.83122</v>
      </c>
      <c r="AE708" t="n">
        <v>97.63299000000001</v>
      </c>
      <c r="AF708" t="n">
        <v>83.07214</v>
      </c>
      <c r="AG708" t="n">
        <v>82.3272</v>
      </c>
      <c r="AH708" t="n">
        <v>87.44</v>
      </c>
      <c r="AI708" t="n">
        <v>83.31251</v>
      </c>
      <c r="AJ708" t="n">
        <v>73.90513</v>
      </c>
      <c r="AK708" t="n">
        <v>87.76000000000001</v>
      </c>
      <c r="AL708" t="n">
        <v>86.40000000000001</v>
      </c>
      <c r="AM708" t="n">
        <v>87.15191</v>
      </c>
      <c r="AN708" t="n">
        <v>85.88081</v>
      </c>
      <c r="AO708" t="n">
        <v>84.65608</v>
      </c>
      <c r="AP708" t="n">
        <v>91.49171</v>
      </c>
      <c r="AQ708" t="n">
        <v>50.48309</v>
      </c>
      <c r="AR708" t="n">
        <v>72.83105999999999</v>
      </c>
      <c r="AS708" t="n">
        <v>86.74994</v>
      </c>
      <c r="AT708" t="n">
        <v>89.3</v>
      </c>
      <c r="AU708" t="n">
        <v>94.38453</v>
      </c>
      <c r="AV708" t="n">
        <v>55.81672</v>
      </c>
      <c r="AW708" t="n">
        <v>88.67592</v>
      </c>
      <c r="AX708" t="n">
        <v>64.25612</v>
      </c>
    </row>
    <row r="709">
      <c r="A709" s="92" t="n">
        <v>39417</v>
      </c>
      <c r="B709" t="n">
        <v>87.22826000000001</v>
      </c>
      <c r="C709" t="n">
        <v>87.7679</v>
      </c>
      <c r="D709" t="n">
        <v>63.3769</v>
      </c>
      <c r="E709" t="n">
        <v>88.49091</v>
      </c>
      <c r="F709" t="n">
        <v>100.6187</v>
      </c>
      <c r="G709" t="n">
        <v>79.4355</v>
      </c>
      <c r="H709" t="n">
        <v>82.91091</v>
      </c>
      <c r="I709" t="n">
        <v>75.76276</v>
      </c>
      <c r="J709" t="n">
        <v>67.06823</v>
      </c>
      <c r="K709" t="n">
        <v>87.3</v>
      </c>
      <c r="L709" t="n">
        <v>91.14635</v>
      </c>
      <c r="M709" t="n">
        <v>88</v>
      </c>
      <c r="N709" t="n">
        <v>89.98</v>
      </c>
      <c r="O709" t="n">
        <v>91.12895</v>
      </c>
      <c r="P709" t="n">
        <v>82.75084</v>
      </c>
      <c r="Q709" t="n">
        <v>89.06</v>
      </c>
      <c r="R709" t="n">
        <v>88.11555</v>
      </c>
      <c r="S709" t="n">
        <v>92.03</v>
      </c>
      <c r="T709" t="n">
        <v>78.94659</v>
      </c>
      <c r="U709" t="n">
        <v>89.82774999999999</v>
      </c>
      <c r="V709" t="n">
        <v>84.5</v>
      </c>
      <c r="W709" t="n">
        <v>92.15891000000001</v>
      </c>
      <c r="X709" t="n">
        <v>79.49666999999999</v>
      </c>
      <c r="Y709" t="n">
        <v>64.53874</v>
      </c>
      <c r="Z709" t="n">
        <v>51.25916</v>
      </c>
      <c r="AA709" t="n">
        <v>98.77897</v>
      </c>
      <c r="AB709" t="n">
        <v>65.83884</v>
      </c>
      <c r="AC709" t="n">
        <v>86.08871000000001</v>
      </c>
      <c r="AD709" t="n">
        <v>89.09738</v>
      </c>
      <c r="AE709" t="n">
        <v>97.73479</v>
      </c>
      <c r="AF709" t="n">
        <v>83.38629</v>
      </c>
      <c r="AG709" t="n">
        <v>82.7242</v>
      </c>
      <c r="AH709" t="n">
        <v>87.70999999999999</v>
      </c>
      <c r="AI709" t="n">
        <v>83.85817</v>
      </c>
      <c r="AJ709" t="n">
        <v>74.21069</v>
      </c>
      <c r="AK709" t="n">
        <v>87.39</v>
      </c>
      <c r="AL709" t="n">
        <v>87.09999999999999</v>
      </c>
      <c r="AM709" t="n">
        <v>87.29276</v>
      </c>
      <c r="AN709" t="n">
        <v>86.20313</v>
      </c>
      <c r="AO709" t="n">
        <v>84.90028</v>
      </c>
      <c r="AP709" t="n">
        <v>91.59520999999999</v>
      </c>
      <c r="AQ709" t="n">
        <v>51.05355</v>
      </c>
      <c r="AR709" t="n">
        <v>73.29665</v>
      </c>
      <c r="AS709" t="n">
        <v>86.99464</v>
      </c>
      <c r="AT709" t="n">
        <v>89.69</v>
      </c>
      <c r="AU709" t="n">
        <v>94.56644</v>
      </c>
      <c r="AV709" t="n">
        <v>55.93952</v>
      </c>
      <c r="AW709" t="n">
        <v>88.61642000000001</v>
      </c>
      <c r="AX709" t="n">
        <v>64.71004000000001</v>
      </c>
    </row>
    <row r="710">
      <c r="A710" s="92" t="n">
        <v>39448</v>
      </c>
      <c r="B710" t="n">
        <v>86.89816</v>
      </c>
      <c r="C710" t="n">
        <v>88.12466999999999</v>
      </c>
      <c r="D710" t="n">
        <v>63.71912</v>
      </c>
      <c r="E710" t="n">
        <v>88.33289000000001</v>
      </c>
      <c r="F710" t="n">
        <v>100.3294</v>
      </c>
      <c r="G710" t="n">
        <v>79.40658000000001</v>
      </c>
      <c r="H710" t="n">
        <v>83.90584</v>
      </c>
      <c r="I710" t="n">
        <v>76.56225000000001</v>
      </c>
      <c r="J710" t="n">
        <v>67.55871999999999</v>
      </c>
      <c r="K710" t="n">
        <v>89.90000000000001</v>
      </c>
      <c r="L710" t="n">
        <v>90.86647000000001</v>
      </c>
      <c r="M710" t="n">
        <v>88.2</v>
      </c>
      <c r="N710" t="n">
        <v>89.67</v>
      </c>
      <c r="O710" t="n">
        <v>90.56479</v>
      </c>
      <c r="P710" t="n">
        <v>84.54531</v>
      </c>
      <c r="Q710" t="n">
        <v>88.94</v>
      </c>
      <c r="R710" t="n">
        <v>89.03779</v>
      </c>
      <c r="S710" t="n">
        <v>91.92</v>
      </c>
      <c r="T710" t="n">
        <v>79.27579</v>
      </c>
      <c r="U710" t="n">
        <v>90.01873999999999</v>
      </c>
      <c r="V710" t="n">
        <v>84.09999999999999</v>
      </c>
      <c r="W710" t="n">
        <v>91.90598</v>
      </c>
      <c r="X710" t="n">
        <v>80.23685999999999</v>
      </c>
      <c r="Y710" t="n">
        <v>65.68218</v>
      </c>
      <c r="Z710" t="n">
        <v>51.25916</v>
      </c>
      <c r="AA710" t="n">
        <v>98.28059</v>
      </c>
      <c r="AB710" t="n">
        <v>65.96393</v>
      </c>
      <c r="AC710" t="n">
        <v>86.08871000000001</v>
      </c>
      <c r="AD710" t="n">
        <v>89.49661999999999</v>
      </c>
      <c r="AE710" t="n">
        <v>97.63299000000001</v>
      </c>
      <c r="AF710" t="n">
        <v>83.77739</v>
      </c>
      <c r="AG710" t="n">
        <v>84.0625</v>
      </c>
      <c r="AH710" t="n">
        <v>87.2</v>
      </c>
      <c r="AI710" t="n">
        <v>86.24643</v>
      </c>
      <c r="AJ710" t="n">
        <v>74.55466</v>
      </c>
      <c r="AK710" t="n">
        <v>87.63</v>
      </c>
      <c r="AL710" t="n">
        <v>86.7</v>
      </c>
      <c r="AM710" t="n">
        <v>87.51615</v>
      </c>
      <c r="AN710" t="n">
        <v>86.20134</v>
      </c>
      <c r="AO710" t="n">
        <v>85.47009</v>
      </c>
      <c r="AP710" t="n">
        <v>91.47977</v>
      </c>
      <c r="AQ710" t="n">
        <v>52.23289</v>
      </c>
      <c r="AR710" t="n">
        <v>74.29433</v>
      </c>
      <c r="AS710" t="n">
        <v>88.15702</v>
      </c>
      <c r="AT710" t="n">
        <v>89.73999999999999</v>
      </c>
      <c r="AU710" t="n">
        <v>93.86434</v>
      </c>
      <c r="AV710" t="n">
        <v>56.38851</v>
      </c>
      <c r="AW710" t="n">
        <v>89.0569</v>
      </c>
      <c r="AX710" t="n">
        <v>65.62394999999999</v>
      </c>
    </row>
    <row r="711">
      <c r="A711" s="92" t="n">
        <v>39479</v>
      </c>
      <c r="B711" t="n">
        <v>87.14574</v>
      </c>
      <c r="C711" t="n">
        <v>88.75895</v>
      </c>
      <c r="D711" t="n">
        <v>64.03140999999999</v>
      </c>
      <c r="E711" t="n">
        <v>88.64892999999999</v>
      </c>
      <c r="F711" t="n">
        <v>100.4674</v>
      </c>
      <c r="G711" t="n">
        <v>79.72644</v>
      </c>
      <c r="H711" t="n">
        <v>86.08739</v>
      </c>
      <c r="I711" t="n">
        <v>77.72067</v>
      </c>
      <c r="J711" t="n">
        <v>68.31058</v>
      </c>
      <c r="K711" t="n">
        <v>90.2</v>
      </c>
      <c r="L711" t="n">
        <v>91.23963999999999</v>
      </c>
      <c r="M711" t="n">
        <v>89.3</v>
      </c>
      <c r="N711" t="n">
        <v>89.98</v>
      </c>
      <c r="O711" t="n">
        <v>90.70609</v>
      </c>
      <c r="P711" t="n">
        <v>84.85294</v>
      </c>
      <c r="Q711" t="n">
        <v>89.27</v>
      </c>
      <c r="R711" t="n">
        <v>89.45699</v>
      </c>
      <c r="S711" t="n">
        <v>92.12</v>
      </c>
      <c r="T711" t="n">
        <v>79.7516</v>
      </c>
      <c r="U711" t="n">
        <v>90.24782999999999</v>
      </c>
      <c r="V711" t="n">
        <v>84.59999999999999</v>
      </c>
      <c r="W711" t="n">
        <v>91.20977000000001</v>
      </c>
      <c r="X711" t="n">
        <v>81.12509</v>
      </c>
      <c r="Y711" t="n">
        <v>66.11331</v>
      </c>
      <c r="Z711" t="n">
        <v>51.6417</v>
      </c>
      <c r="AA711" t="n">
        <v>99.57638</v>
      </c>
      <c r="AB711" t="n">
        <v>66.86963</v>
      </c>
      <c r="AC711" t="n">
        <v>85.78628999999999</v>
      </c>
      <c r="AD711" t="n">
        <v>89.69624</v>
      </c>
      <c r="AE711" t="n">
        <v>97.42937000000001</v>
      </c>
      <c r="AF711" t="n">
        <v>84.09259</v>
      </c>
      <c r="AG711" t="n">
        <v>85.0022</v>
      </c>
      <c r="AH711" t="n">
        <v>88.18000000000001</v>
      </c>
      <c r="AI711" t="n">
        <v>87.38046</v>
      </c>
      <c r="AJ711" t="n">
        <v>74.77629</v>
      </c>
      <c r="AK711" t="n">
        <v>88.22</v>
      </c>
      <c r="AL711" t="n">
        <v>87.2</v>
      </c>
      <c r="AM711" t="n">
        <v>87.78386999999999</v>
      </c>
      <c r="AN711" t="n">
        <v>86.56941999999999</v>
      </c>
      <c r="AO711" t="n">
        <v>85.79568</v>
      </c>
      <c r="AP711" t="n">
        <v>91.48873</v>
      </c>
      <c r="AQ711" t="n">
        <v>52.85968</v>
      </c>
      <c r="AR711" t="n">
        <v>75.02597</v>
      </c>
      <c r="AS711" t="n">
        <v>88.52409</v>
      </c>
      <c r="AT711" t="n">
        <v>89.70999999999999</v>
      </c>
      <c r="AU711" t="n">
        <v>94.25368</v>
      </c>
      <c r="AV711" t="n">
        <v>57.11764</v>
      </c>
      <c r="AW711" t="n">
        <v>89.31554</v>
      </c>
      <c r="AX711" t="n">
        <v>65.89400000000001</v>
      </c>
    </row>
    <row r="712">
      <c r="A712" s="92" t="n">
        <v>39508</v>
      </c>
      <c r="B712" t="n">
        <v>87.80593</v>
      </c>
      <c r="C712" t="n">
        <v>89.40313999999999</v>
      </c>
      <c r="D712" t="n">
        <v>64.33882</v>
      </c>
      <c r="E712" t="n">
        <v>88.96496999999999</v>
      </c>
      <c r="F712" t="n">
        <v>100.8072</v>
      </c>
      <c r="G712" t="n">
        <v>80.39082999999999</v>
      </c>
      <c r="H712" t="n">
        <v>85.48478</v>
      </c>
      <c r="I712" t="n">
        <v>78.34883000000001</v>
      </c>
      <c r="J712" t="n">
        <v>68.57948</v>
      </c>
      <c r="K712" t="n">
        <v>90.09999999999999</v>
      </c>
      <c r="L712" t="n">
        <v>91.70610000000001</v>
      </c>
      <c r="M712" t="n">
        <v>89.7</v>
      </c>
      <c r="N712" t="n">
        <v>90.87</v>
      </c>
      <c r="O712" t="n">
        <v>91.51112999999999</v>
      </c>
      <c r="P712" t="n">
        <v>85.46819000000001</v>
      </c>
      <c r="Q712" t="n">
        <v>90.08</v>
      </c>
      <c r="R712" t="n">
        <v>90.21155</v>
      </c>
      <c r="S712" t="n">
        <v>92.81</v>
      </c>
      <c r="T712" t="n">
        <v>80.3296</v>
      </c>
      <c r="U712" t="n">
        <v>90.87456</v>
      </c>
      <c r="V712" t="n">
        <v>84.90000000000001</v>
      </c>
      <c r="W712" t="n">
        <v>93.30562999999999</v>
      </c>
      <c r="X712" t="n">
        <v>81.56921</v>
      </c>
      <c r="Y712" t="n">
        <v>66.74439</v>
      </c>
      <c r="Z712" t="n">
        <v>52.40676</v>
      </c>
      <c r="AA712" t="n">
        <v>100.4735</v>
      </c>
      <c r="AB712" t="n">
        <v>67.85223000000001</v>
      </c>
      <c r="AC712" t="n">
        <v>86.18951</v>
      </c>
      <c r="AD712" t="n">
        <v>90.16203</v>
      </c>
      <c r="AE712" t="n">
        <v>97.8366</v>
      </c>
      <c r="AF712" t="n">
        <v>84.87689</v>
      </c>
      <c r="AG712" t="n">
        <v>85.86490000000001</v>
      </c>
      <c r="AH712" t="n">
        <v>88.84</v>
      </c>
      <c r="AI712" t="n">
        <v>88.66567000000001</v>
      </c>
      <c r="AJ712" t="n">
        <v>75.31825000000001</v>
      </c>
      <c r="AK712" t="n">
        <v>89.09</v>
      </c>
      <c r="AL712" t="n">
        <v>87.2</v>
      </c>
      <c r="AM712" t="n">
        <v>88.40799</v>
      </c>
      <c r="AN712" t="n">
        <v>87.14133</v>
      </c>
      <c r="AO712" t="n">
        <v>86.12128</v>
      </c>
      <c r="AP712" t="n">
        <v>92.84318</v>
      </c>
      <c r="AQ712" t="n">
        <v>53.494</v>
      </c>
      <c r="AR712" t="n">
        <v>75.95715</v>
      </c>
      <c r="AS712" t="n">
        <v>88.7688</v>
      </c>
      <c r="AT712" t="n">
        <v>90.88</v>
      </c>
      <c r="AU712" t="n">
        <v>95.15365</v>
      </c>
      <c r="AV712" t="n">
        <v>57.6664</v>
      </c>
      <c r="AW712" t="n">
        <v>90.08974000000001</v>
      </c>
      <c r="AX712" t="n">
        <v>66.83920000000001</v>
      </c>
    </row>
    <row r="713">
      <c r="A713" s="92" t="n">
        <v>39539</v>
      </c>
      <c r="B713" t="n">
        <v>88.0535</v>
      </c>
      <c r="C713" t="n">
        <v>89.61126</v>
      </c>
      <c r="D713" t="n">
        <v>64.69264</v>
      </c>
      <c r="E713" t="n">
        <v>89.67606000000001</v>
      </c>
      <c r="F713" t="n">
        <v>101.6036</v>
      </c>
      <c r="G713" t="n">
        <v>80.69878</v>
      </c>
      <c r="H713" t="n">
        <v>85.57026999999999</v>
      </c>
      <c r="I713" t="n">
        <v>78.90357</v>
      </c>
      <c r="J713" t="n">
        <v>69.15816</v>
      </c>
      <c r="K713" t="n">
        <v>90.40000000000001</v>
      </c>
      <c r="L713" t="n">
        <v>91.51952</v>
      </c>
      <c r="M713" t="n">
        <v>90</v>
      </c>
      <c r="N713" t="n">
        <v>91.17</v>
      </c>
      <c r="O713" t="n">
        <v>92.49603</v>
      </c>
      <c r="P713" t="n">
        <v>86.33978999999999</v>
      </c>
      <c r="Q713" t="n">
        <v>90.40000000000001</v>
      </c>
      <c r="R713" t="n">
        <v>90.37923000000001</v>
      </c>
      <c r="S713" t="n">
        <v>93.12</v>
      </c>
      <c r="T713" t="n">
        <v>80.75327</v>
      </c>
      <c r="U713" t="n">
        <v>91.26682</v>
      </c>
      <c r="V713" t="n">
        <v>85.59999999999999</v>
      </c>
      <c r="W713" t="n">
        <v>93.89681</v>
      </c>
      <c r="X713" t="n">
        <v>81.86529</v>
      </c>
      <c r="Y713" t="n">
        <v>67.12554</v>
      </c>
      <c r="Z713" t="n">
        <v>52.78929</v>
      </c>
      <c r="AA713" t="n">
        <v>100.5731</v>
      </c>
      <c r="AB713" t="n">
        <v>70.15115</v>
      </c>
      <c r="AC713" t="n">
        <v>87.39919</v>
      </c>
      <c r="AD713" t="n">
        <v>90.36165</v>
      </c>
      <c r="AE713" t="n">
        <v>97.73479</v>
      </c>
      <c r="AF713" t="n">
        <v>85.34811000000001</v>
      </c>
      <c r="AG713" t="n">
        <v>86.9284</v>
      </c>
      <c r="AH713" t="n">
        <v>89.06</v>
      </c>
      <c r="AI713" t="n">
        <v>90.03419</v>
      </c>
      <c r="AJ713" t="n">
        <v>75.48965</v>
      </c>
      <c r="AK713" t="n">
        <v>89.42</v>
      </c>
      <c r="AL713" t="n">
        <v>87.2</v>
      </c>
      <c r="AM713" t="n">
        <v>88.85141</v>
      </c>
      <c r="AN713" t="n">
        <v>87.54841999999999</v>
      </c>
      <c r="AO713" t="n">
        <v>86.44687999999999</v>
      </c>
      <c r="AP713" t="n">
        <v>93.13377</v>
      </c>
      <c r="AQ713" t="n">
        <v>54.25361</v>
      </c>
      <c r="AR713" t="n">
        <v>76.62227</v>
      </c>
      <c r="AS713" t="n">
        <v>88.95233</v>
      </c>
      <c r="AT713" t="n">
        <v>91.58</v>
      </c>
      <c r="AU713" t="n">
        <v>95.57172</v>
      </c>
      <c r="AV713" t="n">
        <v>58.63346</v>
      </c>
      <c r="AW713" t="n">
        <v>90.63612000000001</v>
      </c>
      <c r="AX713" t="n">
        <v>67.24429000000001</v>
      </c>
    </row>
    <row r="714">
      <c r="A714" s="92" t="n">
        <v>39569</v>
      </c>
      <c r="B714" t="n">
        <v>88.63117</v>
      </c>
      <c r="C714" t="n">
        <v>90.41401999999999</v>
      </c>
      <c r="D714" t="n">
        <v>65.20377000000001</v>
      </c>
      <c r="E714" t="n">
        <v>90.54517</v>
      </c>
      <c r="F714" t="n">
        <v>102.4103</v>
      </c>
      <c r="G714" t="n">
        <v>81.63029</v>
      </c>
      <c r="H714" t="n">
        <v>85.22798</v>
      </c>
      <c r="I714" t="n">
        <v>79.63779</v>
      </c>
      <c r="J714" t="n">
        <v>70.47580000000001</v>
      </c>
      <c r="K714" t="n">
        <v>90.8</v>
      </c>
      <c r="L714" t="n">
        <v>92.07926999999999</v>
      </c>
      <c r="M714" t="n">
        <v>90.3</v>
      </c>
      <c r="N714" t="n">
        <v>91.73999999999999</v>
      </c>
      <c r="O714" t="n">
        <v>93.12014000000001</v>
      </c>
      <c r="P714" t="n">
        <v>86.85249</v>
      </c>
      <c r="Q714" t="n">
        <v>90.95999999999999</v>
      </c>
      <c r="R714" t="n">
        <v>90.88226</v>
      </c>
      <c r="S714" t="n">
        <v>93.62</v>
      </c>
      <c r="T714" t="n">
        <v>81.29182</v>
      </c>
      <c r="U714" t="n">
        <v>91.96754</v>
      </c>
      <c r="V714" t="n">
        <v>86.09999999999999</v>
      </c>
      <c r="W714" t="n">
        <v>94.55634000000001</v>
      </c>
      <c r="X714" t="n">
        <v>82.75351999999999</v>
      </c>
      <c r="Y714" t="n">
        <v>68.06903</v>
      </c>
      <c r="Z714" t="n">
        <v>53.17182</v>
      </c>
      <c r="AA714" t="n">
        <v>101.2709</v>
      </c>
      <c r="AB714" t="n">
        <v>71.10675000000001</v>
      </c>
      <c r="AC714" t="n">
        <v>88.00404</v>
      </c>
      <c r="AD714" t="n">
        <v>90.82743000000001</v>
      </c>
      <c r="AE714" t="n">
        <v>98.54925</v>
      </c>
      <c r="AF714" t="n">
        <v>86.0523</v>
      </c>
      <c r="AG714" t="n">
        <v>87.62649999999999</v>
      </c>
      <c r="AH714" t="n">
        <v>89.64</v>
      </c>
      <c r="AI714" t="n">
        <v>90.87711</v>
      </c>
      <c r="AJ714" t="n">
        <v>75.40809</v>
      </c>
      <c r="AK714" t="n">
        <v>89.73999999999999</v>
      </c>
      <c r="AL714" t="n">
        <v>87.2</v>
      </c>
      <c r="AM714" t="n">
        <v>89.49048000000001</v>
      </c>
      <c r="AN714" t="n">
        <v>88.11086</v>
      </c>
      <c r="AO714" t="n">
        <v>87.09808</v>
      </c>
      <c r="AP714" t="n">
        <v>93.54179999999999</v>
      </c>
      <c r="AQ714" t="n">
        <v>54.98603</v>
      </c>
      <c r="AR714" t="n">
        <v>76.48924</v>
      </c>
      <c r="AS714" t="n">
        <v>89.25821999999999</v>
      </c>
      <c r="AT714" t="n">
        <v>92.56999999999999</v>
      </c>
      <c r="AU714" t="n">
        <v>95.9483</v>
      </c>
      <c r="AV714" t="n">
        <v>59.50842</v>
      </c>
      <c r="AW714" t="n">
        <v>91.39935</v>
      </c>
      <c r="AX714" t="n">
        <v>67.78440000000001</v>
      </c>
    </row>
    <row r="715">
      <c r="A715" s="92" t="n">
        <v>39600</v>
      </c>
      <c r="B715" t="n">
        <v>88.87875</v>
      </c>
      <c r="C715" t="n">
        <v>90.90954000000001</v>
      </c>
      <c r="D715" t="n">
        <v>65.68635</v>
      </c>
      <c r="E715" t="n">
        <v>91.17725</v>
      </c>
      <c r="F715" t="n">
        <v>102.5836</v>
      </c>
      <c r="G715" t="n">
        <v>82.84594</v>
      </c>
      <c r="H715" t="n">
        <v>85.05753</v>
      </c>
      <c r="I715" t="n">
        <v>80.33121</v>
      </c>
      <c r="J715" t="n">
        <v>71.46107000000001</v>
      </c>
      <c r="K715" t="n">
        <v>91</v>
      </c>
      <c r="L715" t="n">
        <v>92.26585</v>
      </c>
      <c r="M715" t="n">
        <v>90.5</v>
      </c>
      <c r="N715" t="n">
        <v>92.09</v>
      </c>
      <c r="O715" t="n">
        <v>93.65648</v>
      </c>
      <c r="P715" t="n">
        <v>87.3652</v>
      </c>
      <c r="Q715" t="n">
        <v>91.3</v>
      </c>
      <c r="R715" t="n">
        <v>91.21762</v>
      </c>
      <c r="S715" t="n">
        <v>93.95999999999999</v>
      </c>
      <c r="T715" t="n">
        <v>81.7989</v>
      </c>
      <c r="U715" t="n">
        <v>92.66637</v>
      </c>
      <c r="V715" t="n">
        <v>86.59999999999999</v>
      </c>
      <c r="W715" t="n">
        <v>94.46169</v>
      </c>
      <c r="X715" t="n">
        <v>82.82754</v>
      </c>
      <c r="Y715" t="n">
        <v>68.78134</v>
      </c>
      <c r="Z715" t="n">
        <v>53.55435</v>
      </c>
      <c r="AA715" t="n">
        <v>101.7692</v>
      </c>
      <c r="AB715" t="n">
        <v>71.74798</v>
      </c>
      <c r="AC715" t="n">
        <v>88.10484</v>
      </c>
      <c r="AD715" t="n">
        <v>91.22667</v>
      </c>
      <c r="AE715" t="n">
        <v>99.05828</v>
      </c>
      <c r="AF715" t="n">
        <v>86.60151999999999</v>
      </c>
      <c r="AG715" t="n">
        <v>88.1725</v>
      </c>
      <c r="AH715" t="n">
        <v>90.08</v>
      </c>
      <c r="AI715" t="n">
        <v>91.49941</v>
      </c>
      <c r="AJ715" t="n">
        <v>75.72015</v>
      </c>
      <c r="AK715" t="n">
        <v>89.58</v>
      </c>
      <c r="AL715" t="n">
        <v>87.40000000000001</v>
      </c>
      <c r="AM715" t="n">
        <v>90.06783</v>
      </c>
      <c r="AN715" t="n">
        <v>88.38797</v>
      </c>
      <c r="AO715" t="n">
        <v>87.26089</v>
      </c>
      <c r="AP715" t="n">
        <v>94.01054000000001</v>
      </c>
      <c r="AQ715" t="n">
        <v>55.5194</v>
      </c>
      <c r="AR715" t="n">
        <v>76.82181</v>
      </c>
      <c r="AS715" t="n">
        <v>89.56411</v>
      </c>
      <c r="AT715" t="n">
        <v>93.41</v>
      </c>
      <c r="AU715" t="n">
        <v>96.40466000000001</v>
      </c>
      <c r="AV715" t="n">
        <v>59.29351</v>
      </c>
      <c r="AW715" t="n">
        <v>92.32038</v>
      </c>
      <c r="AX715" t="n">
        <v>68.72960999999999</v>
      </c>
    </row>
    <row r="716">
      <c r="A716" s="92" t="n">
        <v>39630</v>
      </c>
      <c r="B716" t="n">
        <v>88.79622999999999</v>
      </c>
      <c r="C716" t="n">
        <v>91.38525</v>
      </c>
      <c r="D716" t="n">
        <v>66.03437</v>
      </c>
      <c r="E716" t="n">
        <v>91.49329</v>
      </c>
      <c r="F716" t="n">
        <v>102.1366</v>
      </c>
      <c r="G716" t="n">
        <v>83.78256</v>
      </c>
      <c r="H716" t="n">
        <v>85.14259</v>
      </c>
      <c r="I716" t="n">
        <v>80.71464</v>
      </c>
      <c r="J716" t="n">
        <v>72.98953</v>
      </c>
      <c r="K716" t="n">
        <v>91.5</v>
      </c>
      <c r="L716" t="n">
        <v>92.82561</v>
      </c>
      <c r="M716" t="n">
        <v>90.3</v>
      </c>
      <c r="N716" t="n">
        <v>91.95</v>
      </c>
      <c r="O716" t="n">
        <v>93.20686000000001</v>
      </c>
      <c r="P716" t="n">
        <v>87.98045</v>
      </c>
      <c r="Q716" t="n">
        <v>91.22</v>
      </c>
      <c r="R716" t="n">
        <v>91.04994000000001</v>
      </c>
      <c r="S716" t="n">
        <v>93.76000000000001</v>
      </c>
      <c r="T716" t="n">
        <v>82.19664</v>
      </c>
      <c r="U716" t="n">
        <v>93.03655999999999</v>
      </c>
      <c r="V716" t="n">
        <v>86.59999999999999</v>
      </c>
      <c r="W716" t="n">
        <v>93.72826000000001</v>
      </c>
      <c r="X716" t="n">
        <v>82.82754</v>
      </c>
      <c r="Y716" t="n">
        <v>69.72484</v>
      </c>
      <c r="Z716" t="n">
        <v>54.70195</v>
      </c>
      <c r="AA716" t="n">
        <v>101.5699</v>
      </c>
      <c r="AB716" t="n">
        <v>72.43191</v>
      </c>
      <c r="AC716" t="n">
        <v>89.1129</v>
      </c>
      <c r="AD716" t="n">
        <v>91.69244999999999</v>
      </c>
      <c r="AE716" t="n">
        <v>99.2619</v>
      </c>
      <c r="AF716" t="n">
        <v>87.22981</v>
      </c>
      <c r="AG716" t="n">
        <v>88.53700000000001</v>
      </c>
      <c r="AH716" t="n">
        <v>89.64</v>
      </c>
      <c r="AI716" t="n">
        <v>91.77673</v>
      </c>
      <c r="AJ716" t="n">
        <v>76.14214</v>
      </c>
      <c r="AK716" t="n">
        <v>89.72</v>
      </c>
      <c r="AL716" t="n">
        <v>87.90000000000001</v>
      </c>
      <c r="AM716" t="n">
        <v>90.40428</v>
      </c>
      <c r="AN716" t="n">
        <v>88.4927</v>
      </c>
      <c r="AO716" t="n">
        <v>87.26089</v>
      </c>
      <c r="AP716" t="n">
        <v>93.46617000000001</v>
      </c>
      <c r="AQ716" t="n">
        <v>55.80255</v>
      </c>
      <c r="AR716" t="n">
        <v>78.01903</v>
      </c>
      <c r="AS716" t="n">
        <v>89.68646</v>
      </c>
      <c r="AT716" t="n">
        <v>93.37</v>
      </c>
      <c r="AU716" t="n">
        <v>96.2068</v>
      </c>
      <c r="AV716" t="n">
        <v>59.63505</v>
      </c>
      <c r="AW716" t="n">
        <v>92.80516</v>
      </c>
      <c r="AX716" t="n">
        <v>69.80983999999999</v>
      </c>
    </row>
    <row r="717">
      <c r="A717" s="92" t="n">
        <v>39661</v>
      </c>
      <c r="B717" t="n">
        <v>88.63117</v>
      </c>
      <c r="C717" t="n">
        <v>90.83025000000001</v>
      </c>
      <c r="D717" t="n">
        <v>66.21928</v>
      </c>
      <c r="E717" t="n">
        <v>91.33526999999999</v>
      </c>
      <c r="F717" t="n">
        <v>101.8705</v>
      </c>
      <c r="G717" t="n">
        <v>84.55925000000001</v>
      </c>
      <c r="H717" t="n">
        <v>85.05744</v>
      </c>
      <c r="I717" t="n">
        <v>80.86964</v>
      </c>
      <c r="J717" t="n">
        <v>74.29425999999999</v>
      </c>
      <c r="K717" t="n">
        <v>91.40000000000001</v>
      </c>
      <c r="L717" t="n">
        <v>92.54573000000001</v>
      </c>
      <c r="M717" t="n">
        <v>90.40000000000001</v>
      </c>
      <c r="N717" t="n">
        <v>91.81999999999999</v>
      </c>
      <c r="O717" t="n">
        <v>93.00667</v>
      </c>
      <c r="P717" t="n">
        <v>88.08299</v>
      </c>
      <c r="Q717" t="n">
        <v>91.08</v>
      </c>
      <c r="R717" t="n">
        <v>91.46914</v>
      </c>
      <c r="S717" t="n">
        <v>93.73</v>
      </c>
      <c r="T717" t="n">
        <v>82.23567</v>
      </c>
      <c r="U717" t="n">
        <v>92.88070999999999</v>
      </c>
      <c r="V717" t="n">
        <v>87.09999999999999</v>
      </c>
      <c r="W717" t="n">
        <v>92.84766</v>
      </c>
      <c r="X717" t="n">
        <v>82.60548</v>
      </c>
      <c r="Y717" t="n">
        <v>70.08099</v>
      </c>
      <c r="Z717" t="n">
        <v>55.46701</v>
      </c>
      <c r="AA717" t="n">
        <v>101.9686</v>
      </c>
      <c r="AB717" t="n">
        <v>73.06986000000001</v>
      </c>
      <c r="AC717" t="n">
        <v>89.91936</v>
      </c>
      <c r="AD717" t="n">
        <v>91.82553</v>
      </c>
      <c r="AE717" t="n">
        <v>99.56732</v>
      </c>
      <c r="AF717" t="n">
        <v>87.07274</v>
      </c>
      <c r="AG717" t="n">
        <v>88.6807</v>
      </c>
      <c r="AH717" t="n">
        <v>89.98999999999999</v>
      </c>
      <c r="AI717" t="n">
        <v>91.37613</v>
      </c>
      <c r="AJ717" t="n">
        <v>76.58185</v>
      </c>
      <c r="AK717" t="n">
        <v>89.89</v>
      </c>
      <c r="AL717" t="n">
        <v>88</v>
      </c>
      <c r="AM717" t="n">
        <v>90.29559</v>
      </c>
      <c r="AN717" t="n">
        <v>88.46211</v>
      </c>
      <c r="AO717" t="n">
        <v>86.93528999999999</v>
      </c>
      <c r="AP717" t="n">
        <v>92.99445</v>
      </c>
      <c r="AQ717" t="n">
        <v>56.00344</v>
      </c>
      <c r="AR717" t="n">
        <v>78.41811</v>
      </c>
      <c r="AS717" t="n">
        <v>89.87</v>
      </c>
      <c r="AT717" t="n">
        <v>92.84</v>
      </c>
      <c r="AU717" t="n">
        <v>96.37275</v>
      </c>
      <c r="AV717" t="n">
        <v>59.48923</v>
      </c>
      <c r="AW717" t="n">
        <v>92.43472</v>
      </c>
      <c r="AX717" t="n">
        <v>70.21492000000001</v>
      </c>
    </row>
    <row r="718">
      <c r="A718" s="92" t="n">
        <v>39692</v>
      </c>
      <c r="B718" t="n">
        <v>88.87875</v>
      </c>
      <c r="C718" t="n">
        <v>90.97891</v>
      </c>
      <c r="D718" t="n">
        <v>66.39143</v>
      </c>
      <c r="E718" t="n">
        <v>91.41428000000001</v>
      </c>
      <c r="F718" t="n">
        <v>101.9733</v>
      </c>
      <c r="G718" t="n">
        <v>85.46098000000001</v>
      </c>
      <c r="H718" t="n">
        <v>85.05744</v>
      </c>
      <c r="I718" t="n">
        <v>80.71464</v>
      </c>
      <c r="J718" t="n">
        <v>75.00094</v>
      </c>
      <c r="K718" t="n">
        <v>91.2</v>
      </c>
      <c r="L718" t="n">
        <v>92.45244</v>
      </c>
      <c r="M718" t="n">
        <v>90.8</v>
      </c>
      <c r="N718" t="n">
        <v>92</v>
      </c>
      <c r="O718" t="n">
        <v>92.98739999999999</v>
      </c>
      <c r="P718" t="n">
        <v>88.59569999999999</v>
      </c>
      <c r="Q718" t="n">
        <v>91.28</v>
      </c>
      <c r="R718" t="n">
        <v>91.88834</v>
      </c>
      <c r="S718" t="n">
        <v>93.67</v>
      </c>
      <c r="T718" t="n">
        <v>82.38593</v>
      </c>
      <c r="U718" t="n">
        <v>92.81568</v>
      </c>
      <c r="V718" t="n">
        <v>87.5</v>
      </c>
      <c r="W718" t="n">
        <v>94.66322</v>
      </c>
      <c r="X718" t="n">
        <v>82.60548</v>
      </c>
      <c r="Y718" t="n">
        <v>70.76205</v>
      </c>
      <c r="Z718" t="n">
        <v>55.84954</v>
      </c>
      <c r="AA718" t="n">
        <v>102.2676</v>
      </c>
      <c r="AB718" t="n">
        <v>73.72094</v>
      </c>
      <c r="AC718" t="n">
        <v>89.91936</v>
      </c>
      <c r="AD718" t="n">
        <v>91.55937</v>
      </c>
      <c r="AE718" t="n">
        <v>99.56732</v>
      </c>
      <c r="AF718" t="n">
        <v>87.15179999999999</v>
      </c>
      <c r="AG718" t="n">
        <v>89.1263</v>
      </c>
      <c r="AH718" t="n">
        <v>90.09</v>
      </c>
      <c r="AI718" t="n">
        <v>92.37639</v>
      </c>
      <c r="AJ718" t="n">
        <v>77.10372</v>
      </c>
      <c r="AK718" t="n">
        <v>90.28</v>
      </c>
      <c r="AL718" t="n">
        <v>89.3</v>
      </c>
      <c r="AM718" t="n">
        <v>90.33748</v>
      </c>
      <c r="AN718" t="n">
        <v>88.61996000000001</v>
      </c>
      <c r="AO718" t="n">
        <v>87.17949</v>
      </c>
      <c r="AP718" t="n">
        <v>93.49105</v>
      </c>
      <c r="AQ718" t="n">
        <v>56.45147</v>
      </c>
      <c r="AR718" t="n">
        <v>78.68415</v>
      </c>
      <c r="AS718" t="n">
        <v>90.42059</v>
      </c>
      <c r="AT718" t="n">
        <v>92.79000000000001</v>
      </c>
      <c r="AU718" t="n">
        <v>97.36208000000001</v>
      </c>
      <c r="AV718" t="n">
        <v>59.75785</v>
      </c>
      <c r="AW718" t="n">
        <v>92.30688000000001</v>
      </c>
      <c r="AX718" t="n">
        <v>70.62000999999999</v>
      </c>
    </row>
    <row r="719">
      <c r="A719" s="92" t="n">
        <v>39722</v>
      </c>
      <c r="B719" t="n">
        <v>88.79622999999999</v>
      </c>
      <c r="C719" t="n">
        <v>90.81043</v>
      </c>
      <c r="D719" t="n">
        <v>66.69027</v>
      </c>
      <c r="E719" t="n">
        <v>90.46616</v>
      </c>
      <c r="F719" t="n">
        <v>102.5151</v>
      </c>
      <c r="G719" t="n">
        <v>86.21384999999999</v>
      </c>
      <c r="H719" t="n">
        <v>84.80226999999999</v>
      </c>
      <c r="I719" t="n">
        <v>80.992</v>
      </c>
      <c r="J719" t="n">
        <v>75.77862</v>
      </c>
      <c r="K719" t="n">
        <v>91.2</v>
      </c>
      <c r="L719" t="n">
        <v>92.26585</v>
      </c>
      <c r="M719" t="n">
        <v>90.7</v>
      </c>
      <c r="N719" t="n">
        <v>92.03</v>
      </c>
      <c r="O719" t="n">
        <v>93.30749</v>
      </c>
      <c r="P719" t="n">
        <v>88.95459</v>
      </c>
      <c r="Q719" t="n">
        <v>91.34999999999999</v>
      </c>
      <c r="R719" t="n">
        <v>91.88834</v>
      </c>
      <c r="S719" t="n">
        <v>93.62</v>
      </c>
      <c r="T719" t="n">
        <v>82.30212</v>
      </c>
      <c r="U719" t="n">
        <v>92.21158</v>
      </c>
      <c r="V719" t="n">
        <v>87.3</v>
      </c>
      <c r="W719" t="n">
        <v>94.6645</v>
      </c>
      <c r="X719" t="n">
        <v>82.75351999999999</v>
      </c>
      <c r="Y719" t="n">
        <v>71.08072</v>
      </c>
      <c r="Z719" t="n">
        <v>56.6146</v>
      </c>
      <c r="AA719" t="n">
        <v>102.0683</v>
      </c>
      <c r="AB719" t="n">
        <v>75.29334</v>
      </c>
      <c r="AC719" t="n">
        <v>89.91936</v>
      </c>
      <c r="AD719" t="n">
        <v>91.55937</v>
      </c>
      <c r="AE719" t="n">
        <v>99.46552</v>
      </c>
      <c r="AF719" t="n">
        <v>87.07274</v>
      </c>
      <c r="AG719" t="n">
        <v>90.0193</v>
      </c>
      <c r="AH719" t="n">
        <v>89.95</v>
      </c>
      <c r="AI719" t="n">
        <v>93.47868</v>
      </c>
      <c r="AJ719" t="n">
        <v>77.62914000000001</v>
      </c>
      <c r="AK719" t="n">
        <v>90.06999999999999</v>
      </c>
      <c r="AL719" t="n">
        <v>89.59999999999999</v>
      </c>
      <c r="AM719" t="n">
        <v>90.00463000000001</v>
      </c>
      <c r="AN719" t="n">
        <v>88.74533</v>
      </c>
      <c r="AO719" t="n">
        <v>87.50509</v>
      </c>
      <c r="AP719" t="n">
        <v>93.34675</v>
      </c>
      <c r="AQ719" t="n">
        <v>56.96517</v>
      </c>
      <c r="AR719" t="n">
        <v>79.88137999999999</v>
      </c>
      <c r="AS719" t="n">
        <v>90.78766</v>
      </c>
      <c r="AT719" t="n">
        <v>92.79000000000001</v>
      </c>
      <c r="AU719" t="n">
        <v>97.51526</v>
      </c>
      <c r="AV719" t="n">
        <v>61.31205</v>
      </c>
      <c r="AW719" t="n">
        <v>91.37446</v>
      </c>
      <c r="AX719" t="n">
        <v>70.89006000000001</v>
      </c>
    </row>
    <row r="720">
      <c r="A720" s="92" t="n">
        <v>39753</v>
      </c>
      <c r="B720" t="n">
        <v>88.54864999999999</v>
      </c>
      <c r="C720" t="n">
        <v>90.27527000000001</v>
      </c>
      <c r="D720" t="n">
        <v>66.93040000000001</v>
      </c>
      <c r="E720" t="n">
        <v>90.15012</v>
      </c>
      <c r="F720" t="n">
        <v>101.8323</v>
      </c>
      <c r="G720" t="n">
        <v>86.10156000000001</v>
      </c>
      <c r="H720" t="n">
        <v>84.12385</v>
      </c>
      <c r="I720" t="n">
        <v>81.22042999999999</v>
      </c>
      <c r="J720" t="n">
        <v>76.71548</v>
      </c>
      <c r="K720" t="n">
        <v>90.7</v>
      </c>
      <c r="L720" t="n">
        <v>91.79939</v>
      </c>
      <c r="M720" t="n">
        <v>90.40000000000001</v>
      </c>
      <c r="N720" t="n">
        <v>91.59</v>
      </c>
      <c r="O720" t="n">
        <v>92.91139</v>
      </c>
      <c r="P720" t="n">
        <v>88.69823</v>
      </c>
      <c r="Q720" t="n">
        <v>90.97</v>
      </c>
      <c r="R720" t="n">
        <v>91.46914</v>
      </c>
      <c r="S720" t="n">
        <v>93.18000000000001</v>
      </c>
      <c r="T720" t="n">
        <v>81.72230999999999</v>
      </c>
      <c r="U720" t="n">
        <v>91.02861</v>
      </c>
      <c r="V720" t="n">
        <v>87.3</v>
      </c>
      <c r="W720" t="n">
        <v>94.41068</v>
      </c>
      <c r="X720" t="n">
        <v>82.53146</v>
      </c>
      <c r="Y720" t="n">
        <v>71.16819</v>
      </c>
      <c r="Z720" t="n">
        <v>56.6146</v>
      </c>
      <c r="AA720" t="n">
        <v>101.1712</v>
      </c>
      <c r="AB720" t="n">
        <v>76.59772</v>
      </c>
      <c r="AC720" t="n">
        <v>89.41531999999999</v>
      </c>
      <c r="AD720" t="n">
        <v>91.22667</v>
      </c>
      <c r="AE720" t="n">
        <v>98.54925</v>
      </c>
      <c r="AF720" t="n">
        <v>86.83766</v>
      </c>
      <c r="AG720" t="n">
        <v>89.79859999999999</v>
      </c>
      <c r="AH720" t="n">
        <v>89.19</v>
      </c>
      <c r="AI720" t="n">
        <v>93.13739</v>
      </c>
      <c r="AJ720" t="n">
        <v>78.51152999999999</v>
      </c>
      <c r="AK720" t="n">
        <v>89.73999999999999</v>
      </c>
      <c r="AL720" t="n">
        <v>89.09999999999999</v>
      </c>
      <c r="AM720" t="n">
        <v>89.17003</v>
      </c>
      <c r="AN720" t="n">
        <v>88.49637</v>
      </c>
      <c r="AO720" t="n">
        <v>87.66788</v>
      </c>
      <c r="AP720" t="n">
        <v>92.75163000000001</v>
      </c>
      <c r="AQ720" t="n">
        <v>57.43798</v>
      </c>
      <c r="AR720" t="n">
        <v>79.74835</v>
      </c>
      <c r="AS720" t="n">
        <v>90.9712</v>
      </c>
      <c r="AT720" t="n">
        <v>92.12</v>
      </c>
      <c r="AU720" t="n">
        <v>96.71741</v>
      </c>
      <c r="AV720" t="n">
        <v>61.82244</v>
      </c>
      <c r="AW720" t="n">
        <v>89.62437</v>
      </c>
      <c r="AX720" t="n">
        <v>70.89006000000001</v>
      </c>
    </row>
    <row r="721">
      <c r="A721" s="92" t="n">
        <v>39783</v>
      </c>
      <c r="B721" t="n">
        <v>88.3836</v>
      </c>
      <c r="C721" t="n">
        <v>90.07706</v>
      </c>
      <c r="D721" t="n">
        <v>67.11787</v>
      </c>
      <c r="E721" t="n">
        <v>89.51804</v>
      </c>
      <c r="F721" t="n">
        <v>101.324</v>
      </c>
      <c r="G721" t="n">
        <v>85.06966</v>
      </c>
      <c r="H721" t="n">
        <v>83.9556</v>
      </c>
      <c r="I721" t="n">
        <v>81.57938</v>
      </c>
      <c r="J721" t="n">
        <v>76.39279000000001</v>
      </c>
      <c r="K721" t="n">
        <v>90.5</v>
      </c>
      <c r="L721" t="n">
        <v>92.17256</v>
      </c>
      <c r="M721" t="n">
        <v>90.09999999999999</v>
      </c>
      <c r="N721" t="n">
        <v>91.47</v>
      </c>
      <c r="O721" t="n">
        <v>92.43501000000001</v>
      </c>
      <c r="P721" t="n">
        <v>88.49316</v>
      </c>
      <c r="Q721" t="n">
        <v>90.84999999999999</v>
      </c>
      <c r="R721" t="n">
        <v>91.13378</v>
      </c>
      <c r="S721" t="n">
        <v>92.95</v>
      </c>
      <c r="T721" t="n">
        <v>81.39165</v>
      </c>
      <c r="U721" t="n">
        <v>90.43246000000001</v>
      </c>
      <c r="V721" t="n">
        <v>87.09999999999999</v>
      </c>
      <c r="W721" t="n">
        <v>93.97078999999999</v>
      </c>
      <c r="X721" t="n">
        <v>82.23538000000001</v>
      </c>
      <c r="Y721" t="n">
        <v>71.14319999999999</v>
      </c>
      <c r="Z721" t="n">
        <v>56.23207</v>
      </c>
      <c r="AA721" t="n">
        <v>99.8754</v>
      </c>
      <c r="AB721" t="n">
        <v>77.78393</v>
      </c>
      <c r="AC721" t="n">
        <v>89.41531999999999</v>
      </c>
      <c r="AD721" t="n">
        <v>91.09359000000001</v>
      </c>
      <c r="AE721" t="n">
        <v>98.14202</v>
      </c>
      <c r="AF721" t="n">
        <v>86.83766</v>
      </c>
      <c r="AG721" t="n">
        <v>89.73220000000001</v>
      </c>
      <c r="AH721" t="n">
        <v>88.67</v>
      </c>
      <c r="AI721" t="n">
        <v>92.69434</v>
      </c>
      <c r="AJ721" t="n">
        <v>79.05526999999999</v>
      </c>
      <c r="AK721" t="n">
        <v>89.09</v>
      </c>
      <c r="AL721" t="n">
        <v>89</v>
      </c>
      <c r="AM721" t="n">
        <v>88.70502</v>
      </c>
      <c r="AN721" t="n">
        <v>88.31036</v>
      </c>
      <c r="AO721" t="n">
        <v>87.58649</v>
      </c>
      <c r="AP721" t="n">
        <v>92.30976</v>
      </c>
      <c r="AQ721" t="n">
        <v>57.8343</v>
      </c>
      <c r="AR721" t="n">
        <v>79.88137999999999</v>
      </c>
      <c r="AS721" t="n">
        <v>90.78766</v>
      </c>
      <c r="AT721" t="n">
        <v>91.55</v>
      </c>
      <c r="AU721" t="n">
        <v>95.41853</v>
      </c>
      <c r="AV721" t="n">
        <v>61.56916</v>
      </c>
      <c r="AW721" t="n">
        <v>88.69743</v>
      </c>
      <c r="AX721" t="n">
        <v>70.75503999999999</v>
      </c>
    </row>
    <row r="722">
      <c r="A722" s="92" t="n">
        <v>39814</v>
      </c>
      <c r="B722" t="n">
        <v>87.97098</v>
      </c>
      <c r="C722" t="n">
        <v>90.16625000000001</v>
      </c>
      <c r="D722" t="n">
        <v>67.43989999999999</v>
      </c>
      <c r="E722" t="n">
        <v>89.28100999999999</v>
      </c>
      <c r="F722" t="n">
        <v>100.4691</v>
      </c>
      <c r="G722" t="n">
        <v>84.42313</v>
      </c>
      <c r="H722" t="n">
        <v>84.71120000000001</v>
      </c>
      <c r="I722" t="n">
        <v>82.06068999999999</v>
      </c>
      <c r="J722" t="n">
        <v>76.67999</v>
      </c>
      <c r="K722" t="n">
        <v>91.90000000000001</v>
      </c>
      <c r="L722" t="n">
        <v>91.70610000000001</v>
      </c>
      <c r="M722" t="n">
        <v>89.8</v>
      </c>
      <c r="N722" t="n">
        <v>90.73</v>
      </c>
      <c r="O722" t="n">
        <v>91.29595999999999</v>
      </c>
      <c r="P722" t="n">
        <v>87.98045</v>
      </c>
      <c r="Q722" t="n">
        <v>90.31999999999999</v>
      </c>
      <c r="R722" t="n">
        <v>90.9661</v>
      </c>
      <c r="S722" t="n">
        <v>92.56999999999999</v>
      </c>
      <c r="T722" t="n">
        <v>81.56344</v>
      </c>
      <c r="U722" t="n">
        <v>90.47161</v>
      </c>
      <c r="V722" t="n">
        <v>86.59999999999999</v>
      </c>
      <c r="W722" t="n">
        <v>93.51973</v>
      </c>
      <c r="X722" t="n">
        <v>82.75351999999999</v>
      </c>
      <c r="Y722" t="n">
        <v>71.09322</v>
      </c>
      <c r="Z722" t="n">
        <v>56.6146</v>
      </c>
      <c r="AA722" t="n">
        <v>98.28059</v>
      </c>
      <c r="AB722" t="n">
        <v>78.21059</v>
      </c>
      <c r="AC722" t="n">
        <v>88.91128999999999</v>
      </c>
      <c r="AD722" t="n">
        <v>90.96051</v>
      </c>
      <c r="AE722" t="n">
        <v>97.63299000000001</v>
      </c>
      <c r="AF722" t="n">
        <v>86.91673</v>
      </c>
      <c r="AG722" t="n">
        <v>92.1617</v>
      </c>
      <c r="AH722" t="n">
        <v>87.67</v>
      </c>
      <c r="AI722" t="n">
        <v>94.72784</v>
      </c>
      <c r="AJ722" t="n">
        <v>79.23848</v>
      </c>
      <c r="AK722" t="n">
        <v>89.31999999999999</v>
      </c>
      <c r="AL722" t="n">
        <v>88.7</v>
      </c>
      <c r="AM722" t="n">
        <v>88.71563999999999</v>
      </c>
      <c r="AN722" t="n">
        <v>88.01697</v>
      </c>
      <c r="AO722" t="n">
        <v>87.99348000000001</v>
      </c>
      <c r="AP722" t="n">
        <v>91.71662999999999</v>
      </c>
      <c r="AQ722" t="n">
        <v>59.20498</v>
      </c>
      <c r="AR722" t="n">
        <v>80.14742</v>
      </c>
      <c r="AS722" t="n">
        <v>91.15473</v>
      </c>
      <c r="AT722" t="n">
        <v>91.13</v>
      </c>
      <c r="AU722" t="n">
        <v>95.06429</v>
      </c>
      <c r="AV722" t="n">
        <v>61.74569</v>
      </c>
      <c r="AW722" t="n">
        <v>89.08347999999999</v>
      </c>
      <c r="AX722" t="n">
        <v>71.16012000000001</v>
      </c>
    </row>
    <row r="723">
      <c r="A723" s="92" t="n">
        <v>39845</v>
      </c>
      <c r="B723" t="n">
        <v>88.30108</v>
      </c>
      <c r="C723" t="n">
        <v>90.47348</v>
      </c>
      <c r="D723" t="n">
        <v>67.81088</v>
      </c>
      <c r="E723" t="n">
        <v>89.91309</v>
      </c>
      <c r="F723" t="n">
        <v>100.7059</v>
      </c>
      <c r="G723" t="n">
        <v>83.32380999999999</v>
      </c>
      <c r="H723" t="n">
        <v>84.71120000000001</v>
      </c>
      <c r="I723" t="n">
        <v>82.74596</v>
      </c>
      <c r="J723" t="n">
        <v>77.01881</v>
      </c>
      <c r="K723" t="n">
        <v>91.90000000000001</v>
      </c>
      <c r="L723" t="n">
        <v>92.26585</v>
      </c>
      <c r="M723" t="n">
        <v>90.90000000000001</v>
      </c>
      <c r="N723" t="n">
        <v>91.09999999999999</v>
      </c>
      <c r="O723" t="n">
        <v>91.3056</v>
      </c>
      <c r="P723" t="n">
        <v>87.67282</v>
      </c>
      <c r="Q723" t="n">
        <v>90.73</v>
      </c>
      <c r="R723" t="n">
        <v>91.04994000000001</v>
      </c>
      <c r="S723" t="n">
        <v>92.92</v>
      </c>
      <c r="T723" t="n">
        <v>81.8811</v>
      </c>
      <c r="U723" t="n">
        <v>90.83678</v>
      </c>
      <c r="V723" t="n">
        <v>87.2</v>
      </c>
      <c r="W723" t="n">
        <v>92.66602</v>
      </c>
      <c r="X723" t="n">
        <v>83.56773</v>
      </c>
      <c r="Y723" t="n">
        <v>71.24317000000001</v>
      </c>
      <c r="Z723" t="n">
        <v>56.6146</v>
      </c>
      <c r="AA723" t="n">
        <v>97.88188</v>
      </c>
      <c r="AB723" t="n">
        <v>78.61176</v>
      </c>
      <c r="AC723" t="n">
        <v>88.81049</v>
      </c>
      <c r="AD723" t="n">
        <v>91.16013</v>
      </c>
      <c r="AE723" t="n">
        <v>97.32756999999999</v>
      </c>
      <c r="AF723" t="n">
        <v>87.54396</v>
      </c>
      <c r="AG723" t="n">
        <v>92.416</v>
      </c>
      <c r="AH723" t="n">
        <v>89.23</v>
      </c>
      <c r="AI723" t="n">
        <v>95.74970999999999</v>
      </c>
      <c r="AJ723" t="n">
        <v>79.41342</v>
      </c>
      <c r="AK723" t="n">
        <v>89.95</v>
      </c>
      <c r="AL723" t="n">
        <v>89.40000000000001</v>
      </c>
      <c r="AM723" t="n">
        <v>89.03010999999999</v>
      </c>
      <c r="AN723" t="n">
        <v>88.33404</v>
      </c>
      <c r="AO723" t="n">
        <v>88.80749</v>
      </c>
      <c r="AP723" t="n">
        <v>91.66786</v>
      </c>
      <c r="AQ723" t="n">
        <v>60.18186</v>
      </c>
      <c r="AR723" t="n">
        <v>80.21393999999999</v>
      </c>
      <c r="AS723" t="n">
        <v>91.15473</v>
      </c>
      <c r="AT723" t="n">
        <v>91.61</v>
      </c>
      <c r="AU723" t="n">
        <v>95.08663</v>
      </c>
      <c r="AV723" t="n">
        <v>61.53462</v>
      </c>
      <c r="AW723" t="n">
        <v>89.52649</v>
      </c>
      <c r="AX723" t="n">
        <v>71.83526999999999</v>
      </c>
    </row>
    <row r="724">
      <c r="A724" s="92" t="n">
        <v>39873</v>
      </c>
      <c r="B724" t="n">
        <v>88.46613000000001</v>
      </c>
      <c r="C724" t="n">
        <v>89.95813</v>
      </c>
      <c r="D724" t="n">
        <v>67.94638</v>
      </c>
      <c r="E724" t="n">
        <v>90.07111</v>
      </c>
      <c r="F724" t="n">
        <v>100.3795</v>
      </c>
      <c r="G724" t="n">
        <v>83.35711999999999</v>
      </c>
      <c r="H724" t="n">
        <v>84.45707</v>
      </c>
      <c r="I724" t="n">
        <v>83.16202</v>
      </c>
      <c r="J724" t="n">
        <v>77.02956</v>
      </c>
      <c r="K724" t="n">
        <v>92.09999999999999</v>
      </c>
      <c r="L724" t="n">
        <v>92.07926999999999</v>
      </c>
      <c r="M724" t="n">
        <v>91.2</v>
      </c>
      <c r="N724" t="n">
        <v>91.44</v>
      </c>
      <c r="O724" t="n">
        <v>91.45547000000001</v>
      </c>
      <c r="P724" t="n">
        <v>87.21138999999999</v>
      </c>
      <c r="Q724" t="n">
        <v>91.08</v>
      </c>
      <c r="R724" t="n">
        <v>91.04994000000001</v>
      </c>
      <c r="S724" t="n">
        <v>93.09</v>
      </c>
      <c r="T724" t="n">
        <v>82.12470999999999</v>
      </c>
      <c r="U724" t="n">
        <v>91.00673999999999</v>
      </c>
      <c r="V724" t="n">
        <v>87.3</v>
      </c>
      <c r="W724" t="n">
        <v>94.51437</v>
      </c>
      <c r="X724" t="n">
        <v>83.93782</v>
      </c>
      <c r="Y724" t="n">
        <v>71.39937999999999</v>
      </c>
      <c r="Z724" t="n">
        <v>56.6146</v>
      </c>
      <c r="AA724" t="n">
        <v>97.78221000000001</v>
      </c>
      <c r="AB724" t="n">
        <v>78.14818</v>
      </c>
      <c r="AC724" t="n">
        <v>89.21371000000001</v>
      </c>
      <c r="AD724" t="n">
        <v>91.22667</v>
      </c>
      <c r="AE724" t="n">
        <v>97.63299000000001</v>
      </c>
      <c r="AF724" t="n">
        <v>88.17119</v>
      </c>
      <c r="AG724" t="n">
        <v>92.4393</v>
      </c>
      <c r="AH724" t="n">
        <v>89.06999999999999</v>
      </c>
      <c r="AI724" t="n">
        <v>95.97441000000001</v>
      </c>
      <c r="AJ724" t="n">
        <v>79.87027999999999</v>
      </c>
      <c r="AK724" t="n">
        <v>90.84999999999999</v>
      </c>
      <c r="AL724" t="n">
        <v>89.40000000000001</v>
      </c>
      <c r="AM724" t="n">
        <v>89.26598</v>
      </c>
      <c r="AN724" t="n">
        <v>88.53355000000001</v>
      </c>
      <c r="AO724" t="n">
        <v>89.45869</v>
      </c>
      <c r="AP724" t="n">
        <v>92.39634</v>
      </c>
      <c r="AQ724" t="n">
        <v>60.97025</v>
      </c>
      <c r="AR724" t="n">
        <v>80.47999</v>
      </c>
      <c r="AS724" t="n">
        <v>90.91002</v>
      </c>
      <c r="AT724" t="n">
        <v>92.48</v>
      </c>
      <c r="AU724" t="n">
        <v>95.35789</v>
      </c>
      <c r="AV724" t="n">
        <v>62.21386</v>
      </c>
      <c r="AW724" t="n">
        <v>89.74419</v>
      </c>
      <c r="AX724" t="n">
        <v>72.91549999999999</v>
      </c>
    </row>
    <row r="725">
      <c r="A725" s="92" t="n">
        <v>39904</v>
      </c>
      <c r="B725" t="n">
        <v>88.63117</v>
      </c>
      <c r="C725" t="n">
        <v>90.14643</v>
      </c>
      <c r="D725" t="n">
        <v>68.27258999999999</v>
      </c>
      <c r="E725" t="n">
        <v>89.99209999999999</v>
      </c>
      <c r="F725" t="n">
        <v>101.2645</v>
      </c>
      <c r="G725" t="n">
        <v>83.23220000000001</v>
      </c>
      <c r="H725" t="n">
        <v>84.28815</v>
      </c>
      <c r="I725" t="n">
        <v>83.42307</v>
      </c>
      <c r="J725" t="n">
        <v>77.28448</v>
      </c>
      <c r="K725" t="n">
        <v>92</v>
      </c>
      <c r="L725" t="n">
        <v>92.17256</v>
      </c>
      <c r="M725" t="n">
        <v>91.09999999999999</v>
      </c>
      <c r="N725" t="n">
        <v>91.76000000000001</v>
      </c>
      <c r="O725" t="n">
        <v>92.34829000000001</v>
      </c>
      <c r="P725" t="n">
        <v>86.59614000000001</v>
      </c>
      <c r="Q725" t="n">
        <v>91.41</v>
      </c>
      <c r="R725" t="n">
        <v>91.04994000000001</v>
      </c>
      <c r="S725" t="n">
        <v>93.23999999999999</v>
      </c>
      <c r="T725" t="n">
        <v>82.3839</v>
      </c>
      <c r="U725" t="n">
        <v>91.18612</v>
      </c>
      <c r="V725" t="n">
        <v>87.5</v>
      </c>
      <c r="W725" t="n">
        <v>94.79906</v>
      </c>
      <c r="X725" t="n">
        <v>84.604</v>
      </c>
      <c r="Y725" t="n">
        <v>71.18069</v>
      </c>
      <c r="Z725" t="n">
        <v>57.37966</v>
      </c>
      <c r="AA725" t="n">
        <v>97.08447</v>
      </c>
      <c r="AB725" t="n">
        <v>78.48903</v>
      </c>
      <c r="AC725" t="n">
        <v>90.12096</v>
      </c>
      <c r="AD725" t="n">
        <v>91.42628999999999</v>
      </c>
      <c r="AE725" t="n">
        <v>97.73479</v>
      </c>
      <c r="AF725" t="n">
        <v>88.40522</v>
      </c>
      <c r="AG725" t="n">
        <v>92.3634</v>
      </c>
      <c r="AH725" t="n">
        <v>89.3</v>
      </c>
      <c r="AI725" t="n">
        <v>95.60559000000001</v>
      </c>
      <c r="AJ725" t="n">
        <v>80.14982999999999</v>
      </c>
      <c r="AK725" t="n">
        <v>91.05</v>
      </c>
      <c r="AL725" t="n">
        <v>89.7</v>
      </c>
      <c r="AM725" t="n">
        <v>89.48277</v>
      </c>
      <c r="AN725" t="n">
        <v>88.76752</v>
      </c>
      <c r="AO725" t="n">
        <v>90.10988999999999</v>
      </c>
      <c r="AP725" t="n">
        <v>92.62723</v>
      </c>
      <c r="AQ725" t="n">
        <v>61.39094</v>
      </c>
      <c r="AR725" t="n">
        <v>80.61301</v>
      </c>
      <c r="AS725" t="n">
        <v>90.84884</v>
      </c>
      <c r="AT725" t="n">
        <v>92.61</v>
      </c>
      <c r="AU725" t="n">
        <v>95.5047</v>
      </c>
      <c r="AV725" t="n">
        <v>62.22538</v>
      </c>
      <c r="AW725" t="n">
        <v>89.96823000000001</v>
      </c>
      <c r="AX725" t="n">
        <v>73.18555000000001</v>
      </c>
    </row>
    <row r="726">
      <c r="A726" s="92" t="n">
        <v>39934</v>
      </c>
      <c r="B726" t="n">
        <v>88.87875</v>
      </c>
      <c r="C726" t="n">
        <v>90.07706</v>
      </c>
      <c r="D726" t="n">
        <v>68.59345999999999</v>
      </c>
      <c r="E726" t="n">
        <v>90.62418</v>
      </c>
      <c r="F726" t="n">
        <v>101.426</v>
      </c>
      <c r="G726" t="n">
        <v>83.04898</v>
      </c>
      <c r="H726" t="n">
        <v>84.03529</v>
      </c>
      <c r="I726" t="n">
        <v>83.43938</v>
      </c>
      <c r="J726" t="n">
        <v>77.18768</v>
      </c>
      <c r="K726" t="n">
        <v>92</v>
      </c>
      <c r="L726" t="n">
        <v>92.07926999999999</v>
      </c>
      <c r="M726" t="n">
        <v>91.40000000000001</v>
      </c>
      <c r="N726" t="n">
        <v>91.8</v>
      </c>
      <c r="O726" t="n">
        <v>92.31618</v>
      </c>
      <c r="P726" t="n">
        <v>86.59614000000001</v>
      </c>
      <c r="Q726" t="n">
        <v>91.51000000000001</v>
      </c>
      <c r="R726" t="n">
        <v>90.88226</v>
      </c>
      <c r="S726" t="n">
        <v>93.38</v>
      </c>
      <c r="T726" t="n">
        <v>82.5489</v>
      </c>
      <c r="U726" t="n">
        <v>91.37662</v>
      </c>
      <c r="V726" t="n">
        <v>87.90000000000001</v>
      </c>
      <c r="W726" t="n">
        <v>95.02377</v>
      </c>
      <c r="X726" t="n">
        <v>85.86233</v>
      </c>
      <c r="Y726" t="n">
        <v>71.21193</v>
      </c>
      <c r="Z726" t="n">
        <v>57.76219</v>
      </c>
      <c r="AA726" t="n">
        <v>96.5861</v>
      </c>
      <c r="AB726" t="n">
        <v>79.39901</v>
      </c>
      <c r="AC726" t="n">
        <v>90.52419</v>
      </c>
      <c r="AD726" t="n">
        <v>91.62591</v>
      </c>
      <c r="AE726" t="n">
        <v>97.53118000000001</v>
      </c>
      <c r="AF726" t="n">
        <v>88.40522</v>
      </c>
      <c r="AG726" t="n">
        <v>92.2175</v>
      </c>
      <c r="AH726" t="n">
        <v>89.38</v>
      </c>
      <c r="AI726" t="n">
        <v>95.11963</v>
      </c>
      <c r="AJ726" t="n">
        <v>79.91638</v>
      </c>
      <c r="AK726" t="n">
        <v>91.17</v>
      </c>
      <c r="AL726" t="n">
        <v>89.90000000000001</v>
      </c>
      <c r="AM726" t="n">
        <v>89.63767</v>
      </c>
      <c r="AN726" t="n">
        <v>88.92993</v>
      </c>
      <c r="AO726" t="n">
        <v>90.59829000000001</v>
      </c>
      <c r="AP726" t="n">
        <v>92.4461</v>
      </c>
      <c r="AQ726" t="n">
        <v>61.74087</v>
      </c>
      <c r="AR726" t="n">
        <v>80.67953</v>
      </c>
      <c r="AS726" t="n">
        <v>90.91002</v>
      </c>
      <c r="AT726" t="n">
        <v>93.20999999999999</v>
      </c>
      <c r="AU726" t="n">
        <v>95.25896</v>
      </c>
      <c r="AV726" t="n">
        <v>62.62448</v>
      </c>
      <c r="AW726" t="n">
        <v>90.22812999999999</v>
      </c>
      <c r="AX726" t="n">
        <v>73.45560999999999</v>
      </c>
    </row>
    <row r="727">
      <c r="A727" s="92" t="n">
        <v>39965</v>
      </c>
      <c r="B727" t="n">
        <v>88.79622999999999</v>
      </c>
      <c r="C727" t="n">
        <v>89.90858</v>
      </c>
      <c r="D727" t="n">
        <v>68.84032000000001</v>
      </c>
      <c r="E727" t="n">
        <v>90.94022</v>
      </c>
      <c r="F727" t="n">
        <v>101.608</v>
      </c>
      <c r="G727" t="n">
        <v>83.33214</v>
      </c>
      <c r="H727" t="n">
        <v>83.61511</v>
      </c>
      <c r="I727" t="n">
        <v>83.39044</v>
      </c>
      <c r="J727" t="n">
        <v>77.31783</v>
      </c>
      <c r="K727" t="n">
        <v>92</v>
      </c>
      <c r="L727" t="n">
        <v>92.35915</v>
      </c>
      <c r="M727" t="n">
        <v>91.59999999999999</v>
      </c>
      <c r="N727" t="n">
        <v>91.98999999999999</v>
      </c>
      <c r="O727" t="n">
        <v>92.72298000000001</v>
      </c>
      <c r="P727" t="n">
        <v>86.54487</v>
      </c>
      <c r="Q727" t="n">
        <v>91.69</v>
      </c>
      <c r="R727" t="n">
        <v>91.13378</v>
      </c>
      <c r="S727" t="n">
        <v>93.5</v>
      </c>
      <c r="T727" t="n">
        <v>82.88753</v>
      </c>
      <c r="U727" t="n">
        <v>91.8507</v>
      </c>
      <c r="V727" t="n">
        <v>88.09999999999999</v>
      </c>
      <c r="W727" t="n">
        <v>94.95932000000001</v>
      </c>
      <c r="X727" t="n">
        <v>85.86233</v>
      </c>
      <c r="Y727" t="n">
        <v>71.29316</v>
      </c>
      <c r="Z727" t="n">
        <v>58.52726</v>
      </c>
      <c r="AA727" t="n">
        <v>96.28706</v>
      </c>
      <c r="AB727" t="n">
        <v>80.48837</v>
      </c>
      <c r="AC727" t="n">
        <v>91.33064</v>
      </c>
      <c r="AD727" t="n">
        <v>91.69244999999999</v>
      </c>
      <c r="AE727" t="n">
        <v>97.32756999999999</v>
      </c>
      <c r="AF727" t="n">
        <v>88.32720999999999</v>
      </c>
      <c r="AG727" t="n">
        <v>91.90009999999999</v>
      </c>
      <c r="AH727" t="n">
        <v>89.83</v>
      </c>
      <c r="AI727" t="n">
        <v>94.59815999999999</v>
      </c>
      <c r="AJ727" t="n">
        <v>80.06355000000001</v>
      </c>
      <c r="AK727" t="n">
        <v>90.84999999999999</v>
      </c>
      <c r="AL727" t="n">
        <v>90.40000000000001</v>
      </c>
      <c r="AM727" t="n">
        <v>90.00284000000001</v>
      </c>
      <c r="AN727" t="n">
        <v>89.07424</v>
      </c>
      <c r="AO727" t="n">
        <v>90.76109</v>
      </c>
      <c r="AP727" t="n">
        <v>92.51576</v>
      </c>
      <c r="AQ727" t="n">
        <v>62.11131</v>
      </c>
      <c r="AR727" t="n">
        <v>80.81255</v>
      </c>
      <c r="AS727" t="n">
        <v>91.15473</v>
      </c>
      <c r="AT727" t="n">
        <v>93.68000000000001</v>
      </c>
      <c r="AU727" t="n">
        <v>95.48875</v>
      </c>
      <c r="AV727" t="n">
        <v>62.69355</v>
      </c>
      <c r="AW727" t="n">
        <v>91.00317</v>
      </c>
      <c r="AX727" t="n">
        <v>73.72566999999999</v>
      </c>
    </row>
    <row r="728">
      <c r="A728" s="92" t="n">
        <v>39995</v>
      </c>
      <c r="B728" t="n">
        <v>88.54864999999999</v>
      </c>
      <c r="C728" t="n">
        <v>89.84911</v>
      </c>
      <c r="D728" t="n">
        <v>69.00552</v>
      </c>
      <c r="E728" t="n">
        <v>90.62418</v>
      </c>
      <c r="F728" t="n">
        <v>100.9337</v>
      </c>
      <c r="G728" t="n">
        <v>82.97402</v>
      </c>
      <c r="H728" t="n">
        <v>83.61511</v>
      </c>
      <c r="I728" t="n">
        <v>83.3578</v>
      </c>
      <c r="J728" t="n">
        <v>78.02773999999999</v>
      </c>
      <c r="K728" t="n">
        <v>91.7</v>
      </c>
      <c r="L728" t="n">
        <v>92.35915</v>
      </c>
      <c r="M728" t="n">
        <v>91.2</v>
      </c>
      <c r="N728" t="n">
        <v>91.38</v>
      </c>
      <c r="O728" t="n">
        <v>91.93079</v>
      </c>
      <c r="P728" t="n">
        <v>87.3652</v>
      </c>
      <c r="Q728" t="n">
        <v>91.19</v>
      </c>
      <c r="R728" t="n">
        <v>90.54691</v>
      </c>
      <c r="S728" t="n">
        <v>93.08</v>
      </c>
      <c r="T728" t="n">
        <v>83.10538</v>
      </c>
      <c r="U728" t="n">
        <v>91.68862</v>
      </c>
      <c r="V728" t="n">
        <v>88</v>
      </c>
      <c r="W728" t="n">
        <v>94.26079</v>
      </c>
      <c r="X728" t="n">
        <v>87.04662999999999</v>
      </c>
      <c r="Y728" t="n">
        <v>71.61181999999999</v>
      </c>
      <c r="Z728" t="n">
        <v>61.20497</v>
      </c>
      <c r="AA728" t="n">
        <v>95.58933</v>
      </c>
      <c r="AB728" t="n">
        <v>80.62336999999999</v>
      </c>
      <c r="AC728" t="n">
        <v>92.2379</v>
      </c>
      <c r="AD728" t="n">
        <v>91.69244999999999</v>
      </c>
      <c r="AE728" t="n">
        <v>97.02213999999999</v>
      </c>
      <c r="AF728" t="n">
        <v>88.64135</v>
      </c>
      <c r="AG728" t="n">
        <v>91.18940000000001</v>
      </c>
      <c r="AH728" t="n">
        <v>89.03</v>
      </c>
      <c r="AI728" t="n">
        <v>94.02743</v>
      </c>
      <c r="AJ728" t="n">
        <v>80.28163000000001</v>
      </c>
      <c r="AK728" t="n">
        <v>89.89</v>
      </c>
      <c r="AL728" t="n">
        <v>89.90000000000001</v>
      </c>
      <c r="AM728" t="n">
        <v>89.87106</v>
      </c>
      <c r="AN728" t="n">
        <v>88.85899999999999</v>
      </c>
      <c r="AO728" t="n">
        <v>90.84249</v>
      </c>
      <c r="AP728" t="n">
        <v>92.02414</v>
      </c>
      <c r="AQ728" t="n">
        <v>62.50261</v>
      </c>
      <c r="AR728" t="n">
        <v>81.27813999999999</v>
      </c>
      <c r="AS728" t="n">
        <v>91.15473</v>
      </c>
      <c r="AT728" t="n">
        <v>92.8</v>
      </c>
      <c r="AU728" t="n">
        <v>95.04833000000001</v>
      </c>
      <c r="AV728" t="n">
        <v>62.85089</v>
      </c>
      <c r="AW728" t="n">
        <v>90.85889</v>
      </c>
      <c r="AX728" t="n">
        <v>74.40081000000001</v>
      </c>
    </row>
    <row r="729">
      <c r="A729" s="92" t="n">
        <v>40026</v>
      </c>
      <c r="B729" t="n">
        <v>88.87875</v>
      </c>
      <c r="C729" t="n">
        <v>90.12661</v>
      </c>
      <c r="D729" t="n">
        <v>69.10899000000001</v>
      </c>
      <c r="E729" t="n">
        <v>90.62418</v>
      </c>
      <c r="F729" t="n">
        <v>101.0454</v>
      </c>
      <c r="G729" t="n">
        <v>82.59093</v>
      </c>
      <c r="H729" t="n">
        <v>84.03319</v>
      </c>
      <c r="I729" t="n">
        <v>83.3986</v>
      </c>
      <c r="J729" t="n">
        <v>78.53865999999999</v>
      </c>
      <c r="K729" t="n">
        <v>91.5</v>
      </c>
      <c r="L729" t="n">
        <v>92.54573000000001</v>
      </c>
      <c r="M729" t="n">
        <v>91.40000000000001</v>
      </c>
      <c r="N729" t="n">
        <v>91.69</v>
      </c>
      <c r="O729" t="n">
        <v>92.25194999999999</v>
      </c>
      <c r="P729" t="n">
        <v>87.3652</v>
      </c>
      <c r="Q729" t="n">
        <v>91.42</v>
      </c>
      <c r="R729" t="n">
        <v>90.79841999999999</v>
      </c>
      <c r="S729" t="n">
        <v>93.56</v>
      </c>
      <c r="T729" t="n">
        <v>83.38319</v>
      </c>
      <c r="U729" t="n">
        <v>91.92341</v>
      </c>
      <c r="V729" t="n">
        <v>88.3</v>
      </c>
      <c r="W729" t="n">
        <v>93.56789000000001</v>
      </c>
      <c r="X729" t="n">
        <v>86.75055999999999</v>
      </c>
      <c r="Y729" t="n">
        <v>72.01170999999999</v>
      </c>
      <c r="Z729" t="n">
        <v>61.97004</v>
      </c>
      <c r="AA729" t="n">
        <v>95.88836000000001</v>
      </c>
      <c r="AB729" t="n">
        <v>81.04129</v>
      </c>
      <c r="AC729" t="n">
        <v>92.74194</v>
      </c>
      <c r="AD729" t="n">
        <v>91.95860999999999</v>
      </c>
      <c r="AE729" t="n">
        <v>97.32756999999999</v>
      </c>
      <c r="AF729" t="n">
        <v>88.9555</v>
      </c>
      <c r="AG729" t="n">
        <v>91.0042</v>
      </c>
      <c r="AH729" t="n">
        <v>90.2</v>
      </c>
      <c r="AI729" t="n">
        <v>93.05932</v>
      </c>
      <c r="AJ729" t="n">
        <v>80.47371</v>
      </c>
      <c r="AK729" t="n">
        <v>90.14</v>
      </c>
      <c r="AL729" t="n">
        <v>89.7</v>
      </c>
      <c r="AM729" t="n">
        <v>90.05717</v>
      </c>
      <c r="AN729" t="n">
        <v>89.02294000000001</v>
      </c>
      <c r="AO729" t="n">
        <v>90.51689</v>
      </c>
      <c r="AP729" t="n">
        <v>91.75743</v>
      </c>
      <c r="AQ729" t="n">
        <v>62.50261</v>
      </c>
      <c r="AR729" t="n">
        <v>81.61069000000001</v>
      </c>
      <c r="AS729" t="n">
        <v>91.03237</v>
      </c>
      <c r="AT729" t="n">
        <v>92.84999999999999</v>
      </c>
      <c r="AU729" t="n">
        <v>95.2462</v>
      </c>
      <c r="AV729" t="n">
        <v>62.66285</v>
      </c>
      <c r="AW729" t="n">
        <v>91.06267</v>
      </c>
      <c r="AX729" t="n">
        <v>74.67086999999999</v>
      </c>
    </row>
    <row r="730">
      <c r="A730" s="92" t="n">
        <v>40057</v>
      </c>
      <c r="B730" t="n">
        <v>88.96127</v>
      </c>
      <c r="C730" t="n">
        <v>89.88876</v>
      </c>
      <c r="D730" t="n">
        <v>69.27488</v>
      </c>
      <c r="E730" t="n">
        <v>90.62418</v>
      </c>
      <c r="F730" t="n">
        <v>101.0325</v>
      </c>
      <c r="G730" t="n">
        <v>83.53201</v>
      </c>
      <c r="H730" t="n">
        <v>84.36932</v>
      </c>
      <c r="I730" t="n">
        <v>83.30886</v>
      </c>
      <c r="J730" t="n">
        <v>78.62685999999999</v>
      </c>
      <c r="K730" t="n">
        <v>91.2</v>
      </c>
      <c r="L730" t="n">
        <v>92.26585</v>
      </c>
      <c r="M730" t="n">
        <v>91.59999999999999</v>
      </c>
      <c r="N730" t="n">
        <v>91.70999999999999</v>
      </c>
      <c r="O730" t="n">
        <v>92.03462</v>
      </c>
      <c r="P730" t="n">
        <v>87.16012000000001</v>
      </c>
      <c r="Q730" t="n">
        <v>91.44</v>
      </c>
      <c r="R730" t="n">
        <v>90.9661</v>
      </c>
      <c r="S730" t="n">
        <v>93.33</v>
      </c>
      <c r="T730" t="n">
        <v>83.53268</v>
      </c>
      <c r="U730" t="n">
        <v>91.90483999999999</v>
      </c>
      <c r="V730" t="n">
        <v>88.3</v>
      </c>
      <c r="W730" t="n">
        <v>95.33872</v>
      </c>
      <c r="X730" t="n">
        <v>86.67654</v>
      </c>
      <c r="Y730" t="n">
        <v>72.76776</v>
      </c>
      <c r="Z730" t="n">
        <v>62.35257</v>
      </c>
      <c r="AA730" t="n">
        <v>95.58933</v>
      </c>
      <c r="AB730" t="n">
        <v>81.68853</v>
      </c>
      <c r="AC730" t="n">
        <v>92.43951</v>
      </c>
      <c r="AD730" t="n">
        <v>91.759</v>
      </c>
      <c r="AE730" t="n">
        <v>97.32756999999999</v>
      </c>
      <c r="AF730" t="n">
        <v>89.03456</v>
      </c>
      <c r="AG730" t="n">
        <v>91.5599</v>
      </c>
      <c r="AH730" t="n">
        <v>90.09999999999999</v>
      </c>
      <c r="AI730" t="n">
        <v>92.84911</v>
      </c>
      <c r="AJ730" t="n">
        <v>80.87737</v>
      </c>
      <c r="AK730" t="n">
        <v>90.62</v>
      </c>
      <c r="AL730" t="n">
        <v>90.40000000000001</v>
      </c>
      <c r="AM730" t="n">
        <v>90.09421</v>
      </c>
      <c r="AN730" t="n">
        <v>88.99579</v>
      </c>
      <c r="AO730" t="n">
        <v>90.51689</v>
      </c>
      <c r="AP730" t="n">
        <v>91.93456999999999</v>
      </c>
      <c r="AQ730" t="n">
        <v>62.48386</v>
      </c>
      <c r="AR730" t="n">
        <v>82.14279999999999</v>
      </c>
      <c r="AS730" t="n">
        <v>91.03237</v>
      </c>
      <c r="AT730" t="n">
        <v>92.68000000000001</v>
      </c>
      <c r="AU730" t="n">
        <v>95.5398</v>
      </c>
      <c r="AV730" t="n">
        <v>62.90845</v>
      </c>
      <c r="AW730" t="n">
        <v>91.11962</v>
      </c>
      <c r="AX730" t="n">
        <v>74.80589000000001</v>
      </c>
    </row>
    <row r="731">
      <c r="A731" s="92" t="n">
        <v>40087</v>
      </c>
      <c r="B731" t="n">
        <v>88.96127</v>
      </c>
      <c r="C731" t="n">
        <v>89.9284</v>
      </c>
      <c r="D731" t="n">
        <v>69.46884</v>
      </c>
      <c r="E731" t="n">
        <v>90.54517</v>
      </c>
      <c r="F731" t="n">
        <v>101.6604</v>
      </c>
      <c r="G731" t="n">
        <v>83.52369</v>
      </c>
      <c r="H731" t="n">
        <v>84.28703</v>
      </c>
      <c r="I731" t="n">
        <v>83.19465</v>
      </c>
      <c r="J731" t="n">
        <v>78.80972</v>
      </c>
      <c r="K731" t="n">
        <v>91.09999999999999</v>
      </c>
      <c r="L731" t="n">
        <v>92.26585</v>
      </c>
      <c r="M731" t="n">
        <v>91.59999999999999</v>
      </c>
      <c r="N731" t="n">
        <v>91.92</v>
      </c>
      <c r="O731" t="n">
        <v>92.69086</v>
      </c>
      <c r="P731" t="n">
        <v>87.05758</v>
      </c>
      <c r="Q731" t="n">
        <v>91.63</v>
      </c>
      <c r="R731" t="n">
        <v>90.46307</v>
      </c>
      <c r="S731" t="n">
        <v>93.42</v>
      </c>
      <c r="T731" t="n">
        <v>83.70981</v>
      </c>
      <c r="U731" t="n">
        <v>91.92162</v>
      </c>
      <c r="V731" t="n">
        <v>88.40000000000001</v>
      </c>
      <c r="W731" t="n">
        <v>95.81895</v>
      </c>
      <c r="X731" t="n">
        <v>86.67654</v>
      </c>
      <c r="Y731" t="n">
        <v>72.90522</v>
      </c>
      <c r="Z731" t="n">
        <v>63.11763</v>
      </c>
      <c r="AA731" t="n">
        <v>95.38997999999999</v>
      </c>
      <c r="AB731" t="n">
        <v>82.60362000000001</v>
      </c>
      <c r="AC731" t="n">
        <v>92.64113</v>
      </c>
      <c r="AD731" t="n">
        <v>91.82553</v>
      </c>
      <c r="AE731" t="n">
        <v>96.92033000000001</v>
      </c>
      <c r="AF731" t="n">
        <v>88.79841999999999</v>
      </c>
      <c r="AG731" t="n">
        <v>91.1564</v>
      </c>
      <c r="AH731" t="n">
        <v>90.02</v>
      </c>
      <c r="AI731" t="n">
        <v>92.67407</v>
      </c>
      <c r="AJ731" t="n">
        <v>81.12206</v>
      </c>
      <c r="AK731" t="n">
        <v>90.7</v>
      </c>
      <c r="AL731" t="n">
        <v>90.2</v>
      </c>
      <c r="AM731" t="n">
        <v>90.19768000000001</v>
      </c>
      <c r="AN731" t="n">
        <v>89.24254999999999</v>
      </c>
      <c r="AO731" t="n">
        <v>90.59829000000001</v>
      </c>
      <c r="AP731" t="n">
        <v>91.98632000000001</v>
      </c>
      <c r="AQ731" t="n">
        <v>62.48386</v>
      </c>
      <c r="AR731" t="n">
        <v>82.67489999999999</v>
      </c>
      <c r="AS731" t="n">
        <v>91.15473</v>
      </c>
      <c r="AT731" t="n">
        <v>92.79000000000001</v>
      </c>
      <c r="AU731" t="n">
        <v>95.77916</v>
      </c>
      <c r="AV731" t="n">
        <v>64.42428</v>
      </c>
      <c r="AW731" t="n">
        <v>91.20738</v>
      </c>
      <c r="AX731" t="n">
        <v>74.80589000000001</v>
      </c>
    </row>
    <row r="732">
      <c r="A732" s="92" t="n">
        <v>40118</v>
      </c>
      <c r="B732" t="n">
        <v>89.12632000000001</v>
      </c>
      <c r="C732" t="n">
        <v>90.16625000000001</v>
      </c>
      <c r="D732" t="n">
        <v>69.75375</v>
      </c>
      <c r="E732" t="n">
        <v>91.01922999999999</v>
      </c>
      <c r="F732" t="n">
        <v>101.8567</v>
      </c>
      <c r="G732" t="n">
        <v>83.19056</v>
      </c>
      <c r="H732" t="n">
        <v>84.54066</v>
      </c>
      <c r="I732" t="n">
        <v>83.14570000000001</v>
      </c>
      <c r="J732" t="n">
        <v>78.68387</v>
      </c>
      <c r="K732" t="n">
        <v>91.2</v>
      </c>
      <c r="L732" t="n">
        <v>92.17256</v>
      </c>
      <c r="M732" t="n">
        <v>91.59999999999999</v>
      </c>
      <c r="N732" t="n">
        <v>92.02</v>
      </c>
      <c r="O732" t="n">
        <v>93.19293999999999</v>
      </c>
      <c r="P732" t="n">
        <v>86.85249</v>
      </c>
      <c r="Q732" t="n">
        <v>91.76000000000001</v>
      </c>
      <c r="R732" t="n">
        <v>90.54691</v>
      </c>
      <c r="S732" t="n">
        <v>93.55</v>
      </c>
      <c r="T732" t="n">
        <v>83.96841000000001</v>
      </c>
      <c r="U732" t="n">
        <v>91.96809</v>
      </c>
      <c r="V732" t="n">
        <v>88.59999999999999</v>
      </c>
      <c r="W732" t="n">
        <v>96.29597</v>
      </c>
      <c r="X732" t="n">
        <v>86.89859</v>
      </c>
      <c r="Y732" t="n">
        <v>72.88647</v>
      </c>
      <c r="Z732" t="n">
        <v>64.26522</v>
      </c>
      <c r="AA732" t="n">
        <v>95.38997999999999</v>
      </c>
      <c r="AB732" t="n">
        <v>83.21681</v>
      </c>
      <c r="AC732" t="n">
        <v>92.84274000000001</v>
      </c>
      <c r="AD732" t="n">
        <v>91.82553</v>
      </c>
      <c r="AE732" t="n">
        <v>96.71672</v>
      </c>
      <c r="AF732" t="n">
        <v>88.9555</v>
      </c>
      <c r="AG732" t="n">
        <v>91.176</v>
      </c>
      <c r="AH732" t="n">
        <v>90.38</v>
      </c>
      <c r="AI732" t="n">
        <v>92.05231000000001</v>
      </c>
      <c r="AJ732" t="n">
        <v>81.54286</v>
      </c>
      <c r="AK732" t="n">
        <v>90.61</v>
      </c>
      <c r="AL732" t="n">
        <v>90.5</v>
      </c>
      <c r="AM732" t="n">
        <v>90.31086999999999</v>
      </c>
      <c r="AN732" t="n">
        <v>89.43039</v>
      </c>
      <c r="AO732" t="n">
        <v>90.84249</v>
      </c>
      <c r="AP732" t="n">
        <v>92.20328000000001</v>
      </c>
      <c r="AQ732" t="n">
        <v>62.66507</v>
      </c>
      <c r="AR732" t="n">
        <v>82.94095</v>
      </c>
      <c r="AS732" t="n">
        <v>91.33826000000001</v>
      </c>
      <c r="AT732" t="n">
        <v>93.59999999999999</v>
      </c>
      <c r="AU732" t="n">
        <v>95.75682</v>
      </c>
      <c r="AV732" t="n">
        <v>65.24167</v>
      </c>
      <c r="AW732" t="n">
        <v>91.27193</v>
      </c>
      <c r="AX732" t="n">
        <v>74.80589000000001</v>
      </c>
    </row>
    <row r="733">
      <c r="A733" s="92" t="n">
        <v>40148</v>
      </c>
      <c r="B733" t="n">
        <v>89.29137</v>
      </c>
      <c r="C733" t="n">
        <v>90.31491</v>
      </c>
      <c r="D733" t="n">
        <v>70.01176</v>
      </c>
      <c r="E733" t="n">
        <v>90.70319000000001</v>
      </c>
      <c r="F733" t="n">
        <v>101.6104</v>
      </c>
      <c r="G733" t="n">
        <v>82.87408000000001</v>
      </c>
      <c r="H733" t="n">
        <v>85.38614</v>
      </c>
      <c r="I733" t="n">
        <v>83.21097</v>
      </c>
      <c r="J733" t="n">
        <v>79.48412999999999</v>
      </c>
      <c r="K733" t="n">
        <v>91.40000000000001</v>
      </c>
      <c r="L733" t="n">
        <v>92.91889</v>
      </c>
      <c r="M733" t="n">
        <v>91.40000000000001</v>
      </c>
      <c r="N733" t="n">
        <v>92.31</v>
      </c>
      <c r="O733" t="n">
        <v>93.16939000000001</v>
      </c>
      <c r="P733" t="n">
        <v>87.00631</v>
      </c>
      <c r="Q733" t="n">
        <v>92</v>
      </c>
      <c r="R733" t="n">
        <v>90.63074</v>
      </c>
      <c r="S733" t="n">
        <v>93.8</v>
      </c>
      <c r="T733" t="n">
        <v>84.15421000000001</v>
      </c>
      <c r="U733" t="n">
        <v>91.95656</v>
      </c>
      <c r="V733" t="n">
        <v>88.90000000000001</v>
      </c>
      <c r="W733" t="n">
        <v>96.4534</v>
      </c>
      <c r="X733" t="n">
        <v>86.82458</v>
      </c>
      <c r="Y733" t="n">
        <v>73.12391</v>
      </c>
      <c r="Z733" t="n">
        <v>64.64775</v>
      </c>
      <c r="AA733" t="n">
        <v>94.8916</v>
      </c>
      <c r="AB733" t="n">
        <v>83.60639999999999</v>
      </c>
      <c r="AC733" t="n">
        <v>92.84274000000001</v>
      </c>
      <c r="AD733" t="n">
        <v>92.02515</v>
      </c>
      <c r="AE733" t="n">
        <v>96.51311</v>
      </c>
      <c r="AF733" t="n">
        <v>89.26964</v>
      </c>
      <c r="AG733" t="n">
        <v>90.8823</v>
      </c>
      <c r="AH733" t="n">
        <v>90.26000000000001</v>
      </c>
      <c r="AI733" t="n">
        <v>91.61096000000001</v>
      </c>
      <c r="AJ733" t="n">
        <v>81.88033</v>
      </c>
      <c r="AK733" t="n">
        <v>90.08</v>
      </c>
      <c r="AL733" t="n">
        <v>90.8</v>
      </c>
      <c r="AM733" t="n">
        <v>90.33279</v>
      </c>
      <c r="AN733" t="n">
        <v>89.66578</v>
      </c>
      <c r="AO733" t="n">
        <v>90.84249</v>
      </c>
      <c r="AP733" t="n">
        <v>92.26697</v>
      </c>
      <c r="AQ733" t="n">
        <v>62.92199</v>
      </c>
      <c r="AR733" t="n">
        <v>83.27351</v>
      </c>
      <c r="AS733" t="n">
        <v>91.27708</v>
      </c>
      <c r="AT733" t="n">
        <v>93.17</v>
      </c>
      <c r="AU733" t="n">
        <v>95.96745</v>
      </c>
      <c r="AV733" t="n">
        <v>65.58704</v>
      </c>
      <c r="AW733" t="n">
        <v>91.11118</v>
      </c>
      <c r="AX733" t="n">
        <v>75.07595000000001</v>
      </c>
    </row>
    <row r="734">
      <c r="A734" s="92" t="n">
        <v>40179</v>
      </c>
      <c r="B734" t="n">
        <v>89.04379</v>
      </c>
      <c r="C734" t="n">
        <v>90.72123999999999</v>
      </c>
      <c r="D734" t="n">
        <v>70.5368</v>
      </c>
      <c r="E734" t="n">
        <v>90.94022</v>
      </c>
      <c r="F734" t="n">
        <v>101.4975</v>
      </c>
      <c r="G734" t="n">
        <v>83.30714999999999</v>
      </c>
      <c r="H734" t="n">
        <v>85.89342000000001</v>
      </c>
      <c r="I734" t="n">
        <v>83.78202</v>
      </c>
      <c r="J734" t="n">
        <v>80.77703</v>
      </c>
      <c r="K734" t="n">
        <v>92.5</v>
      </c>
      <c r="L734" t="n">
        <v>92.35915</v>
      </c>
      <c r="M734" t="n">
        <v>91.59999999999999</v>
      </c>
      <c r="N734" t="n">
        <v>91.56</v>
      </c>
      <c r="O734" t="n">
        <v>92.23482</v>
      </c>
      <c r="P734" t="n">
        <v>87.3652</v>
      </c>
      <c r="Q734" t="n">
        <v>91.51000000000001</v>
      </c>
      <c r="R734" t="n">
        <v>90.79841999999999</v>
      </c>
      <c r="S734" t="n">
        <v>93.59</v>
      </c>
      <c r="T734" t="n">
        <v>84.49151999999999</v>
      </c>
      <c r="U734" t="n">
        <v>92.08875</v>
      </c>
      <c r="V734" t="n">
        <v>88.8</v>
      </c>
      <c r="W734" t="n">
        <v>95.74278</v>
      </c>
      <c r="X734" t="n">
        <v>88.0829</v>
      </c>
      <c r="Y734" t="n">
        <v>73.73624</v>
      </c>
      <c r="Z734" t="n">
        <v>65.79535</v>
      </c>
      <c r="AA734" t="n">
        <v>94.39322</v>
      </c>
      <c r="AB734" t="n">
        <v>83.36744</v>
      </c>
      <c r="AC734" t="n">
        <v>92.2379</v>
      </c>
      <c r="AD734" t="n">
        <v>92.15823</v>
      </c>
      <c r="AE734" t="n">
        <v>96.61490999999999</v>
      </c>
      <c r="AF734" t="n">
        <v>89.97488</v>
      </c>
      <c r="AG734" t="n">
        <v>92.03100000000001</v>
      </c>
      <c r="AH734" t="n">
        <v>89.52</v>
      </c>
      <c r="AI734" t="n">
        <v>91.77027</v>
      </c>
      <c r="AJ734" t="n">
        <v>82.77041</v>
      </c>
      <c r="AK734" t="n">
        <v>90.05</v>
      </c>
      <c r="AL734" t="n">
        <v>90.90000000000001</v>
      </c>
      <c r="AM734" t="n">
        <v>90.53207999999999</v>
      </c>
      <c r="AN734" t="n">
        <v>89.60267</v>
      </c>
      <c r="AO734" t="n">
        <v>91.41229</v>
      </c>
      <c r="AP734" t="n">
        <v>91.82311</v>
      </c>
      <c r="AQ734" t="n">
        <v>63.95391</v>
      </c>
      <c r="AR734" t="n">
        <v>83.47305</v>
      </c>
      <c r="AS734" t="n">
        <v>91.5218</v>
      </c>
      <c r="AT734" t="n">
        <v>92.43000000000001</v>
      </c>
      <c r="AU734" t="n">
        <v>95.36109</v>
      </c>
      <c r="AV734" t="n">
        <v>66.7997</v>
      </c>
      <c r="AW734" t="n">
        <v>91.42255</v>
      </c>
      <c r="AX734" t="n">
        <v>75.34601000000001</v>
      </c>
    </row>
    <row r="735">
      <c r="A735" s="92" t="n">
        <v>40210</v>
      </c>
      <c r="B735" t="n">
        <v>89.20885</v>
      </c>
      <c r="C735" t="n">
        <v>91.10775</v>
      </c>
      <c r="D735" t="n">
        <v>71.0869</v>
      </c>
      <c r="E735" t="n">
        <v>91.33526999999999</v>
      </c>
      <c r="F735" t="n">
        <v>101.6453</v>
      </c>
      <c r="G735" t="n">
        <v>83.53596</v>
      </c>
      <c r="H735" t="n">
        <v>86.92914</v>
      </c>
      <c r="I735" t="n">
        <v>84.47544000000001</v>
      </c>
      <c r="J735" t="n">
        <v>81.33205</v>
      </c>
      <c r="K735" t="n">
        <v>92.5</v>
      </c>
      <c r="L735" t="n">
        <v>92.73232</v>
      </c>
      <c r="M735" t="n">
        <v>92.7</v>
      </c>
      <c r="N735" t="n">
        <v>91.84999999999999</v>
      </c>
      <c r="O735" t="n">
        <v>92.06674</v>
      </c>
      <c r="P735" t="n">
        <v>87.57028</v>
      </c>
      <c r="Q735" t="n">
        <v>91.79000000000001</v>
      </c>
      <c r="R735" t="n">
        <v>91.09256999999999</v>
      </c>
      <c r="S735" t="n">
        <v>94.11</v>
      </c>
      <c r="T735" t="n">
        <v>84.70715</v>
      </c>
      <c r="U735" t="n">
        <v>92.20158000000001</v>
      </c>
      <c r="V735" t="n">
        <v>89</v>
      </c>
      <c r="W735" t="n">
        <v>95.23305999999999</v>
      </c>
      <c r="X735" t="n">
        <v>88.30495999999999</v>
      </c>
      <c r="Y735" t="n">
        <v>73.96742999999999</v>
      </c>
      <c r="Z735" t="n">
        <v>65.03028</v>
      </c>
      <c r="AA735" t="n">
        <v>94.79192</v>
      </c>
      <c r="AB735" t="n">
        <v>84.31107</v>
      </c>
      <c r="AC735" t="n">
        <v>92.03628999999999</v>
      </c>
      <c r="AD735" t="n">
        <v>92.22477000000001</v>
      </c>
      <c r="AE735" t="n">
        <v>96.61490999999999</v>
      </c>
      <c r="AF735" t="n">
        <v>90.1562</v>
      </c>
      <c r="AG735" t="n">
        <v>91.9807</v>
      </c>
      <c r="AH735" t="n">
        <v>90.59</v>
      </c>
      <c r="AI735" t="n">
        <v>91.74881000000001</v>
      </c>
      <c r="AJ735" t="n">
        <v>83.24914</v>
      </c>
      <c r="AK735" t="n">
        <v>90.69</v>
      </c>
      <c r="AL735" t="n">
        <v>92</v>
      </c>
      <c r="AM735" t="n">
        <v>90.70408999999999</v>
      </c>
      <c r="AN735" t="n">
        <v>89.91467</v>
      </c>
      <c r="AO735" t="n">
        <v>91.57509</v>
      </c>
      <c r="AP735" t="n">
        <v>91.85397</v>
      </c>
      <c r="AQ735" t="n">
        <v>64.50391</v>
      </c>
      <c r="AR735" t="n">
        <v>83.87212</v>
      </c>
      <c r="AS735" t="n">
        <v>91.5218</v>
      </c>
      <c r="AT735" t="n">
        <v>92.8</v>
      </c>
      <c r="AU735" t="n">
        <v>95.93553</v>
      </c>
      <c r="AV735" t="n">
        <v>67.76675</v>
      </c>
      <c r="AW735" t="n">
        <v>91.44534</v>
      </c>
      <c r="AX735" t="n">
        <v>75.75109999999999</v>
      </c>
    </row>
    <row r="736">
      <c r="A736" s="92" t="n">
        <v>40238</v>
      </c>
      <c r="B736" t="n">
        <v>90.19913</v>
      </c>
      <c r="C736" t="n">
        <v>91.44471</v>
      </c>
      <c r="D736" t="n">
        <v>71.45649</v>
      </c>
      <c r="E736" t="n">
        <v>91.33526999999999</v>
      </c>
      <c r="F736" t="n">
        <v>101.7846</v>
      </c>
      <c r="G736" t="n">
        <v>83.61223</v>
      </c>
      <c r="H736" t="n">
        <v>86.31617</v>
      </c>
      <c r="I736" t="n">
        <v>84.68755</v>
      </c>
      <c r="J736" t="n">
        <v>81.52996</v>
      </c>
      <c r="K736" t="n">
        <v>92.7</v>
      </c>
      <c r="L736" t="n">
        <v>93.19877</v>
      </c>
      <c r="M736" t="n">
        <v>93.3</v>
      </c>
      <c r="N736" t="n">
        <v>92.86</v>
      </c>
      <c r="O736" t="n">
        <v>92.74974</v>
      </c>
      <c r="P736" t="n">
        <v>88.64697</v>
      </c>
      <c r="Q736" t="n">
        <v>92.68000000000001</v>
      </c>
      <c r="R736" t="n">
        <v>91.61651000000001</v>
      </c>
      <c r="S736" t="n">
        <v>94.56999999999999</v>
      </c>
      <c r="T736" t="n">
        <v>85.02334999999999</v>
      </c>
      <c r="U736" t="n">
        <v>92.54997</v>
      </c>
      <c r="V736" t="n">
        <v>89.40000000000001</v>
      </c>
      <c r="W736" t="n">
        <v>98.23129</v>
      </c>
      <c r="X736" t="n">
        <v>88.89711</v>
      </c>
      <c r="Y736" t="n">
        <v>73.84872</v>
      </c>
      <c r="Z736" t="n">
        <v>65.03028</v>
      </c>
      <c r="AA736" t="n">
        <v>94.79192</v>
      </c>
      <c r="AB736" t="n">
        <v>84.78740999999999</v>
      </c>
      <c r="AC736" t="n">
        <v>92.1371</v>
      </c>
      <c r="AD736" t="n">
        <v>92.49093999999999</v>
      </c>
      <c r="AE736" t="n">
        <v>96.81853</v>
      </c>
      <c r="AF736" t="n">
        <v>90.33857999999999</v>
      </c>
      <c r="AG736" t="n">
        <v>92.253</v>
      </c>
      <c r="AH736" t="n">
        <v>91.09999999999999</v>
      </c>
      <c r="AI736" t="n">
        <v>92.19034000000001</v>
      </c>
      <c r="AJ736" t="n">
        <v>83.84016</v>
      </c>
      <c r="AK736" t="n">
        <v>91.77</v>
      </c>
      <c r="AL736" t="n">
        <v>92.5</v>
      </c>
      <c r="AM736" t="n">
        <v>91.09444999999999</v>
      </c>
      <c r="AN736" t="n">
        <v>90.42523</v>
      </c>
      <c r="AO736" t="n">
        <v>91.81929</v>
      </c>
      <c r="AP736" t="n">
        <v>92.91981</v>
      </c>
      <c r="AQ736" t="n">
        <v>64.91029</v>
      </c>
      <c r="AR736" t="n">
        <v>84.27119</v>
      </c>
      <c r="AS736" t="n">
        <v>91.64415</v>
      </c>
      <c r="AT736" t="n">
        <v>93.79000000000001</v>
      </c>
      <c r="AU736" t="n">
        <v>96.16531000000001</v>
      </c>
      <c r="AV736" t="n">
        <v>68.16202</v>
      </c>
      <c r="AW736" t="n">
        <v>91.82084</v>
      </c>
      <c r="AX736" t="n">
        <v>76.42624000000001</v>
      </c>
    </row>
    <row r="737">
      <c r="A737" s="92" t="n">
        <v>40269</v>
      </c>
      <c r="B737" t="n">
        <v>90.44671</v>
      </c>
      <c r="C737" t="n">
        <v>91.76185</v>
      </c>
      <c r="D737" t="n">
        <v>71.86391</v>
      </c>
      <c r="E737" t="n">
        <v>91.65131</v>
      </c>
      <c r="F737" t="n">
        <v>102.6545</v>
      </c>
      <c r="G737" t="n">
        <v>83.99357000000001</v>
      </c>
      <c r="H737" t="n">
        <v>86.49231</v>
      </c>
      <c r="I737" t="n">
        <v>85.07913000000001</v>
      </c>
      <c r="J737" t="n">
        <v>81.57837000000001</v>
      </c>
      <c r="K737" t="n">
        <v>93.09999999999999</v>
      </c>
      <c r="L737" t="n">
        <v>93.29206000000001</v>
      </c>
      <c r="M737" t="n">
        <v>93.40000000000001</v>
      </c>
      <c r="N737" t="n">
        <v>93.23999999999999</v>
      </c>
      <c r="O737" t="n">
        <v>93.73784000000001</v>
      </c>
      <c r="P737" t="n">
        <v>89.05713</v>
      </c>
      <c r="Q737" t="n">
        <v>93.06</v>
      </c>
      <c r="R737" t="n">
        <v>91.91985</v>
      </c>
      <c r="S737" t="n">
        <v>94.81</v>
      </c>
      <c r="T737" t="n">
        <v>85.23005999999999</v>
      </c>
      <c r="U737" t="n">
        <v>92.73169</v>
      </c>
      <c r="V737" t="n">
        <v>89.90000000000001</v>
      </c>
      <c r="W737" t="n">
        <v>99.38755</v>
      </c>
      <c r="X737" t="n">
        <v>89.41525</v>
      </c>
      <c r="Y737" t="n">
        <v>73.96119</v>
      </c>
      <c r="Z737" t="n">
        <v>65.03028</v>
      </c>
      <c r="AA737" t="n">
        <v>95.09096</v>
      </c>
      <c r="AB737" t="n">
        <v>84.99796000000001</v>
      </c>
      <c r="AC737" t="n">
        <v>92.84274000000001</v>
      </c>
      <c r="AD737" t="n">
        <v>92.82362999999999</v>
      </c>
      <c r="AE737" t="n">
        <v>96.81853</v>
      </c>
      <c r="AF737" t="n">
        <v>90.70226</v>
      </c>
      <c r="AG737" t="n">
        <v>92.65000000000001</v>
      </c>
      <c r="AH737" t="n">
        <v>91.37</v>
      </c>
      <c r="AI737" t="n">
        <v>92.99764</v>
      </c>
      <c r="AJ737" t="n">
        <v>83.57301</v>
      </c>
      <c r="AK737" t="n">
        <v>92.08</v>
      </c>
      <c r="AL737" t="n">
        <v>92.7</v>
      </c>
      <c r="AM737" t="n">
        <v>91.33159999999999</v>
      </c>
      <c r="AN737" t="n">
        <v>90.81272</v>
      </c>
      <c r="AO737" t="n">
        <v>92.22629999999999</v>
      </c>
      <c r="AP737" t="n">
        <v>93.29798</v>
      </c>
      <c r="AQ737" t="n">
        <v>65.09853</v>
      </c>
      <c r="AR737" t="n">
        <v>84.53725</v>
      </c>
      <c r="AS737" t="n">
        <v>91.95004</v>
      </c>
      <c r="AT737" t="n">
        <v>94.73999999999999</v>
      </c>
      <c r="AU737" t="n">
        <v>96.17807999999999</v>
      </c>
      <c r="AV737" t="n">
        <v>68.56879000000001</v>
      </c>
      <c r="AW737" t="n">
        <v>91.98032000000001</v>
      </c>
      <c r="AX737" t="n">
        <v>76.42624000000001</v>
      </c>
    </row>
    <row r="738">
      <c r="A738" s="92" t="n">
        <v>40299</v>
      </c>
      <c r="B738" t="n">
        <v>90.52924</v>
      </c>
      <c r="C738" t="n">
        <v>92.12854</v>
      </c>
      <c r="D738" t="n">
        <v>72.17294</v>
      </c>
      <c r="E738" t="n">
        <v>91.88834</v>
      </c>
      <c r="F738" t="n">
        <v>102.5486</v>
      </c>
      <c r="G738" t="n">
        <v>84.29864999999999</v>
      </c>
      <c r="H738" t="n">
        <v>86.40776</v>
      </c>
      <c r="I738" t="n">
        <v>85.16887</v>
      </c>
      <c r="J738" t="n">
        <v>81.99893</v>
      </c>
      <c r="K738" t="n">
        <v>93.2</v>
      </c>
      <c r="L738" t="n">
        <v>93.19877</v>
      </c>
      <c r="M738" t="n">
        <v>93.40000000000001</v>
      </c>
      <c r="N738" t="n">
        <v>93.34999999999999</v>
      </c>
      <c r="O738" t="n">
        <v>93.94553000000001</v>
      </c>
      <c r="P738" t="n">
        <v>89.21095</v>
      </c>
      <c r="Q738" t="n">
        <v>93.18000000000001</v>
      </c>
      <c r="R738" t="n">
        <v>91.80034999999999</v>
      </c>
      <c r="S738" t="n">
        <v>94.92</v>
      </c>
      <c r="T738" t="n">
        <v>85.38029</v>
      </c>
      <c r="U738" t="n">
        <v>92.79813</v>
      </c>
      <c r="V738" t="n">
        <v>90.09999999999999</v>
      </c>
      <c r="W738" t="n">
        <v>100.181</v>
      </c>
      <c r="X738" t="n">
        <v>90.22946</v>
      </c>
      <c r="Y738" t="n">
        <v>74.17363</v>
      </c>
      <c r="Z738" t="n">
        <v>65.79535</v>
      </c>
      <c r="AA738" t="n">
        <v>95.58933</v>
      </c>
      <c r="AB738" t="n">
        <v>85.33698</v>
      </c>
      <c r="AC738" t="n">
        <v>93.24596</v>
      </c>
      <c r="AD738" t="n">
        <v>92.89017</v>
      </c>
      <c r="AE738" t="n">
        <v>96.81853</v>
      </c>
      <c r="AF738" t="n">
        <v>90.79398</v>
      </c>
      <c r="AG738" t="n">
        <v>92.81789999999999</v>
      </c>
      <c r="AH738" t="n">
        <v>91.54000000000001</v>
      </c>
      <c r="AI738" t="n">
        <v>92.92392</v>
      </c>
      <c r="AJ738" t="n">
        <v>83.04642</v>
      </c>
      <c r="AK738" t="n">
        <v>92.04000000000001</v>
      </c>
      <c r="AL738" t="n">
        <v>92.2</v>
      </c>
      <c r="AM738" t="n">
        <v>91.38168</v>
      </c>
      <c r="AN738" t="n">
        <v>90.89166</v>
      </c>
      <c r="AO738" t="n">
        <v>92.47049</v>
      </c>
      <c r="AP738" t="n">
        <v>93.42437</v>
      </c>
      <c r="AQ738" t="n">
        <v>65.42403</v>
      </c>
      <c r="AR738" t="n">
        <v>85.00283</v>
      </c>
      <c r="AS738" t="n">
        <v>92.01121999999999</v>
      </c>
      <c r="AT738" t="n">
        <v>95.09</v>
      </c>
      <c r="AU738" t="n">
        <v>96.35680000000001</v>
      </c>
      <c r="AV738" t="n">
        <v>68.3232</v>
      </c>
      <c r="AW738" t="n">
        <v>92.05163</v>
      </c>
      <c r="AX738" t="n">
        <v>76.56126999999999</v>
      </c>
    </row>
    <row r="739">
      <c r="A739" s="92" t="n">
        <v>40330</v>
      </c>
      <c r="B739" t="n">
        <v>90.52924</v>
      </c>
      <c r="C739" t="n">
        <v>92.11863</v>
      </c>
      <c r="D739" t="n">
        <v>72.17294</v>
      </c>
      <c r="E739" t="n">
        <v>91.80933</v>
      </c>
      <c r="F739" t="n">
        <v>102.1021</v>
      </c>
      <c r="G739" t="n">
        <v>84.29864999999999</v>
      </c>
      <c r="H739" t="n">
        <v>85.88638</v>
      </c>
      <c r="I739" t="n">
        <v>85.26676</v>
      </c>
      <c r="J739" t="n">
        <v>82.19792</v>
      </c>
      <c r="K739" t="n">
        <v>93.2</v>
      </c>
      <c r="L739" t="n">
        <v>93.19877</v>
      </c>
      <c r="M739" t="n">
        <v>93.3</v>
      </c>
      <c r="N739" t="n">
        <v>93.34999999999999</v>
      </c>
      <c r="O739" t="n">
        <v>94.11359</v>
      </c>
      <c r="P739" t="n">
        <v>89.62111</v>
      </c>
      <c r="Q739" t="n">
        <v>93.2</v>
      </c>
      <c r="R739" t="n">
        <v>91.89227</v>
      </c>
      <c r="S739" t="n">
        <v>94.91</v>
      </c>
      <c r="T739" t="n">
        <v>85.40627000000001</v>
      </c>
      <c r="U739" t="n">
        <v>92.72762</v>
      </c>
      <c r="V739" t="n">
        <v>90.2</v>
      </c>
      <c r="W739" t="n">
        <v>99.91795</v>
      </c>
      <c r="X739" t="n">
        <v>90.37748999999999</v>
      </c>
      <c r="Y739" t="n">
        <v>74.89218</v>
      </c>
      <c r="Z739" t="n">
        <v>66.56041</v>
      </c>
      <c r="AA739" t="n">
        <v>95.48966</v>
      </c>
      <c r="AB739" t="n">
        <v>85.07388</v>
      </c>
      <c r="AC739" t="n">
        <v>93.54839</v>
      </c>
      <c r="AD739" t="n">
        <v>92.89017</v>
      </c>
      <c r="AE739" t="n">
        <v>96.61490999999999</v>
      </c>
      <c r="AF739" t="n">
        <v>90.70226</v>
      </c>
      <c r="AG739" t="n">
        <v>92.86109999999999</v>
      </c>
      <c r="AH739" t="n">
        <v>91.53</v>
      </c>
      <c r="AI739" t="n">
        <v>93.29514</v>
      </c>
      <c r="AJ739" t="n">
        <v>83.02041</v>
      </c>
      <c r="AK739" t="n">
        <v>91.59999999999999</v>
      </c>
      <c r="AL739" t="n">
        <v>92.09999999999999</v>
      </c>
      <c r="AM739" t="n">
        <v>91.31792</v>
      </c>
      <c r="AN739" t="n">
        <v>90.87112</v>
      </c>
      <c r="AO739" t="n">
        <v>92.71469</v>
      </c>
      <c r="AP739" t="n">
        <v>93.60251</v>
      </c>
      <c r="AQ739" t="n">
        <v>65.67918</v>
      </c>
      <c r="AR739" t="n">
        <v>85.26888</v>
      </c>
      <c r="AS739" t="n">
        <v>92.01121999999999</v>
      </c>
      <c r="AT739" t="n">
        <v>95.39</v>
      </c>
      <c r="AU739" t="n">
        <v>96.37275</v>
      </c>
      <c r="AV739" t="n">
        <v>67.93944999999999</v>
      </c>
      <c r="AW739" t="n">
        <v>91.96176</v>
      </c>
      <c r="AX739" t="n">
        <v>76.56126999999999</v>
      </c>
    </row>
    <row r="740">
      <c r="A740" s="92" t="n">
        <v>40360</v>
      </c>
      <c r="B740" t="n">
        <v>90.19913</v>
      </c>
      <c r="C740" t="n">
        <v>92.15827</v>
      </c>
      <c r="D740" t="n">
        <v>72.18013999999999</v>
      </c>
      <c r="E740" t="n">
        <v>92.28337999999999</v>
      </c>
      <c r="F740" t="n">
        <v>101.3561</v>
      </c>
      <c r="G740" t="n">
        <v>84.84341999999999</v>
      </c>
      <c r="H740" t="n">
        <v>86.23162000000001</v>
      </c>
      <c r="I740" t="n">
        <v>85.22598000000001</v>
      </c>
      <c r="J740" t="n">
        <v>82.46145</v>
      </c>
      <c r="K740" t="n">
        <v>93.5</v>
      </c>
      <c r="L740" t="n">
        <v>93.38535</v>
      </c>
      <c r="M740" t="n">
        <v>93.2</v>
      </c>
      <c r="N740" t="n">
        <v>92.95</v>
      </c>
      <c r="O740" t="n">
        <v>93.6918</v>
      </c>
      <c r="P740" t="n">
        <v>89.87746</v>
      </c>
      <c r="Q740" t="n">
        <v>92.93000000000001</v>
      </c>
      <c r="R740" t="n">
        <v>91.26721000000001</v>
      </c>
      <c r="S740" t="n">
        <v>94.64</v>
      </c>
      <c r="T740" t="n">
        <v>85.59652</v>
      </c>
      <c r="U740" t="n">
        <v>92.70090999999999</v>
      </c>
      <c r="V740" t="n">
        <v>90</v>
      </c>
      <c r="W740" t="n">
        <v>99.43886000000001</v>
      </c>
      <c r="X740" t="n">
        <v>90.52554000000001</v>
      </c>
      <c r="Y740" t="n">
        <v>76.06686000000001</v>
      </c>
      <c r="Z740" t="n">
        <v>68.09053</v>
      </c>
      <c r="AA740" t="n">
        <v>95.48966</v>
      </c>
      <c r="AB740" t="n">
        <v>84.51357</v>
      </c>
      <c r="AC740" t="n">
        <v>93.95161</v>
      </c>
      <c r="AD740" t="n">
        <v>93.22288</v>
      </c>
      <c r="AE740" t="n">
        <v>96.10588</v>
      </c>
      <c r="AF740" t="n">
        <v>90.88464</v>
      </c>
      <c r="AG740" t="n">
        <v>92.895</v>
      </c>
      <c r="AH740" t="n">
        <v>91.23</v>
      </c>
      <c r="AI740" t="n">
        <v>93.48377000000001</v>
      </c>
      <c r="AJ740" t="n">
        <v>83.20067</v>
      </c>
      <c r="AK740" t="n">
        <v>91.34</v>
      </c>
      <c r="AL740" t="n">
        <v>91.59999999999999</v>
      </c>
      <c r="AM740" t="n">
        <v>91.28767000000001</v>
      </c>
      <c r="AN740" t="n">
        <v>90.76170999999999</v>
      </c>
      <c r="AO740" t="n">
        <v>92.5519</v>
      </c>
      <c r="AP740" t="n">
        <v>93.76174</v>
      </c>
      <c r="AQ740" t="n">
        <v>65.91562999999999</v>
      </c>
      <c r="AR740" t="n">
        <v>86.13354</v>
      </c>
      <c r="AS740" t="n">
        <v>92.13357000000001</v>
      </c>
      <c r="AT740" t="n">
        <v>94.68000000000001</v>
      </c>
      <c r="AU740" t="n">
        <v>96.07595000000001</v>
      </c>
      <c r="AV740" t="n">
        <v>67.61326</v>
      </c>
      <c r="AW740" t="n">
        <v>91.98116</v>
      </c>
      <c r="AX740" t="n">
        <v>77.10138999999999</v>
      </c>
    </row>
    <row r="741">
      <c r="A741" s="92" t="n">
        <v>40391</v>
      </c>
      <c r="B741" t="n">
        <v>90.36418999999999</v>
      </c>
      <c r="C741" t="n">
        <v>92.21774000000001</v>
      </c>
      <c r="D741" t="n">
        <v>72.20891</v>
      </c>
      <c r="E741" t="n">
        <v>92.20437</v>
      </c>
      <c r="F741" t="n">
        <v>101.342</v>
      </c>
      <c r="G741" t="n">
        <v>84.75626</v>
      </c>
      <c r="H741" t="n">
        <v>86.74594999999999</v>
      </c>
      <c r="I741" t="n">
        <v>85.32387</v>
      </c>
      <c r="J741" t="n">
        <v>82.6271</v>
      </c>
      <c r="K741" t="n">
        <v>93.2</v>
      </c>
      <c r="L741" t="n">
        <v>93.47865</v>
      </c>
      <c r="M741" t="n">
        <v>93.59999999999999</v>
      </c>
      <c r="N741" t="n">
        <v>93.13</v>
      </c>
      <c r="O741" t="n">
        <v>93.92838999999999</v>
      </c>
      <c r="P741" t="n">
        <v>89.87746</v>
      </c>
      <c r="Q741" t="n">
        <v>93.06</v>
      </c>
      <c r="R741" t="n">
        <v>91.72681</v>
      </c>
      <c r="S741" t="n">
        <v>94.86</v>
      </c>
      <c r="T741" t="n">
        <v>85.79174999999999</v>
      </c>
      <c r="U741" t="n">
        <v>92.84448999999999</v>
      </c>
      <c r="V741" t="n">
        <v>90.40000000000001</v>
      </c>
      <c r="W741" t="n">
        <v>98.74862</v>
      </c>
      <c r="X741" t="n">
        <v>90.0074</v>
      </c>
      <c r="Y741" t="n">
        <v>76.64796</v>
      </c>
      <c r="Z741" t="n">
        <v>68.09053</v>
      </c>
      <c r="AA741" t="n">
        <v>96.18738999999999</v>
      </c>
      <c r="AB741" t="n">
        <v>84.72378999999999</v>
      </c>
      <c r="AC741" t="n">
        <v>94.35484</v>
      </c>
      <c r="AD741" t="n">
        <v>93.4225</v>
      </c>
      <c r="AE741" t="n">
        <v>96.20769</v>
      </c>
      <c r="AF741" t="n">
        <v>91.34108999999999</v>
      </c>
      <c r="AG741" t="n">
        <v>92.6593</v>
      </c>
      <c r="AH741" t="n">
        <v>92.20999999999999</v>
      </c>
      <c r="AI741" t="n">
        <v>92.82322000000001</v>
      </c>
      <c r="AJ741" t="n">
        <v>83.43176</v>
      </c>
      <c r="AK741" t="n">
        <v>91.48</v>
      </c>
      <c r="AL741" t="n">
        <v>91.40000000000001</v>
      </c>
      <c r="AM741" t="n">
        <v>91.42198999999999</v>
      </c>
      <c r="AN741" t="n">
        <v>90.90203</v>
      </c>
      <c r="AO741" t="n">
        <v>92.14489</v>
      </c>
      <c r="AP741" t="n">
        <v>93.57465000000001</v>
      </c>
      <c r="AQ741" t="n">
        <v>66.27816</v>
      </c>
      <c r="AR741" t="n">
        <v>86.47941</v>
      </c>
      <c r="AS741" t="n">
        <v>92.01121999999999</v>
      </c>
      <c r="AT741" t="n">
        <v>94.97</v>
      </c>
      <c r="AU741" t="n">
        <v>96.08234</v>
      </c>
      <c r="AV741" t="n">
        <v>67.88572000000001</v>
      </c>
      <c r="AW741" t="n">
        <v>92.10816</v>
      </c>
      <c r="AX741" t="n">
        <v>77.10138999999999</v>
      </c>
    </row>
    <row r="742">
      <c r="A742" s="92" t="n">
        <v>40422</v>
      </c>
      <c r="B742" t="n">
        <v>90.61176</v>
      </c>
      <c r="C742" t="n">
        <v>92.50514</v>
      </c>
      <c r="D742" t="n">
        <v>72.53372</v>
      </c>
      <c r="E742" t="n">
        <v>92.36239</v>
      </c>
      <c r="F742" t="n">
        <v>101.3185</v>
      </c>
      <c r="G742" t="n">
        <v>85.09402</v>
      </c>
      <c r="H742" t="n">
        <v>87.26733</v>
      </c>
      <c r="I742" t="n">
        <v>85.20966</v>
      </c>
      <c r="J742" t="n">
        <v>82.55826</v>
      </c>
      <c r="K742" t="n">
        <v>93</v>
      </c>
      <c r="L742" t="n">
        <v>93.38535</v>
      </c>
      <c r="M742" t="n">
        <v>93.90000000000001</v>
      </c>
      <c r="N742" t="n">
        <v>93.42</v>
      </c>
      <c r="O742" t="n">
        <v>93.9937</v>
      </c>
      <c r="P742" t="n">
        <v>90.64652</v>
      </c>
      <c r="Q742" t="n">
        <v>93.34999999999999</v>
      </c>
      <c r="R742" t="n">
        <v>92.23238000000001</v>
      </c>
      <c r="S742" t="n">
        <v>94.79000000000001</v>
      </c>
      <c r="T742" t="n">
        <v>86.07384999999999</v>
      </c>
      <c r="U742" t="n">
        <v>92.87952</v>
      </c>
      <c r="V742" t="n">
        <v>90.40000000000001</v>
      </c>
      <c r="W742" t="n">
        <v>100.6499</v>
      </c>
      <c r="X742" t="n">
        <v>89.85936</v>
      </c>
      <c r="Y742" t="n">
        <v>76.98537</v>
      </c>
      <c r="Z742" t="n">
        <v>68.47306</v>
      </c>
      <c r="AA742" t="n">
        <v>95.98804</v>
      </c>
      <c r="AB742" t="n">
        <v>84.71351</v>
      </c>
      <c r="AC742" t="n">
        <v>94.65725999999999</v>
      </c>
      <c r="AD742" t="n">
        <v>93.22288</v>
      </c>
      <c r="AE742" t="n">
        <v>96.4113</v>
      </c>
      <c r="AF742" t="n">
        <v>92.06847</v>
      </c>
      <c r="AG742" t="n">
        <v>93.2093</v>
      </c>
      <c r="AH742" t="n">
        <v>92.23999999999999</v>
      </c>
      <c r="AI742" t="n">
        <v>93.23971</v>
      </c>
      <c r="AJ742" t="n">
        <v>83.86911000000001</v>
      </c>
      <c r="AK742" t="n">
        <v>92.05</v>
      </c>
      <c r="AL742" t="n">
        <v>92</v>
      </c>
      <c r="AM742" t="n">
        <v>91.56313</v>
      </c>
      <c r="AN742" t="n">
        <v>91.05531999999999</v>
      </c>
      <c r="AO742" t="n">
        <v>92.71469</v>
      </c>
      <c r="AP742" t="n">
        <v>93.74581999999999</v>
      </c>
      <c r="AQ742" t="n">
        <v>66.83489</v>
      </c>
      <c r="AR742" t="n">
        <v>86.9982</v>
      </c>
      <c r="AS742" t="n">
        <v>92.01121999999999</v>
      </c>
      <c r="AT742" t="n">
        <v>94.48999999999999</v>
      </c>
      <c r="AU742" t="n">
        <v>96.89294</v>
      </c>
      <c r="AV742" t="n">
        <v>68.71845999999999</v>
      </c>
      <c r="AW742" t="n">
        <v>92.16173999999999</v>
      </c>
      <c r="AX742" t="n">
        <v>77.23641000000001</v>
      </c>
    </row>
    <row r="743">
      <c r="A743" s="92" t="n">
        <v>40452</v>
      </c>
      <c r="B743" t="n">
        <v>90.85933</v>
      </c>
      <c r="C743" t="n">
        <v>92.63397999999999</v>
      </c>
      <c r="D743" t="n">
        <v>73.0778</v>
      </c>
      <c r="E743" t="n">
        <v>92.75744</v>
      </c>
      <c r="F743" t="n">
        <v>101.8576</v>
      </c>
      <c r="G743" t="n">
        <v>85.18118</v>
      </c>
      <c r="H743" t="n">
        <v>87.88030000000001</v>
      </c>
      <c r="I743" t="n">
        <v>85.13624</v>
      </c>
      <c r="J743" t="n">
        <v>82.94978</v>
      </c>
      <c r="K743" t="n">
        <v>92.8</v>
      </c>
      <c r="L743" t="n">
        <v>93.47865</v>
      </c>
      <c r="M743" t="n">
        <v>93.8</v>
      </c>
      <c r="N743" t="n">
        <v>93.70999999999999</v>
      </c>
      <c r="O743" t="n">
        <v>94.85226</v>
      </c>
      <c r="P743" t="n">
        <v>91.15922999999999</v>
      </c>
      <c r="Q743" t="n">
        <v>93.63</v>
      </c>
      <c r="R743" t="n">
        <v>92.60005</v>
      </c>
      <c r="S743" t="n">
        <v>94.91</v>
      </c>
      <c r="T743" t="n">
        <v>86.42503000000001</v>
      </c>
      <c r="U743" t="n">
        <v>93.0382</v>
      </c>
      <c r="V743" t="n">
        <v>90.59999999999999</v>
      </c>
      <c r="W743" t="n">
        <v>100.8095</v>
      </c>
      <c r="X743" t="n">
        <v>90.22946</v>
      </c>
      <c r="Y743" t="n">
        <v>77.03534999999999</v>
      </c>
      <c r="Z743" t="n">
        <v>69.23813</v>
      </c>
      <c r="AA743" t="n">
        <v>96.08772</v>
      </c>
      <c r="AB743" t="n">
        <v>85.35616</v>
      </c>
      <c r="AC743" t="n">
        <v>94.95968000000001</v>
      </c>
      <c r="AD743" t="n">
        <v>93.4225</v>
      </c>
      <c r="AE743" t="n">
        <v>96.71672</v>
      </c>
      <c r="AF743" t="n">
        <v>92.06847</v>
      </c>
      <c r="AG743" t="n">
        <v>93.64019999999999</v>
      </c>
      <c r="AH743" t="n">
        <v>92.34</v>
      </c>
      <c r="AI743" t="n">
        <v>93.59123</v>
      </c>
      <c r="AJ743" t="n">
        <v>84.38685</v>
      </c>
      <c r="AK743" t="n">
        <v>92.13</v>
      </c>
      <c r="AL743" t="n">
        <v>92.09999999999999</v>
      </c>
      <c r="AM743" t="n">
        <v>91.80432</v>
      </c>
      <c r="AN743" t="n">
        <v>91.38172</v>
      </c>
      <c r="AO743" t="n">
        <v>93.20309</v>
      </c>
      <c r="AP743" t="n">
        <v>94.14588000000001</v>
      </c>
      <c r="AQ743" t="n">
        <v>67.16907</v>
      </c>
      <c r="AR743" t="n">
        <v>87.46379</v>
      </c>
      <c r="AS743" t="n">
        <v>92.01121999999999</v>
      </c>
      <c r="AT743" t="n">
        <v>94.54000000000001</v>
      </c>
      <c r="AU743" t="n">
        <v>97.20251</v>
      </c>
      <c r="AV743" t="n">
        <v>69.97717</v>
      </c>
      <c r="AW743" t="n">
        <v>92.2765</v>
      </c>
      <c r="AX743" t="n">
        <v>77.37144000000001</v>
      </c>
    </row>
    <row r="744">
      <c r="A744" s="92" t="n">
        <v>40483</v>
      </c>
      <c r="B744" t="n">
        <v>90.77681</v>
      </c>
      <c r="C744" t="n">
        <v>92.75291</v>
      </c>
      <c r="D744" t="n">
        <v>73.68427</v>
      </c>
      <c r="E744" t="n">
        <v>92.83645</v>
      </c>
      <c r="F744" t="n">
        <v>102.1022</v>
      </c>
      <c r="G744" t="n">
        <v>85.23566</v>
      </c>
      <c r="H744" t="n">
        <v>88.84555</v>
      </c>
      <c r="I744" t="n">
        <v>85.29939</v>
      </c>
      <c r="J744" t="n">
        <v>83.49405</v>
      </c>
      <c r="K744" t="n">
        <v>93</v>
      </c>
      <c r="L744" t="n">
        <v>93.57194</v>
      </c>
      <c r="M744" t="n">
        <v>93.90000000000001</v>
      </c>
      <c r="N744" t="n">
        <v>93.79000000000001</v>
      </c>
      <c r="O744" t="n">
        <v>95.36718999999999</v>
      </c>
      <c r="P744" t="n">
        <v>91.46684999999999</v>
      </c>
      <c r="Q744" t="n">
        <v>93.73999999999999</v>
      </c>
      <c r="R744" t="n">
        <v>92.82984999999999</v>
      </c>
      <c r="S744" t="n">
        <v>95.02</v>
      </c>
      <c r="T744" t="n">
        <v>86.67256999999999</v>
      </c>
      <c r="U744" t="n">
        <v>93.06326</v>
      </c>
      <c r="V744" t="n">
        <v>90.90000000000001</v>
      </c>
      <c r="W744" t="n">
        <v>101.0311</v>
      </c>
      <c r="X744" t="n">
        <v>90.52554000000001</v>
      </c>
      <c r="Y744" t="n">
        <v>77.49773</v>
      </c>
      <c r="Z744" t="n">
        <v>69.62066</v>
      </c>
      <c r="AA744" t="n">
        <v>95.88836000000001</v>
      </c>
      <c r="AB744" t="n">
        <v>85.40179999999999</v>
      </c>
      <c r="AC744" t="n">
        <v>94.95968000000001</v>
      </c>
      <c r="AD744" t="n">
        <v>93.4225</v>
      </c>
      <c r="AE744" t="n">
        <v>96.4113</v>
      </c>
      <c r="AF744" t="n">
        <v>91.61413</v>
      </c>
      <c r="AG744" t="n">
        <v>93.62479999999999</v>
      </c>
      <c r="AH744" t="n">
        <v>92.47</v>
      </c>
      <c r="AI744" t="n">
        <v>93.80944</v>
      </c>
      <c r="AJ744" t="n">
        <v>85.06297000000001</v>
      </c>
      <c r="AK744" t="n">
        <v>92.02</v>
      </c>
      <c r="AL744" t="n">
        <v>92.3</v>
      </c>
      <c r="AM744" t="n">
        <v>91.8693</v>
      </c>
      <c r="AN744" t="n">
        <v>91.52824</v>
      </c>
      <c r="AO744" t="n">
        <v>93.28449000000001</v>
      </c>
      <c r="AP744" t="n">
        <v>94.31108</v>
      </c>
      <c r="AQ744" t="n">
        <v>67.71314</v>
      </c>
      <c r="AR744" t="n">
        <v>87.72984</v>
      </c>
      <c r="AS744" t="n">
        <v>92.25593000000001</v>
      </c>
      <c r="AT744" t="n">
        <v>94.83</v>
      </c>
      <c r="AU744" t="n">
        <v>97.52482999999999</v>
      </c>
      <c r="AV744" t="n">
        <v>69.99635000000001</v>
      </c>
      <c r="AW744" t="n">
        <v>92.31532</v>
      </c>
      <c r="AX744" t="n">
        <v>77.50646999999999</v>
      </c>
    </row>
    <row r="745">
      <c r="A745" s="92" t="n">
        <v>40513</v>
      </c>
      <c r="B745" t="n">
        <v>91.35448</v>
      </c>
      <c r="C745" t="n">
        <v>93.11960000000001</v>
      </c>
      <c r="D745" t="n">
        <v>74.14852999999999</v>
      </c>
      <c r="E745" t="n">
        <v>92.83645</v>
      </c>
      <c r="F745" t="n">
        <v>102.1384</v>
      </c>
      <c r="G745" t="n">
        <v>85.34462000000001</v>
      </c>
      <c r="H745" t="n">
        <v>89.28943</v>
      </c>
      <c r="I745" t="n">
        <v>85.85413</v>
      </c>
      <c r="J745" t="n">
        <v>84.11360999999999</v>
      </c>
      <c r="K745" t="n">
        <v>93.5</v>
      </c>
      <c r="L745" t="n">
        <v>94.13169000000001</v>
      </c>
      <c r="M745" t="n">
        <v>94</v>
      </c>
      <c r="N745" t="n">
        <v>94.36</v>
      </c>
      <c r="O745" t="n">
        <v>95.95277</v>
      </c>
      <c r="P745" t="n">
        <v>91.97956000000001</v>
      </c>
      <c r="Q745" t="n">
        <v>94.28</v>
      </c>
      <c r="R745" t="n">
        <v>93.21590999999999</v>
      </c>
      <c r="S745" t="n">
        <v>95.45</v>
      </c>
      <c r="T745" t="n">
        <v>87.0984</v>
      </c>
      <c r="U745" t="n">
        <v>93.28270999999999</v>
      </c>
      <c r="V745" t="n">
        <v>91.7</v>
      </c>
      <c r="W745" t="n">
        <v>101.4432</v>
      </c>
      <c r="X745" t="n">
        <v>90.89563</v>
      </c>
      <c r="Y745" t="n">
        <v>78.21003</v>
      </c>
      <c r="Z745" t="n">
        <v>70.76824999999999</v>
      </c>
      <c r="AA745" t="n">
        <v>96.18738999999999</v>
      </c>
      <c r="AB745" t="n">
        <v>85.68268999999999</v>
      </c>
      <c r="AC745" t="n">
        <v>95.46371000000001</v>
      </c>
      <c r="AD745" t="n">
        <v>93.7552</v>
      </c>
      <c r="AE745" t="n">
        <v>96.20769</v>
      </c>
      <c r="AF745" t="n">
        <v>91.97781000000001</v>
      </c>
      <c r="AG745" t="n">
        <v>94.3614</v>
      </c>
      <c r="AH745" t="n">
        <v>92.76000000000001</v>
      </c>
      <c r="AI745" t="n">
        <v>93.93983</v>
      </c>
      <c r="AJ745" t="n">
        <v>85.48437</v>
      </c>
      <c r="AK745" t="n">
        <v>91.81999999999999</v>
      </c>
      <c r="AL745" t="n">
        <v>93.3</v>
      </c>
      <c r="AM745" t="n">
        <v>92.11037</v>
      </c>
      <c r="AN745" t="n">
        <v>91.94925000000001</v>
      </c>
      <c r="AO745" t="n">
        <v>93.69149</v>
      </c>
      <c r="AP745" t="n">
        <v>94.58775</v>
      </c>
      <c r="AQ745" t="n">
        <v>68.44444</v>
      </c>
      <c r="AR745" t="n">
        <v>87.79635</v>
      </c>
      <c r="AS745" t="n">
        <v>92.50064</v>
      </c>
      <c r="AT745" t="n">
        <v>94.90000000000001</v>
      </c>
      <c r="AU745" t="n">
        <v>98.21098000000001</v>
      </c>
      <c r="AV745" t="n">
        <v>69.78529</v>
      </c>
      <c r="AW745" t="n">
        <v>92.47396000000001</v>
      </c>
      <c r="AX745" t="n">
        <v>77.64149999999999</v>
      </c>
    </row>
    <row r="746">
      <c r="A746" s="92" t="n">
        <v>40544</v>
      </c>
      <c r="B746" t="n">
        <v>91.27196000000001</v>
      </c>
      <c r="C746" t="n">
        <v>93.64485000000001</v>
      </c>
      <c r="D746" t="n">
        <v>74.76406</v>
      </c>
      <c r="E746" t="n">
        <v>93.07348</v>
      </c>
      <c r="F746" t="n">
        <v>101.7802</v>
      </c>
      <c r="G746" t="n">
        <v>85.57343</v>
      </c>
      <c r="H746" t="n">
        <v>90.18423</v>
      </c>
      <c r="I746" t="n">
        <v>86.62914000000001</v>
      </c>
      <c r="J746" t="n">
        <v>84.68261</v>
      </c>
      <c r="K746" t="n">
        <v>94.09999999999999</v>
      </c>
      <c r="L746" t="n">
        <v>93.94511</v>
      </c>
      <c r="M746" t="n">
        <v>94.09999999999999</v>
      </c>
      <c r="N746" t="n">
        <v>93.69</v>
      </c>
      <c r="O746" t="n">
        <v>95.2505</v>
      </c>
      <c r="P746" t="n">
        <v>91.92829</v>
      </c>
      <c r="Q746" t="n">
        <v>93.81</v>
      </c>
      <c r="R746" t="n">
        <v>93.55602</v>
      </c>
      <c r="S746" t="n">
        <v>95.22</v>
      </c>
      <c r="T746" t="n">
        <v>87.5472</v>
      </c>
      <c r="U746" t="n">
        <v>93.52271</v>
      </c>
      <c r="V746" t="n">
        <v>91.8</v>
      </c>
      <c r="W746" t="n">
        <v>100.722</v>
      </c>
      <c r="X746" t="n">
        <v>91.56180999999999</v>
      </c>
      <c r="Y746" t="n">
        <v>78.90984</v>
      </c>
      <c r="Z746" t="n">
        <v>71.91584</v>
      </c>
      <c r="AA746" t="n">
        <v>95.88836000000001</v>
      </c>
      <c r="AB746" t="n">
        <v>84.90536</v>
      </c>
      <c r="AC746" t="n">
        <v>95.56451</v>
      </c>
      <c r="AD746" t="n">
        <v>94.13952999999999</v>
      </c>
      <c r="AE746" t="n">
        <v>96.10588</v>
      </c>
      <c r="AF746" t="n">
        <v>93.071</v>
      </c>
      <c r="AG746" t="n">
        <v>94.72320000000001</v>
      </c>
      <c r="AH746" t="n">
        <v>92.34999999999999</v>
      </c>
      <c r="AI746" t="n">
        <v>95.14892999999999</v>
      </c>
      <c r="AJ746" t="n">
        <v>85.90082</v>
      </c>
      <c r="AK746" t="n">
        <v>91.72</v>
      </c>
      <c r="AL746" t="n">
        <v>92.7</v>
      </c>
      <c r="AM746" t="n">
        <v>92.38361</v>
      </c>
      <c r="AN746" t="n">
        <v>91.98442</v>
      </c>
      <c r="AO746" t="n">
        <v>94.83109</v>
      </c>
      <c r="AP746" t="n">
        <v>95.13212</v>
      </c>
      <c r="AQ746" t="n">
        <v>70.06657</v>
      </c>
      <c r="AR746" t="n">
        <v>89.48399999999999</v>
      </c>
      <c r="AS746" t="n">
        <v>94.27479</v>
      </c>
      <c r="AT746" t="n">
        <v>94.12</v>
      </c>
      <c r="AU746" t="n">
        <v>97.70355000000001</v>
      </c>
      <c r="AV746" t="n">
        <v>70.0731</v>
      </c>
      <c r="AW746" t="n">
        <v>92.91443</v>
      </c>
      <c r="AX746" t="n">
        <v>78.04658999999999</v>
      </c>
    </row>
    <row r="747">
      <c r="A747" s="92" t="n">
        <v>40575</v>
      </c>
      <c r="B747" t="n">
        <v>91.90452999999999</v>
      </c>
      <c r="C747" t="n">
        <v>94.18993</v>
      </c>
      <c r="D747" t="n">
        <v>75.36218</v>
      </c>
      <c r="E747" t="n">
        <v>93.31050999999999</v>
      </c>
      <c r="F747" t="n">
        <v>102.1638</v>
      </c>
      <c r="G747" t="n">
        <v>85.76954000000001</v>
      </c>
      <c r="H747" t="n">
        <v>91.33717</v>
      </c>
      <c r="I747" t="n">
        <v>87.15125</v>
      </c>
      <c r="J747" t="n">
        <v>85.05155000000001</v>
      </c>
      <c r="K747" t="n">
        <v>94.2</v>
      </c>
      <c r="L747" t="n">
        <v>94.50485999999999</v>
      </c>
      <c r="M747" t="n">
        <v>95.2</v>
      </c>
      <c r="N747" t="n">
        <v>94.08</v>
      </c>
      <c r="O747" t="n">
        <v>95.37147</v>
      </c>
      <c r="P747" t="n">
        <v>92.54353999999999</v>
      </c>
      <c r="Q747" t="n">
        <v>94.2</v>
      </c>
      <c r="R747" t="n">
        <v>94.12591999999999</v>
      </c>
      <c r="S747" t="n">
        <v>95.67</v>
      </c>
      <c r="T747" t="n">
        <v>87.88108</v>
      </c>
      <c r="U747" t="n">
        <v>93.91597</v>
      </c>
      <c r="V747" t="n">
        <v>92.3</v>
      </c>
      <c r="W747" t="n">
        <v>99.41167</v>
      </c>
      <c r="X747" t="n">
        <v>91.9319</v>
      </c>
      <c r="Y747" t="n">
        <v>79.01607</v>
      </c>
      <c r="Z747" t="n">
        <v>70.76824999999999</v>
      </c>
      <c r="AA747" t="n">
        <v>96.78545</v>
      </c>
      <c r="AB747" t="n">
        <v>85.89934</v>
      </c>
      <c r="AC747" t="n">
        <v>95.86694</v>
      </c>
      <c r="AD747" t="n">
        <v>94.4186</v>
      </c>
      <c r="AE747" t="n">
        <v>96.10588</v>
      </c>
      <c r="AF747" t="n">
        <v>93.70771999999999</v>
      </c>
      <c r="AG747" t="n">
        <v>94.7972</v>
      </c>
      <c r="AH747" t="n">
        <v>93.81999999999999</v>
      </c>
      <c r="AI747" t="n">
        <v>95.41370000000001</v>
      </c>
      <c r="AJ747" t="n">
        <v>86.22307000000001</v>
      </c>
      <c r="AK747" t="n">
        <v>92.41</v>
      </c>
      <c r="AL747" t="n">
        <v>93.09999999999999</v>
      </c>
      <c r="AM747" t="n">
        <v>92.76088</v>
      </c>
      <c r="AN747" t="n">
        <v>92.38433000000001</v>
      </c>
      <c r="AO747" t="n">
        <v>94.9939</v>
      </c>
      <c r="AP747" t="n">
        <v>95.12714</v>
      </c>
      <c r="AQ747" t="n">
        <v>70.61309</v>
      </c>
      <c r="AR747" t="n">
        <v>89.77391</v>
      </c>
      <c r="AS747" t="n">
        <v>94.58068</v>
      </c>
      <c r="AT747" t="n">
        <v>94.09999999999999</v>
      </c>
      <c r="AU747" t="n">
        <v>98.30033</v>
      </c>
      <c r="AV747" t="n">
        <v>70.5835</v>
      </c>
      <c r="AW747" t="n">
        <v>93.37263</v>
      </c>
      <c r="AX747" t="n">
        <v>78.45166999999999</v>
      </c>
    </row>
    <row r="748">
      <c r="A748" s="92" t="n">
        <v>40603</v>
      </c>
      <c r="B748" t="n">
        <v>92.98895</v>
      </c>
      <c r="C748" t="n">
        <v>94.66564</v>
      </c>
      <c r="D748" t="n">
        <v>75.95753000000001</v>
      </c>
      <c r="E748" t="n">
        <v>94.33763</v>
      </c>
      <c r="F748" t="n">
        <v>102.8068</v>
      </c>
      <c r="G748" t="n">
        <v>86.42327</v>
      </c>
      <c r="H748" t="n">
        <v>91.15383</v>
      </c>
      <c r="I748" t="n">
        <v>87.38782999999999</v>
      </c>
      <c r="J748" t="n">
        <v>85.26667</v>
      </c>
      <c r="K748" t="n">
        <v>94.3</v>
      </c>
      <c r="L748" t="n">
        <v>95.06461</v>
      </c>
      <c r="M748" t="n">
        <v>95.8</v>
      </c>
      <c r="N748" t="n">
        <v>95.34999999999999</v>
      </c>
      <c r="O748" t="n">
        <v>96.08444</v>
      </c>
      <c r="P748" t="n">
        <v>93.26133</v>
      </c>
      <c r="Q748" t="n">
        <v>95.37</v>
      </c>
      <c r="R748" t="n">
        <v>94.64067</v>
      </c>
      <c r="S748" t="n">
        <v>96.45</v>
      </c>
      <c r="T748" t="n">
        <v>88.43687</v>
      </c>
      <c r="U748" t="n">
        <v>94.62698</v>
      </c>
      <c r="V748" t="n">
        <v>92.59999999999999</v>
      </c>
      <c r="W748" t="n">
        <v>102.6516</v>
      </c>
      <c r="X748" t="n">
        <v>92.96817</v>
      </c>
      <c r="Y748" t="n">
        <v>78.75988</v>
      </c>
      <c r="Z748" t="n">
        <v>70.76824999999999</v>
      </c>
      <c r="AA748" t="n">
        <v>97.68253</v>
      </c>
      <c r="AB748" t="n">
        <v>86.72807</v>
      </c>
      <c r="AC748" t="n">
        <v>96.06855</v>
      </c>
      <c r="AD748" t="n">
        <v>94.7907</v>
      </c>
      <c r="AE748" t="n">
        <v>96.30949</v>
      </c>
      <c r="AF748" t="n">
        <v>94.07246000000001</v>
      </c>
      <c r="AG748" t="n">
        <v>95.7548</v>
      </c>
      <c r="AH748" t="n">
        <v>94.5</v>
      </c>
      <c r="AI748" t="n">
        <v>96.09258</v>
      </c>
      <c r="AJ748" t="n">
        <v>86.38848</v>
      </c>
      <c r="AK748" t="n">
        <v>93.45999999999999</v>
      </c>
      <c r="AL748" t="n">
        <v>93.40000000000001</v>
      </c>
      <c r="AM748" t="n">
        <v>93.42601999999999</v>
      </c>
      <c r="AN748" t="n">
        <v>93.01205</v>
      </c>
      <c r="AO748" t="n">
        <v>95.88930000000001</v>
      </c>
      <c r="AP748" t="n">
        <v>96.65774</v>
      </c>
      <c r="AQ748" t="n">
        <v>71.0509</v>
      </c>
      <c r="AR748" t="n">
        <v>89.96718</v>
      </c>
      <c r="AS748" t="n">
        <v>94.94775</v>
      </c>
      <c r="AT748" t="n">
        <v>95.59</v>
      </c>
      <c r="AU748" t="n">
        <v>98.96733</v>
      </c>
      <c r="AV748" t="n">
        <v>70.87898</v>
      </c>
      <c r="AW748" t="n">
        <v>94.28310999999999</v>
      </c>
      <c r="AX748" t="n">
        <v>79.39687000000001</v>
      </c>
    </row>
    <row r="749">
      <c r="A749" s="92" t="n">
        <v>40634</v>
      </c>
      <c r="B749" t="n">
        <v>93.4408</v>
      </c>
      <c r="C749" t="n">
        <v>94.89359</v>
      </c>
      <c r="D749" t="n">
        <v>76.54243</v>
      </c>
      <c r="E749" t="n">
        <v>94.65367000000001</v>
      </c>
      <c r="F749" t="n">
        <v>102.9202</v>
      </c>
      <c r="G749" t="n">
        <v>86.69566</v>
      </c>
      <c r="H749" t="n">
        <v>91.24550000000001</v>
      </c>
      <c r="I749" t="n">
        <v>87.49388</v>
      </c>
      <c r="J749" t="n">
        <v>85.39790000000001</v>
      </c>
      <c r="K749" t="n">
        <v>94.5</v>
      </c>
      <c r="L749" t="n">
        <v>95.06461</v>
      </c>
      <c r="M749" t="n">
        <v>96.2</v>
      </c>
      <c r="N749" t="n">
        <v>95.89</v>
      </c>
      <c r="O749" t="n">
        <v>97.28023</v>
      </c>
      <c r="P749" t="n">
        <v>93.87657</v>
      </c>
      <c r="Q749" t="n">
        <v>95.88</v>
      </c>
      <c r="R749" t="n">
        <v>94.82451</v>
      </c>
      <c r="S749" t="n">
        <v>96.78</v>
      </c>
      <c r="T749" t="n">
        <v>88.85492000000001</v>
      </c>
      <c r="U749" t="n">
        <v>95.08743</v>
      </c>
      <c r="V749" t="n">
        <v>93.3</v>
      </c>
      <c r="W749" t="n">
        <v>103.2919</v>
      </c>
      <c r="X749" t="n">
        <v>93.56032999999999</v>
      </c>
      <c r="Y749" t="n">
        <v>78.5162</v>
      </c>
      <c r="Z749" t="n">
        <v>71.15078</v>
      </c>
      <c r="AA749" t="n">
        <v>98.08123999999999</v>
      </c>
      <c r="AB749" t="n">
        <v>87.41074</v>
      </c>
      <c r="AC749" t="n">
        <v>96.57258</v>
      </c>
      <c r="AD749" t="n">
        <v>95.25581</v>
      </c>
      <c r="AE749" t="n">
        <v>96.4113</v>
      </c>
      <c r="AF749" t="n">
        <v>94.16418</v>
      </c>
      <c r="AG749" t="n">
        <v>96.75620000000001</v>
      </c>
      <c r="AH749" t="n">
        <v>94.78</v>
      </c>
      <c r="AI749" t="n">
        <v>97.18982</v>
      </c>
      <c r="AJ749" t="n">
        <v>86.38162</v>
      </c>
      <c r="AK749" t="n">
        <v>93.95999999999999</v>
      </c>
      <c r="AL749" t="n">
        <v>93.90000000000001</v>
      </c>
      <c r="AM749" t="n">
        <v>93.88185</v>
      </c>
      <c r="AN749" t="n">
        <v>93.474</v>
      </c>
      <c r="AO749" t="n">
        <v>96.37769</v>
      </c>
      <c r="AP749" t="n">
        <v>97.06477</v>
      </c>
      <c r="AQ749" t="n">
        <v>71.35641</v>
      </c>
      <c r="AR749" t="n">
        <v>90.25709000000001</v>
      </c>
      <c r="AS749" t="n">
        <v>95.37598</v>
      </c>
      <c r="AT749" t="n">
        <v>96.34999999999999</v>
      </c>
      <c r="AU749" t="n">
        <v>99.39178</v>
      </c>
      <c r="AV749" t="n">
        <v>71.49299000000001</v>
      </c>
      <c r="AW749" t="n">
        <v>94.89024000000001</v>
      </c>
      <c r="AX749" t="n">
        <v>79.66692999999999</v>
      </c>
    </row>
    <row r="750">
      <c r="A750" s="92" t="n">
        <v>40664</v>
      </c>
      <c r="B750" t="n">
        <v>93.53116</v>
      </c>
      <c r="C750" t="n">
        <v>95.21071999999999</v>
      </c>
      <c r="D750" t="n">
        <v>76.90228</v>
      </c>
      <c r="E750" t="n">
        <v>95.28574999999999</v>
      </c>
      <c r="F750" t="n">
        <v>102.927</v>
      </c>
      <c r="G750" t="n">
        <v>87.04432</v>
      </c>
      <c r="H750" t="n">
        <v>91.33717</v>
      </c>
      <c r="I750" t="n">
        <v>87.73862</v>
      </c>
      <c r="J750" t="n">
        <v>85.97228</v>
      </c>
      <c r="K750" t="n">
        <v>95</v>
      </c>
      <c r="L750" t="n">
        <v>95.06461</v>
      </c>
      <c r="M750" t="n">
        <v>96.3</v>
      </c>
      <c r="N750" t="n">
        <v>95.90000000000001</v>
      </c>
      <c r="O750" t="n">
        <v>97.24811</v>
      </c>
      <c r="P750" t="n">
        <v>94.03039</v>
      </c>
      <c r="Q750" t="n">
        <v>95.94</v>
      </c>
      <c r="R750" t="n">
        <v>94.87047</v>
      </c>
      <c r="S750" t="n">
        <v>96.83</v>
      </c>
      <c r="T750" t="n">
        <v>89.11682999999999</v>
      </c>
      <c r="U750" t="n">
        <v>95.38167</v>
      </c>
      <c r="V750" t="n">
        <v>93.5</v>
      </c>
      <c r="W750" t="n">
        <v>103.4764</v>
      </c>
      <c r="X750" t="n">
        <v>93.78239000000001</v>
      </c>
      <c r="Y750" t="n">
        <v>78.60992</v>
      </c>
      <c r="Z750" t="n">
        <v>71.53331</v>
      </c>
      <c r="AA750" t="n">
        <v>98.08123999999999</v>
      </c>
      <c r="AB750" t="n">
        <v>88.20979</v>
      </c>
      <c r="AC750" t="n">
        <v>97.07661</v>
      </c>
      <c r="AD750" t="n">
        <v>95.34884</v>
      </c>
      <c r="AE750" t="n">
        <v>96.4113</v>
      </c>
      <c r="AF750" t="n">
        <v>94.3455</v>
      </c>
      <c r="AG750" t="n">
        <v>97.47539999999999</v>
      </c>
      <c r="AH750" t="n">
        <v>94.83</v>
      </c>
      <c r="AI750" t="n">
        <v>97.53686999999999</v>
      </c>
      <c r="AJ750" t="n">
        <v>85.74482999999999</v>
      </c>
      <c r="AK750" t="n">
        <v>94.03</v>
      </c>
      <c r="AL750" t="n">
        <v>93.7</v>
      </c>
      <c r="AM750" t="n">
        <v>94.15921</v>
      </c>
      <c r="AN750" t="n">
        <v>93.73324</v>
      </c>
      <c r="AO750" t="n">
        <v>96.94749</v>
      </c>
      <c r="AP750" t="n">
        <v>97.01501</v>
      </c>
      <c r="AQ750" t="n">
        <v>71.69892</v>
      </c>
      <c r="AR750" t="n">
        <v>90.35372</v>
      </c>
      <c r="AS750" t="n">
        <v>95.68188000000001</v>
      </c>
      <c r="AT750" t="n">
        <v>97.15000000000001</v>
      </c>
      <c r="AU750" t="n">
        <v>99.57688</v>
      </c>
      <c r="AV750" t="n">
        <v>73.22371</v>
      </c>
      <c r="AW750" t="n">
        <v>95.33662</v>
      </c>
      <c r="AX750" t="n">
        <v>80.07201000000001</v>
      </c>
    </row>
    <row r="751">
      <c r="A751" s="92" t="n">
        <v>40695</v>
      </c>
      <c r="B751" t="n">
        <v>93.53116</v>
      </c>
      <c r="C751" t="n">
        <v>95.50803999999999</v>
      </c>
      <c r="D751" t="n">
        <v>77.01759</v>
      </c>
      <c r="E751" t="n">
        <v>94.65367000000001</v>
      </c>
      <c r="F751" t="n">
        <v>102.6783</v>
      </c>
      <c r="G751" t="n">
        <v>87.19685</v>
      </c>
      <c r="H751" t="n">
        <v>91.61217000000001</v>
      </c>
      <c r="I751" t="n">
        <v>88.02415000000001</v>
      </c>
      <c r="J751" t="n">
        <v>86.45309</v>
      </c>
      <c r="K751" t="n">
        <v>94.90000000000001</v>
      </c>
      <c r="L751" t="n">
        <v>95.15791</v>
      </c>
      <c r="M751" t="n">
        <v>96.09999999999999</v>
      </c>
      <c r="N751" t="n">
        <v>95.89</v>
      </c>
      <c r="O751" t="n">
        <v>97.11108</v>
      </c>
      <c r="P751" t="n">
        <v>94.03039</v>
      </c>
      <c r="Q751" t="n">
        <v>95.89</v>
      </c>
      <c r="R751" t="n">
        <v>95.14623</v>
      </c>
      <c r="S751" t="n">
        <v>96.91</v>
      </c>
      <c r="T751" t="n">
        <v>89.1769</v>
      </c>
      <c r="U751" t="n">
        <v>95.30732999999999</v>
      </c>
      <c r="V751" t="n">
        <v>93.5</v>
      </c>
      <c r="W751" t="n">
        <v>103.254</v>
      </c>
      <c r="X751" t="n">
        <v>93.56032999999999</v>
      </c>
      <c r="Y751" t="n">
        <v>79.04105</v>
      </c>
      <c r="Z751" t="n">
        <v>72.29837999999999</v>
      </c>
      <c r="AA751" t="n">
        <v>98.08123999999999</v>
      </c>
      <c r="AB751" t="n">
        <v>88.67004</v>
      </c>
      <c r="AC751" t="n">
        <v>97.47984</v>
      </c>
      <c r="AD751" t="n">
        <v>95.44186000000001</v>
      </c>
      <c r="AE751" t="n">
        <v>96.30949</v>
      </c>
      <c r="AF751" t="n">
        <v>94.52786</v>
      </c>
      <c r="AG751" t="n">
        <v>97.3479</v>
      </c>
      <c r="AH751" t="n">
        <v>94.75</v>
      </c>
      <c r="AI751" t="n">
        <v>97.78677999999999</v>
      </c>
      <c r="AJ751" t="n">
        <v>85.74055</v>
      </c>
      <c r="AK751" t="n">
        <v>93.56999999999999</v>
      </c>
      <c r="AL751" t="n">
        <v>93.40000000000001</v>
      </c>
      <c r="AM751" t="n">
        <v>94.05922</v>
      </c>
      <c r="AN751" t="n">
        <v>93.61175</v>
      </c>
      <c r="AO751" t="n">
        <v>96.54049999999999</v>
      </c>
      <c r="AP751" t="n">
        <v>96.7901</v>
      </c>
      <c r="AQ751" t="n">
        <v>71.86382999999999</v>
      </c>
      <c r="AR751" t="n">
        <v>90.64362</v>
      </c>
      <c r="AS751" t="n">
        <v>95.6207</v>
      </c>
      <c r="AT751" t="n">
        <v>96.66</v>
      </c>
      <c r="AU751" t="n">
        <v>99.34072</v>
      </c>
      <c r="AV751" t="n">
        <v>72.17606000000001</v>
      </c>
      <c r="AW751" t="n">
        <v>95.23452</v>
      </c>
      <c r="AX751" t="n">
        <v>80.47709999999999</v>
      </c>
    </row>
    <row r="752">
      <c r="A752" s="92" t="n">
        <v>40725</v>
      </c>
      <c r="B752" t="n">
        <v>93.35043</v>
      </c>
      <c r="C752" t="n">
        <v>95.61706</v>
      </c>
      <c r="D752" t="n">
        <v>77.14079</v>
      </c>
      <c r="E752" t="n">
        <v>94.81169</v>
      </c>
      <c r="F752" t="n">
        <v>101.8345</v>
      </c>
      <c r="G752" t="n">
        <v>87.30580999999999</v>
      </c>
      <c r="H752" t="n">
        <v>92.01405</v>
      </c>
      <c r="I752" t="n">
        <v>88.14651000000001</v>
      </c>
      <c r="J752" t="n">
        <v>86.7435</v>
      </c>
      <c r="K752" t="n">
        <v>95.09999999999999</v>
      </c>
      <c r="L752" t="n">
        <v>95.34448999999999</v>
      </c>
      <c r="M752" t="n">
        <v>96</v>
      </c>
      <c r="N752" t="n">
        <v>95.34</v>
      </c>
      <c r="O752" t="n">
        <v>96.58974000000001</v>
      </c>
      <c r="P752" t="n">
        <v>94.49182</v>
      </c>
      <c r="Q752" t="n">
        <v>95.41</v>
      </c>
      <c r="R752" t="n">
        <v>94.87966</v>
      </c>
      <c r="S752" t="n">
        <v>96.48</v>
      </c>
      <c r="T752" t="n">
        <v>89.35159</v>
      </c>
      <c r="U752" t="n">
        <v>95.36646</v>
      </c>
      <c r="V752" t="n">
        <v>93.5</v>
      </c>
      <c r="W752" t="n">
        <v>101.8234</v>
      </c>
      <c r="X752" t="n">
        <v>93.26425</v>
      </c>
      <c r="Y752" t="n">
        <v>79.57217</v>
      </c>
      <c r="Z752" t="n">
        <v>73.82850000000001</v>
      </c>
      <c r="AA752" t="n">
        <v>97.98156</v>
      </c>
      <c r="AB752" t="n">
        <v>88.75117</v>
      </c>
      <c r="AC752" t="n">
        <v>97.17742</v>
      </c>
      <c r="AD752" t="n">
        <v>95.72093</v>
      </c>
      <c r="AE752" t="n">
        <v>96.30949</v>
      </c>
      <c r="AF752" t="n">
        <v>94.98327</v>
      </c>
      <c r="AG752" t="n">
        <v>97.1247</v>
      </c>
      <c r="AH752" t="n">
        <v>93.88</v>
      </c>
      <c r="AI752" t="n">
        <v>97.51693</v>
      </c>
      <c r="AJ752" t="n">
        <v>86.15192999999999</v>
      </c>
      <c r="AK752" t="n">
        <v>94.04000000000001</v>
      </c>
      <c r="AL752" t="n">
        <v>93.09999999999999</v>
      </c>
      <c r="AM752" t="n">
        <v>94.09838999999999</v>
      </c>
      <c r="AN752" t="n">
        <v>93.49802</v>
      </c>
      <c r="AO752" t="n">
        <v>96.2149</v>
      </c>
      <c r="AP752" t="n">
        <v>96.71745</v>
      </c>
      <c r="AQ752" t="n">
        <v>71.85664</v>
      </c>
      <c r="AR752" t="n">
        <v>90.83689</v>
      </c>
      <c r="AS752" t="n">
        <v>95.55952000000001</v>
      </c>
      <c r="AT752" t="n">
        <v>95.56999999999999</v>
      </c>
      <c r="AU752" t="n">
        <v>99.29285</v>
      </c>
      <c r="AV752" t="n">
        <v>71.88057999999999</v>
      </c>
      <c r="AW752" t="n">
        <v>95.3189</v>
      </c>
      <c r="AX752" t="n">
        <v>81.15224000000001</v>
      </c>
    </row>
    <row r="753">
      <c r="A753" s="92" t="n">
        <v>40756</v>
      </c>
      <c r="B753" t="n">
        <v>93.53116</v>
      </c>
      <c r="C753" t="n">
        <v>95.53776999999999</v>
      </c>
      <c r="D753" t="n">
        <v>77.42616</v>
      </c>
      <c r="E753" t="n">
        <v>95.04872</v>
      </c>
      <c r="F753" t="n">
        <v>101.5368</v>
      </c>
      <c r="G753" t="n">
        <v>87.44745</v>
      </c>
      <c r="H753" t="n">
        <v>92.27545000000001</v>
      </c>
      <c r="I753" t="n">
        <v>88.11387999999999</v>
      </c>
      <c r="J753" t="n">
        <v>86.96616</v>
      </c>
      <c r="K753" t="n">
        <v>94.90000000000001</v>
      </c>
      <c r="L753" t="n">
        <v>95.43778</v>
      </c>
      <c r="M753" t="n">
        <v>96</v>
      </c>
      <c r="N753" t="n">
        <v>95.52</v>
      </c>
      <c r="O753" t="n">
        <v>96.70963</v>
      </c>
      <c r="P753" t="n">
        <v>94.79944999999999</v>
      </c>
      <c r="Q753" t="n">
        <v>95.55</v>
      </c>
      <c r="R753" t="n">
        <v>95.24733999999999</v>
      </c>
      <c r="S753" t="n">
        <v>96.98</v>
      </c>
      <c r="T753" t="n">
        <v>89.59495</v>
      </c>
      <c r="U753" t="n">
        <v>95.61976</v>
      </c>
      <c r="V753" t="n">
        <v>93.90000000000001</v>
      </c>
      <c r="W753" t="n">
        <v>100.3965</v>
      </c>
      <c r="X753" t="n">
        <v>93.19023</v>
      </c>
      <c r="Y753" t="n">
        <v>80.31571</v>
      </c>
      <c r="Z753" t="n">
        <v>74.21102999999999</v>
      </c>
      <c r="AA753" t="n">
        <v>98.18092</v>
      </c>
      <c r="AB753" t="n">
        <v>88.99951</v>
      </c>
      <c r="AC753" t="n">
        <v>97.68145</v>
      </c>
      <c r="AD753" t="n">
        <v>96</v>
      </c>
      <c r="AE753" t="n">
        <v>96.4113</v>
      </c>
      <c r="AF753" t="n">
        <v>95.62105</v>
      </c>
      <c r="AG753" t="n">
        <v>96.7718</v>
      </c>
      <c r="AH753" t="n">
        <v>95.22</v>
      </c>
      <c r="AI753" t="n">
        <v>97.17610999999999</v>
      </c>
      <c r="AJ753" t="n">
        <v>86.28821000000001</v>
      </c>
      <c r="AK753" t="n">
        <v>94.19</v>
      </c>
      <c r="AL753" t="n">
        <v>92.59999999999999</v>
      </c>
      <c r="AM753" t="n">
        <v>94.31516000000001</v>
      </c>
      <c r="AN753" t="n">
        <v>93.68810999999999</v>
      </c>
      <c r="AO753" t="n">
        <v>96.2149</v>
      </c>
      <c r="AP753" t="n">
        <v>96.29349999999999</v>
      </c>
      <c r="AQ753" t="n">
        <v>71.68419</v>
      </c>
      <c r="AR753" t="n">
        <v>91.03017</v>
      </c>
      <c r="AS753" t="n">
        <v>95.6207</v>
      </c>
      <c r="AT753" t="n">
        <v>95.81999999999999</v>
      </c>
      <c r="AU753" t="n">
        <v>99.32476</v>
      </c>
      <c r="AV753" t="n">
        <v>72.40248</v>
      </c>
      <c r="AW753" t="n">
        <v>95.58175</v>
      </c>
      <c r="AX753" t="n">
        <v>81.15224000000001</v>
      </c>
    </row>
    <row r="754">
      <c r="A754" s="92" t="n">
        <v>40787</v>
      </c>
      <c r="B754" t="n">
        <v>93.89263</v>
      </c>
      <c r="C754" t="n">
        <v>95.79545</v>
      </c>
      <c r="D754" t="n">
        <v>77.83659</v>
      </c>
      <c r="E754" t="n">
        <v>95.28574999999999</v>
      </c>
      <c r="F754" t="n">
        <v>101.8107</v>
      </c>
      <c r="G754" t="n">
        <v>87.88327</v>
      </c>
      <c r="H754" t="n">
        <v>92.71113</v>
      </c>
      <c r="I754" t="n">
        <v>88.39126</v>
      </c>
      <c r="J754" t="n">
        <v>86.83063</v>
      </c>
      <c r="K754" t="n">
        <v>94.7</v>
      </c>
      <c r="L754" t="n">
        <v>95.62437</v>
      </c>
      <c r="M754" t="n">
        <v>96.3</v>
      </c>
      <c r="N754" t="n">
        <v>96.22</v>
      </c>
      <c r="O754" t="n">
        <v>96.94622</v>
      </c>
      <c r="P754" t="n">
        <v>95.31215</v>
      </c>
      <c r="Q754" t="n">
        <v>96.14</v>
      </c>
      <c r="R754" t="n">
        <v>95.6426</v>
      </c>
      <c r="S754" t="n">
        <v>96.91</v>
      </c>
      <c r="T754" t="n">
        <v>89.97744</v>
      </c>
      <c r="U754" t="n">
        <v>95.76412000000001</v>
      </c>
      <c r="V754" t="n">
        <v>94.5</v>
      </c>
      <c r="W754" t="n">
        <v>103.7233</v>
      </c>
      <c r="X754" t="n">
        <v>93.11621</v>
      </c>
      <c r="Y754" t="n">
        <v>80.53440000000001</v>
      </c>
      <c r="Z754" t="n">
        <v>75.35862</v>
      </c>
      <c r="AA754" t="n">
        <v>98.47994</v>
      </c>
      <c r="AB754" t="n">
        <v>89.54885</v>
      </c>
      <c r="AC754" t="n">
        <v>97.47984</v>
      </c>
      <c r="AD754" t="n">
        <v>96</v>
      </c>
      <c r="AE754" t="n">
        <v>96.4113</v>
      </c>
      <c r="AF754" t="n">
        <v>95.52934</v>
      </c>
      <c r="AG754" t="n">
        <v>97.444</v>
      </c>
      <c r="AH754" t="n">
        <v>95.31999999999999</v>
      </c>
      <c r="AI754" t="n">
        <v>97.54564999999999</v>
      </c>
      <c r="AJ754" t="n">
        <v>86.4999</v>
      </c>
      <c r="AK754" t="n">
        <v>94.53</v>
      </c>
      <c r="AL754" t="n">
        <v>93.40000000000001</v>
      </c>
      <c r="AM754" t="n">
        <v>94.50851</v>
      </c>
      <c r="AN754" t="n">
        <v>94.00517000000001</v>
      </c>
      <c r="AO754" t="n">
        <v>96.2963</v>
      </c>
      <c r="AP754" t="n">
        <v>97.0787</v>
      </c>
      <c r="AQ754" t="n">
        <v>71.65552</v>
      </c>
      <c r="AR754" t="n">
        <v>91.41670000000001</v>
      </c>
      <c r="AS754" t="n">
        <v>95.92659</v>
      </c>
      <c r="AT754" t="n">
        <v>96.43000000000001</v>
      </c>
      <c r="AU754" t="n">
        <v>100.0205</v>
      </c>
      <c r="AV754" t="n">
        <v>72.94741</v>
      </c>
      <c r="AW754" t="n">
        <v>95.72689</v>
      </c>
      <c r="AX754" t="n">
        <v>81.69235999999999</v>
      </c>
    </row>
    <row r="755">
      <c r="A755" s="92" t="n">
        <v>40817</v>
      </c>
      <c r="B755" t="n">
        <v>93.983</v>
      </c>
      <c r="C755" t="n">
        <v>95.94410999999999</v>
      </c>
      <c r="D755" t="n">
        <v>78.17139</v>
      </c>
      <c r="E755" t="n">
        <v>95.44377</v>
      </c>
      <c r="F755" t="n">
        <v>101.743</v>
      </c>
      <c r="G755" t="n">
        <v>88.3082</v>
      </c>
      <c r="H755" t="n">
        <v>92.79826</v>
      </c>
      <c r="I755" t="n">
        <v>88.55441</v>
      </c>
      <c r="J755" t="n">
        <v>87.03607</v>
      </c>
      <c r="K755" t="n">
        <v>94.90000000000001</v>
      </c>
      <c r="L755" t="n">
        <v>95.62437</v>
      </c>
      <c r="M755" t="n">
        <v>96.40000000000001</v>
      </c>
      <c r="N755" t="n">
        <v>96.55</v>
      </c>
      <c r="O755" t="n">
        <v>97.71057999999999</v>
      </c>
      <c r="P755" t="n">
        <v>95.15834</v>
      </c>
      <c r="Q755" t="n">
        <v>96.48999999999999</v>
      </c>
      <c r="R755" t="n">
        <v>95.88159</v>
      </c>
      <c r="S755" t="n">
        <v>97.14</v>
      </c>
      <c r="T755" t="n">
        <v>90.15628</v>
      </c>
      <c r="U755" t="n">
        <v>95.72408</v>
      </c>
      <c r="V755" t="n">
        <v>94.5</v>
      </c>
      <c r="W755" t="n">
        <v>103.8321</v>
      </c>
      <c r="X755" t="n">
        <v>93.78239000000001</v>
      </c>
      <c r="Y755" t="n">
        <v>80.44068</v>
      </c>
      <c r="Z755" t="n">
        <v>75.74115999999999</v>
      </c>
      <c r="AA755" t="n">
        <v>98.77897</v>
      </c>
      <c r="AB755" t="n">
        <v>89.84492</v>
      </c>
      <c r="AC755" t="n">
        <v>97.58064</v>
      </c>
      <c r="AD755" t="n">
        <v>96.55813999999999</v>
      </c>
      <c r="AE755" t="n">
        <v>96.51311</v>
      </c>
      <c r="AF755" t="n">
        <v>95.34801</v>
      </c>
      <c r="AG755" t="n">
        <v>97.53789999999999</v>
      </c>
      <c r="AH755" t="n">
        <v>95.45999999999999</v>
      </c>
      <c r="AI755" t="n">
        <v>97.74634</v>
      </c>
      <c r="AJ755" t="n">
        <v>87.08355</v>
      </c>
      <c r="AK755" t="n">
        <v>94.56999999999999</v>
      </c>
      <c r="AL755" t="n">
        <v>93.3</v>
      </c>
      <c r="AM755" t="n">
        <v>94.63317000000001</v>
      </c>
      <c r="AN755" t="n">
        <v>94.44987</v>
      </c>
      <c r="AO755" t="n">
        <v>96.94749</v>
      </c>
      <c r="AP755" t="n">
        <v>98.09878</v>
      </c>
      <c r="AQ755" t="n">
        <v>71.99947</v>
      </c>
      <c r="AR755" t="n">
        <v>91.60997999999999</v>
      </c>
      <c r="AS755" t="n">
        <v>96.11011999999999</v>
      </c>
      <c r="AT755" t="n">
        <v>97.11</v>
      </c>
      <c r="AU755" t="n">
        <v>100.0237</v>
      </c>
      <c r="AV755" t="n">
        <v>75.33434</v>
      </c>
      <c r="AW755" t="n">
        <v>95.52943</v>
      </c>
      <c r="AX755" t="n">
        <v>82.23248</v>
      </c>
    </row>
    <row r="756">
      <c r="A756" s="92" t="n">
        <v>40848</v>
      </c>
      <c r="B756" t="n">
        <v>94.07337</v>
      </c>
      <c r="C756" t="n">
        <v>96.32071000000001</v>
      </c>
      <c r="D756" t="n">
        <v>78.57787</v>
      </c>
      <c r="E756" t="n">
        <v>95.52278</v>
      </c>
      <c r="F756" t="n">
        <v>101.5654</v>
      </c>
      <c r="G756" t="n">
        <v>88.59148</v>
      </c>
      <c r="H756" t="n">
        <v>92.62399000000001</v>
      </c>
      <c r="I756" t="n">
        <v>88.67677999999999</v>
      </c>
      <c r="J756" t="n">
        <v>87.29745</v>
      </c>
      <c r="K756" t="n">
        <v>95.3</v>
      </c>
      <c r="L756" t="n">
        <v>95.81095000000001</v>
      </c>
      <c r="M756" t="n">
        <v>96.3</v>
      </c>
      <c r="N756" t="n">
        <v>96.64</v>
      </c>
      <c r="O756" t="n">
        <v>98.10666999999999</v>
      </c>
      <c r="P756" t="n">
        <v>95.26088</v>
      </c>
      <c r="Q756" t="n">
        <v>96.63</v>
      </c>
      <c r="R756" t="n">
        <v>95.94593</v>
      </c>
      <c r="S756" t="n">
        <v>97.41</v>
      </c>
      <c r="T756" t="n">
        <v>90.25261</v>
      </c>
      <c r="U756" t="n">
        <v>95.65002</v>
      </c>
      <c r="V756" t="n">
        <v>94.7</v>
      </c>
      <c r="W756" t="n">
        <v>103.9914</v>
      </c>
      <c r="X756" t="n">
        <v>94.37452999999999</v>
      </c>
      <c r="Y756" t="n">
        <v>80.71561</v>
      </c>
      <c r="Z756" t="n">
        <v>76.12369</v>
      </c>
      <c r="AA756" t="n">
        <v>98.77897</v>
      </c>
      <c r="AB756" t="n">
        <v>89.86066</v>
      </c>
      <c r="AC756" t="n">
        <v>97.47984</v>
      </c>
      <c r="AD756" t="n">
        <v>96.46512</v>
      </c>
      <c r="AE756" t="n">
        <v>95.90227</v>
      </c>
      <c r="AF756" t="n">
        <v>95.43867</v>
      </c>
      <c r="AG756" t="n">
        <v>97.7295</v>
      </c>
      <c r="AH756" t="n">
        <v>95.76000000000001</v>
      </c>
      <c r="AI756" t="n">
        <v>97.70520999999999</v>
      </c>
      <c r="AJ756" t="n">
        <v>88.02545000000001</v>
      </c>
      <c r="AK756" t="n">
        <v>94.28</v>
      </c>
      <c r="AL756" t="n">
        <v>93.3</v>
      </c>
      <c r="AM756" t="n">
        <v>94.69858000000001</v>
      </c>
      <c r="AN756" t="n">
        <v>94.72796</v>
      </c>
      <c r="AO756" t="n">
        <v>97.59869</v>
      </c>
      <c r="AP756" t="n">
        <v>98.02115000000001</v>
      </c>
      <c r="AQ756" t="n">
        <v>72.30186</v>
      </c>
      <c r="AR756" t="n">
        <v>91.80325000000001</v>
      </c>
      <c r="AS756" t="n">
        <v>96.53836</v>
      </c>
      <c r="AT756" t="n">
        <v>97.37</v>
      </c>
      <c r="AU756" t="n">
        <v>100.2598</v>
      </c>
      <c r="AV756" t="n">
        <v>76.63526</v>
      </c>
      <c r="AW756" t="n">
        <v>95.44884999999999</v>
      </c>
      <c r="AX756" t="n">
        <v>82.23248</v>
      </c>
    </row>
    <row r="757">
      <c r="A757" s="92" t="n">
        <v>40878</v>
      </c>
      <c r="B757" t="n">
        <v>94.25409999999999</v>
      </c>
      <c r="C757" t="n">
        <v>96.36035</v>
      </c>
      <c r="D757" t="n">
        <v>78.97067</v>
      </c>
      <c r="E757" t="n">
        <v>94.96971000000001</v>
      </c>
      <c r="F757" t="n">
        <v>101.4084</v>
      </c>
      <c r="G757" t="n">
        <v>89.12536</v>
      </c>
      <c r="H757" t="n">
        <v>92.88539</v>
      </c>
      <c r="I757" t="n">
        <v>89.05204999999999</v>
      </c>
      <c r="J757" t="n">
        <v>88.09663</v>
      </c>
      <c r="K757" t="n">
        <v>95.7</v>
      </c>
      <c r="L757" t="n">
        <v>95.99754</v>
      </c>
      <c r="M757" t="n">
        <v>96.3</v>
      </c>
      <c r="N757" t="n">
        <v>96.95999999999999</v>
      </c>
      <c r="O757" t="n">
        <v>98.23407</v>
      </c>
      <c r="P757" t="n">
        <v>95.4147</v>
      </c>
      <c r="Q757" t="n">
        <v>96.95</v>
      </c>
      <c r="R757" t="n">
        <v>95.91836000000001</v>
      </c>
      <c r="S757" t="n">
        <v>97.8</v>
      </c>
      <c r="T757" t="n">
        <v>90.30784</v>
      </c>
      <c r="U757" t="n">
        <v>95.5976</v>
      </c>
      <c r="V757" t="n">
        <v>95</v>
      </c>
      <c r="W757" t="n">
        <v>103.8931</v>
      </c>
      <c r="X757" t="n">
        <v>94.5966</v>
      </c>
      <c r="Y757" t="n">
        <v>81.17173</v>
      </c>
      <c r="Z757" t="n">
        <v>75.35862</v>
      </c>
      <c r="AA757" t="n">
        <v>98.47994</v>
      </c>
      <c r="AB757" t="n">
        <v>90.17889</v>
      </c>
      <c r="AC757" t="n">
        <v>97.47984</v>
      </c>
      <c r="AD757" t="n">
        <v>96.83721</v>
      </c>
      <c r="AE757" t="n">
        <v>96.00407</v>
      </c>
      <c r="AF757" t="n">
        <v>95.80235999999999</v>
      </c>
      <c r="AG757" t="n">
        <v>97.57299999999999</v>
      </c>
      <c r="AH757" t="n">
        <v>95.70999999999999</v>
      </c>
      <c r="AI757" t="n">
        <v>97.72365000000001</v>
      </c>
      <c r="AJ757" t="n">
        <v>88.74881000000001</v>
      </c>
      <c r="AK757" t="n">
        <v>94.04000000000001</v>
      </c>
      <c r="AL757" t="n">
        <v>93.40000000000001</v>
      </c>
      <c r="AM757" t="n">
        <v>94.73643</v>
      </c>
      <c r="AN757" t="n">
        <v>94.96259000000001</v>
      </c>
      <c r="AO757" t="n">
        <v>98.0057</v>
      </c>
      <c r="AP757" t="n">
        <v>98.00423000000001</v>
      </c>
      <c r="AQ757" t="n">
        <v>72.61999</v>
      </c>
      <c r="AR757" t="n">
        <v>91.80325000000001</v>
      </c>
      <c r="AS757" t="n">
        <v>96.59954</v>
      </c>
      <c r="AT757" t="n">
        <v>96.8</v>
      </c>
      <c r="AU757" t="n">
        <v>100.4577</v>
      </c>
      <c r="AV757" t="n">
        <v>77.07658000000001</v>
      </c>
      <c r="AW757" t="n">
        <v>95.21342</v>
      </c>
      <c r="AX757" t="n">
        <v>82.50252999999999</v>
      </c>
    </row>
    <row r="758">
      <c r="A758" s="92" t="n">
        <v>40909</v>
      </c>
      <c r="B758" t="n">
        <v>93.80226999999999</v>
      </c>
      <c r="C758" t="n">
        <v>97.06399999999999</v>
      </c>
      <c r="D758" t="n">
        <v>79.41289</v>
      </c>
      <c r="E758" t="n">
        <v>95.36476</v>
      </c>
      <c r="F758" t="n">
        <v>100.9767</v>
      </c>
      <c r="G758" t="n">
        <v>89.20162999999999</v>
      </c>
      <c r="H758" t="n">
        <v>94.27955</v>
      </c>
      <c r="I758" t="n">
        <v>89.70468</v>
      </c>
      <c r="J758" t="n">
        <v>88.25153</v>
      </c>
      <c r="K758" t="n">
        <v>97.40000000000001</v>
      </c>
      <c r="L758" t="n">
        <v>95.90424</v>
      </c>
      <c r="M758" t="n">
        <v>96.7</v>
      </c>
      <c r="N758" t="n">
        <v>96.18000000000001</v>
      </c>
      <c r="O758" t="n">
        <v>97.15391</v>
      </c>
      <c r="P758" t="n">
        <v>96.08121</v>
      </c>
      <c r="Q758" t="n">
        <v>96.39</v>
      </c>
      <c r="R758" t="n">
        <v>96.52503</v>
      </c>
      <c r="S758" t="n">
        <v>97.45999999999999</v>
      </c>
      <c r="T758" t="n">
        <v>90.60865</v>
      </c>
      <c r="U758" t="n">
        <v>95.83444</v>
      </c>
      <c r="V758" t="n">
        <v>94.7</v>
      </c>
      <c r="W758" t="n">
        <v>103.0586</v>
      </c>
      <c r="X758" t="n">
        <v>96.5211</v>
      </c>
      <c r="Y758" t="n">
        <v>81.79031000000001</v>
      </c>
      <c r="Z758" t="n">
        <v>75.74115999999999</v>
      </c>
      <c r="AA758" t="n">
        <v>97.98156</v>
      </c>
      <c r="AB758" t="n">
        <v>90.44094</v>
      </c>
      <c r="AC758" t="n">
        <v>97.47984</v>
      </c>
      <c r="AD758" t="n">
        <v>97.11628</v>
      </c>
      <c r="AE758" t="n">
        <v>96.20769</v>
      </c>
      <c r="AF758" t="n">
        <v>96.18503</v>
      </c>
      <c r="AG758" t="n">
        <v>97.9019</v>
      </c>
      <c r="AH758" t="n">
        <v>95.06</v>
      </c>
      <c r="AI758" t="n">
        <v>98.54352</v>
      </c>
      <c r="AJ758" t="n">
        <v>89.37703</v>
      </c>
      <c r="AK758" t="n">
        <v>93.98999999999999</v>
      </c>
      <c r="AL758" t="n">
        <v>93.2</v>
      </c>
      <c r="AM758" t="n">
        <v>94.96346</v>
      </c>
      <c r="AN758" t="n">
        <v>94.91874</v>
      </c>
      <c r="AO758" t="n">
        <v>98.65689999999999</v>
      </c>
      <c r="AP758" t="n">
        <v>98.47197</v>
      </c>
      <c r="AQ758" t="n">
        <v>72.98309</v>
      </c>
      <c r="AR758" t="n">
        <v>91.80325000000001</v>
      </c>
      <c r="AS758" t="n">
        <v>97.94544999999999</v>
      </c>
      <c r="AT758" t="n">
        <v>96.3</v>
      </c>
      <c r="AU758" t="n">
        <v>99.52263000000001</v>
      </c>
      <c r="AV758" t="n">
        <v>77.51022</v>
      </c>
      <c r="AW758" t="n">
        <v>95.63238</v>
      </c>
      <c r="AX758" t="n">
        <v>82.90761999999999</v>
      </c>
    </row>
    <row r="759">
      <c r="A759" s="92" t="n">
        <v>40940</v>
      </c>
      <c r="B759" t="n">
        <v>94.25409999999999</v>
      </c>
      <c r="C759" t="n">
        <v>97.63881000000001</v>
      </c>
      <c r="D759" t="n">
        <v>79.77019</v>
      </c>
      <c r="E759" t="n">
        <v>95.75981</v>
      </c>
      <c r="F759" t="n">
        <v>101.2612</v>
      </c>
      <c r="G759" t="n">
        <v>89.55029</v>
      </c>
      <c r="H759" t="n">
        <v>94.19241</v>
      </c>
      <c r="I759" t="n">
        <v>90.25127000000001</v>
      </c>
      <c r="J759" t="n">
        <v>88.49892</v>
      </c>
      <c r="K759" t="n">
        <v>97.7</v>
      </c>
      <c r="L759" t="n">
        <v>96.55728999999999</v>
      </c>
      <c r="M759" t="n">
        <v>97.8</v>
      </c>
      <c r="N759" t="n">
        <v>96.66</v>
      </c>
      <c r="O759" t="n">
        <v>97.25453</v>
      </c>
      <c r="P759" t="n">
        <v>96.44011</v>
      </c>
      <c r="Q759" t="n">
        <v>96.88</v>
      </c>
      <c r="R759" t="n">
        <v>97.05817</v>
      </c>
      <c r="S759" t="n">
        <v>97.86</v>
      </c>
      <c r="T759" t="n">
        <v>90.93329</v>
      </c>
      <c r="U759" t="n">
        <v>96.24927</v>
      </c>
      <c r="V759" t="n">
        <v>95.2</v>
      </c>
      <c r="W759" t="n">
        <v>101.4976</v>
      </c>
      <c r="X759" t="n">
        <v>97.3353</v>
      </c>
      <c r="Y759" t="n">
        <v>81.8278</v>
      </c>
      <c r="Z759" t="n">
        <v>76.12369</v>
      </c>
      <c r="AA759" t="n">
        <v>98.87864999999999</v>
      </c>
      <c r="AB759" t="n">
        <v>91.34226</v>
      </c>
      <c r="AC759" t="n">
        <v>97.47984</v>
      </c>
      <c r="AD759" t="n">
        <v>97.48837</v>
      </c>
      <c r="AE759" t="n">
        <v>96.4113</v>
      </c>
      <c r="AF759" t="n">
        <v>96.54977</v>
      </c>
      <c r="AG759" t="n">
        <v>98.29340000000001</v>
      </c>
      <c r="AH759" t="n">
        <v>96.67</v>
      </c>
      <c r="AI759" t="n">
        <v>98.67787</v>
      </c>
      <c r="AJ759" t="n">
        <v>89.55871999999999</v>
      </c>
      <c r="AK759" t="n">
        <v>94.7</v>
      </c>
      <c r="AL759" t="n">
        <v>94.2</v>
      </c>
      <c r="AM759" t="n">
        <v>95.34860999999999</v>
      </c>
      <c r="AN759" t="n">
        <v>95.3578</v>
      </c>
      <c r="AO759" t="n">
        <v>99.0639</v>
      </c>
      <c r="AP759" t="n">
        <v>98.55158</v>
      </c>
      <c r="AQ759" t="n">
        <v>73.25313</v>
      </c>
      <c r="AR759" t="n">
        <v>91.99651</v>
      </c>
      <c r="AS759" t="n">
        <v>98.19016000000001</v>
      </c>
      <c r="AT759" t="n">
        <v>96.84</v>
      </c>
      <c r="AU759" t="n">
        <v>100.1832</v>
      </c>
      <c r="AV759" t="n">
        <v>77.94768999999999</v>
      </c>
      <c r="AW759" t="n">
        <v>96.05343999999999</v>
      </c>
      <c r="AX759" t="n">
        <v>83.31271</v>
      </c>
    </row>
    <row r="760">
      <c r="A760" s="92" t="n">
        <v>40969</v>
      </c>
      <c r="B760" t="n">
        <v>95.24816</v>
      </c>
      <c r="C760" t="n">
        <v>97.84693</v>
      </c>
      <c r="D760" t="n">
        <v>79.93770000000001</v>
      </c>
      <c r="E760" t="n">
        <v>96.15486</v>
      </c>
      <c r="F760" t="n">
        <v>101.8257</v>
      </c>
      <c r="G760" t="n">
        <v>89.70283000000001</v>
      </c>
      <c r="H760" t="n">
        <v>94.36668</v>
      </c>
      <c r="I760" t="n">
        <v>90.35732</v>
      </c>
      <c r="J760" t="n">
        <v>88.85387</v>
      </c>
      <c r="K760" t="n">
        <v>97.8</v>
      </c>
      <c r="L760" t="n">
        <v>97.11703</v>
      </c>
      <c r="M760" t="n">
        <v>98.3</v>
      </c>
      <c r="N760" t="n">
        <v>97.91</v>
      </c>
      <c r="O760" t="n">
        <v>97.90863</v>
      </c>
      <c r="P760" t="n">
        <v>97.36297999999999</v>
      </c>
      <c r="Q760" t="n">
        <v>98.01000000000001</v>
      </c>
      <c r="R760" t="n">
        <v>97.42583999999999</v>
      </c>
      <c r="S760" t="n">
        <v>98.67</v>
      </c>
      <c r="T760" t="n">
        <v>91.52324</v>
      </c>
      <c r="U760" t="n">
        <v>96.86108</v>
      </c>
      <c r="V760" t="n">
        <v>95.40000000000001</v>
      </c>
      <c r="W760" t="n">
        <v>104.3711</v>
      </c>
      <c r="X760" t="n">
        <v>98.07550000000001</v>
      </c>
      <c r="Y760" t="n">
        <v>81.88403</v>
      </c>
      <c r="Z760" t="n">
        <v>76.88875</v>
      </c>
      <c r="AA760" t="n">
        <v>99.8754</v>
      </c>
      <c r="AB760" t="n">
        <v>92.31223</v>
      </c>
      <c r="AC760" t="n">
        <v>97.78225999999999</v>
      </c>
      <c r="AD760" t="n">
        <v>97.95349</v>
      </c>
      <c r="AE760" t="n">
        <v>96.81853</v>
      </c>
      <c r="AF760" t="n">
        <v>96.57718</v>
      </c>
      <c r="AG760" t="n">
        <v>99.2389</v>
      </c>
      <c r="AH760" t="n">
        <v>97</v>
      </c>
      <c r="AI760" t="n">
        <v>99.25494</v>
      </c>
      <c r="AJ760" t="n">
        <v>89.61015</v>
      </c>
      <c r="AK760" t="n">
        <v>95.78</v>
      </c>
      <c r="AL760" t="n">
        <v>94.09999999999999</v>
      </c>
      <c r="AM760" t="n">
        <v>95.89846</v>
      </c>
      <c r="AN760" t="n">
        <v>95.92134</v>
      </c>
      <c r="AO760" t="n">
        <v>99.5523</v>
      </c>
      <c r="AP760" t="n">
        <v>99.70103</v>
      </c>
      <c r="AQ760" t="n">
        <v>73.67798999999999</v>
      </c>
      <c r="AR760" t="n">
        <v>92.28642000000001</v>
      </c>
      <c r="AS760" t="n">
        <v>98.49605</v>
      </c>
      <c r="AT760" t="n">
        <v>97.8</v>
      </c>
      <c r="AU760" t="n">
        <v>100.4641</v>
      </c>
      <c r="AV760" t="n">
        <v>78.27005</v>
      </c>
      <c r="AW760" t="n">
        <v>96.78292999999999</v>
      </c>
      <c r="AX760" t="n">
        <v>84.25790000000001</v>
      </c>
    </row>
    <row r="761">
      <c r="A761" s="92" t="n">
        <v>41000</v>
      </c>
      <c r="B761" t="n">
        <v>95.60963</v>
      </c>
      <c r="C761" t="n">
        <v>97.91631</v>
      </c>
      <c r="D761" t="n">
        <v>80.44929</v>
      </c>
      <c r="E761" t="n">
        <v>96.54991</v>
      </c>
      <c r="F761" t="n">
        <v>101.9018</v>
      </c>
      <c r="G761" t="n">
        <v>89.74641</v>
      </c>
      <c r="H761" t="n">
        <v>94.27955</v>
      </c>
      <c r="I761" t="n">
        <v>90.48784999999999</v>
      </c>
      <c r="J761" t="n">
        <v>89.4175</v>
      </c>
      <c r="K761" t="n">
        <v>97.8</v>
      </c>
      <c r="L761" t="n">
        <v>96.93046</v>
      </c>
      <c r="M761" t="n">
        <v>98.3</v>
      </c>
      <c r="N761" t="n">
        <v>98.36</v>
      </c>
      <c r="O761" t="n">
        <v>99.28426</v>
      </c>
      <c r="P761" t="n">
        <v>97.67059999999999</v>
      </c>
      <c r="Q761" t="n">
        <v>98.45</v>
      </c>
      <c r="R761" t="n">
        <v>97.76595</v>
      </c>
      <c r="S761" t="n">
        <v>98.8</v>
      </c>
      <c r="T761" t="n">
        <v>91.9284</v>
      </c>
      <c r="U761" t="n">
        <v>97.10577000000001</v>
      </c>
      <c r="V761" t="n">
        <v>95.90000000000001</v>
      </c>
      <c r="W761" t="n">
        <v>105.2576</v>
      </c>
      <c r="X761" t="n">
        <v>98.88970999999999</v>
      </c>
      <c r="Y761" t="n">
        <v>82.05274</v>
      </c>
      <c r="Z761" t="n">
        <v>78.41887</v>
      </c>
      <c r="AA761" t="n">
        <v>99.8754</v>
      </c>
      <c r="AB761" t="n">
        <v>93.02074</v>
      </c>
      <c r="AC761" t="n">
        <v>98.68951</v>
      </c>
      <c r="AD761" t="n">
        <v>98.4186</v>
      </c>
      <c r="AE761" t="n">
        <v>96.92033000000001</v>
      </c>
      <c r="AF761" t="n">
        <v>96.5677</v>
      </c>
      <c r="AG761" t="n">
        <v>99.8348</v>
      </c>
      <c r="AH761" t="n">
        <v>97.31999999999999</v>
      </c>
      <c r="AI761" t="n">
        <v>99.86932</v>
      </c>
      <c r="AJ761" t="n">
        <v>89.32903</v>
      </c>
      <c r="AK761" t="n">
        <v>96.17</v>
      </c>
      <c r="AL761" t="n">
        <v>94.2</v>
      </c>
      <c r="AM761" t="n">
        <v>96.19445</v>
      </c>
      <c r="AN761" t="n">
        <v>96.34187</v>
      </c>
      <c r="AO761" t="n">
        <v>100.1221</v>
      </c>
      <c r="AP761" t="n">
        <v>99.98166999999999</v>
      </c>
      <c r="AQ761" t="n">
        <v>73.90639</v>
      </c>
      <c r="AR761" t="n">
        <v>92.47969000000001</v>
      </c>
      <c r="AS761" t="n">
        <v>98.80194</v>
      </c>
      <c r="AT761" t="n">
        <v>98.90000000000001</v>
      </c>
      <c r="AU761" t="n">
        <v>100.6843</v>
      </c>
      <c r="AV761" t="n">
        <v>79.45583999999999</v>
      </c>
      <c r="AW761" t="n">
        <v>97.07532</v>
      </c>
      <c r="AX761" t="n">
        <v>84.66298999999999</v>
      </c>
    </row>
    <row r="762">
      <c r="A762" s="92" t="n">
        <v>41030</v>
      </c>
      <c r="B762" t="n">
        <v>95.51926</v>
      </c>
      <c r="C762" t="n">
        <v>97.88657000000001</v>
      </c>
      <c r="D762" t="n">
        <v>80.73884</v>
      </c>
      <c r="E762" t="n">
        <v>96.4709</v>
      </c>
      <c r="F762" t="n">
        <v>101.8837</v>
      </c>
      <c r="G762" t="n">
        <v>89.76819999999999</v>
      </c>
      <c r="H762" t="n">
        <v>94.01814</v>
      </c>
      <c r="I762" t="n">
        <v>90.75706</v>
      </c>
      <c r="J762" t="n">
        <v>90.30058</v>
      </c>
      <c r="K762" t="n">
        <v>98</v>
      </c>
      <c r="L762" t="n">
        <v>96.93046</v>
      </c>
      <c r="M762" t="n">
        <v>98.40000000000001</v>
      </c>
      <c r="N762" t="n">
        <v>98.23</v>
      </c>
      <c r="O762" t="n">
        <v>99.13760000000001</v>
      </c>
      <c r="P762" t="n">
        <v>97.61933000000001</v>
      </c>
      <c r="Q762" t="n">
        <v>98.36</v>
      </c>
      <c r="R762" t="n">
        <v>97.77513999999999</v>
      </c>
      <c r="S762" t="n">
        <v>98.75</v>
      </c>
      <c r="T762" t="n">
        <v>91.89554</v>
      </c>
      <c r="U762" t="n">
        <v>96.99883</v>
      </c>
      <c r="V762" t="n">
        <v>95.90000000000001</v>
      </c>
      <c r="W762" t="n">
        <v>104.9159</v>
      </c>
      <c r="X762" t="n">
        <v>98.66766</v>
      </c>
      <c r="Y762" t="n">
        <v>82.10898</v>
      </c>
      <c r="Z762" t="n">
        <v>78.8014</v>
      </c>
      <c r="AA762" t="n">
        <v>99.8754</v>
      </c>
      <c r="AB762" t="n">
        <v>93.00949</v>
      </c>
      <c r="AC762" t="n">
        <v>98.68951</v>
      </c>
      <c r="AD762" t="n">
        <v>98.4186</v>
      </c>
      <c r="AE762" t="n">
        <v>96.61490999999999</v>
      </c>
      <c r="AF762" t="n">
        <v>96.74057999999999</v>
      </c>
      <c r="AG762" t="n">
        <v>99.8973</v>
      </c>
      <c r="AH762" t="n">
        <v>97.18000000000001</v>
      </c>
      <c r="AI762" t="n">
        <v>99.71241000000001</v>
      </c>
      <c r="AJ762" t="n">
        <v>89.04707000000001</v>
      </c>
      <c r="AK762" t="n">
        <v>96.03</v>
      </c>
      <c r="AL762" t="n">
        <v>94.2</v>
      </c>
      <c r="AM762" t="n">
        <v>96.10278</v>
      </c>
      <c r="AN762" t="n">
        <v>96.29955</v>
      </c>
      <c r="AO762" t="n">
        <v>100.2849</v>
      </c>
      <c r="AP762" t="n">
        <v>99.63136</v>
      </c>
      <c r="AQ762" t="n">
        <v>74.29071</v>
      </c>
      <c r="AR762" t="n">
        <v>92.67296</v>
      </c>
      <c r="AS762" t="n">
        <v>98.86311000000001</v>
      </c>
      <c r="AT762" t="n">
        <v>99.48999999999999</v>
      </c>
      <c r="AU762" t="n">
        <v>100.6013</v>
      </c>
      <c r="AV762" t="n">
        <v>79.28699</v>
      </c>
      <c r="AW762" t="n">
        <v>96.9614</v>
      </c>
      <c r="AX762" t="n">
        <v>84.66298999999999</v>
      </c>
    </row>
    <row r="763">
      <c r="A763" s="92" t="n">
        <v>41061</v>
      </c>
      <c r="B763" t="n">
        <v>95.60963</v>
      </c>
      <c r="C763" t="n">
        <v>97.65863</v>
      </c>
      <c r="D763" t="n">
        <v>80.80334000000001</v>
      </c>
      <c r="E763" t="n">
        <v>96.07585</v>
      </c>
      <c r="F763" t="n">
        <v>101.5963</v>
      </c>
      <c r="G763" t="n">
        <v>89.50671</v>
      </c>
      <c r="H763" t="n">
        <v>93.49534</v>
      </c>
      <c r="I763" t="n">
        <v>90.83864</v>
      </c>
      <c r="J763" t="n">
        <v>90.44257</v>
      </c>
      <c r="K763" t="n">
        <v>98.2</v>
      </c>
      <c r="L763" t="n">
        <v>96.74387</v>
      </c>
      <c r="M763" t="n">
        <v>98.2</v>
      </c>
      <c r="N763" t="n">
        <v>98.15000000000001</v>
      </c>
      <c r="O763" t="n">
        <v>98.95238999999999</v>
      </c>
      <c r="P763" t="n">
        <v>97.67059999999999</v>
      </c>
      <c r="Q763" t="n">
        <v>98.3</v>
      </c>
      <c r="R763" t="n">
        <v>97.83949</v>
      </c>
      <c r="S763" t="n">
        <v>98.78</v>
      </c>
      <c r="T763" t="n">
        <v>91.86742</v>
      </c>
      <c r="U763" t="n">
        <v>96.81711</v>
      </c>
      <c r="V763" t="n">
        <v>95.59999999999999</v>
      </c>
      <c r="W763" t="n">
        <v>104.599</v>
      </c>
      <c r="X763" t="n">
        <v>98.74168</v>
      </c>
      <c r="Y763" t="n">
        <v>82.62134</v>
      </c>
      <c r="Z763" t="n">
        <v>79.56647</v>
      </c>
      <c r="AA763" t="n">
        <v>99.67606000000001</v>
      </c>
      <c r="AB763" t="n">
        <v>93.47816</v>
      </c>
      <c r="AC763" t="n">
        <v>98.3871</v>
      </c>
      <c r="AD763" t="n">
        <v>98.60465000000001</v>
      </c>
      <c r="AE763" t="n">
        <v>96.10588</v>
      </c>
      <c r="AF763" t="n">
        <v>96.60354</v>
      </c>
      <c r="AG763" t="n">
        <v>99.8227</v>
      </c>
      <c r="AH763" t="n">
        <v>97.11</v>
      </c>
      <c r="AI763" t="n">
        <v>99.64585</v>
      </c>
      <c r="AJ763" t="n">
        <v>89.45759</v>
      </c>
      <c r="AK763" t="n">
        <v>95.56999999999999</v>
      </c>
      <c r="AL763" t="n">
        <v>93.7</v>
      </c>
      <c r="AM763" t="n">
        <v>95.94091</v>
      </c>
      <c r="AN763" t="n">
        <v>96.13558</v>
      </c>
      <c r="AO763" t="n">
        <v>100.4477</v>
      </c>
      <c r="AP763" t="n">
        <v>99.41342</v>
      </c>
      <c r="AQ763" t="n">
        <v>74.95189999999999</v>
      </c>
      <c r="AR763" t="n">
        <v>93.15613999999999</v>
      </c>
      <c r="AS763" t="n">
        <v>99.04665</v>
      </c>
      <c r="AT763" t="n">
        <v>98.87</v>
      </c>
      <c r="AU763" t="n">
        <v>100.3524</v>
      </c>
      <c r="AV763" t="n">
        <v>78.57705</v>
      </c>
      <c r="AW763" t="n">
        <v>96.81921</v>
      </c>
      <c r="AX763" t="n">
        <v>85.06807999999999</v>
      </c>
    </row>
    <row r="764">
      <c r="A764" s="92" t="n">
        <v>41091</v>
      </c>
      <c r="B764" t="n">
        <v>95.33852</v>
      </c>
      <c r="C764" t="n">
        <v>97.83702</v>
      </c>
      <c r="D764" t="n">
        <v>81.15089</v>
      </c>
      <c r="E764" t="n">
        <v>95.99684000000001</v>
      </c>
      <c r="F764" t="n">
        <v>101.1073</v>
      </c>
      <c r="G764" t="n">
        <v>89.49581000000001</v>
      </c>
      <c r="H764" t="n">
        <v>93.58247</v>
      </c>
      <c r="I764" t="n">
        <v>90.81416</v>
      </c>
      <c r="J764" t="n">
        <v>90.16936</v>
      </c>
      <c r="K764" t="n">
        <v>98.09999999999999</v>
      </c>
      <c r="L764" t="n">
        <v>97.11703</v>
      </c>
      <c r="M764" t="n">
        <v>98.2</v>
      </c>
      <c r="N764" t="n">
        <v>97.64</v>
      </c>
      <c r="O764" t="n">
        <v>98.72116</v>
      </c>
      <c r="P764" t="n">
        <v>97.92695999999999</v>
      </c>
      <c r="Q764" t="n">
        <v>97.84</v>
      </c>
      <c r="R764" t="n">
        <v>97.65564000000001</v>
      </c>
      <c r="S764" t="n">
        <v>98.34999999999999</v>
      </c>
      <c r="T764" t="n">
        <v>91.99033</v>
      </c>
      <c r="U764" t="n">
        <v>96.70811</v>
      </c>
      <c r="V764" t="n">
        <v>95.7</v>
      </c>
      <c r="W764" t="n">
        <v>103.1868</v>
      </c>
      <c r="X764" t="n">
        <v>98.66766</v>
      </c>
      <c r="Y764" t="n">
        <v>83.20243000000001</v>
      </c>
      <c r="Z764" t="n">
        <v>81.09659000000001</v>
      </c>
      <c r="AA764" t="n">
        <v>99.57638</v>
      </c>
      <c r="AB764" t="n">
        <v>92.7967</v>
      </c>
      <c r="AC764" t="n">
        <v>98.4879</v>
      </c>
      <c r="AD764" t="n">
        <v>98.69768000000001</v>
      </c>
      <c r="AE764" t="n">
        <v>95.80046</v>
      </c>
      <c r="AF764" t="n">
        <v>96.38531999999999</v>
      </c>
      <c r="AG764" t="n">
        <v>99.8438</v>
      </c>
      <c r="AH764" t="n">
        <v>96.2</v>
      </c>
      <c r="AI764" t="n">
        <v>99.15243</v>
      </c>
      <c r="AJ764" t="n">
        <v>89.95981999999999</v>
      </c>
      <c r="AK764" t="n">
        <v>96.2</v>
      </c>
      <c r="AL764" t="n">
        <v>93.3</v>
      </c>
      <c r="AM764" t="n">
        <v>95.8695</v>
      </c>
      <c r="AN764" t="n">
        <v>96.07822</v>
      </c>
      <c r="AO764" t="n">
        <v>99.9593</v>
      </c>
      <c r="AP764" t="n">
        <v>99.39749999999999</v>
      </c>
      <c r="AQ764" t="n">
        <v>75.8738</v>
      </c>
      <c r="AR764" t="n">
        <v>93.3494</v>
      </c>
      <c r="AS764" t="n">
        <v>99.04665</v>
      </c>
      <c r="AT764" t="n">
        <v>97.86</v>
      </c>
      <c r="AU764" t="n">
        <v>99.96304000000001</v>
      </c>
      <c r="AV764" t="n">
        <v>78.39668</v>
      </c>
      <c r="AW764" t="n">
        <v>96.66142000000001</v>
      </c>
      <c r="AX764" t="n">
        <v>85.06807999999999</v>
      </c>
    </row>
    <row r="765">
      <c r="A765" s="92" t="n">
        <v>41122</v>
      </c>
      <c r="B765" t="n">
        <v>95.60963</v>
      </c>
      <c r="C765" t="n">
        <v>98.26318000000001</v>
      </c>
      <c r="D765" t="n">
        <v>81.4836</v>
      </c>
      <c r="E765" t="n">
        <v>96.23387</v>
      </c>
      <c r="F765" t="n">
        <v>101.0768</v>
      </c>
      <c r="G765" t="n">
        <v>89.69193</v>
      </c>
      <c r="H765" t="n">
        <v>94.193</v>
      </c>
      <c r="I765" t="n">
        <v>90.85495</v>
      </c>
      <c r="J765" t="n">
        <v>90.64586</v>
      </c>
      <c r="K765" t="n">
        <v>98</v>
      </c>
      <c r="L765" t="n">
        <v>97.4902</v>
      </c>
      <c r="M765" t="n">
        <v>98.5</v>
      </c>
      <c r="N765" t="n">
        <v>98.02</v>
      </c>
      <c r="O765" t="n">
        <v>99.27676</v>
      </c>
      <c r="P765" t="n">
        <v>98.38839</v>
      </c>
      <c r="Q765" t="n">
        <v>98.17</v>
      </c>
      <c r="R765" t="n">
        <v>97.83949</v>
      </c>
      <c r="S765" t="n">
        <v>99</v>
      </c>
      <c r="T765" t="n">
        <v>92.44481</v>
      </c>
      <c r="U765" t="n">
        <v>97.16459999999999</v>
      </c>
      <c r="V765" t="n">
        <v>96.09999999999999</v>
      </c>
      <c r="W765" t="n">
        <v>102.1447</v>
      </c>
      <c r="X765" t="n">
        <v>98.81569</v>
      </c>
      <c r="Y765" t="n">
        <v>83.99596</v>
      </c>
      <c r="Z765" t="n">
        <v>81.86165</v>
      </c>
      <c r="AA765" t="n">
        <v>100.1744</v>
      </c>
      <c r="AB765" t="n">
        <v>92.65418</v>
      </c>
      <c r="AC765" t="n">
        <v>99.49596</v>
      </c>
      <c r="AD765" t="n">
        <v>99.06977000000001</v>
      </c>
      <c r="AE765" t="n">
        <v>96.00407</v>
      </c>
      <c r="AF765" t="n">
        <v>96.83123999999999</v>
      </c>
      <c r="AG765" t="n">
        <v>100.0083</v>
      </c>
      <c r="AH765" t="n">
        <v>97.68000000000001</v>
      </c>
      <c r="AI765" t="n">
        <v>98.86360999999999</v>
      </c>
      <c r="AJ765" t="n">
        <v>90.2298</v>
      </c>
      <c r="AK765" t="n">
        <v>96.31999999999999</v>
      </c>
      <c r="AL765" t="n">
        <v>92.90000000000001</v>
      </c>
      <c r="AM765" t="n">
        <v>96.25609</v>
      </c>
      <c r="AN765" t="n">
        <v>96.4006</v>
      </c>
      <c r="AO765" t="n">
        <v>99.6337</v>
      </c>
      <c r="AP765" t="n">
        <v>99.25618</v>
      </c>
      <c r="AQ765" t="n">
        <v>75.94968</v>
      </c>
      <c r="AR765" t="n">
        <v>93.63930999999999</v>
      </c>
      <c r="AS765" t="n">
        <v>99.10783000000001</v>
      </c>
      <c r="AT765" t="n">
        <v>98.56</v>
      </c>
      <c r="AU765" t="n">
        <v>100.0652</v>
      </c>
      <c r="AV765" t="n">
        <v>78.83416</v>
      </c>
      <c r="AW765" t="n">
        <v>97.19936</v>
      </c>
      <c r="AX765" t="n">
        <v>85.47315999999999</v>
      </c>
    </row>
    <row r="766">
      <c r="A766" s="92" t="n">
        <v>41153</v>
      </c>
      <c r="B766" t="n">
        <v>96.42294</v>
      </c>
      <c r="C766" t="n">
        <v>98.43165999999999</v>
      </c>
      <c r="D766" t="n">
        <v>81.94808</v>
      </c>
      <c r="E766" t="n">
        <v>96.39189</v>
      </c>
      <c r="F766" t="n">
        <v>101.3918</v>
      </c>
      <c r="G766" t="n">
        <v>90.37835</v>
      </c>
      <c r="H766" t="n">
        <v>94.48211000000001</v>
      </c>
      <c r="I766" t="n">
        <v>91.116</v>
      </c>
      <c r="J766" t="n">
        <v>90.70824</v>
      </c>
      <c r="K766" t="n">
        <v>97.90000000000001</v>
      </c>
      <c r="L766" t="n">
        <v>97.5835</v>
      </c>
      <c r="M766" t="n">
        <v>98.7</v>
      </c>
      <c r="N766" t="n">
        <v>98.73</v>
      </c>
      <c r="O766" t="n">
        <v>100.2542</v>
      </c>
      <c r="P766" t="n">
        <v>98.9011</v>
      </c>
      <c r="Q766" t="n">
        <v>98.81999999999999</v>
      </c>
      <c r="R766" t="n">
        <v>98.22555</v>
      </c>
      <c r="S766" t="n">
        <v>98.76000000000001</v>
      </c>
      <c r="T766" t="n">
        <v>92.86806</v>
      </c>
      <c r="U766" t="n">
        <v>97.43582000000001</v>
      </c>
      <c r="V766" t="n">
        <v>96.40000000000001</v>
      </c>
      <c r="W766" t="n">
        <v>104.6615</v>
      </c>
      <c r="X766" t="n">
        <v>99.2598</v>
      </c>
      <c r="Y766" t="n">
        <v>84.00846</v>
      </c>
      <c r="Z766" t="n">
        <v>82.24418</v>
      </c>
      <c r="AA766" t="n">
        <v>100.0748</v>
      </c>
      <c r="AB766" t="n">
        <v>93.36997</v>
      </c>
      <c r="AC766" t="n">
        <v>99.49596</v>
      </c>
      <c r="AD766" t="n">
        <v>99.06977000000001</v>
      </c>
      <c r="AE766" t="n">
        <v>96.10588</v>
      </c>
      <c r="AF766" t="n">
        <v>97.52383</v>
      </c>
      <c r="AG766" t="n">
        <v>100.7343</v>
      </c>
      <c r="AH766" t="n">
        <v>98.09999999999999</v>
      </c>
      <c r="AI766" t="n">
        <v>99.32162</v>
      </c>
      <c r="AJ766" t="n">
        <v>90.62747</v>
      </c>
      <c r="AK766" t="n">
        <v>96.72</v>
      </c>
      <c r="AL766" t="n">
        <v>93.90000000000001</v>
      </c>
      <c r="AM766" t="n">
        <v>96.59990999999999</v>
      </c>
      <c r="AN766" t="n">
        <v>96.71167</v>
      </c>
      <c r="AO766" t="n">
        <v>99.71510000000001</v>
      </c>
      <c r="AP766" t="n">
        <v>99.87518</v>
      </c>
      <c r="AQ766" t="n">
        <v>76.3674</v>
      </c>
      <c r="AR766" t="n">
        <v>94.12248</v>
      </c>
      <c r="AS766" t="n">
        <v>99.41370999999999</v>
      </c>
      <c r="AT766" t="n">
        <v>99.59999999999999</v>
      </c>
      <c r="AU766" t="n">
        <v>100.4673</v>
      </c>
      <c r="AV766" t="n">
        <v>79.64771</v>
      </c>
      <c r="AW766" t="n">
        <v>97.63308000000001</v>
      </c>
      <c r="AX766" t="n">
        <v>86.14831</v>
      </c>
    </row>
    <row r="767">
      <c r="A767" s="92" t="n">
        <v>41183</v>
      </c>
      <c r="B767" t="n">
        <v>96.60368</v>
      </c>
      <c r="C767" t="n">
        <v>98.61005</v>
      </c>
      <c r="D767" t="n">
        <v>82.43159</v>
      </c>
      <c r="E767" t="n">
        <v>96.54991</v>
      </c>
      <c r="F767" t="n">
        <v>101.517</v>
      </c>
      <c r="G767" t="n">
        <v>90.89042999999999</v>
      </c>
      <c r="H767" t="n">
        <v>94.38338</v>
      </c>
      <c r="I767" t="n">
        <v>91.26285</v>
      </c>
      <c r="J767" t="n">
        <v>91.11268</v>
      </c>
      <c r="K767" t="n">
        <v>98.2</v>
      </c>
      <c r="L767" t="n">
        <v>97.5835</v>
      </c>
      <c r="M767" t="n">
        <v>98.7</v>
      </c>
      <c r="N767" t="n">
        <v>98.95999999999999</v>
      </c>
      <c r="O767" t="n">
        <v>101.1063</v>
      </c>
      <c r="P767" t="n">
        <v>99.05491000000001</v>
      </c>
      <c r="Q767" t="n">
        <v>99.05</v>
      </c>
      <c r="R767" t="n">
        <v>98.37262</v>
      </c>
      <c r="S767" t="n">
        <v>98.94</v>
      </c>
      <c r="T767" t="n">
        <v>93.09099999999999</v>
      </c>
      <c r="U767" t="n">
        <v>97.46114</v>
      </c>
      <c r="V767" t="n">
        <v>96.8</v>
      </c>
      <c r="W767" t="n">
        <v>105.5182</v>
      </c>
      <c r="X767" t="n">
        <v>99.40783999999999</v>
      </c>
      <c r="Y767" t="n">
        <v>84.14592</v>
      </c>
      <c r="Z767" t="n">
        <v>83.00924999999999</v>
      </c>
      <c r="AA767" t="n">
        <v>99.97508000000001</v>
      </c>
      <c r="AB767" t="n">
        <v>93.61817000000001</v>
      </c>
      <c r="AC767" t="n">
        <v>99.29436</v>
      </c>
      <c r="AD767" t="n">
        <v>99.06977000000001</v>
      </c>
      <c r="AE767" t="n">
        <v>96.10588</v>
      </c>
      <c r="AF767" t="n">
        <v>97.34146</v>
      </c>
      <c r="AG767" t="n">
        <v>100.5769</v>
      </c>
      <c r="AH767" t="n">
        <v>98.23</v>
      </c>
      <c r="AI767" t="n">
        <v>99.31357</v>
      </c>
      <c r="AJ767" t="n">
        <v>91.08599</v>
      </c>
      <c r="AK767" t="n">
        <v>97.29000000000001</v>
      </c>
      <c r="AL767" t="n">
        <v>94.3</v>
      </c>
      <c r="AM767" t="n">
        <v>96.74879</v>
      </c>
      <c r="AN767" t="n">
        <v>97.08028</v>
      </c>
      <c r="AO767" t="n">
        <v>100.1221</v>
      </c>
      <c r="AP767" t="n">
        <v>100.1887</v>
      </c>
      <c r="AQ767" t="n">
        <v>76.71869</v>
      </c>
      <c r="AR767" t="n">
        <v>94.70229</v>
      </c>
      <c r="AS767" t="n">
        <v>99.78077999999999</v>
      </c>
      <c r="AT767" t="n">
        <v>99.73999999999999</v>
      </c>
      <c r="AU767" t="n">
        <v>100.3971</v>
      </c>
      <c r="AV767" t="n">
        <v>81.20959000000001</v>
      </c>
      <c r="AW767" t="n">
        <v>97.59511000000001</v>
      </c>
      <c r="AX767" t="n">
        <v>86.68841999999999</v>
      </c>
    </row>
    <row r="768">
      <c r="A768" s="92" t="n">
        <v>41214</v>
      </c>
      <c r="B768" t="n">
        <v>96.69405</v>
      </c>
      <c r="C768" t="n">
        <v>98.50103</v>
      </c>
      <c r="D768" t="n">
        <v>82.92625</v>
      </c>
      <c r="E768" t="n">
        <v>96.31288000000001</v>
      </c>
      <c r="F768" t="n">
        <v>101.1842</v>
      </c>
      <c r="G768" t="n">
        <v>90.47641</v>
      </c>
      <c r="H768" t="n">
        <v>94.54095</v>
      </c>
      <c r="I768" t="n">
        <v>91.14048</v>
      </c>
      <c r="J768" t="n">
        <v>91.85163</v>
      </c>
      <c r="K768" t="n">
        <v>97.90000000000001</v>
      </c>
      <c r="L768" t="n">
        <v>97.67679</v>
      </c>
      <c r="M768" t="n">
        <v>98.5</v>
      </c>
      <c r="N768" t="n">
        <v>98.76000000000001</v>
      </c>
      <c r="O768" t="n">
        <v>100.9811</v>
      </c>
      <c r="P768" t="n">
        <v>98.74728</v>
      </c>
      <c r="Q768" t="n">
        <v>98.87</v>
      </c>
      <c r="R768" t="n">
        <v>98.0509</v>
      </c>
      <c r="S768" t="n">
        <v>98.79000000000001</v>
      </c>
      <c r="T768" t="n">
        <v>93.03654</v>
      </c>
      <c r="U768" t="n">
        <v>97.16134</v>
      </c>
      <c r="V768" t="n">
        <v>97</v>
      </c>
      <c r="W768" t="n">
        <v>105.0034</v>
      </c>
      <c r="X768" t="n">
        <v>99.2598</v>
      </c>
      <c r="Y768" t="n">
        <v>84.20216000000001</v>
      </c>
      <c r="Z768" t="n">
        <v>83.39178</v>
      </c>
      <c r="AA768" t="n">
        <v>99.57638</v>
      </c>
      <c r="AB768" t="n">
        <v>93.91455000000001</v>
      </c>
      <c r="AC768" t="n">
        <v>98.89113</v>
      </c>
      <c r="AD768" t="n">
        <v>98.88372</v>
      </c>
      <c r="AE768" t="n">
        <v>95.80046</v>
      </c>
      <c r="AF768" t="n">
        <v>96.99569</v>
      </c>
      <c r="AG768" t="n">
        <v>100.4224</v>
      </c>
      <c r="AH768" t="n">
        <v>98.16</v>
      </c>
      <c r="AI768" t="n">
        <v>99.2388</v>
      </c>
      <c r="AJ768" t="n">
        <v>91.70479</v>
      </c>
      <c r="AK768" t="n">
        <v>96.89</v>
      </c>
      <c r="AL768" t="n">
        <v>94.40000000000001</v>
      </c>
      <c r="AM768" t="n">
        <v>96.53415</v>
      </c>
      <c r="AN768" t="n">
        <v>97.05294000000001</v>
      </c>
      <c r="AO768" t="n">
        <v>100.2035</v>
      </c>
      <c r="AP768" t="n">
        <v>99.8732</v>
      </c>
      <c r="AQ768" t="n">
        <v>76.97954</v>
      </c>
      <c r="AR768" t="n">
        <v>94.89556</v>
      </c>
      <c r="AS768" t="n">
        <v>99.78077999999999</v>
      </c>
      <c r="AT768" t="n">
        <v>99.67</v>
      </c>
      <c r="AU768" t="n">
        <v>100.1513</v>
      </c>
      <c r="AV768" t="n">
        <v>81.51658999999999</v>
      </c>
      <c r="AW768" t="n">
        <v>97.1327</v>
      </c>
      <c r="AX768" t="n">
        <v>86.95847999999999</v>
      </c>
    </row>
    <row r="769">
      <c r="A769" s="92" t="n">
        <v>41244</v>
      </c>
      <c r="B769" t="n">
        <v>96.87479</v>
      </c>
      <c r="C769" t="n">
        <v>98.51094000000001</v>
      </c>
      <c r="D769" t="n">
        <v>83.58145</v>
      </c>
      <c r="E769" t="n">
        <v>95.75981</v>
      </c>
      <c r="F769" t="n">
        <v>100.9679</v>
      </c>
      <c r="G769" t="n">
        <v>90.45461</v>
      </c>
      <c r="H769" t="n">
        <v>95.23661</v>
      </c>
      <c r="I769" t="n">
        <v>91.22206</v>
      </c>
      <c r="J769" t="n">
        <v>92.10548</v>
      </c>
      <c r="K769" t="n">
        <v>98</v>
      </c>
      <c r="L769" t="n">
        <v>97.95667</v>
      </c>
      <c r="M769" t="n">
        <v>98.3</v>
      </c>
      <c r="N769" t="n">
        <v>99.11</v>
      </c>
      <c r="O769" t="n">
        <v>101.0517</v>
      </c>
      <c r="P769" t="n">
        <v>98.69601</v>
      </c>
      <c r="Q769" t="n">
        <v>99.17</v>
      </c>
      <c r="R769" t="n">
        <v>98.17959</v>
      </c>
      <c r="S769" t="n">
        <v>99.09999999999999</v>
      </c>
      <c r="T769" t="n">
        <v>93.23236</v>
      </c>
      <c r="U769" t="n">
        <v>97.07362000000001</v>
      </c>
      <c r="V769" t="n">
        <v>97.3</v>
      </c>
      <c r="W769" t="n">
        <v>104.7285</v>
      </c>
      <c r="X769" t="n">
        <v>99.33382</v>
      </c>
      <c r="Y769" t="n">
        <v>84.65828999999999</v>
      </c>
      <c r="Z769" t="n">
        <v>83.77431</v>
      </c>
      <c r="AA769" t="n">
        <v>99.67606000000001</v>
      </c>
      <c r="AB769" t="n">
        <v>93.96902</v>
      </c>
      <c r="AC769" t="n">
        <v>98.99194</v>
      </c>
      <c r="AD769" t="n">
        <v>99.06977000000001</v>
      </c>
      <c r="AE769" t="n">
        <v>95.80046</v>
      </c>
      <c r="AF769" t="n">
        <v>97.16857</v>
      </c>
      <c r="AG769" t="n">
        <v>100.3367</v>
      </c>
      <c r="AH769" t="n">
        <v>97.93000000000001</v>
      </c>
      <c r="AI769" t="n">
        <v>99.28245</v>
      </c>
      <c r="AJ769" t="n">
        <v>91.91562999999999</v>
      </c>
      <c r="AK769" t="n">
        <v>96.76000000000001</v>
      </c>
      <c r="AL769" t="n">
        <v>94.7</v>
      </c>
      <c r="AM769" t="n">
        <v>96.50073</v>
      </c>
      <c r="AN769" t="n">
        <v>97.24038</v>
      </c>
      <c r="AO769" t="n">
        <v>100.2849</v>
      </c>
      <c r="AP769" t="n">
        <v>99.88514000000001</v>
      </c>
      <c r="AQ769" t="n">
        <v>77.39523</v>
      </c>
      <c r="AR769" t="n">
        <v>95.08884</v>
      </c>
      <c r="AS769" t="n">
        <v>99.7196</v>
      </c>
      <c r="AT769" t="n">
        <v>99.39</v>
      </c>
      <c r="AU769" t="n">
        <v>100.4034</v>
      </c>
      <c r="AV769" t="n">
        <v>81.82742</v>
      </c>
      <c r="AW769" t="n">
        <v>96.87111</v>
      </c>
      <c r="AX769" t="n">
        <v>87.22854</v>
      </c>
    </row>
    <row r="770">
      <c r="A770" s="92" t="n">
        <v>41275</v>
      </c>
      <c r="B770" t="n">
        <v>96.33257999999999</v>
      </c>
      <c r="C770" t="n">
        <v>98.48121</v>
      </c>
      <c r="D770" t="n">
        <v>84.30022</v>
      </c>
      <c r="E770" t="n">
        <v>95.83882</v>
      </c>
      <c r="F770" t="n">
        <v>100.7043</v>
      </c>
      <c r="G770" t="n">
        <v>90.61805</v>
      </c>
      <c r="H770" t="n">
        <v>96.18855000000001</v>
      </c>
      <c r="I770" t="n">
        <v>91.49127</v>
      </c>
      <c r="J770" t="n">
        <v>93.3134</v>
      </c>
      <c r="K770" t="n">
        <v>99.3</v>
      </c>
      <c r="L770" t="n">
        <v>97.4902</v>
      </c>
      <c r="M770" t="n">
        <v>97.90000000000001</v>
      </c>
      <c r="N770" t="n">
        <v>98.09</v>
      </c>
      <c r="O770" t="n">
        <v>99.76065</v>
      </c>
      <c r="P770" t="n">
        <v>99.36253000000001</v>
      </c>
      <c r="Q770" t="n">
        <v>98.34</v>
      </c>
      <c r="R770" t="n">
        <v>98.09686000000001</v>
      </c>
      <c r="S770" t="n">
        <v>98.59999999999999</v>
      </c>
      <c r="T770" t="n">
        <v>93.50011000000001</v>
      </c>
      <c r="U770" t="n">
        <v>97.16434</v>
      </c>
      <c r="V770" t="n">
        <v>97</v>
      </c>
      <c r="W770" t="n">
        <v>103.2715</v>
      </c>
      <c r="X770" t="n">
        <v>100.148</v>
      </c>
      <c r="Y770" t="n">
        <v>85.1674</v>
      </c>
      <c r="Z770" t="n">
        <v>84.53937000000001</v>
      </c>
      <c r="AA770" t="n">
        <v>99.17767000000001</v>
      </c>
      <c r="AB770" t="n">
        <v>94.22696999999999</v>
      </c>
      <c r="AC770" t="n">
        <v>98.89113</v>
      </c>
      <c r="AD770" t="n">
        <v>99.25581</v>
      </c>
      <c r="AE770" t="n">
        <v>95.90227</v>
      </c>
      <c r="AF770" t="n">
        <v>97.75153</v>
      </c>
      <c r="AG770" t="n">
        <v>100.4927</v>
      </c>
      <c r="AH770" t="n">
        <v>97.05</v>
      </c>
      <c r="AI770" t="n">
        <v>99.12007</v>
      </c>
      <c r="AJ770" t="n">
        <v>92.28587</v>
      </c>
      <c r="AK770" t="n">
        <v>96.78</v>
      </c>
      <c r="AL770" t="n">
        <v>94.5</v>
      </c>
      <c r="AM770" t="n">
        <v>96.6046</v>
      </c>
      <c r="AN770" t="n">
        <v>97.05244999999999</v>
      </c>
      <c r="AO770" t="n">
        <v>100.3663</v>
      </c>
      <c r="AP770" t="n">
        <v>98.64413</v>
      </c>
      <c r="AQ770" t="n">
        <v>78.14596</v>
      </c>
      <c r="AR770" t="n">
        <v>96.15182</v>
      </c>
      <c r="AS770" t="n">
        <v>100.3314</v>
      </c>
      <c r="AT770" t="n">
        <v>98.62</v>
      </c>
      <c r="AU770" t="n">
        <v>99.5705</v>
      </c>
      <c r="AV770" t="n">
        <v>83.17439</v>
      </c>
      <c r="AW770" t="n">
        <v>97.15759</v>
      </c>
      <c r="AX770" t="n">
        <v>87.4986</v>
      </c>
    </row>
    <row r="771">
      <c r="A771" s="92" t="n">
        <v>41306</v>
      </c>
      <c r="B771" t="n">
        <v>96.60368</v>
      </c>
      <c r="C771" t="n">
        <v>98.79835</v>
      </c>
      <c r="D771" t="n">
        <v>84.80601</v>
      </c>
      <c r="E771" t="n">
        <v>96.94495000000001</v>
      </c>
      <c r="F771" t="n">
        <v>101.0018</v>
      </c>
      <c r="G771" t="n">
        <v>90.71611</v>
      </c>
      <c r="H771" t="n">
        <v>97.24627</v>
      </c>
      <c r="I771" t="n">
        <v>91.89917</v>
      </c>
      <c r="J771" t="n">
        <v>94.26532</v>
      </c>
      <c r="K771" t="n">
        <v>99.40000000000001</v>
      </c>
      <c r="L771" t="n">
        <v>98.04996</v>
      </c>
      <c r="M771" t="n">
        <v>99</v>
      </c>
      <c r="N771" t="n">
        <v>98.45</v>
      </c>
      <c r="O771" t="n">
        <v>99.93301</v>
      </c>
      <c r="P771" t="n">
        <v>99.97778</v>
      </c>
      <c r="Q771" t="n">
        <v>98.69</v>
      </c>
      <c r="R771" t="n">
        <v>98.67596</v>
      </c>
      <c r="S771" t="n">
        <v>98.88</v>
      </c>
      <c r="T771" t="n">
        <v>94.10330999999999</v>
      </c>
      <c r="U771" t="n">
        <v>97.72828</v>
      </c>
      <c r="V771" t="n">
        <v>97.5</v>
      </c>
      <c r="W771" t="n">
        <v>101.5677</v>
      </c>
      <c r="X771" t="n">
        <v>100.074</v>
      </c>
      <c r="Y771" t="n">
        <v>85.7653</v>
      </c>
      <c r="Z771" t="n">
        <v>85.30443</v>
      </c>
      <c r="AA771" t="n">
        <v>99.97508000000001</v>
      </c>
      <c r="AB771" t="n">
        <v>95.76604</v>
      </c>
      <c r="AC771" t="n">
        <v>98.89113</v>
      </c>
      <c r="AD771" t="n">
        <v>99.34884</v>
      </c>
      <c r="AE771" t="n">
        <v>95.69865</v>
      </c>
      <c r="AF771" t="n">
        <v>98.07832000000001</v>
      </c>
      <c r="AG771" t="n">
        <v>100.4466</v>
      </c>
      <c r="AH771" t="n">
        <v>98.90000000000001</v>
      </c>
      <c r="AI771" t="n">
        <v>98.99141</v>
      </c>
      <c r="AJ771" t="n">
        <v>92.74011</v>
      </c>
      <c r="AK771" t="n">
        <v>97.54000000000001</v>
      </c>
      <c r="AL771" t="n">
        <v>95.09999999999999</v>
      </c>
      <c r="AM771" t="n">
        <v>97.08087</v>
      </c>
      <c r="AN771" t="n">
        <v>97.36349</v>
      </c>
      <c r="AO771" t="n">
        <v>100.3663</v>
      </c>
      <c r="AP771" t="n">
        <v>98.52571</v>
      </c>
      <c r="AQ771" t="n">
        <v>78.58358</v>
      </c>
      <c r="AR771" t="n">
        <v>96.23478</v>
      </c>
      <c r="AS771" t="n">
        <v>100.3314</v>
      </c>
      <c r="AT771" t="n">
        <v>99.42</v>
      </c>
      <c r="AU771" t="n">
        <v>100.0141</v>
      </c>
      <c r="AV771" t="n">
        <v>83.42384</v>
      </c>
      <c r="AW771" t="n">
        <v>97.95331</v>
      </c>
      <c r="AX771" t="n">
        <v>88.30877</v>
      </c>
    </row>
    <row r="772">
      <c r="A772" s="92" t="n">
        <v>41334</v>
      </c>
      <c r="B772" t="n">
        <v>97.417</v>
      </c>
      <c r="C772" t="n">
        <v>98.9371</v>
      </c>
      <c r="D772" t="n">
        <v>85.20461</v>
      </c>
      <c r="E772" t="n">
        <v>97.10297</v>
      </c>
      <c r="F772" t="n">
        <v>101.2213</v>
      </c>
      <c r="G772" t="n">
        <v>91.06477</v>
      </c>
      <c r="H772" t="n">
        <v>96.37188999999999</v>
      </c>
      <c r="I772" t="n">
        <v>92.0868</v>
      </c>
      <c r="J772" t="n">
        <v>94.36857999999999</v>
      </c>
      <c r="K772" t="n">
        <v>99.5</v>
      </c>
      <c r="L772" t="n">
        <v>98.51642</v>
      </c>
      <c r="M772" t="n">
        <v>99.3</v>
      </c>
      <c r="N772" t="n">
        <v>99.61</v>
      </c>
      <c r="O772" t="n">
        <v>100.2852</v>
      </c>
      <c r="P772" t="n">
        <v>100.7468</v>
      </c>
      <c r="Q772" t="n">
        <v>99.69</v>
      </c>
      <c r="R772" t="n">
        <v>99.12636000000001</v>
      </c>
      <c r="S772" t="n">
        <v>99.63</v>
      </c>
      <c r="T772" t="n">
        <v>94.39228</v>
      </c>
      <c r="U772" t="n">
        <v>98.02240999999999</v>
      </c>
      <c r="V772" t="n">
        <v>97.8</v>
      </c>
      <c r="W772" t="n">
        <v>104.154</v>
      </c>
      <c r="X772" t="n">
        <v>100.2961</v>
      </c>
      <c r="Y772" t="n">
        <v>86.1722</v>
      </c>
      <c r="Z772" t="n">
        <v>85.68696</v>
      </c>
      <c r="AA772" t="n">
        <v>100.3738</v>
      </c>
      <c r="AB772" t="n">
        <v>95.95934</v>
      </c>
      <c r="AC772" t="n">
        <v>99.09274000000001</v>
      </c>
      <c r="AD772" t="n">
        <v>99.53488</v>
      </c>
      <c r="AE772" t="n">
        <v>95.90227</v>
      </c>
      <c r="AF772" t="n">
        <v>97.98766999999999</v>
      </c>
      <c r="AG772" t="n">
        <v>100.7634</v>
      </c>
      <c r="AH772" t="n">
        <v>98.91</v>
      </c>
      <c r="AI772" t="n">
        <v>99.4774</v>
      </c>
      <c r="AJ772" t="n">
        <v>93.42061</v>
      </c>
      <c r="AK772" t="n">
        <v>98.58</v>
      </c>
      <c r="AL772" t="n">
        <v>95.40000000000001</v>
      </c>
      <c r="AM772" t="n">
        <v>97.41113</v>
      </c>
      <c r="AN772" t="n">
        <v>97.84175</v>
      </c>
      <c r="AO772" t="n">
        <v>100.5291</v>
      </c>
      <c r="AP772" t="n">
        <v>100.1538</v>
      </c>
      <c r="AQ772" t="n">
        <v>78.85075999999999</v>
      </c>
      <c r="AR772" t="n">
        <v>96.21404</v>
      </c>
      <c r="AS772" t="n">
        <v>100.3926</v>
      </c>
      <c r="AT772" t="n">
        <v>99.73</v>
      </c>
      <c r="AU772" t="n">
        <v>100.4162</v>
      </c>
      <c r="AV772" t="n">
        <v>83.97644</v>
      </c>
      <c r="AW772" t="n">
        <v>98.20941000000001</v>
      </c>
      <c r="AX772" t="n">
        <v>89.38899000000001</v>
      </c>
    </row>
    <row r="773">
      <c r="A773" s="92" t="n">
        <v>41365</v>
      </c>
      <c r="B773" t="n">
        <v>97.50736000000001</v>
      </c>
      <c r="C773" t="n">
        <v>98.89745000000001</v>
      </c>
      <c r="D773" t="n">
        <v>85.67327</v>
      </c>
      <c r="E773" t="n">
        <v>96.94495000000001</v>
      </c>
      <c r="F773" t="n">
        <v>101.2553</v>
      </c>
      <c r="G773" t="n">
        <v>90.62894</v>
      </c>
      <c r="H773" t="n">
        <v>96.56242</v>
      </c>
      <c r="I773" t="n">
        <v>92.31522</v>
      </c>
      <c r="J773" t="n">
        <v>95.05806</v>
      </c>
      <c r="K773" t="n">
        <v>99.5</v>
      </c>
      <c r="L773" t="n">
        <v>98.04996</v>
      </c>
      <c r="M773" t="n">
        <v>99.09999999999999</v>
      </c>
      <c r="N773" t="n">
        <v>99.52</v>
      </c>
      <c r="O773" t="n">
        <v>100.6599</v>
      </c>
      <c r="P773" t="n">
        <v>100.6443</v>
      </c>
      <c r="Q773" t="n">
        <v>99.64</v>
      </c>
      <c r="R773" t="n">
        <v>99.27343</v>
      </c>
      <c r="S773" t="n">
        <v>99.48</v>
      </c>
      <c r="T773" t="n">
        <v>94.52988999999999</v>
      </c>
      <c r="U773" t="n">
        <v>97.96221</v>
      </c>
      <c r="V773" t="n">
        <v>98</v>
      </c>
      <c r="W773" t="n">
        <v>104.6316</v>
      </c>
      <c r="X773" t="n">
        <v>100.5181</v>
      </c>
      <c r="Y773" t="n">
        <v>86.21372</v>
      </c>
      <c r="Z773" t="n">
        <v>86.45202999999999</v>
      </c>
      <c r="AA773" t="n">
        <v>100.3738</v>
      </c>
      <c r="AB773" t="n">
        <v>96.13066999999999</v>
      </c>
      <c r="AC773" t="n">
        <v>99.49596</v>
      </c>
      <c r="AD773" t="n">
        <v>99.53488</v>
      </c>
      <c r="AE773" t="n">
        <v>96.20769</v>
      </c>
      <c r="AF773" t="n">
        <v>97.85168</v>
      </c>
      <c r="AG773" t="n">
        <v>101.0692</v>
      </c>
      <c r="AH773" t="n">
        <v>99</v>
      </c>
      <c r="AI773" t="n">
        <v>99.51409</v>
      </c>
      <c r="AJ773" t="n">
        <v>93.48232</v>
      </c>
      <c r="AK773" t="n">
        <v>98.67</v>
      </c>
      <c r="AL773" t="n">
        <v>95.90000000000001</v>
      </c>
      <c r="AM773" t="n">
        <v>97.41376</v>
      </c>
      <c r="AN773" t="n">
        <v>97.86878</v>
      </c>
      <c r="AO773" t="n">
        <v>100.9361</v>
      </c>
      <c r="AP773" t="n">
        <v>100.1648</v>
      </c>
      <c r="AQ773" t="n">
        <v>79.2529</v>
      </c>
      <c r="AR773" t="n">
        <v>96.21404</v>
      </c>
      <c r="AS773" t="n">
        <v>100.3926</v>
      </c>
      <c r="AT773" t="n">
        <v>100.39</v>
      </c>
      <c r="AU773" t="n">
        <v>100.2183</v>
      </c>
      <c r="AV773" t="n">
        <v>84.32949000000001</v>
      </c>
      <c r="AW773" t="n">
        <v>98.10731</v>
      </c>
      <c r="AX773" t="n">
        <v>89.52401999999999</v>
      </c>
    </row>
    <row r="774">
      <c r="A774" s="92" t="n">
        <v>41395</v>
      </c>
      <c r="B774" t="n">
        <v>97.68810000000001</v>
      </c>
      <c r="C774" t="n">
        <v>99.04611</v>
      </c>
      <c r="D774" t="n">
        <v>85.9902</v>
      </c>
      <c r="E774" t="n">
        <v>97.18198</v>
      </c>
      <c r="F774" t="n">
        <v>101.3667</v>
      </c>
      <c r="G774" t="n">
        <v>90.61805</v>
      </c>
      <c r="H774" t="n">
        <v>95.98406</v>
      </c>
      <c r="I774" t="n">
        <v>92.57628</v>
      </c>
      <c r="J774" t="n">
        <v>95.07204</v>
      </c>
      <c r="K774" t="n">
        <v>99.3</v>
      </c>
      <c r="L774" t="n">
        <v>98.42313</v>
      </c>
      <c r="M774" t="n">
        <v>99.2</v>
      </c>
      <c r="N774" t="n">
        <v>99.63</v>
      </c>
      <c r="O774" t="n">
        <v>100.8451</v>
      </c>
      <c r="P774" t="n">
        <v>100.8494</v>
      </c>
      <c r="Q774" t="n">
        <v>99.72</v>
      </c>
      <c r="R774" t="n">
        <v>99.29182</v>
      </c>
      <c r="S774" t="n">
        <v>99.54000000000001</v>
      </c>
      <c r="T774" t="n">
        <v>94.64561</v>
      </c>
      <c r="U774" t="n">
        <v>98.13206</v>
      </c>
      <c r="V774" t="n">
        <v>98.2</v>
      </c>
      <c r="W774" t="n">
        <v>104.447</v>
      </c>
      <c r="X774" t="n">
        <v>100.4441</v>
      </c>
      <c r="Y774" t="n">
        <v>86.29676000000001</v>
      </c>
      <c r="Z774" t="n">
        <v>87.21709</v>
      </c>
      <c r="AA774" t="n">
        <v>100.2741</v>
      </c>
      <c r="AB774" t="n">
        <v>96.08477000000001</v>
      </c>
      <c r="AC774" t="n">
        <v>99.59677000000001</v>
      </c>
      <c r="AD774" t="n">
        <v>99.53488</v>
      </c>
      <c r="AE774" t="n">
        <v>96.30949</v>
      </c>
      <c r="AF774" t="n">
        <v>97.85168</v>
      </c>
      <c r="AG774" t="n">
        <v>101.265</v>
      </c>
      <c r="AH774" t="n">
        <v>98.78</v>
      </c>
      <c r="AI774" t="n">
        <v>99.58795000000001</v>
      </c>
      <c r="AJ774" t="n">
        <v>93.1712</v>
      </c>
      <c r="AK774" t="n">
        <v>98.69</v>
      </c>
      <c r="AL774" t="n">
        <v>96</v>
      </c>
      <c r="AM774" t="n">
        <v>97.53898</v>
      </c>
      <c r="AN774" t="n">
        <v>98.00409999999999</v>
      </c>
      <c r="AO774" t="n">
        <v>100.8547</v>
      </c>
      <c r="AP774" t="n">
        <v>100.336</v>
      </c>
      <c r="AQ774" t="n">
        <v>79.77597</v>
      </c>
      <c r="AR774" t="n">
        <v>96.20367</v>
      </c>
      <c r="AS774" t="n">
        <v>100.5149</v>
      </c>
      <c r="AT774" t="n">
        <v>100.71</v>
      </c>
      <c r="AU774" t="n">
        <v>100.3811</v>
      </c>
      <c r="AV774" t="n">
        <v>84.45229</v>
      </c>
      <c r="AW774" t="n">
        <v>98.28198</v>
      </c>
      <c r="AX774" t="n">
        <v>89.38899000000001</v>
      </c>
    </row>
    <row r="775">
      <c r="A775" s="92" t="n">
        <v>41426</v>
      </c>
      <c r="B775" t="n">
        <v>97.68810000000001</v>
      </c>
      <c r="C775" t="n">
        <v>99.21459</v>
      </c>
      <c r="D775" t="n">
        <v>86.21386</v>
      </c>
      <c r="E775" t="n">
        <v>97.18198</v>
      </c>
      <c r="F775" t="n">
        <v>101.4664</v>
      </c>
      <c r="G775" t="n">
        <v>91.19551</v>
      </c>
      <c r="H775" t="n">
        <v>95.98406</v>
      </c>
      <c r="I775" t="n">
        <v>92.79653999999999</v>
      </c>
      <c r="J775" t="n">
        <v>95.08925000000001</v>
      </c>
      <c r="K775" t="n">
        <v>99.7</v>
      </c>
      <c r="L775" t="n">
        <v>98.51642</v>
      </c>
      <c r="M775" t="n">
        <v>99.09999999999999</v>
      </c>
      <c r="N775" t="n">
        <v>99.73</v>
      </c>
      <c r="O775" t="n">
        <v>100.9939</v>
      </c>
      <c r="P775" t="n">
        <v>101.3621</v>
      </c>
      <c r="Q775" t="n">
        <v>99.81</v>
      </c>
      <c r="R775" t="n">
        <v>99.22747</v>
      </c>
      <c r="S775" t="n">
        <v>99.7</v>
      </c>
      <c r="T775" t="n">
        <v>94.8969</v>
      </c>
      <c r="U775" t="n">
        <v>98.28251</v>
      </c>
      <c r="V775" t="n">
        <v>98</v>
      </c>
      <c r="W775" t="n">
        <v>104.1973</v>
      </c>
      <c r="X775" t="n">
        <v>100.6662</v>
      </c>
      <c r="Y775" t="n">
        <v>87.17700000000001</v>
      </c>
      <c r="Z775" t="n">
        <v>88.36468000000001</v>
      </c>
      <c r="AA775" t="n">
        <v>100.3738</v>
      </c>
      <c r="AB775" t="n">
        <v>96.61511</v>
      </c>
      <c r="AC775" t="n">
        <v>100.4032</v>
      </c>
      <c r="AD775" t="n">
        <v>99.81395999999999</v>
      </c>
      <c r="AE775" t="n">
        <v>96.30949</v>
      </c>
      <c r="AF775" t="n">
        <v>97.73256000000001</v>
      </c>
      <c r="AG775" t="n">
        <v>101.0218</v>
      </c>
      <c r="AH775" t="n">
        <v>99.11</v>
      </c>
      <c r="AI775" t="n">
        <v>99.80056</v>
      </c>
      <c r="AJ775" t="n">
        <v>93.11463999999999</v>
      </c>
      <c r="AK775" t="n">
        <v>98.31999999999999</v>
      </c>
      <c r="AL775" t="n">
        <v>95.7</v>
      </c>
      <c r="AM775" t="n">
        <v>97.67498999999999</v>
      </c>
      <c r="AN775" t="n">
        <v>98.10809</v>
      </c>
      <c r="AO775" t="n">
        <v>100.8547</v>
      </c>
      <c r="AP775" t="n">
        <v>100.3877</v>
      </c>
      <c r="AQ775" t="n">
        <v>80.11103</v>
      </c>
      <c r="AR775" t="n">
        <v>96.25552</v>
      </c>
      <c r="AS775" t="n">
        <v>100.6373</v>
      </c>
      <c r="AT775" t="n">
        <v>100.76</v>
      </c>
      <c r="AU775" t="n">
        <v>100.2056</v>
      </c>
      <c r="AV775" t="n">
        <v>85.09699000000001</v>
      </c>
      <c r="AW775" t="n">
        <v>98.51783</v>
      </c>
      <c r="AX775" t="n">
        <v>89.65904999999999</v>
      </c>
    </row>
    <row r="776">
      <c r="A776" s="92" t="n">
        <v>41456</v>
      </c>
      <c r="B776" t="n">
        <v>97.23626</v>
      </c>
      <c r="C776" t="n">
        <v>99.31368999999999</v>
      </c>
      <c r="D776" t="n">
        <v>86.23961</v>
      </c>
      <c r="E776" t="n">
        <v>97.26099000000001</v>
      </c>
      <c r="F776" t="n">
        <v>101.1045</v>
      </c>
      <c r="G776" t="n">
        <v>91.43521</v>
      </c>
      <c r="H776" t="n">
        <v>96.07897</v>
      </c>
      <c r="I776" t="n">
        <v>92.83732999999999</v>
      </c>
      <c r="J776" t="n">
        <v>95.41193</v>
      </c>
      <c r="K776" t="n">
        <v>99.5</v>
      </c>
      <c r="L776" t="n">
        <v>98.98287999999999</v>
      </c>
      <c r="M776" t="n">
        <v>98.8</v>
      </c>
      <c r="N776" t="n">
        <v>99.2</v>
      </c>
      <c r="O776" t="n">
        <v>100.4725</v>
      </c>
      <c r="P776" t="n">
        <v>101.2596</v>
      </c>
      <c r="Q776" t="n">
        <v>99.36</v>
      </c>
      <c r="R776" t="n">
        <v>99.20909</v>
      </c>
      <c r="S776" t="n">
        <v>99.40000000000001</v>
      </c>
      <c r="T776" t="n">
        <v>95.16228</v>
      </c>
      <c r="U776" t="n">
        <v>98.36159000000001</v>
      </c>
      <c r="V776" t="n">
        <v>98</v>
      </c>
      <c r="W776" t="n">
        <v>102.4746</v>
      </c>
      <c r="X776" t="n">
        <v>100.3701</v>
      </c>
      <c r="Y776" t="n">
        <v>89.80942</v>
      </c>
      <c r="Z776" t="n">
        <v>89.89481000000001</v>
      </c>
      <c r="AA776" t="n">
        <v>100.2741</v>
      </c>
      <c r="AB776" t="n">
        <v>96.35226</v>
      </c>
      <c r="AC776" t="n">
        <v>100.7056</v>
      </c>
      <c r="AD776" t="n">
        <v>99.90697</v>
      </c>
      <c r="AE776" t="n">
        <v>96.51311</v>
      </c>
      <c r="AF776" t="n">
        <v>97.94234</v>
      </c>
      <c r="AG776" t="n">
        <v>100.3523</v>
      </c>
      <c r="AH776" t="n">
        <v>97.97</v>
      </c>
      <c r="AI776" t="n">
        <v>99.47563</v>
      </c>
      <c r="AJ776" t="n">
        <v>93.08378999999999</v>
      </c>
      <c r="AK776" t="n">
        <v>99.15000000000001</v>
      </c>
      <c r="AL776" t="n">
        <v>96.09999999999999</v>
      </c>
      <c r="AM776" t="n">
        <v>97.75490000000001</v>
      </c>
      <c r="AN776" t="n">
        <v>98.13406999999999</v>
      </c>
      <c r="AO776" t="n">
        <v>101.1803</v>
      </c>
      <c r="AP776" t="n">
        <v>100.1509</v>
      </c>
      <c r="AQ776" t="n">
        <v>80.76794</v>
      </c>
      <c r="AR776" t="n">
        <v>96.77401999999999</v>
      </c>
      <c r="AS776" t="n">
        <v>100.5761</v>
      </c>
      <c r="AT776" t="n">
        <v>100.44</v>
      </c>
      <c r="AU776" t="n">
        <v>100.0652</v>
      </c>
      <c r="AV776" t="n">
        <v>85.36179</v>
      </c>
      <c r="AW776" t="n">
        <v>98.55664</v>
      </c>
      <c r="AX776" t="n">
        <v>90.60426</v>
      </c>
    </row>
    <row r="777">
      <c r="A777" s="92" t="n">
        <v>41487</v>
      </c>
      <c r="B777" t="n">
        <v>97.32662999999999</v>
      </c>
      <c r="C777" t="n">
        <v>99.25423000000001</v>
      </c>
      <c r="D777" t="n">
        <v>86.44656000000001</v>
      </c>
      <c r="E777" t="n">
        <v>97.26099000000001</v>
      </c>
      <c r="F777" t="n">
        <v>101.0317</v>
      </c>
      <c r="G777" t="n">
        <v>91.65312</v>
      </c>
      <c r="H777" t="n">
        <v>96.56228</v>
      </c>
      <c r="I777" t="n">
        <v>92.91074999999999</v>
      </c>
      <c r="J777" t="n">
        <v>95.45604</v>
      </c>
      <c r="K777" t="n">
        <v>99.3</v>
      </c>
      <c r="L777" t="n">
        <v>98.98287999999999</v>
      </c>
      <c r="M777" t="n">
        <v>98.90000000000001</v>
      </c>
      <c r="N777" t="n">
        <v>99.31999999999999</v>
      </c>
      <c r="O777" t="n">
        <v>100.7851</v>
      </c>
      <c r="P777" t="n">
        <v>101.2596</v>
      </c>
      <c r="Q777" t="n">
        <v>99.44</v>
      </c>
      <c r="R777" t="n">
        <v>99.05283</v>
      </c>
      <c r="S777" t="n">
        <v>99.86</v>
      </c>
      <c r="T777" t="n">
        <v>95.43213</v>
      </c>
      <c r="U777" t="n">
        <v>98.54485</v>
      </c>
      <c r="V777" t="n">
        <v>98.40000000000001</v>
      </c>
      <c r="W777" t="n">
        <v>100.8392</v>
      </c>
      <c r="X777" t="n">
        <v>100.148</v>
      </c>
      <c r="Y777" t="n">
        <v>90.69797</v>
      </c>
      <c r="Z777" t="n">
        <v>90.65987</v>
      </c>
      <c r="AA777" t="n">
        <v>100.3738</v>
      </c>
      <c r="AB777" t="n">
        <v>96.68452000000001</v>
      </c>
      <c r="AC777" t="n">
        <v>100.9073</v>
      </c>
      <c r="AD777" t="n">
        <v>100.2791</v>
      </c>
      <c r="AE777" t="n">
        <v>96.81853</v>
      </c>
      <c r="AF777" t="n">
        <v>98.28916</v>
      </c>
      <c r="AG777" t="n">
        <v>100.4119</v>
      </c>
      <c r="AH777" t="n">
        <v>99.40000000000001</v>
      </c>
      <c r="AI777" t="n">
        <v>98.66038</v>
      </c>
      <c r="AJ777" t="n">
        <v>93.34862</v>
      </c>
      <c r="AK777" t="n">
        <v>99.03</v>
      </c>
      <c r="AL777" t="n">
        <v>96</v>
      </c>
      <c r="AM777" t="n">
        <v>97.89397</v>
      </c>
      <c r="AN777" t="n">
        <v>98.24245000000001</v>
      </c>
      <c r="AO777" t="n">
        <v>100.8547</v>
      </c>
      <c r="AP777" t="n">
        <v>99.40844</v>
      </c>
      <c r="AQ777" t="n">
        <v>80.88101</v>
      </c>
      <c r="AR777" t="n">
        <v>96.73254</v>
      </c>
      <c r="AS777" t="n">
        <v>100.4537</v>
      </c>
      <c r="AT777" t="n">
        <v>100.78</v>
      </c>
      <c r="AU777" t="n">
        <v>100.1577</v>
      </c>
      <c r="AV777" t="n">
        <v>85.27352</v>
      </c>
      <c r="AW777" t="n">
        <v>98.6752</v>
      </c>
      <c r="AX777" t="n">
        <v>90.87430999999999</v>
      </c>
    </row>
    <row r="778">
      <c r="A778" s="92" t="n">
        <v>41518</v>
      </c>
      <c r="B778" t="n">
        <v>98.04958000000001</v>
      </c>
      <c r="C778" t="n">
        <v>99.31368999999999</v>
      </c>
      <c r="D778" t="n">
        <v>86.74911</v>
      </c>
      <c r="E778" t="n">
        <v>97.41901</v>
      </c>
      <c r="F778" t="n">
        <v>101.3356</v>
      </c>
      <c r="G778" t="n">
        <v>92.15432</v>
      </c>
      <c r="H778" t="n">
        <v>97.33187</v>
      </c>
      <c r="I778" t="n">
        <v>93.18813</v>
      </c>
      <c r="J778" t="n">
        <v>95.58189</v>
      </c>
      <c r="K778" t="n">
        <v>98.90000000000001</v>
      </c>
      <c r="L778" t="n">
        <v>98.98287999999999</v>
      </c>
      <c r="M778" t="n">
        <v>99.2</v>
      </c>
      <c r="N778" t="n">
        <v>99.8</v>
      </c>
      <c r="O778" t="n">
        <v>100.5967</v>
      </c>
      <c r="P778" t="n">
        <v>100.9007</v>
      </c>
      <c r="Q778" t="n">
        <v>99.84999999999999</v>
      </c>
      <c r="R778" t="n">
        <v>99.40212</v>
      </c>
      <c r="S778" t="n">
        <v>99.63</v>
      </c>
      <c r="T778" t="n">
        <v>95.75037</v>
      </c>
      <c r="U778" t="n">
        <v>98.64397</v>
      </c>
      <c r="V778" t="n">
        <v>98.7</v>
      </c>
      <c r="W778" t="n">
        <v>103.4893</v>
      </c>
      <c r="X778" t="n">
        <v>100.5922</v>
      </c>
      <c r="Y778" t="n">
        <v>90.47375</v>
      </c>
      <c r="Z778" t="n">
        <v>91.0424</v>
      </c>
      <c r="AA778" t="n">
        <v>100.2741</v>
      </c>
      <c r="AB778" t="n">
        <v>97.00807</v>
      </c>
      <c r="AC778" t="n">
        <v>100.9073</v>
      </c>
      <c r="AD778" t="n">
        <v>100</v>
      </c>
      <c r="AE778" t="n">
        <v>97.12394999999999</v>
      </c>
      <c r="AF778" t="n">
        <v>98.47996999999999</v>
      </c>
      <c r="AG778" t="n">
        <v>101.1075</v>
      </c>
      <c r="AH778" t="n">
        <v>99.56999999999999</v>
      </c>
      <c r="AI778" t="n">
        <v>98.93312</v>
      </c>
      <c r="AJ778" t="n">
        <v>93.70001000000001</v>
      </c>
      <c r="AK778" t="n">
        <v>99.08</v>
      </c>
      <c r="AL778" t="n">
        <v>96.40000000000001</v>
      </c>
      <c r="AM778" t="n">
        <v>98.04595</v>
      </c>
      <c r="AN778" t="n">
        <v>98.36911000000001</v>
      </c>
      <c r="AO778" t="n">
        <v>100.9361</v>
      </c>
      <c r="AP778" t="n">
        <v>99.99063</v>
      </c>
      <c r="AQ778" t="n">
        <v>81.05087</v>
      </c>
      <c r="AR778" t="n">
        <v>96.82586999999999</v>
      </c>
      <c r="AS778" t="n">
        <v>100.3926</v>
      </c>
      <c r="AT778" t="n">
        <v>101.03</v>
      </c>
      <c r="AU778" t="n">
        <v>100.5439</v>
      </c>
      <c r="AV778" t="n">
        <v>85.9259</v>
      </c>
      <c r="AW778" t="n">
        <v>98.78995999999999</v>
      </c>
      <c r="AX778" t="n">
        <v>91.2794</v>
      </c>
    </row>
    <row r="779">
      <c r="A779" s="92" t="n">
        <v>41548</v>
      </c>
      <c r="B779" t="n">
        <v>97.95921</v>
      </c>
      <c r="C779" t="n">
        <v>99.23441</v>
      </c>
      <c r="D779" t="n">
        <v>87.24353000000001</v>
      </c>
      <c r="E779" t="n">
        <v>97.18198</v>
      </c>
      <c r="F779" t="n">
        <v>101.2579</v>
      </c>
      <c r="G779" t="n">
        <v>92.28506</v>
      </c>
      <c r="H779" t="n">
        <v>97.42959999999999</v>
      </c>
      <c r="I779" t="n">
        <v>92.94338</v>
      </c>
      <c r="J779" t="n">
        <v>94.85477</v>
      </c>
      <c r="K779" t="n">
        <v>99.09999999999999</v>
      </c>
      <c r="L779" t="n">
        <v>98.7963</v>
      </c>
      <c r="M779" t="n">
        <v>99.3</v>
      </c>
      <c r="N779" t="n">
        <v>99.68000000000001</v>
      </c>
      <c r="O779" t="n">
        <v>101.0057</v>
      </c>
      <c r="P779" t="n">
        <v>100.593</v>
      </c>
      <c r="Q779" t="n">
        <v>99.75</v>
      </c>
      <c r="R779" t="n">
        <v>99.54000000000001</v>
      </c>
      <c r="S779" t="n">
        <v>99.5</v>
      </c>
      <c r="T779" t="n">
        <v>95.90458</v>
      </c>
      <c r="U779" t="n">
        <v>98.47893000000001</v>
      </c>
      <c r="V779" t="n">
        <v>98.8</v>
      </c>
      <c r="W779" t="n">
        <v>103.4199</v>
      </c>
      <c r="X779" t="n">
        <v>100.2961</v>
      </c>
      <c r="Y779" t="n">
        <v>90.63983</v>
      </c>
      <c r="Z779" t="n">
        <v>92.18998999999999</v>
      </c>
      <c r="AA779" t="n">
        <v>100.0748</v>
      </c>
      <c r="AB779" t="n">
        <v>97.01311</v>
      </c>
      <c r="AC779" t="n">
        <v>101.2097</v>
      </c>
      <c r="AD779" t="n">
        <v>99.81395999999999</v>
      </c>
      <c r="AE779" t="n">
        <v>97.22575000000001</v>
      </c>
      <c r="AF779" t="n">
        <v>98.17953</v>
      </c>
      <c r="AG779" t="n">
        <v>100.9862</v>
      </c>
      <c r="AH779" t="n">
        <v>99.37</v>
      </c>
      <c r="AI779" t="n">
        <v>99.27763</v>
      </c>
      <c r="AJ779" t="n">
        <v>94.14568</v>
      </c>
      <c r="AK779" t="n">
        <v>98.8</v>
      </c>
      <c r="AL779" t="n">
        <v>96.59999999999999</v>
      </c>
      <c r="AM779" t="n">
        <v>98.01005000000001</v>
      </c>
      <c r="AN779" t="n">
        <v>98.47633</v>
      </c>
      <c r="AO779" t="n">
        <v>101.0989</v>
      </c>
      <c r="AP779" t="n">
        <v>99.94186000000001</v>
      </c>
      <c r="AQ779" t="n">
        <v>81.51286</v>
      </c>
      <c r="AR779" t="n">
        <v>97.25105000000001</v>
      </c>
      <c r="AS779" t="n">
        <v>100.3926</v>
      </c>
      <c r="AT779" t="n">
        <v>101.07</v>
      </c>
      <c r="AU779" t="n">
        <v>100.3364</v>
      </c>
      <c r="AV779" t="n">
        <v>87.47242</v>
      </c>
      <c r="AW779" t="n">
        <v>98.53555</v>
      </c>
      <c r="AX779" t="n">
        <v>91.54944999999999</v>
      </c>
    </row>
    <row r="780">
      <c r="A780" s="92" t="n">
        <v>41579</v>
      </c>
      <c r="B780" t="n">
        <v>98.04958000000001</v>
      </c>
      <c r="C780" t="n">
        <v>99.30378</v>
      </c>
      <c r="D780" t="n">
        <v>87.71474000000001</v>
      </c>
      <c r="E780" t="n">
        <v>97.18198</v>
      </c>
      <c r="F780" t="n">
        <v>101.2649</v>
      </c>
      <c r="G780" t="n">
        <v>92.62282999999999</v>
      </c>
      <c r="H780" t="n">
        <v>97.3318</v>
      </c>
      <c r="I780" t="n">
        <v>92.73943</v>
      </c>
      <c r="J780" t="n">
        <v>95.01394999999999</v>
      </c>
      <c r="K780" t="n">
        <v>99</v>
      </c>
      <c r="L780" t="n">
        <v>98.98287999999999</v>
      </c>
      <c r="M780" t="n">
        <v>99.09999999999999</v>
      </c>
      <c r="N780" t="n">
        <v>99.59999999999999</v>
      </c>
      <c r="O780" t="n">
        <v>101.2155</v>
      </c>
      <c r="P780" t="n">
        <v>100.1829</v>
      </c>
      <c r="Q780" t="n">
        <v>99.65000000000001</v>
      </c>
      <c r="R780" t="n">
        <v>99.39293000000001</v>
      </c>
      <c r="S780" t="n">
        <v>99.45999999999999</v>
      </c>
      <c r="T780" t="n">
        <v>95.97682</v>
      </c>
      <c r="U780" t="n">
        <v>98.36605</v>
      </c>
      <c r="V780" t="n">
        <v>98.8</v>
      </c>
      <c r="W780" t="n">
        <v>102.0072</v>
      </c>
      <c r="X780" t="n">
        <v>100.2221</v>
      </c>
      <c r="Y780" t="n">
        <v>90.78931</v>
      </c>
      <c r="Z780" t="n">
        <v>92.95506</v>
      </c>
      <c r="AA780" t="n">
        <v>99.8754</v>
      </c>
      <c r="AB780" t="n">
        <v>97.36031</v>
      </c>
      <c r="AC780" t="n">
        <v>100.8064</v>
      </c>
      <c r="AD780" t="n">
        <v>99.53488</v>
      </c>
      <c r="AE780" t="n">
        <v>97.22575000000001</v>
      </c>
      <c r="AF780" t="n">
        <v>98.16055</v>
      </c>
      <c r="AG780" t="n">
        <v>100.8297</v>
      </c>
      <c r="AH780" t="n">
        <v>99.37</v>
      </c>
      <c r="AI780" t="n">
        <v>98.81952</v>
      </c>
      <c r="AJ780" t="n">
        <v>95.02330000000001</v>
      </c>
      <c r="AK780" t="n">
        <v>98.31</v>
      </c>
      <c r="AL780" t="n">
        <v>96.7</v>
      </c>
      <c r="AM780" t="n">
        <v>97.94862000000001</v>
      </c>
      <c r="AN780" t="n">
        <v>98.4311</v>
      </c>
      <c r="AO780" t="n">
        <v>100.9361</v>
      </c>
      <c r="AP780" t="n">
        <v>99.71993999999999</v>
      </c>
      <c r="AQ780" t="n">
        <v>81.96932</v>
      </c>
      <c r="AR780" t="n">
        <v>97.39623</v>
      </c>
      <c r="AS780" t="n">
        <v>100.2702</v>
      </c>
      <c r="AT780" t="n">
        <v>100.94</v>
      </c>
      <c r="AU780" t="n">
        <v>100.2726</v>
      </c>
      <c r="AV780" t="n">
        <v>87.48009</v>
      </c>
      <c r="AW780" t="n">
        <v>98.3343</v>
      </c>
      <c r="AX780" t="n">
        <v>91.68449</v>
      </c>
    </row>
    <row r="781">
      <c r="A781" s="92" t="n">
        <v>41609</v>
      </c>
      <c r="B781" t="n">
        <v>98.68214999999999</v>
      </c>
      <c r="C781" t="n">
        <v>99.46235</v>
      </c>
      <c r="D781" t="n">
        <v>88.52168</v>
      </c>
      <c r="E781" t="n">
        <v>96.94495000000001</v>
      </c>
      <c r="F781" t="n">
        <v>101.0356</v>
      </c>
      <c r="G781" t="n">
        <v>93.1785</v>
      </c>
      <c r="H781" t="n">
        <v>97.6238</v>
      </c>
      <c r="I781" t="n">
        <v>92.98417999999999</v>
      </c>
      <c r="J781" t="n">
        <v>95.49476</v>
      </c>
      <c r="K781" t="n">
        <v>99.40000000000001</v>
      </c>
      <c r="L781" t="n">
        <v>99.35605</v>
      </c>
      <c r="M781" t="n">
        <v>99</v>
      </c>
      <c r="N781" t="n">
        <v>99.95</v>
      </c>
      <c r="O781" t="n">
        <v>101.3065</v>
      </c>
      <c r="P781" t="n">
        <v>100.0803</v>
      </c>
      <c r="Q781" t="n">
        <v>99.98</v>
      </c>
      <c r="R781" t="n">
        <v>99.7606</v>
      </c>
      <c r="S781" t="n">
        <v>99.8</v>
      </c>
      <c r="T781" t="n">
        <v>96.03852000000001</v>
      </c>
      <c r="U781" t="n">
        <v>98.45858</v>
      </c>
      <c r="V781" t="n">
        <v>99.2</v>
      </c>
      <c r="W781" t="n">
        <v>102.9378</v>
      </c>
      <c r="X781" t="n">
        <v>99.70393</v>
      </c>
      <c r="Y781" t="n">
        <v>91.19620999999999</v>
      </c>
      <c r="Z781" t="n">
        <v>91.42493</v>
      </c>
      <c r="AA781" t="n">
        <v>99.8754</v>
      </c>
      <c r="AB781" t="n">
        <v>97.85952</v>
      </c>
      <c r="AC781" t="n">
        <v>100.9073</v>
      </c>
      <c r="AD781" t="n">
        <v>99.72093</v>
      </c>
      <c r="AE781" t="n">
        <v>97.32756999999999</v>
      </c>
      <c r="AF781" t="n">
        <v>98.27967</v>
      </c>
      <c r="AG781" t="n">
        <v>100.7025</v>
      </c>
      <c r="AH781" t="n">
        <v>99.44</v>
      </c>
      <c r="AI781" t="n">
        <v>98.86785999999999</v>
      </c>
      <c r="AJ781" t="n">
        <v>95.56838999999999</v>
      </c>
      <c r="AK781" t="n">
        <v>98.36</v>
      </c>
      <c r="AL781" t="n">
        <v>96.59999999999999</v>
      </c>
      <c r="AM781" t="n">
        <v>98.08049</v>
      </c>
      <c r="AN781" t="n">
        <v>98.69991</v>
      </c>
      <c r="AO781" t="n">
        <v>101.0175</v>
      </c>
      <c r="AP781" t="n">
        <v>100.0802</v>
      </c>
      <c r="AQ781" t="n">
        <v>82.38737</v>
      </c>
      <c r="AR781" t="n">
        <v>97.51031</v>
      </c>
      <c r="AS781" t="n">
        <v>100.1478</v>
      </c>
      <c r="AT781" t="n">
        <v>100.06</v>
      </c>
      <c r="AU781" t="n">
        <v>100.5407</v>
      </c>
      <c r="AV781" t="n">
        <v>87.88303000000001</v>
      </c>
      <c r="AW781" t="n">
        <v>98.32586000000001</v>
      </c>
      <c r="AX781" t="n">
        <v>91.81950999999999</v>
      </c>
    </row>
    <row r="782">
      <c r="A782" s="92" t="n">
        <v>41640</v>
      </c>
      <c r="B782" t="n">
        <v>97.86884000000001</v>
      </c>
      <c r="C782" t="n">
        <v>99.6011</v>
      </c>
      <c r="D782" t="n">
        <v>89.00845</v>
      </c>
      <c r="E782" t="n">
        <v>97.26099000000001</v>
      </c>
      <c r="F782" t="n">
        <v>100.7592</v>
      </c>
      <c r="G782" t="n">
        <v>93.34193</v>
      </c>
      <c r="H782" t="n">
        <v>98.59999999999999</v>
      </c>
      <c r="I782" t="n">
        <v>93.44101999999999</v>
      </c>
      <c r="J782" t="n">
        <v>96.21004000000001</v>
      </c>
      <c r="K782" t="n">
        <v>99.5</v>
      </c>
      <c r="L782" t="n">
        <v>98.7963</v>
      </c>
      <c r="M782" t="n">
        <v>98.90000000000001</v>
      </c>
      <c r="N782" t="n">
        <v>98.84</v>
      </c>
      <c r="O782" t="n">
        <v>99.95869</v>
      </c>
      <c r="P782" t="n">
        <v>100.4392</v>
      </c>
      <c r="Q782" t="n">
        <v>99.05</v>
      </c>
      <c r="R782" t="n">
        <v>99.69627</v>
      </c>
      <c r="S782" t="n">
        <v>99.23999999999999</v>
      </c>
      <c r="T782" t="n">
        <v>96.16512</v>
      </c>
      <c r="U782" t="n">
        <v>98.54796</v>
      </c>
      <c r="V782" t="n">
        <v>98.7</v>
      </c>
      <c r="W782" t="n">
        <v>101.7531</v>
      </c>
      <c r="X782" t="n">
        <v>100.074</v>
      </c>
      <c r="Y782" t="n">
        <v>92.1678</v>
      </c>
      <c r="Z782" t="n">
        <v>90.65987</v>
      </c>
      <c r="AA782" t="n">
        <v>99.37702</v>
      </c>
      <c r="AB782" t="n">
        <v>97.15846999999999</v>
      </c>
      <c r="AC782" t="n">
        <v>100.3024</v>
      </c>
      <c r="AD782" t="n">
        <v>99.90697</v>
      </c>
      <c r="AE782" t="n">
        <v>97.22575000000001</v>
      </c>
      <c r="AF782" t="n">
        <v>98.80782000000001</v>
      </c>
      <c r="AG782" t="n">
        <v>100.6537</v>
      </c>
      <c r="AH782" t="n">
        <v>98.54000000000001</v>
      </c>
      <c r="AI782" t="n">
        <v>99.50836</v>
      </c>
      <c r="AJ782" t="n">
        <v>96.42287</v>
      </c>
      <c r="AK782" t="n">
        <v>98.15000000000001</v>
      </c>
      <c r="AL782" t="n">
        <v>96.59999999999999</v>
      </c>
      <c r="AM782" t="n">
        <v>98.20439</v>
      </c>
      <c r="AN782" t="n">
        <v>98.45901000000001</v>
      </c>
      <c r="AO782" t="n">
        <v>101.0989</v>
      </c>
      <c r="AP782" t="n">
        <v>98.70186</v>
      </c>
      <c r="AQ782" t="n">
        <v>82.87345000000001</v>
      </c>
      <c r="AR782" t="n">
        <v>97.89400000000001</v>
      </c>
      <c r="AS782" t="n">
        <v>100.3314</v>
      </c>
      <c r="AT782" t="n">
        <v>99.44</v>
      </c>
      <c r="AU782" t="n">
        <v>99.37582</v>
      </c>
      <c r="AV782" t="n">
        <v>89.62143</v>
      </c>
      <c r="AW782" t="n">
        <v>98.69166</v>
      </c>
      <c r="AX782" t="n">
        <v>92.49464999999999</v>
      </c>
    </row>
    <row r="783">
      <c r="A783" s="92" t="n">
        <v>41671</v>
      </c>
      <c r="B783" t="n">
        <v>98.04958000000001</v>
      </c>
      <c r="C783" t="n">
        <v>99.75967</v>
      </c>
      <c r="D783" t="n">
        <v>89.62258</v>
      </c>
      <c r="E783" t="n">
        <v>98.05109</v>
      </c>
      <c r="F783" t="n">
        <v>100.8593</v>
      </c>
      <c r="G783" t="n">
        <v>93.79953999999999</v>
      </c>
      <c r="H783" t="n">
        <v>99.09999999999999</v>
      </c>
      <c r="I783" t="n">
        <v>94.02839</v>
      </c>
      <c r="J783" t="n">
        <v>96.84789000000001</v>
      </c>
      <c r="K783" t="n">
        <v>99.59999999999999</v>
      </c>
      <c r="L783" t="n">
        <v>99.26276</v>
      </c>
      <c r="M783" t="n">
        <v>99.5</v>
      </c>
      <c r="N783" t="n">
        <v>99.14</v>
      </c>
      <c r="O783" t="n">
        <v>99.91587</v>
      </c>
      <c r="P783" t="n">
        <v>100.593</v>
      </c>
      <c r="Q783" t="n">
        <v>99.34</v>
      </c>
      <c r="R783" t="n">
        <v>99.94445</v>
      </c>
      <c r="S783" t="n">
        <v>99.79000000000001</v>
      </c>
      <c r="T783" t="n">
        <v>96.53976</v>
      </c>
      <c r="U783" t="n">
        <v>98.87779999999999</v>
      </c>
      <c r="V783" t="n">
        <v>99.09999999999999</v>
      </c>
      <c r="W783" t="n">
        <v>100.4</v>
      </c>
      <c r="X783" t="n">
        <v>100.148</v>
      </c>
      <c r="Y783" t="n">
        <v>92.40862</v>
      </c>
      <c r="Z783" t="n">
        <v>91.0424</v>
      </c>
      <c r="AA783" t="n">
        <v>99.8754</v>
      </c>
      <c r="AB783" t="n">
        <v>97.81926</v>
      </c>
      <c r="AC783" t="n">
        <v>100.1008</v>
      </c>
      <c r="AD783" t="n">
        <v>99.81395999999999</v>
      </c>
      <c r="AE783" t="n">
        <v>97.22575000000001</v>
      </c>
      <c r="AF783" t="n">
        <v>99.07136</v>
      </c>
      <c r="AG783" t="n">
        <v>100.6094</v>
      </c>
      <c r="AH783" t="n">
        <v>99.75</v>
      </c>
      <c r="AI783" t="n">
        <v>99.46172</v>
      </c>
      <c r="AJ783" t="n">
        <v>96.66713</v>
      </c>
      <c r="AK783" t="n">
        <v>98.56999999999999</v>
      </c>
      <c r="AL783" t="n">
        <v>97.09999999999999</v>
      </c>
      <c r="AM783" t="n">
        <v>98.49388</v>
      </c>
      <c r="AN783" t="n">
        <v>98.71983</v>
      </c>
      <c r="AO783" t="n">
        <v>101.1803</v>
      </c>
      <c r="AP783" t="n">
        <v>98.44410999999999</v>
      </c>
      <c r="AQ783" t="n">
        <v>83.45357</v>
      </c>
      <c r="AR783" t="n">
        <v>98.18436</v>
      </c>
      <c r="AS783" t="n">
        <v>100.2702</v>
      </c>
      <c r="AT783" t="n">
        <v>99.54000000000001</v>
      </c>
      <c r="AU783" t="n">
        <v>99.79389</v>
      </c>
      <c r="AV783" t="n">
        <v>90.00518</v>
      </c>
      <c r="AW783" t="n">
        <v>99.05661000000001</v>
      </c>
      <c r="AX783" t="n">
        <v>93.43986</v>
      </c>
    </row>
    <row r="784">
      <c r="A784" s="92" t="n">
        <v>41699</v>
      </c>
      <c r="B784" t="n">
        <v>99.04362</v>
      </c>
      <c r="C784" t="n">
        <v>99.81913</v>
      </c>
      <c r="D784" t="n">
        <v>90.44714999999999</v>
      </c>
      <c r="E784" t="n">
        <v>98.60415999999999</v>
      </c>
      <c r="F784" t="n">
        <v>101.2241</v>
      </c>
      <c r="G784" t="n">
        <v>94.58401000000001</v>
      </c>
      <c r="H784" t="n">
        <v>98.59999999999999</v>
      </c>
      <c r="I784" t="n">
        <v>94.3955</v>
      </c>
      <c r="J784" t="n">
        <v>97.44379000000001</v>
      </c>
      <c r="K784" t="n">
        <v>99.59999999999999</v>
      </c>
      <c r="L784" t="n">
        <v>99.54263</v>
      </c>
      <c r="M784" t="n">
        <v>99.59999999999999</v>
      </c>
      <c r="N784" t="n">
        <v>100.07</v>
      </c>
      <c r="O784" t="n">
        <v>100.1385</v>
      </c>
      <c r="P784" t="n">
        <v>100.9007</v>
      </c>
      <c r="Q784" t="n">
        <v>100.13</v>
      </c>
      <c r="R784" t="n">
        <v>100.1742</v>
      </c>
      <c r="S784" t="n">
        <v>100.24</v>
      </c>
      <c r="T784" t="n">
        <v>96.97857999999999</v>
      </c>
      <c r="U784" t="n">
        <v>99.34862</v>
      </c>
      <c r="V784" t="n">
        <v>99.3</v>
      </c>
      <c r="W784" t="n">
        <v>102.7501</v>
      </c>
      <c r="X784" t="n">
        <v>100.3701</v>
      </c>
      <c r="Y784" t="n">
        <v>92.48336</v>
      </c>
      <c r="Z784" t="n">
        <v>91.42493</v>
      </c>
      <c r="AA784" t="n">
        <v>100.5731</v>
      </c>
      <c r="AB784" t="n">
        <v>98.05727</v>
      </c>
      <c r="AC784" t="n">
        <v>100.4032</v>
      </c>
      <c r="AD784" t="n">
        <v>99.90697</v>
      </c>
      <c r="AE784" t="n">
        <v>97.42937000000001</v>
      </c>
      <c r="AF784" t="n">
        <v>99.25373</v>
      </c>
      <c r="AG784" t="n">
        <v>100.9629</v>
      </c>
      <c r="AH784" t="n">
        <v>99.73999999999999</v>
      </c>
      <c r="AI784" t="n">
        <v>99.78519</v>
      </c>
      <c r="AJ784" t="n">
        <v>96.93196</v>
      </c>
      <c r="AK784" t="n">
        <v>99.39</v>
      </c>
      <c r="AL784" t="n">
        <v>97.3</v>
      </c>
      <c r="AM784" t="n">
        <v>98.95066</v>
      </c>
      <c r="AN784" t="n">
        <v>99.10983</v>
      </c>
      <c r="AO784" t="n">
        <v>101.2617</v>
      </c>
      <c r="AP784" t="n">
        <v>99.78761</v>
      </c>
      <c r="AQ784" t="n">
        <v>84.30479</v>
      </c>
      <c r="AR784" t="n">
        <v>98.19473000000001</v>
      </c>
      <c r="AS784" t="n">
        <v>100.209</v>
      </c>
      <c r="AT784" t="n">
        <v>100.31</v>
      </c>
      <c r="AU784" t="n">
        <v>99.78751</v>
      </c>
      <c r="AV784" t="n">
        <v>91.01828999999999</v>
      </c>
      <c r="AW784" t="n">
        <v>99.69453</v>
      </c>
      <c r="AX784" t="n">
        <v>94.65510999999999</v>
      </c>
    </row>
    <row r="785">
      <c r="A785" s="92" t="n">
        <v>41730</v>
      </c>
      <c r="B785" t="n">
        <v>99.134</v>
      </c>
      <c r="C785" t="n">
        <v>99.5119</v>
      </c>
      <c r="D785" t="n">
        <v>91.05316999999999</v>
      </c>
      <c r="E785" t="n">
        <v>98.92019999999999</v>
      </c>
      <c r="F785" t="n">
        <v>101.2938</v>
      </c>
      <c r="G785" t="n">
        <v>95.17238</v>
      </c>
      <c r="H785" t="n">
        <v>98.2</v>
      </c>
      <c r="I785" t="n">
        <v>94.82787</v>
      </c>
      <c r="J785" t="n">
        <v>98.5549</v>
      </c>
      <c r="K785" t="n">
        <v>99.59999999999999</v>
      </c>
      <c r="L785" t="n">
        <v>99.35605</v>
      </c>
      <c r="M785" t="n">
        <v>99.8</v>
      </c>
      <c r="N785" t="n">
        <v>100.22</v>
      </c>
      <c r="O785" t="n">
        <v>101.0292</v>
      </c>
      <c r="P785" t="n">
        <v>100.8494</v>
      </c>
      <c r="Q785" t="n">
        <v>100.28</v>
      </c>
      <c r="R785" t="n">
        <v>100.3213</v>
      </c>
      <c r="S785" t="n">
        <v>100.2</v>
      </c>
      <c r="T785" t="n">
        <v>97.39269</v>
      </c>
      <c r="U785" t="n">
        <v>99.82792000000001</v>
      </c>
      <c r="V785" t="n">
        <v>99.59999999999999</v>
      </c>
      <c r="W785" t="n">
        <v>103.2216</v>
      </c>
      <c r="X785" t="n">
        <v>100.4441</v>
      </c>
      <c r="Y785" t="n">
        <v>92.46675</v>
      </c>
      <c r="Z785" t="n">
        <v>92.57253</v>
      </c>
      <c r="AA785" t="n">
        <v>100.6728</v>
      </c>
      <c r="AB785" t="n">
        <v>98.35957000000001</v>
      </c>
      <c r="AC785" t="n">
        <v>100.504</v>
      </c>
      <c r="AD785" t="n">
        <v>100.093</v>
      </c>
      <c r="AE785" t="n">
        <v>99.46552</v>
      </c>
      <c r="AF785" t="n">
        <v>99.31804</v>
      </c>
      <c r="AG785" t="n">
        <v>101.2689</v>
      </c>
      <c r="AH785" t="n">
        <v>99.77</v>
      </c>
      <c r="AI785" t="n">
        <v>100.2452</v>
      </c>
      <c r="AJ785" t="n">
        <v>96.75112</v>
      </c>
      <c r="AK785" t="n">
        <v>99.84999999999999</v>
      </c>
      <c r="AL785" t="n">
        <v>97.7</v>
      </c>
      <c r="AM785" t="n">
        <v>99.39269</v>
      </c>
      <c r="AN785" t="n">
        <v>99.35706999999999</v>
      </c>
      <c r="AO785" t="n">
        <v>101.2617</v>
      </c>
      <c r="AP785" t="n">
        <v>100.0235</v>
      </c>
      <c r="AQ785" t="n">
        <v>85.06354</v>
      </c>
      <c r="AR785" t="n">
        <v>98.67176000000001</v>
      </c>
      <c r="AS785" t="n">
        <v>100.2702</v>
      </c>
      <c r="AT785" t="n">
        <v>100.82</v>
      </c>
      <c r="AU785" t="n">
        <v>100.1737</v>
      </c>
      <c r="AV785" t="n">
        <v>92.24245000000001</v>
      </c>
      <c r="AW785" t="n">
        <v>100.0232</v>
      </c>
      <c r="AX785" t="n">
        <v>95.19523</v>
      </c>
    </row>
    <row r="786">
      <c r="A786" s="92" t="n">
        <v>41760</v>
      </c>
      <c r="B786" t="n">
        <v>99.4051</v>
      </c>
      <c r="C786" t="n">
        <v>99.40289</v>
      </c>
      <c r="D786" t="n">
        <v>91.47195000000001</v>
      </c>
      <c r="E786" t="n">
        <v>99.39426</v>
      </c>
      <c r="F786" t="n">
        <v>101.5906</v>
      </c>
      <c r="G786" t="n">
        <v>95.49924</v>
      </c>
      <c r="H786" t="n">
        <v>98.3</v>
      </c>
      <c r="I786" t="n">
        <v>95.29286999999999</v>
      </c>
      <c r="J786" t="n">
        <v>99.07550000000001</v>
      </c>
      <c r="K786" t="n">
        <v>99.7</v>
      </c>
      <c r="L786" t="n">
        <v>99.26276</v>
      </c>
      <c r="M786" t="n">
        <v>99.7</v>
      </c>
      <c r="N786" t="n">
        <v>100.11</v>
      </c>
      <c r="O786" t="n">
        <v>101.0528</v>
      </c>
      <c r="P786" t="n">
        <v>100.9519</v>
      </c>
      <c r="Q786" t="n">
        <v>100.18</v>
      </c>
      <c r="R786" t="n">
        <v>100.0731</v>
      </c>
      <c r="S786" t="n">
        <v>100.22</v>
      </c>
      <c r="T786" t="n">
        <v>97.64233</v>
      </c>
      <c r="U786" t="n">
        <v>100.0804</v>
      </c>
      <c r="V786" t="n">
        <v>99.59999999999999</v>
      </c>
      <c r="W786" t="n">
        <v>102.4</v>
      </c>
      <c r="X786" t="n">
        <v>100.2961</v>
      </c>
      <c r="Y786" t="n">
        <v>92.61623</v>
      </c>
      <c r="Z786" t="n">
        <v>93.33759000000001</v>
      </c>
      <c r="AA786" t="n">
        <v>100.5731</v>
      </c>
      <c r="AB786" t="n">
        <v>98.43326999999999</v>
      </c>
      <c r="AC786" t="n">
        <v>100.6048</v>
      </c>
      <c r="AD786" t="n">
        <v>100</v>
      </c>
      <c r="AE786" t="n">
        <v>99.87273999999999</v>
      </c>
      <c r="AF786" t="n">
        <v>99.48143</v>
      </c>
      <c r="AG786" t="n">
        <v>101.1783</v>
      </c>
      <c r="AH786" t="n">
        <v>99.8</v>
      </c>
      <c r="AI786" t="n">
        <v>100.1835</v>
      </c>
      <c r="AJ786" t="n">
        <v>96.44173000000001</v>
      </c>
      <c r="AK786" t="n">
        <v>99.51000000000001</v>
      </c>
      <c r="AL786" t="n">
        <v>97.8</v>
      </c>
      <c r="AM786" t="n">
        <v>99.5812</v>
      </c>
      <c r="AN786" t="n">
        <v>99.34789000000001</v>
      </c>
      <c r="AO786" t="n">
        <v>101.1803</v>
      </c>
      <c r="AP786" t="n">
        <v>99.89609</v>
      </c>
      <c r="AQ786" t="n">
        <v>85.82911</v>
      </c>
      <c r="AR786" t="n">
        <v>98.7962</v>
      </c>
      <c r="AS786" t="n">
        <v>100.5149</v>
      </c>
      <c r="AT786" t="n">
        <v>101.42</v>
      </c>
      <c r="AU786" t="n">
        <v>100.2247</v>
      </c>
      <c r="AV786" t="n">
        <v>92.60702000000001</v>
      </c>
      <c r="AW786" t="n">
        <v>100.3725</v>
      </c>
      <c r="AX786" t="n">
        <v>95.46529</v>
      </c>
    </row>
    <row r="787">
      <c r="A787" s="92" t="n">
        <v>41791</v>
      </c>
      <c r="B787" t="n">
        <v>99.49547</v>
      </c>
      <c r="C787" t="n">
        <v>99.48217</v>
      </c>
      <c r="D787" t="n">
        <v>91.83783</v>
      </c>
      <c r="E787" t="n">
        <v>99.47327</v>
      </c>
      <c r="F787" t="n">
        <v>101.5167</v>
      </c>
      <c r="G787" t="n">
        <v>95.54282000000001</v>
      </c>
      <c r="H787" t="n">
        <v>98.2</v>
      </c>
      <c r="I787" t="n">
        <v>95.37445</v>
      </c>
      <c r="J787" t="n">
        <v>99.45305</v>
      </c>
      <c r="K787" t="n">
        <v>99.7</v>
      </c>
      <c r="L787" t="n">
        <v>99.54263</v>
      </c>
      <c r="M787" t="n">
        <v>99.7</v>
      </c>
      <c r="N787" t="n">
        <v>100.22</v>
      </c>
      <c r="O787" t="n">
        <v>101.0806</v>
      </c>
      <c r="P787" t="n">
        <v>101.0032</v>
      </c>
      <c r="Q787" t="n">
        <v>100.27</v>
      </c>
      <c r="R787" t="n">
        <v>100.1467</v>
      </c>
      <c r="S787" t="n">
        <v>100.18</v>
      </c>
      <c r="T787" t="n">
        <v>97.83653</v>
      </c>
      <c r="U787" t="n">
        <v>100.2134</v>
      </c>
      <c r="V787" t="n">
        <v>99.8</v>
      </c>
      <c r="W787" t="n">
        <v>103.0598</v>
      </c>
      <c r="X787" t="n">
        <v>100.3701</v>
      </c>
      <c r="Y787" t="n">
        <v>93.01482</v>
      </c>
      <c r="Z787" t="n">
        <v>94.10265</v>
      </c>
      <c r="AA787" t="n">
        <v>100.7725</v>
      </c>
      <c r="AB787" t="n">
        <v>98.77718</v>
      </c>
      <c r="AC787" t="n">
        <v>100.9073</v>
      </c>
      <c r="AD787" t="n">
        <v>100.093</v>
      </c>
      <c r="AE787" t="n">
        <v>99.77094</v>
      </c>
      <c r="AF787" t="n">
        <v>99.35388</v>
      </c>
      <c r="AG787" t="n">
        <v>101.1822</v>
      </c>
      <c r="AH787" t="n">
        <v>99.95999999999999</v>
      </c>
      <c r="AI787" t="n">
        <v>100.4738</v>
      </c>
      <c r="AJ787" t="n">
        <v>96.60885</v>
      </c>
      <c r="AK787" t="n">
        <v>99.23999999999999</v>
      </c>
      <c r="AL787" t="n">
        <v>97.5</v>
      </c>
      <c r="AM787" t="n">
        <v>99.69768000000001</v>
      </c>
      <c r="AN787" t="n">
        <v>99.46848</v>
      </c>
      <c r="AO787" t="n">
        <v>101.1803</v>
      </c>
      <c r="AP787" t="n">
        <v>99.96674</v>
      </c>
      <c r="AQ787" t="n">
        <v>86.36125</v>
      </c>
      <c r="AR787" t="n">
        <v>98.75472000000001</v>
      </c>
      <c r="AS787" t="n">
        <v>100.5761</v>
      </c>
      <c r="AT787" t="n">
        <v>101.53</v>
      </c>
      <c r="AU787" t="n">
        <v>100.4322</v>
      </c>
      <c r="AV787" t="n">
        <v>92.89484</v>
      </c>
      <c r="AW787" t="n">
        <v>100.5595</v>
      </c>
      <c r="AX787" t="n">
        <v>95.73533999999999</v>
      </c>
    </row>
    <row r="788">
      <c r="A788" s="92" t="n">
        <v>41821</v>
      </c>
      <c r="B788" t="n">
        <v>98.95325</v>
      </c>
      <c r="C788" t="n">
        <v>99.65065</v>
      </c>
      <c r="D788" t="n">
        <v>91.84711</v>
      </c>
      <c r="E788" t="n">
        <v>99.31525000000001</v>
      </c>
      <c r="F788" t="n">
        <v>101.1368</v>
      </c>
      <c r="G788" t="n">
        <v>95.77163</v>
      </c>
      <c r="H788" t="n">
        <v>98.2</v>
      </c>
      <c r="I788" t="n">
        <v>95.52128999999999</v>
      </c>
      <c r="J788" t="n">
        <v>100.3598</v>
      </c>
      <c r="K788" t="n">
        <v>100</v>
      </c>
      <c r="L788" t="n">
        <v>99.82250999999999</v>
      </c>
      <c r="M788" t="n">
        <v>99.5</v>
      </c>
      <c r="N788" t="n">
        <v>99.56999999999999</v>
      </c>
      <c r="O788" t="n">
        <v>100.13</v>
      </c>
      <c r="P788" t="n">
        <v>100.8494</v>
      </c>
      <c r="Q788" t="n">
        <v>99.72</v>
      </c>
      <c r="R788" t="n">
        <v>100.0364</v>
      </c>
      <c r="S788" t="n">
        <v>99.86</v>
      </c>
      <c r="T788" t="n">
        <v>98.01939</v>
      </c>
      <c r="U788" t="n">
        <v>100.1845</v>
      </c>
      <c r="V788" t="n">
        <v>99.59999999999999</v>
      </c>
      <c r="W788" t="n">
        <v>101.7776</v>
      </c>
      <c r="X788" t="n">
        <v>100.5181</v>
      </c>
      <c r="Y788" t="n">
        <v>93.87846</v>
      </c>
      <c r="Z788" t="n">
        <v>96.39783</v>
      </c>
      <c r="AA788" t="n">
        <v>100.5731</v>
      </c>
      <c r="AB788" t="n">
        <v>98.62479</v>
      </c>
      <c r="AC788" t="n">
        <v>101.0081</v>
      </c>
      <c r="AD788" t="n">
        <v>100</v>
      </c>
      <c r="AE788" t="n">
        <v>99.87273999999999</v>
      </c>
      <c r="AF788" t="n">
        <v>99.49935000000001</v>
      </c>
      <c r="AG788" t="n">
        <v>100.667</v>
      </c>
      <c r="AH788" t="n">
        <v>98.94</v>
      </c>
      <c r="AI788" t="n">
        <v>100.0986</v>
      </c>
      <c r="AJ788" t="n">
        <v>96.87452999999999</v>
      </c>
      <c r="AK788" t="n">
        <v>100.05</v>
      </c>
      <c r="AL788" t="n">
        <v>98.3</v>
      </c>
      <c r="AM788" t="n">
        <v>99.68514</v>
      </c>
      <c r="AN788" t="n">
        <v>99.37545</v>
      </c>
      <c r="AO788" t="n">
        <v>101.0175</v>
      </c>
      <c r="AP788" t="n">
        <v>99.27708</v>
      </c>
      <c r="AQ788" t="n">
        <v>86.78442</v>
      </c>
      <c r="AR788" t="n">
        <v>98.9725</v>
      </c>
      <c r="AS788" t="n">
        <v>100.4537</v>
      </c>
      <c r="AT788" t="n">
        <v>100.42</v>
      </c>
      <c r="AU788" t="n">
        <v>100.1035</v>
      </c>
      <c r="AV788" t="n">
        <v>93.31695999999999</v>
      </c>
      <c r="AW788" t="n">
        <v>100.5202</v>
      </c>
      <c r="AX788" t="n">
        <v>96.54552</v>
      </c>
    </row>
    <row r="789">
      <c r="A789" s="92" t="n">
        <v>41852</v>
      </c>
      <c r="B789" t="n">
        <v>98.95325</v>
      </c>
      <c r="C789" t="n">
        <v>99.27406000000001</v>
      </c>
      <c r="D789" t="n">
        <v>92.07680999999999</v>
      </c>
      <c r="E789" t="n">
        <v>99.31525000000001</v>
      </c>
      <c r="F789" t="n">
        <v>101.1042</v>
      </c>
      <c r="G789" t="n">
        <v>96.07671000000001</v>
      </c>
      <c r="H789" t="n">
        <v>98.40000000000001</v>
      </c>
      <c r="I789" t="n">
        <v>95.71708</v>
      </c>
      <c r="J789" t="n">
        <v>100.6932</v>
      </c>
      <c r="K789" t="n">
        <v>99.90000000000001</v>
      </c>
      <c r="L789" t="n">
        <v>99.82250999999999</v>
      </c>
      <c r="M789" t="n">
        <v>99.40000000000001</v>
      </c>
      <c r="N789" t="n">
        <v>99.68000000000001</v>
      </c>
      <c r="O789" t="n">
        <v>100.2884</v>
      </c>
      <c r="P789" t="n">
        <v>100.5418</v>
      </c>
      <c r="Q789" t="n">
        <v>99.78</v>
      </c>
      <c r="R789" t="n">
        <v>100.1834</v>
      </c>
      <c r="S789" t="n">
        <v>100.3</v>
      </c>
      <c r="T789" t="n">
        <v>98.12842999999999</v>
      </c>
      <c r="U789" t="n">
        <v>100.1797</v>
      </c>
      <c r="V789" t="n">
        <v>99.90000000000001</v>
      </c>
      <c r="W789" t="n">
        <v>100.5401</v>
      </c>
      <c r="X789" t="n">
        <v>100.2961</v>
      </c>
      <c r="Y789" t="n">
        <v>94.31856999999999</v>
      </c>
      <c r="Z789" t="n">
        <v>96.78036</v>
      </c>
      <c r="AA789" t="n">
        <v>100.7725</v>
      </c>
      <c r="AB789" t="n">
        <v>98.85258</v>
      </c>
      <c r="AC789" t="n">
        <v>100.9073</v>
      </c>
      <c r="AD789" t="n">
        <v>100.186</v>
      </c>
      <c r="AE789" t="n">
        <v>100.0764</v>
      </c>
      <c r="AF789" t="n">
        <v>99.67328999999999</v>
      </c>
      <c r="AG789" t="n">
        <v>100.5837</v>
      </c>
      <c r="AH789" t="n">
        <v>99.98999999999999</v>
      </c>
      <c r="AI789" t="n">
        <v>99.48249</v>
      </c>
      <c r="AJ789" t="n">
        <v>97.2225</v>
      </c>
      <c r="AK789" t="n">
        <v>99.98</v>
      </c>
      <c r="AL789" t="n">
        <v>97.90000000000001</v>
      </c>
      <c r="AM789" t="n">
        <v>99.6897</v>
      </c>
      <c r="AN789" t="n">
        <v>99.4482</v>
      </c>
      <c r="AO789" t="n">
        <v>100.6105</v>
      </c>
      <c r="AP789" t="n">
        <v>99.05117</v>
      </c>
      <c r="AQ789" t="n">
        <v>86.99271</v>
      </c>
      <c r="AR789" t="n">
        <v>99.10731</v>
      </c>
      <c r="AS789" t="n">
        <v>100.2702</v>
      </c>
      <c r="AT789" t="n">
        <v>100.42</v>
      </c>
      <c r="AU789" t="n">
        <v>100.0013</v>
      </c>
      <c r="AV789" t="n">
        <v>93.40522</v>
      </c>
      <c r="AW789" t="n">
        <v>100.3523</v>
      </c>
      <c r="AX789" t="n">
        <v>96.81556999999999</v>
      </c>
    </row>
    <row r="790">
      <c r="A790" s="92" t="n">
        <v>41883</v>
      </c>
      <c r="B790" t="n">
        <v>99.58584</v>
      </c>
      <c r="C790" t="n">
        <v>99.19477000000001</v>
      </c>
      <c r="D790" t="n">
        <v>92.60162</v>
      </c>
      <c r="E790" t="n">
        <v>99.39426</v>
      </c>
      <c r="F790" t="n">
        <v>101.2468</v>
      </c>
      <c r="G790" t="n">
        <v>96.88297</v>
      </c>
      <c r="H790" t="n">
        <v>98.90000000000001</v>
      </c>
      <c r="I790" t="n">
        <v>95.84761</v>
      </c>
      <c r="J790" t="n">
        <v>100.5545</v>
      </c>
      <c r="K790" t="n">
        <v>99.59999999999999</v>
      </c>
      <c r="L790" t="n">
        <v>99.82250999999999</v>
      </c>
      <c r="M790" t="n">
        <v>99.7</v>
      </c>
      <c r="N790" t="n">
        <v>100.12</v>
      </c>
      <c r="O790" t="n">
        <v>100.4415</v>
      </c>
      <c r="P790" t="n">
        <v>100.3367</v>
      </c>
      <c r="Q790" t="n">
        <v>100.13</v>
      </c>
      <c r="R790" t="n">
        <v>100.7258</v>
      </c>
      <c r="S790" t="n">
        <v>99.92</v>
      </c>
      <c r="T790" t="n">
        <v>98.36306</v>
      </c>
      <c r="U790" t="n">
        <v>100.2132</v>
      </c>
      <c r="V790" t="n">
        <v>100</v>
      </c>
      <c r="W790" t="n">
        <v>102.62</v>
      </c>
      <c r="X790" t="n">
        <v>100.074</v>
      </c>
      <c r="Y790" t="n">
        <v>94.57599999999999</v>
      </c>
      <c r="Z790" t="n">
        <v>96.78036</v>
      </c>
      <c r="AA790" t="n">
        <v>100.4735</v>
      </c>
      <c r="AB790" t="n">
        <v>98.73419</v>
      </c>
      <c r="AC790" t="n">
        <v>100.6048</v>
      </c>
      <c r="AD790" t="n">
        <v>99.81395999999999</v>
      </c>
      <c r="AE790" t="n">
        <v>100.28</v>
      </c>
      <c r="AF790" t="n">
        <v>99.60899000000001</v>
      </c>
      <c r="AG790" t="n">
        <v>101.0117</v>
      </c>
      <c r="AH790" t="n">
        <v>99.90000000000001</v>
      </c>
      <c r="AI790" t="n">
        <v>99.96536</v>
      </c>
      <c r="AJ790" t="n">
        <v>97.65188999999999</v>
      </c>
      <c r="AK790" t="n">
        <v>99.95999999999999</v>
      </c>
      <c r="AL790" t="n">
        <v>98.5</v>
      </c>
      <c r="AM790" t="n">
        <v>99.76994999999999</v>
      </c>
      <c r="AN790" t="n">
        <v>99.46438000000001</v>
      </c>
      <c r="AO790" t="n">
        <v>100.6105</v>
      </c>
      <c r="AP790" t="n">
        <v>99.61743</v>
      </c>
      <c r="AQ790" t="n">
        <v>87.55816</v>
      </c>
      <c r="AR790" t="n">
        <v>99.09693</v>
      </c>
      <c r="AS790" t="n">
        <v>100.3314</v>
      </c>
      <c r="AT790" t="n">
        <v>100.67</v>
      </c>
      <c r="AU790" t="n">
        <v>100.1609</v>
      </c>
      <c r="AV790" t="n">
        <v>93.53570000000001</v>
      </c>
      <c r="AW790" t="n">
        <v>100.4278</v>
      </c>
      <c r="AX790" t="n">
        <v>96.81556999999999</v>
      </c>
    </row>
    <row r="791">
      <c r="A791" s="92" t="n">
        <v>41913</v>
      </c>
      <c r="B791" t="n">
        <v>99.49547</v>
      </c>
      <c r="C791" t="n">
        <v>99.3236</v>
      </c>
      <c r="D791" t="n">
        <v>92.99047</v>
      </c>
      <c r="E791" t="n">
        <v>99.47327</v>
      </c>
      <c r="F791" t="n">
        <v>101.245</v>
      </c>
      <c r="G791" t="n">
        <v>97.88536000000001</v>
      </c>
      <c r="H791" t="n">
        <v>98.90000000000001</v>
      </c>
      <c r="I791" t="n">
        <v>96.00261</v>
      </c>
      <c r="J791" t="n">
        <v>100.263</v>
      </c>
      <c r="K791" t="n">
        <v>99.8</v>
      </c>
      <c r="L791" t="n">
        <v>99.54263</v>
      </c>
      <c r="M791" t="n">
        <v>99.8</v>
      </c>
      <c r="N791" t="n">
        <v>100.06</v>
      </c>
      <c r="O791" t="n">
        <v>100.9093</v>
      </c>
      <c r="P791" t="n">
        <v>100.3367</v>
      </c>
      <c r="Q791" t="n">
        <v>100.09</v>
      </c>
      <c r="R791" t="n">
        <v>100.5511</v>
      </c>
      <c r="S791" t="n">
        <v>99.95</v>
      </c>
      <c r="T791" t="n">
        <v>98.39798999999999</v>
      </c>
      <c r="U791" t="n">
        <v>100.0268</v>
      </c>
      <c r="V791" t="n">
        <v>100.1</v>
      </c>
      <c r="W791" t="n">
        <v>101.6864</v>
      </c>
      <c r="X791" t="n">
        <v>99.85196000000001</v>
      </c>
      <c r="Y791" t="n">
        <v>95.01612</v>
      </c>
      <c r="Z791" t="n">
        <v>96.78036</v>
      </c>
      <c r="AA791" t="n">
        <v>100.2741</v>
      </c>
      <c r="AB791" t="n">
        <v>98.86620000000001</v>
      </c>
      <c r="AC791" t="n">
        <v>100.9073</v>
      </c>
      <c r="AD791" t="n">
        <v>99.90697</v>
      </c>
      <c r="AE791" t="n">
        <v>99.97454999999999</v>
      </c>
      <c r="AF791" t="n">
        <v>99.30855</v>
      </c>
      <c r="AG791" t="n">
        <v>101.0917</v>
      </c>
      <c r="AH791" t="n">
        <v>99.67</v>
      </c>
      <c r="AI791" t="n">
        <v>99.94767</v>
      </c>
      <c r="AJ791" t="n">
        <v>98.19183</v>
      </c>
      <c r="AK791" t="n">
        <v>99.84</v>
      </c>
      <c r="AL791" t="n">
        <v>98.59999999999999</v>
      </c>
      <c r="AM791" t="n">
        <v>99.73223</v>
      </c>
      <c r="AN791" t="n">
        <v>99.63007</v>
      </c>
      <c r="AO791" t="n">
        <v>100.6105</v>
      </c>
      <c r="AP791" t="n">
        <v>99.94584999999999</v>
      </c>
      <c r="AQ791" t="n">
        <v>88.27612999999999</v>
      </c>
      <c r="AR791" t="n">
        <v>99.27321999999999</v>
      </c>
      <c r="AS791" t="n">
        <v>100.3926</v>
      </c>
      <c r="AT791" t="n">
        <v>100.91</v>
      </c>
      <c r="AU791" t="n">
        <v>100.2151</v>
      </c>
      <c r="AV791" t="n">
        <v>95.31247</v>
      </c>
      <c r="AW791" t="n">
        <v>100.1755</v>
      </c>
      <c r="AX791" t="n">
        <v>96.95059999999999</v>
      </c>
    </row>
    <row r="792">
      <c r="A792" s="92" t="n">
        <v>41944</v>
      </c>
      <c r="B792" t="n">
        <v>99.67619999999999</v>
      </c>
      <c r="C792" t="n">
        <v>99.19477000000001</v>
      </c>
      <c r="D792" t="n">
        <v>93.46469999999999</v>
      </c>
      <c r="E792" t="n">
        <v>99.07822</v>
      </c>
      <c r="F792" t="n">
        <v>101.2055</v>
      </c>
      <c r="G792" t="n">
        <v>97.91804999999999</v>
      </c>
      <c r="H792" t="n">
        <v>98.59999999999999</v>
      </c>
      <c r="I792" t="n">
        <v>96.13314</v>
      </c>
      <c r="J792" t="n">
        <v>100.6061</v>
      </c>
      <c r="K792" t="n">
        <v>99.5</v>
      </c>
      <c r="L792" t="n">
        <v>99.54263</v>
      </c>
      <c r="M792" t="n">
        <v>99.59999999999999</v>
      </c>
      <c r="N792" t="n">
        <v>99.88</v>
      </c>
      <c r="O792" t="n">
        <v>100.8387</v>
      </c>
      <c r="P792" t="n">
        <v>99.56762000000001</v>
      </c>
      <c r="Q792" t="n">
        <v>99.90000000000001</v>
      </c>
      <c r="R792" t="n">
        <v>100.3581</v>
      </c>
      <c r="S792" t="n">
        <v>99.78</v>
      </c>
      <c r="T792" t="n">
        <v>98.29375</v>
      </c>
      <c r="U792" t="n">
        <v>99.63882</v>
      </c>
      <c r="V792" t="n">
        <v>99.90000000000001</v>
      </c>
      <c r="W792" t="n">
        <v>100.7359</v>
      </c>
      <c r="X792" t="n">
        <v>99.48186</v>
      </c>
      <c r="Y792" t="n">
        <v>96.44444</v>
      </c>
      <c r="Z792" t="n">
        <v>96.78036</v>
      </c>
      <c r="AA792" t="n">
        <v>99.97508000000001</v>
      </c>
      <c r="AB792" t="n">
        <v>98.36678000000001</v>
      </c>
      <c r="AC792" t="n">
        <v>100.7056</v>
      </c>
      <c r="AD792" t="n">
        <v>99.72093</v>
      </c>
      <c r="AE792" t="n">
        <v>99.66913</v>
      </c>
      <c r="AF792" t="n">
        <v>99.10825</v>
      </c>
      <c r="AG792" t="n">
        <v>101.0574</v>
      </c>
      <c r="AH792" t="n">
        <v>99.44</v>
      </c>
      <c r="AI792" t="n">
        <v>99.69701000000001</v>
      </c>
      <c r="AJ792" t="n">
        <v>98.98375</v>
      </c>
      <c r="AK792" t="n">
        <v>99.25</v>
      </c>
      <c r="AL792" t="n">
        <v>98.59999999999999</v>
      </c>
      <c r="AM792" t="n">
        <v>99.46252</v>
      </c>
      <c r="AN792" t="n">
        <v>99.50320000000001</v>
      </c>
      <c r="AO792" t="n">
        <v>100.4477</v>
      </c>
      <c r="AP792" t="n">
        <v>99.73885</v>
      </c>
      <c r="AQ792" t="n">
        <v>89.40607</v>
      </c>
      <c r="AR792" t="n">
        <v>99.3873</v>
      </c>
      <c r="AS792" t="n">
        <v>100.2702</v>
      </c>
      <c r="AT792" t="n">
        <v>100.67</v>
      </c>
      <c r="AU792" t="n">
        <v>100.0684</v>
      </c>
      <c r="AV792" t="n">
        <v>95.48515999999999</v>
      </c>
      <c r="AW792" t="n">
        <v>99.63463</v>
      </c>
      <c r="AX792" t="n">
        <v>96.95059999999999</v>
      </c>
    </row>
    <row r="793">
      <c r="A793" s="92" t="n">
        <v>41974</v>
      </c>
      <c r="B793" t="n">
        <v>99.67619999999999</v>
      </c>
      <c r="C793" t="n">
        <v>99.08575</v>
      </c>
      <c r="D793" t="n">
        <v>94.19368</v>
      </c>
      <c r="E793" t="n">
        <v>98.36713</v>
      </c>
      <c r="F793" t="n">
        <v>100.7038</v>
      </c>
      <c r="G793" t="n">
        <v>97.51492</v>
      </c>
      <c r="H793" t="n">
        <v>99</v>
      </c>
      <c r="I793" t="n">
        <v>96.38603000000001</v>
      </c>
      <c r="J793" t="n">
        <v>100.391</v>
      </c>
      <c r="K793" t="n">
        <v>99.5</v>
      </c>
      <c r="L793" t="n">
        <v>99.54263</v>
      </c>
      <c r="M793" t="n">
        <v>99.40000000000001</v>
      </c>
      <c r="N793" t="n">
        <v>99.78</v>
      </c>
      <c r="O793" t="n">
        <v>100.251</v>
      </c>
      <c r="P793" t="n">
        <v>99.56762000000001</v>
      </c>
      <c r="Q793" t="n">
        <v>99.79000000000001</v>
      </c>
      <c r="R793" t="n">
        <v>100.2294</v>
      </c>
      <c r="S793" t="n">
        <v>99.86</v>
      </c>
      <c r="T793" t="n">
        <v>98.39207</v>
      </c>
      <c r="U793" t="n">
        <v>99.30678</v>
      </c>
      <c r="V793" t="n">
        <v>99.90000000000001</v>
      </c>
      <c r="W793" t="n">
        <v>100.2543</v>
      </c>
      <c r="X793" t="n">
        <v>98.81569</v>
      </c>
      <c r="Y793" t="n">
        <v>98.81943</v>
      </c>
      <c r="Z793" t="n">
        <v>96.78036</v>
      </c>
      <c r="AA793" t="n">
        <v>99.57638</v>
      </c>
      <c r="AB793" t="n">
        <v>98.66862999999999</v>
      </c>
      <c r="AC793" t="n">
        <v>100.7056</v>
      </c>
      <c r="AD793" t="n">
        <v>99.72093</v>
      </c>
      <c r="AE793" t="n">
        <v>99.66913</v>
      </c>
      <c r="AF793" t="n">
        <v>99.09877</v>
      </c>
      <c r="AG793" t="n">
        <v>100.4368</v>
      </c>
      <c r="AH793" t="n">
        <v>98.83</v>
      </c>
      <c r="AI793" t="n">
        <v>99.06382000000001</v>
      </c>
      <c r="AJ793" t="n">
        <v>99.46884</v>
      </c>
      <c r="AK793" t="n">
        <v>99.05</v>
      </c>
      <c r="AL793" t="n">
        <v>98.59999999999999</v>
      </c>
      <c r="AM793" t="n">
        <v>99.19157</v>
      </c>
      <c r="AN793" t="n">
        <v>99.36851</v>
      </c>
      <c r="AO793" t="n">
        <v>100.1221</v>
      </c>
      <c r="AP793" t="n">
        <v>99.72292</v>
      </c>
      <c r="AQ793" t="n">
        <v>91.74850000000001</v>
      </c>
      <c r="AR793" t="n">
        <v>99.36655</v>
      </c>
      <c r="AS793" t="n">
        <v>100.0255</v>
      </c>
      <c r="AT793" t="n">
        <v>100.2</v>
      </c>
      <c r="AU793" t="n">
        <v>100.2247</v>
      </c>
      <c r="AV793" t="n">
        <v>95.06303</v>
      </c>
      <c r="AW793" t="n">
        <v>99.06968999999999</v>
      </c>
      <c r="AX793" t="n">
        <v>96.81556999999999</v>
      </c>
    </row>
    <row r="794">
      <c r="A794" s="92" t="n">
        <v>42005</v>
      </c>
      <c r="B794" t="n">
        <v>98.59178</v>
      </c>
      <c r="C794" t="n">
        <v>98.95692</v>
      </c>
      <c r="D794" t="n">
        <v>95.36163000000001</v>
      </c>
      <c r="E794" t="n">
        <v>98.20911</v>
      </c>
      <c r="F794" t="n">
        <v>100.2702</v>
      </c>
      <c r="G794" t="n">
        <v>97.58028</v>
      </c>
      <c r="H794" t="n">
        <v>99.3</v>
      </c>
      <c r="I794" t="n">
        <v>97.00603</v>
      </c>
      <c r="J794" t="n">
        <v>100.4297</v>
      </c>
      <c r="K794" t="n">
        <v>99.5</v>
      </c>
      <c r="L794" t="n">
        <v>98.51642</v>
      </c>
      <c r="M794" t="n">
        <v>98.8</v>
      </c>
      <c r="N794" t="n">
        <v>98.23999999999999</v>
      </c>
      <c r="O794" t="n">
        <v>98.63979999999999</v>
      </c>
      <c r="P794" t="n">
        <v>99.15746</v>
      </c>
      <c r="Q794" t="n">
        <v>98.45999999999999</v>
      </c>
      <c r="R794" t="n">
        <v>99.54000000000001</v>
      </c>
      <c r="S794" t="n">
        <v>98.86</v>
      </c>
      <c r="T794" t="n">
        <v>98.30415000000001</v>
      </c>
      <c r="U794" t="n">
        <v>98.80466</v>
      </c>
      <c r="V794" t="n">
        <v>99.2</v>
      </c>
      <c r="W794" t="n">
        <v>98.8664</v>
      </c>
      <c r="X794" t="n">
        <v>98.59363999999999</v>
      </c>
      <c r="Y794" t="n">
        <v>98.57861</v>
      </c>
      <c r="Z794" t="n">
        <v>97.16289999999999</v>
      </c>
      <c r="AA794" t="n">
        <v>98.77897</v>
      </c>
      <c r="AB794" t="n">
        <v>97.95283000000001</v>
      </c>
      <c r="AC794" t="n">
        <v>99.79839</v>
      </c>
      <c r="AD794" t="n">
        <v>99.34884</v>
      </c>
      <c r="AE794" t="n">
        <v>99.56732</v>
      </c>
      <c r="AF794" t="n">
        <v>99.77028</v>
      </c>
      <c r="AG794" t="n">
        <v>99.13</v>
      </c>
      <c r="AH794" t="n">
        <v>98.19</v>
      </c>
      <c r="AI794" t="n">
        <v>99.12529000000001</v>
      </c>
      <c r="AJ794" t="n">
        <v>99.37885</v>
      </c>
      <c r="AK794" t="n">
        <v>98.15000000000001</v>
      </c>
      <c r="AL794" t="n">
        <v>98.59999999999999</v>
      </c>
      <c r="AM794" t="n">
        <v>98.78024000000001</v>
      </c>
      <c r="AN794" t="n">
        <v>98.72289000000001</v>
      </c>
      <c r="AO794" t="n">
        <v>99.9593</v>
      </c>
      <c r="AP794" t="n">
        <v>98.31374</v>
      </c>
      <c r="AQ794" t="n">
        <v>95.28082000000001</v>
      </c>
      <c r="AR794" t="n">
        <v>99.41840999999999</v>
      </c>
      <c r="AS794" t="n">
        <v>99.90313999999999</v>
      </c>
      <c r="AT794" t="n">
        <v>98.92</v>
      </c>
      <c r="AU794" t="n">
        <v>99.17158000000001</v>
      </c>
      <c r="AV794" t="n">
        <v>96.11067</v>
      </c>
      <c r="AW794" t="n">
        <v>98.60348</v>
      </c>
      <c r="AX794" t="n">
        <v>96.68053999999999</v>
      </c>
    </row>
    <row r="795">
      <c r="A795" s="92" t="n">
        <v>42036</v>
      </c>
      <c r="B795" t="n">
        <v>98.89176</v>
      </c>
      <c r="C795" t="n">
        <v>99.36324</v>
      </c>
      <c r="D795" t="n">
        <v>96.52494</v>
      </c>
      <c r="E795" t="n">
        <v>99.07822</v>
      </c>
      <c r="F795" t="n">
        <v>100.0125</v>
      </c>
      <c r="G795" t="n">
        <v>97.92894</v>
      </c>
      <c r="H795" t="n">
        <v>100.5</v>
      </c>
      <c r="I795" t="n">
        <v>98.12367</v>
      </c>
      <c r="J795" t="n">
        <v>100.2641</v>
      </c>
      <c r="K795" t="n">
        <v>99.7</v>
      </c>
      <c r="L795" t="n">
        <v>99.21653999999999</v>
      </c>
      <c r="M795" t="n">
        <v>99.8</v>
      </c>
      <c r="N795" t="n">
        <v>98.84999999999999</v>
      </c>
      <c r="O795" t="n">
        <v>98.8432</v>
      </c>
      <c r="P795" t="n">
        <v>99.72143</v>
      </c>
      <c r="Q795" t="n">
        <v>99</v>
      </c>
      <c r="R795" t="n">
        <v>99.79000000000001</v>
      </c>
      <c r="S795" t="n">
        <v>99.52</v>
      </c>
      <c r="T795" t="n">
        <v>98.81383</v>
      </c>
      <c r="U795" t="n">
        <v>99.19669</v>
      </c>
      <c r="V795" t="n">
        <v>99.5</v>
      </c>
      <c r="W795" t="n">
        <v>98.23171000000001</v>
      </c>
      <c r="X795" t="n">
        <v>99.11177000000001</v>
      </c>
      <c r="Y795" t="n">
        <v>98.22153</v>
      </c>
      <c r="Z795" t="n">
        <v>96.78036</v>
      </c>
      <c r="AA795" t="n">
        <v>99.37702</v>
      </c>
      <c r="AB795" t="n">
        <v>98.60883</v>
      </c>
      <c r="AC795" t="n">
        <v>99.09274000000001</v>
      </c>
      <c r="AD795" t="n">
        <v>99.72093</v>
      </c>
      <c r="AE795" t="n">
        <v>99.36371</v>
      </c>
      <c r="AF795" t="n">
        <v>99.71124</v>
      </c>
      <c r="AG795" t="n">
        <v>98.80370000000001</v>
      </c>
      <c r="AH795" t="n">
        <v>99.84</v>
      </c>
      <c r="AI795" t="n">
        <v>99.39297999999999</v>
      </c>
      <c r="AJ795" t="n">
        <v>99.56741</v>
      </c>
      <c r="AK795" t="n">
        <v>98.69</v>
      </c>
      <c r="AL795" t="n">
        <v>98.90000000000001</v>
      </c>
      <c r="AM795" t="n">
        <v>99.13118</v>
      </c>
      <c r="AN795" t="n">
        <v>99.14507999999999</v>
      </c>
      <c r="AO795" t="n">
        <v>99.8779</v>
      </c>
      <c r="AP795" t="n">
        <v>98.24009</v>
      </c>
      <c r="AQ795" t="n">
        <v>97.39606000000001</v>
      </c>
      <c r="AR795" t="n">
        <v>99.51174</v>
      </c>
      <c r="AS795" t="n">
        <v>99.78077999999999</v>
      </c>
      <c r="AT795" t="n">
        <v>99.15000000000001</v>
      </c>
      <c r="AU795" t="n">
        <v>99.86729</v>
      </c>
      <c r="AV795" t="n">
        <v>96.79759</v>
      </c>
      <c r="AW795" t="n">
        <v>99.03172000000001</v>
      </c>
      <c r="AX795" t="n">
        <v>97.35569</v>
      </c>
    </row>
    <row r="796">
      <c r="A796" s="92" t="n">
        <v>42064</v>
      </c>
      <c r="B796" t="n">
        <v>99.99167</v>
      </c>
      <c r="C796" t="n">
        <v>99.42271</v>
      </c>
      <c r="D796" t="n">
        <v>97.79915</v>
      </c>
      <c r="E796" t="n">
        <v>99.78931</v>
      </c>
      <c r="F796" t="n">
        <v>100.3387</v>
      </c>
      <c r="G796" t="n">
        <v>98.53909</v>
      </c>
      <c r="H796" t="n">
        <v>99.90000000000001</v>
      </c>
      <c r="I796" t="n">
        <v>98.69473000000001</v>
      </c>
      <c r="J796" t="n">
        <v>100.4125</v>
      </c>
      <c r="K796" t="n">
        <v>99.8</v>
      </c>
      <c r="L796" t="n">
        <v>99.71662000000001</v>
      </c>
      <c r="M796" t="n">
        <v>100.2</v>
      </c>
      <c r="N796" t="n">
        <v>100</v>
      </c>
      <c r="O796" t="n">
        <v>99.47375</v>
      </c>
      <c r="P796" t="n">
        <v>100.3367</v>
      </c>
      <c r="Q796" t="n">
        <v>100.01</v>
      </c>
      <c r="R796" t="n">
        <v>100.12</v>
      </c>
      <c r="S796" t="n">
        <v>100.17</v>
      </c>
      <c r="T796" t="n">
        <v>99.30981</v>
      </c>
      <c r="U796" t="n">
        <v>99.68868000000001</v>
      </c>
      <c r="V796" t="n">
        <v>99.59999999999999</v>
      </c>
      <c r="W796" t="n">
        <v>100.5494</v>
      </c>
      <c r="X796" t="n">
        <v>99.70393</v>
      </c>
      <c r="Y796" t="n">
        <v>98.38761</v>
      </c>
      <c r="Z796" t="n">
        <v>97.16289999999999</v>
      </c>
      <c r="AA796" t="n">
        <v>99.97508000000001</v>
      </c>
      <c r="AB796" t="n">
        <v>99.61219</v>
      </c>
      <c r="AC796" t="n">
        <v>99.39516</v>
      </c>
      <c r="AD796" t="n">
        <v>99.81395999999999</v>
      </c>
      <c r="AE796" t="n">
        <v>99.66913</v>
      </c>
      <c r="AF796" t="n">
        <v>99.72073</v>
      </c>
      <c r="AG796" t="n">
        <v>99.56140000000001</v>
      </c>
      <c r="AH796" t="n">
        <v>99.98</v>
      </c>
      <c r="AI796" t="n">
        <v>100.2125</v>
      </c>
      <c r="AJ796" t="n">
        <v>99.97279</v>
      </c>
      <c r="AK796" t="n">
        <v>99.75</v>
      </c>
      <c r="AL796" t="n">
        <v>99.2</v>
      </c>
      <c r="AM796" t="n">
        <v>99.63352</v>
      </c>
      <c r="AN796" t="n">
        <v>99.66322</v>
      </c>
      <c r="AO796" t="n">
        <v>100.0407</v>
      </c>
      <c r="AP796" t="n">
        <v>100.0971</v>
      </c>
      <c r="AQ796" t="n">
        <v>98.57455</v>
      </c>
      <c r="AR796" t="n">
        <v>99.60507</v>
      </c>
      <c r="AS796" t="n">
        <v>99.90313999999999</v>
      </c>
      <c r="AT796" t="n">
        <v>100.03</v>
      </c>
      <c r="AU796" t="n">
        <v>99.95027</v>
      </c>
      <c r="AV796" t="n">
        <v>97.94501</v>
      </c>
      <c r="AW796" t="n">
        <v>99.62112</v>
      </c>
      <c r="AX796" t="n">
        <v>98.57095</v>
      </c>
    </row>
    <row r="797">
      <c r="A797" s="92" t="n">
        <v>42095</v>
      </c>
      <c r="B797" t="n">
        <v>100.1917</v>
      </c>
      <c r="C797" t="n">
        <v>99.79931000000001</v>
      </c>
      <c r="D797" t="n">
        <v>98.49356</v>
      </c>
      <c r="E797" t="n">
        <v>99.7103</v>
      </c>
      <c r="F797" t="n">
        <v>100.1567</v>
      </c>
      <c r="G797" t="n">
        <v>99.11655</v>
      </c>
      <c r="H797" t="n">
        <v>99.7</v>
      </c>
      <c r="I797" t="n">
        <v>99.22499999999999</v>
      </c>
      <c r="J797" t="n">
        <v>100.334</v>
      </c>
      <c r="K797" t="n">
        <v>100.1</v>
      </c>
      <c r="L797" t="n">
        <v>100.2167</v>
      </c>
      <c r="M797" t="n">
        <v>100.3</v>
      </c>
      <c r="N797" t="n">
        <v>100.43</v>
      </c>
      <c r="O797" t="n">
        <v>100.388</v>
      </c>
      <c r="P797" t="n">
        <v>100.7981</v>
      </c>
      <c r="Q797" t="n">
        <v>100.42</v>
      </c>
      <c r="R797" t="n">
        <v>100.11</v>
      </c>
      <c r="S797" t="n">
        <v>100.28</v>
      </c>
      <c r="T797" t="n">
        <v>99.61874</v>
      </c>
      <c r="U797" t="n">
        <v>99.94556</v>
      </c>
      <c r="V797" t="n">
        <v>99.90000000000001</v>
      </c>
      <c r="W797" t="n">
        <v>101.0469</v>
      </c>
      <c r="X797" t="n">
        <v>100.074</v>
      </c>
      <c r="Y797" t="n">
        <v>98.74469000000001</v>
      </c>
      <c r="Z797" t="n">
        <v>97.92796</v>
      </c>
      <c r="AA797" t="n">
        <v>99.97508000000001</v>
      </c>
      <c r="AB797" t="n">
        <v>99.77101</v>
      </c>
      <c r="AC797" t="n">
        <v>100</v>
      </c>
      <c r="AD797" t="n">
        <v>100</v>
      </c>
      <c r="AE797" t="n">
        <v>100.1782</v>
      </c>
      <c r="AF797" t="n">
        <v>99.7513</v>
      </c>
      <c r="AG797" t="n">
        <v>100.2157</v>
      </c>
      <c r="AH797" t="n">
        <v>100.03</v>
      </c>
      <c r="AI797" t="n">
        <v>100.7893</v>
      </c>
      <c r="AJ797" t="n">
        <v>99.71396</v>
      </c>
      <c r="AK797" t="n">
        <v>100.39</v>
      </c>
      <c r="AL797" t="n">
        <v>99.59999999999999</v>
      </c>
      <c r="AM797" t="n">
        <v>99.94296</v>
      </c>
      <c r="AN797" t="n">
        <v>100.1204</v>
      </c>
      <c r="AO797" t="n">
        <v>100.4477</v>
      </c>
      <c r="AP797" t="n">
        <v>100.4215</v>
      </c>
      <c r="AQ797" t="n">
        <v>99.02799</v>
      </c>
      <c r="AR797" t="n">
        <v>99.66728999999999</v>
      </c>
      <c r="AS797" t="n">
        <v>100.0867</v>
      </c>
      <c r="AT797" t="n">
        <v>100.11</v>
      </c>
      <c r="AU797" t="n">
        <v>99.94070000000001</v>
      </c>
      <c r="AV797" t="n">
        <v>99.54142</v>
      </c>
      <c r="AW797" t="n">
        <v>99.82364</v>
      </c>
      <c r="AX797" t="n">
        <v>99.51613999999999</v>
      </c>
    </row>
    <row r="798">
      <c r="A798" s="92" t="n">
        <v>42125</v>
      </c>
      <c r="B798" t="n">
        <v>100.3916</v>
      </c>
      <c r="C798" t="n">
        <v>99.95788</v>
      </c>
      <c r="D798" t="n">
        <v>99.22230999999999</v>
      </c>
      <c r="E798" t="n">
        <v>100.2634</v>
      </c>
      <c r="F798" t="n">
        <v>100.3899</v>
      </c>
      <c r="G798" t="n">
        <v>99.29089</v>
      </c>
      <c r="H798" t="n">
        <v>99.5</v>
      </c>
      <c r="I798" t="n">
        <v>99.48605000000001</v>
      </c>
      <c r="J798" t="n">
        <v>100.0393</v>
      </c>
      <c r="K798" t="n">
        <v>100.4</v>
      </c>
      <c r="L798" t="n">
        <v>100.4167</v>
      </c>
      <c r="M798" t="n">
        <v>100.4</v>
      </c>
      <c r="N798" t="n">
        <v>100.71</v>
      </c>
      <c r="O798" t="n">
        <v>100.8676</v>
      </c>
      <c r="P798" t="n">
        <v>101.0032</v>
      </c>
      <c r="Q798" t="n">
        <v>100.7</v>
      </c>
      <c r="R798" t="n">
        <v>100.03</v>
      </c>
      <c r="S798" t="n">
        <v>100.52</v>
      </c>
      <c r="T798" t="n">
        <v>99.94913</v>
      </c>
      <c r="U798" t="n">
        <v>100.341</v>
      </c>
      <c r="V798" t="n">
        <v>100.1</v>
      </c>
      <c r="W798" t="n">
        <v>100.1993</v>
      </c>
      <c r="X798" t="n">
        <v>100.8142</v>
      </c>
      <c r="Y798" t="n">
        <v>99.23463</v>
      </c>
      <c r="Z798" t="n">
        <v>98.69302</v>
      </c>
      <c r="AA798" t="n">
        <v>100.3738</v>
      </c>
      <c r="AB798" t="n">
        <v>100.0497</v>
      </c>
      <c r="AC798" t="n">
        <v>100.2016</v>
      </c>
      <c r="AD798" t="n">
        <v>100.093</v>
      </c>
      <c r="AE798" t="n">
        <v>100.4836</v>
      </c>
      <c r="AF798" t="n">
        <v>100.0307</v>
      </c>
      <c r="AG798" t="n">
        <v>100.7132</v>
      </c>
      <c r="AH798" t="n">
        <v>100.45</v>
      </c>
      <c r="AI798" t="n">
        <v>101.3521</v>
      </c>
      <c r="AJ798" t="n">
        <v>99.21601</v>
      </c>
      <c r="AK798" t="n">
        <v>100.61</v>
      </c>
      <c r="AL798" t="n">
        <v>99.8</v>
      </c>
      <c r="AM798" t="n">
        <v>100.2674</v>
      </c>
      <c r="AN798" t="n">
        <v>100.356</v>
      </c>
      <c r="AO798" t="n">
        <v>100.4477</v>
      </c>
      <c r="AP798" t="n">
        <v>100.8495</v>
      </c>
      <c r="AQ798" t="n">
        <v>99.37459</v>
      </c>
      <c r="AR798" t="n">
        <v>99.79173</v>
      </c>
      <c r="AS798" t="n">
        <v>100.4537</v>
      </c>
      <c r="AT798" t="n">
        <v>100.88</v>
      </c>
      <c r="AU798" t="n">
        <v>100.2854</v>
      </c>
      <c r="AV798" t="n">
        <v>100.1017</v>
      </c>
      <c r="AW798" t="n">
        <v>100.3325</v>
      </c>
      <c r="AX798" t="n">
        <v>99.65118</v>
      </c>
    </row>
    <row r="799">
      <c r="A799" s="92" t="n">
        <v>42156</v>
      </c>
      <c r="B799" t="n">
        <v>100.4916</v>
      </c>
      <c r="C799" t="n">
        <v>100.1065</v>
      </c>
      <c r="D799" t="n">
        <v>100.0063</v>
      </c>
      <c r="E799" t="n">
        <v>100.5004</v>
      </c>
      <c r="F799" t="n">
        <v>100.4636</v>
      </c>
      <c r="G799" t="n">
        <v>99.77029</v>
      </c>
      <c r="H799" t="n">
        <v>99.5</v>
      </c>
      <c r="I799" t="n">
        <v>99.5921</v>
      </c>
      <c r="J799" t="n">
        <v>100.4684</v>
      </c>
      <c r="K799" t="n">
        <v>100.5</v>
      </c>
      <c r="L799" t="n">
        <v>100.4167</v>
      </c>
      <c r="M799" t="n">
        <v>100.3</v>
      </c>
      <c r="N799" t="n">
        <v>100.72</v>
      </c>
      <c r="O799" t="n">
        <v>101.1374</v>
      </c>
      <c r="P799" t="n">
        <v>100.8494</v>
      </c>
      <c r="Q799" t="n">
        <v>100.66</v>
      </c>
      <c r="R799" t="n">
        <v>100.03</v>
      </c>
      <c r="S799" t="n">
        <v>100.44</v>
      </c>
      <c r="T799" t="n">
        <v>100.1965</v>
      </c>
      <c r="U799" t="n">
        <v>100.5118</v>
      </c>
      <c r="V799" t="n">
        <v>100.1</v>
      </c>
      <c r="W799" t="n">
        <v>100.8376</v>
      </c>
      <c r="X799" t="n">
        <v>100.9622</v>
      </c>
      <c r="Y799" t="n">
        <v>99.76609999999999</v>
      </c>
      <c r="Z799" t="n">
        <v>99.84061</v>
      </c>
      <c r="AA799" t="n">
        <v>100.5731</v>
      </c>
      <c r="AB799" t="n">
        <v>100.2889</v>
      </c>
      <c r="AC799" t="n">
        <v>100.504</v>
      </c>
      <c r="AD799" t="n">
        <v>100.2791</v>
      </c>
      <c r="AE799" t="n">
        <v>100.1782</v>
      </c>
      <c r="AF799" t="n">
        <v>100.0507</v>
      </c>
      <c r="AG799" t="n">
        <v>100.6425</v>
      </c>
      <c r="AH799" t="n">
        <v>100.64</v>
      </c>
      <c r="AI799" t="n">
        <v>101.107</v>
      </c>
      <c r="AJ799" t="n">
        <v>99.38227999999999</v>
      </c>
      <c r="AK799" t="n">
        <v>100.23</v>
      </c>
      <c r="AL799" t="n">
        <v>100.1</v>
      </c>
      <c r="AM799" t="n">
        <v>100.3977</v>
      </c>
      <c r="AN799" t="n">
        <v>100.3469</v>
      </c>
      <c r="AO799" t="n">
        <v>100.4477</v>
      </c>
      <c r="AP799" t="n">
        <v>100.7689</v>
      </c>
      <c r="AQ799" t="n">
        <v>99.5634</v>
      </c>
      <c r="AR799" t="n">
        <v>99.93691</v>
      </c>
      <c r="AS799" t="n">
        <v>100.5149</v>
      </c>
      <c r="AT799" t="n">
        <v>100.79</v>
      </c>
      <c r="AU799" t="n">
        <v>99.99495</v>
      </c>
      <c r="AV799" t="n">
        <v>99.58745999999999</v>
      </c>
      <c r="AW799" t="n">
        <v>100.6839</v>
      </c>
      <c r="AX799" t="n">
        <v>100.1913</v>
      </c>
    </row>
    <row r="800">
      <c r="A800" s="92" t="n">
        <v>42186</v>
      </c>
      <c r="B800" t="n">
        <v>100.0917</v>
      </c>
      <c r="C800" t="n">
        <v>100.1065</v>
      </c>
      <c r="D800" t="n">
        <v>100.6262</v>
      </c>
      <c r="E800" t="n">
        <v>100.5794</v>
      </c>
      <c r="F800" t="n">
        <v>99.84627</v>
      </c>
      <c r="G800" t="n">
        <v>100.1843</v>
      </c>
      <c r="H800" t="n">
        <v>99.90000000000001</v>
      </c>
      <c r="I800" t="n">
        <v>99.77974</v>
      </c>
      <c r="J800" t="n">
        <v>100.0371</v>
      </c>
      <c r="K800" t="n">
        <v>100.4</v>
      </c>
      <c r="L800" t="n">
        <v>100.6168</v>
      </c>
      <c r="M800" t="n">
        <v>100.2</v>
      </c>
      <c r="N800" t="n">
        <v>100.11</v>
      </c>
      <c r="O800" t="n">
        <v>100.1985</v>
      </c>
      <c r="P800" t="n">
        <v>100.4905</v>
      </c>
      <c r="Q800" t="n">
        <v>100.14</v>
      </c>
      <c r="R800" t="n">
        <v>99.81</v>
      </c>
      <c r="S800" t="n">
        <v>100.03</v>
      </c>
      <c r="T800" t="n">
        <v>100.3307</v>
      </c>
      <c r="U800" t="n">
        <v>100.4855</v>
      </c>
      <c r="V800" t="n">
        <v>100</v>
      </c>
      <c r="W800" t="n">
        <v>99.50778</v>
      </c>
      <c r="X800" t="n">
        <v>100.9622</v>
      </c>
      <c r="Y800" t="n">
        <v>100.6962</v>
      </c>
      <c r="Z800" t="n">
        <v>100.6057</v>
      </c>
      <c r="AA800" t="n">
        <v>100.3738</v>
      </c>
      <c r="AB800" t="n">
        <v>100.4691</v>
      </c>
      <c r="AC800" t="n">
        <v>100.7056</v>
      </c>
      <c r="AD800" t="n">
        <v>100.186</v>
      </c>
      <c r="AE800" t="n">
        <v>100.0764</v>
      </c>
      <c r="AF800" t="n">
        <v>100.2309</v>
      </c>
      <c r="AG800" t="n">
        <v>100.1725</v>
      </c>
      <c r="AH800" t="n">
        <v>99.58</v>
      </c>
      <c r="AI800" t="n">
        <v>100.1158</v>
      </c>
      <c r="AJ800" t="n">
        <v>99.52798</v>
      </c>
      <c r="AK800" t="n">
        <v>101</v>
      </c>
      <c r="AL800" t="n">
        <v>100.1</v>
      </c>
      <c r="AM800" t="n">
        <v>100.3646</v>
      </c>
      <c r="AN800" t="n">
        <v>100.1927</v>
      </c>
      <c r="AO800" t="n">
        <v>100.3663</v>
      </c>
      <c r="AP800" t="n">
        <v>100.0384</v>
      </c>
      <c r="AQ800" t="n">
        <v>100.3599</v>
      </c>
      <c r="AR800" t="n">
        <v>100.1132</v>
      </c>
      <c r="AS800" t="n">
        <v>100.2702</v>
      </c>
      <c r="AT800" t="n">
        <v>99.98999999999999</v>
      </c>
      <c r="AU800" t="n">
        <v>100.0269</v>
      </c>
      <c r="AV800" t="n">
        <v>99.67573</v>
      </c>
      <c r="AW800" t="n">
        <v>100.6907</v>
      </c>
      <c r="AX800" t="n">
        <v>101.0015</v>
      </c>
    </row>
    <row r="801">
      <c r="A801" s="92" t="n">
        <v>42217</v>
      </c>
      <c r="B801" t="n">
        <v>99.89167999999999</v>
      </c>
      <c r="C801" t="n">
        <v>100.1759</v>
      </c>
      <c r="D801" t="n">
        <v>100.8476</v>
      </c>
      <c r="E801" t="n">
        <v>100.5794</v>
      </c>
      <c r="F801" t="n">
        <v>99.68617999999999</v>
      </c>
      <c r="G801" t="n">
        <v>100.8707</v>
      </c>
      <c r="H801" t="n">
        <v>100.4</v>
      </c>
      <c r="I801" t="n">
        <v>100.2611</v>
      </c>
      <c r="J801" t="n">
        <v>99.94998</v>
      </c>
      <c r="K801" t="n">
        <v>100.2</v>
      </c>
      <c r="L801" t="n">
        <v>100.6168</v>
      </c>
      <c r="M801" t="n">
        <v>100</v>
      </c>
      <c r="N801" t="n">
        <v>100.12</v>
      </c>
      <c r="O801" t="n">
        <v>99.86556</v>
      </c>
      <c r="P801" t="n">
        <v>100.1829</v>
      </c>
      <c r="Q801" t="n">
        <v>100.08</v>
      </c>
      <c r="R801" t="n">
        <v>99.98999999999999</v>
      </c>
      <c r="S801" t="n">
        <v>100.35</v>
      </c>
      <c r="T801" t="n">
        <v>100.4523</v>
      </c>
      <c r="U801" t="n">
        <v>100.4709</v>
      </c>
      <c r="V801" t="n">
        <v>100.3</v>
      </c>
      <c r="W801" t="n">
        <v>99.07301</v>
      </c>
      <c r="X801" t="n">
        <v>100.3701</v>
      </c>
      <c r="Y801" t="n">
        <v>101.0865</v>
      </c>
      <c r="Z801" t="n">
        <v>100.9882</v>
      </c>
      <c r="AA801" t="n">
        <v>100.7725</v>
      </c>
      <c r="AB801" t="n">
        <v>100.9982</v>
      </c>
      <c r="AC801" t="n">
        <v>100.504</v>
      </c>
      <c r="AD801" t="n">
        <v>100.3721</v>
      </c>
      <c r="AE801" t="n">
        <v>100.1782</v>
      </c>
      <c r="AF801" t="n">
        <v>100.3712</v>
      </c>
      <c r="AG801" t="n">
        <v>99.3416</v>
      </c>
      <c r="AH801" t="n">
        <v>100.54</v>
      </c>
      <c r="AI801" t="n">
        <v>99.58343000000001</v>
      </c>
      <c r="AJ801" t="n">
        <v>99.73795</v>
      </c>
      <c r="AK801" t="n">
        <v>100.69</v>
      </c>
      <c r="AL801" t="n">
        <v>99.90000000000001</v>
      </c>
      <c r="AM801" t="n">
        <v>100.3571</v>
      </c>
      <c r="AN801" t="n">
        <v>100.2398</v>
      </c>
      <c r="AO801" t="n">
        <v>99.9593</v>
      </c>
      <c r="AP801" t="n">
        <v>99.70302</v>
      </c>
      <c r="AQ801" t="n">
        <v>100.7112</v>
      </c>
      <c r="AR801" t="n">
        <v>100.0925</v>
      </c>
      <c r="AS801" t="n">
        <v>100.0867</v>
      </c>
      <c r="AT801" t="n">
        <v>100.11</v>
      </c>
      <c r="AU801" t="n">
        <v>99.82899</v>
      </c>
      <c r="AV801" t="n">
        <v>100.0748</v>
      </c>
      <c r="AW801" t="n">
        <v>100.5481</v>
      </c>
      <c r="AX801" t="n">
        <v>101.1365</v>
      </c>
    </row>
    <row r="802">
      <c r="A802" s="92" t="n">
        <v>42248</v>
      </c>
      <c r="B802" t="n">
        <v>100.2916</v>
      </c>
      <c r="C802" t="n">
        <v>100.2453</v>
      </c>
      <c r="D802" t="n">
        <v>101.3921</v>
      </c>
      <c r="E802" t="n">
        <v>100.4214</v>
      </c>
      <c r="F802" t="n">
        <v>99.78522</v>
      </c>
      <c r="G802" t="n">
        <v>101.3828</v>
      </c>
      <c r="H802" t="n">
        <v>100.5</v>
      </c>
      <c r="I802" t="n">
        <v>100.979</v>
      </c>
      <c r="J802" t="n">
        <v>99.68537999999999</v>
      </c>
      <c r="K802" t="n">
        <v>100</v>
      </c>
      <c r="L802" t="n">
        <v>100.4167</v>
      </c>
      <c r="M802" t="n">
        <v>100.2</v>
      </c>
      <c r="N802" t="n">
        <v>100.32</v>
      </c>
      <c r="O802" t="n">
        <v>99.55831999999999</v>
      </c>
      <c r="P802" t="n">
        <v>99.61888999999999</v>
      </c>
      <c r="Q802" t="n">
        <v>100.24</v>
      </c>
      <c r="R802" t="n">
        <v>100.13</v>
      </c>
      <c r="S802" t="n">
        <v>99.95</v>
      </c>
      <c r="T802" t="n">
        <v>100.5968</v>
      </c>
      <c r="U802" t="n">
        <v>100.32</v>
      </c>
      <c r="V802" t="n">
        <v>100.2</v>
      </c>
      <c r="W802" t="n">
        <v>100.8563</v>
      </c>
      <c r="X802" t="n">
        <v>99.70393</v>
      </c>
      <c r="Y802" t="n">
        <v>101.0366</v>
      </c>
      <c r="Z802" t="n">
        <v>101.7533</v>
      </c>
      <c r="AA802" t="n">
        <v>100.2741</v>
      </c>
      <c r="AB802" t="n">
        <v>100.6067</v>
      </c>
      <c r="AC802" t="n">
        <v>100.1008</v>
      </c>
      <c r="AD802" t="n">
        <v>100</v>
      </c>
      <c r="AE802" t="n">
        <v>100.28</v>
      </c>
      <c r="AF802" t="n">
        <v>100.1108</v>
      </c>
      <c r="AG802" t="n">
        <v>99.9515</v>
      </c>
      <c r="AH802" t="n">
        <v>100.38</v>
      </c>
      <c r="AI802" t="n">
        <v>99.44253</v>
      </c>
      <c r="AJ802" t="n">
        <v>100.1116</v>
      </c>
      <c r="AK802" t="n">
        <v>100.5</v>
      </c>
      <c r="AL802" t="n">
        <v>100.6</v>
      </c>
      <c r="AM802" t="n">
        <v>100.3013</v>
      </c>
      <c r="AN802" t="n">
        <v>100.1895</v>
      </c>
      <c r="AO802" t="n">
        <v>99.6337</v>
      </c>
      <c r="AP802" t="n">
        <v>100.4892</v>
      </c>
      <c r="AQ802" t="n">
        <v>101.2852</v>
      </c>
      <c r="AR802" t="n">
        <v>100.248</v>
      </c>
      <c r="AS802" t="n">
        <v>99.78077999999999</v>
      </c>
      <c r="AT802" t="n">
        <v>100.03</v>
      </c>
      <c r="AU802" t="n">
        <v>100.2279</v>
      </c>
      <c r="AV802" t="n">
        <v>100.969</v>
      </c>
      <c r="AW802" t="n">
        <v>100.3915</v>
      </c>
      <c r="AX802" t="n">
        <v>101.1365</v>
      </c>
    </row>
    <row r="803">
      <c r="A803" s="92" t="n">
        <v>42278</v>
      </c>
      <c r="B803" t="n">
        <v>100.1917</v>
      </c>
      <c r="C803" t="n">
        <v>100.5922</v>
      </c>
      <c r="D803" t="n">
        <v>102.2234</v>
      </c>
      <c r="E803" t="n">
        <v>100.5004</v>
      </c>
      <c r="F803" t="n">
        <v>99.86821999999999</v>
      </c>
      <c r="G803" t="n">
        <v>101.7969</v>
      </c>
      <c r="H803" t="n">
        <v>100.1</v>
      </c>
      <c r="I803" t="n">
        <v>101.6642</v>
      </c>
      <c r="J803" t="n">
        <v>99.40464</v>
      </c>
      <c r="K803" t="n">
        <v>100</v>
      </c>
      <c r="L803" t="n">
        <v>100.4167</v>
      </c>
      <c r="M803" t="n">
        <v>100.1</v>
      </c>
      <c r="N803" t="n">
        <v>100.45</v>
      </c>
      <c r="O803" t="n">
        <v>100.1964</v>
      </c>
      <c r="P803" t="n">
        <v>99.72143</v>
      </c>
      <c r="Q803" t="n">
        <v>100.35</v>
      </c>
      <c r="R803" t="n">
        <v>100.29</v>
      </c>
      <c r="S803" t="n">
        <v>100.01</v>
      </c>
      <c r="T803" t="n">
        <v>100.7905</v>
      </c>
      <c r="U803" t="n">
        <v>100.3193</v>
      </c>
      <c r="V803" t="n">
        <v>100.3</v>
      </c>
      <c r="W803" t="n">
        <v>100.7536</v>
      </c>
      <c r="X803" t="n">
        <v>100</v>
      </c>
      <c r="Y803" t="n">
        <v>100.9536</v>
      </c>
      <c r="Z803" t="n">
        <v>102.9009</v>
      </c>
      <c r="AA803" t="n">
        <v>100.0748</v>
      </c>
      <c r="AB803" t="n">
        <v>100.6616</v>
      </c>
      <c r="AC803" t="n">
        <v>100.2016</v>
      </c>
      <c r="AD803" t="n">
        <v>100.186</v>
      </c>
      <c r="AE803" t="n">
        <v>100.28</v>
      </c>
      <c r="AF803" t="n">
        <v>100.1108</v>
      </c>
      <c r="AG803" t="n">
        <v>100.4212</v>
      </c>
      <c r="AH803" t="n">
        <v>100.2</v>
      </c>
      <c r="AI803" t="n">
        <v>99.74393999999999</v>
      </c>
      <c r="AJ803" t="n">
        <v>100.6267</v>
      </c>
      <c r="AK803" t="n">
        <v>100.41</v>
      </c>
      <c r="AL803" t="n">
        <v>101</v>
      </c>
      <c r="AM803" t="n">
        <v>100.4154</v>
      </c>
      <c r="AN803" t="n">
        <v>100.4381</v>
      </c>
      <c r="AO803" t="n">
        <v>99.71510000000001</v>
      </c>
      <c r="AP803" t="n">
        <v>100.5788</v>
      </c>
      <c r="AQ803" t="n">
        <v>102.0347</v>
      </c>
      <c r="AR803" t="n">
        <v>100.4451</v>
      </c>
      <c r="AS803" t="n">
        <v>99.84196</v>
      </c>
      <c r="AT803" t="n">
        <v>100.06</v>
      </c>
      <c r="AU803" t="n">
        <v>100.3013</v>
      </c>
      <c r="AV803" t="n">
        <v>102.5385</v>
      </c>
      <c r="AW803" t="n">
        <v>100.3464</v>
      </c>
      <c r="AX803" t="n">
        <v>101.4065</v>
      </c>
    </row>
    <row r="804">
      <c r="A804" s="92" t="n">
        <v>42309</v>
      </c>
      <c r="B804" t="n">
        <v>100.2916</v>
      </c>
      <c r="C804" t="n">
        <v>100.7012</v>
      </c>
      <c r="D804" t="n">
        <v>103.2558</v>
      </c>
      <c r="E804" t="n">
        <v>100.4214</v>
      </c>
      <c r="F804" t="n">
        <v>99.79624</v>
      </c>
      <c r="G804" t="n">
        <v>101.7642</v>
      </c>
      <c r="H804" t="n">
        <v>100.1</v>
      </c>
      <c r="I804" t="n">
        <v>102.2761</v>
      </c>
      <c r="J804" t="n">
        <v>99.39497</v>
      </c>
      <c r="K804" t="n">
        <v>99.59999999999999</v>
      </c>
      <c r="L804" t="n">
        <v>99.71662000000001</v>
      </c>
      <c r="M804" t="n">
        <v>99.90000000000001</v>
      </c>
      <c r="N804" t="n">
        <v>100.01</v>
      </c>
      <c r="O804" t="n">
        <v>100.5625</v>
      </c>
      <c r="P804" t="n">
        <v>99.42406</v>
      </c>
      <c r="Q804" t="n">
        <v>99.97</v>
      </c>
      <c r="R804" t="n">
        <v>100.11</v>
      </c>
      <c r="S804" t="n">
        <v>99.81999999999999</v>
      </c>
      <c r="T804" t="n">
        <v>100.7861</v>
      </c>
      <c r="U804" t="n">
        <v>100.0519</v>
      </c>
      <c r="V804" t="n">
        <v>100.3</v>
      </c>
      <c r="W804" t="n">
        <v>99.99141</v>
      </c>
      <c r="X804" t="n">
        <v>100</v>
      </c>
      <c r="Y804" t="n">
        <v>101.1612</v>
      </c>
      <c r="Z804" t="n">
        <v>103.2834</v>
      </c>
      <c r="AA804" t="n">
        <v>99.77573</v>
      </c>
      <c r="AB804" t="n">
        <v>100.3243</v>
      </c>
      <c r="AC804" t="n">
        <v>99.79839</v>
      </c>
      <c r="AD804" t="n">
        <v>99.81395999999999</v>
      </c>
      <c r="AE804" t="n">
        <v>99.87273999999999</v>
      </c>
      <c r="AF804" t="n">
        <v>99.92103</v>
      </c>
      <c r="AG804" t="n">
        <v>100.6948</v>
      </c>
      <c r="AH804" t="n">
        <v>100.26</v>
      </c>
      <c r="AI804" t="n">
        <v>99.73081999999999</v>
      </c>
      <c r="AJ804" t="n">
        <v>101.1761</v>
      </c>
      <c r="AK804" t="n">
        <v>99.84999999999999</v>
      </c>
      <c r="AL804" t="n">
        <v>101.3</v>
      </c>
      <c r="AM804" t="n">
        <v>100.2622</v>
      </c>
      <c r="AN804" t="n">
        <v>100.2916</v>
      </c>
      <c r="AO804" t="n">
        <v>99.6337</v>
      </c>
      <c r="AP804" t="n">
        <v>100.3807</v>
      </c>
      <c r="AQ804" t="n">
        <v>102.8</v>
      </c>
      <c r="AR804" t="n">
        <v>100.5799</v>
      </c>
      <c r="AS804" t="n">
        <v>99.84196</v>
      </c>
      <c r="AT804" t="n">
        <v>100.19</v>
      </c>
      <c r="AU804" t="n">
        <v>100.129</v>
      </c>
      <c r="AV804" t="n">
        <v>103.2216</v>
      </c>
      <c r="AW804" t="n">
        <v>100.1346</v>
      </c>
      <c r="AX804" t="n">
        <v>101.5416</v>
      </c>
    </row>
    <row r="805">
      <c r="A805" s="92" t="n">
        <v>42339</v>
      </c>
      <c r="B805" t="n">
        <v>100.6916</v>
      </c>
      <c r="C805" t="n">
        <v>100.5723</v>
      </c>
      <c r="D805" t="n">
        <v>104.247</v>
      </c>
      <c r="E805" t="n">
        <v>99.94732999999999</v>
      </c>
      <c r="F805" t="n">
        <v>99.38625999999999</v>
      </c>
      <c r="G805" t="n">
        <v>101.7751</v>
      </c>
      <c r="H805" t="n">
        <v>100.6</v>
      </c>
      <c r="I805" t="n">
        <v>102.9124</v>
      </c>
      <c r="J805" t="n">
        <v>99.57997</v>
      </c>
      <c r="K805" t="n">
        <v>99.5</v>
      </c>
      <c r="L805" t="n">
        <v>99.71662000000001</v>
      </c>
      <c r="M805" t="n">
        <v>99.8</v>
      </c>
      <c r="N805" t="n">
        <v>100.03</v>
      </c>
      <c r="O805" t="n">
        <v>100.2691</v>
      </c>
      <c r="P805" t="n">
        <v>98.69601</v>
      </c>
      <c r="Q805" t="n">
        <v>99.97</v>
      </c>
      <c r="R805" t="n">
        <v>99.98999999999999</v>
      </c>
      <c r="S805" t="n">
        <v>100.04</v>
      </c>
      <c r="T805" t="n">
        <v>100.8515</v>
      </c>
      <c r="U805" t="n">
        <v>99.864</v>
      </c>
      <c r="V805" t="n">
        <v>100.4</v>
      </c>
      <c r="W805" t="n">
        <v>100.0865</v>
      </c>
      <c r="X805" t="n">
        <v>99.70393</v>
      </c>
      <c r="Y805" t="n">
        <v>102.1328</v>
      </c>
      <c r="Z805" t="n">
        <v>102.9009</v>
      </c>
      <c r="AA805" t="n">
        <v>99.67606000000001</v>
      </c>
      <c r="AB805" t="n">
        <v>100.6567</v>
      </c>
      <c r="AC805" t="n">
        <v>99.69758</v>
      </c>
      <c r="AD805" t="n">
        <v>99.81395999999999</v>
      </c>
      <c r="AE805" t="n">
        <v>99.87273999999999</v>
      </c>
      <c r="AF805" t="n">
        <v>100.2204</v>
      </c>
      <c r="AG805" t="n">
        <v>100.3518</v>
      </c>
      <c r="AH805" t="n">
        <v>99.91</v>
      </c>
      <c r="AI805" t="n">
        <v>99.40430000000001</v>
      </c>
      <c r="AJ805" t="n">
        <v>101.5883</v>
      </c>
      <c r="AK805" t="n">
        <v>99.73</v>
      </c>
      <c r="AL805" t="n">
        <v>100.9</v>
      </c>
      <c r="AM805" t="n">
        <v>100.1464</v>
      </c>
      <c r="AN805" t="n">
        <v>100.294</v>
      </c>
      <c r="AO805" t="n">
        <v>99.4709</v>
      </c>
      <c r="AP805" t="n">
        <v>100.119</v>
      </c>
      <c r="AQ805" t="n">
        <v>103.5916</v>
      </c>
      <c r="AR805" t="n">
        <v>100.5902</v>
      </c>
      <c r="AS805" t="n">
        <v>99.53607</v>
      </c>
      <c r="AT805" t="n">
        <v>99.75</v>
      </c>
      <c r="AU805" t="n">
        <v>100.2758</v>
      </c>
      <c r="AV805" t="n">
        <v>103.4365</v>
      </c>
      <c r="AW805" t="n">
        <v>99.79242000000001</v>
      </c>
      <c r="AX805" t="n">
        <v>101.8116</v>
      </c>
    </row>
    <row r="806">
      <c r="A806" s="92" t="n">
        <v>42370</v>
      </c>
      <c r="B806" t="n">
        <v>99.79169</v>
      </c>
      <c r="C806" t="n">
        <v>100.6814</v>
      </c>
      <c r="D806" t="n">
        <v>105.5709</v>
      </c>
      <c r="E806" t="n">
        <v>100.1844</v>
      </c>
      <c r="F806" t="n">
        <v>99.00013</v>
      </c>
      <c r="G806" t="n">
        <v>102.2545</v>
      </c>
      <c r="H806" t="n">
        <v>101.1</v>
      </c>
      <c r="I806" t="n">
        <v>104.2421</v>
      </c>
      <c r="J806" t="n">
        <v>100.2565</v>
      </c>
      <c r="K806" t="n">
        <v>100.1</v>
      </c>
      <c r="L806" t="n">
        <v>99.01649999999999</v>
      </c>
      <c r="M806" t="n">
        <v>99.40000000000001</v>
      </c>
      <c r="N806" t="n">
        <v>98.56</v>
      </c>
      <c r="O806" t="n">
        <v>98.35611</v>
      </c>
      <c r="P806" t="n">
        <v>98.59348</v>
      </c>
      <c r="Q806" t="n">
        <v>98.70999999999999</v>
      </c>
      <c r="R806" t="n">
        <v>99.56999999999999</v>
      </c>
      <c r="S806" t="n">
        <v>99.08</v>
      </c>
      <c r="T806" t="n">
        <v>100.8673</v>
      </c>
      <c r="U806" t="n">
        <v>99.74639000000001</v>
      </c>
      <c r="V806" t="n">
        <v>99.90000000000001</v>
      </c>
      <c r="W806" t="n">
        <v>98.14009</v>
      </c>
      <c r="X806" t="n">
        <v>99.55589000000001</v>
      </c>
      <c r="Y806" t="n">
        <v>102.6559</v>
      </c>
      <c r="Z806" t="n">
        <v>102.9009</v>
      </c>
      <c r="AA806" t="n">
        <v>98.87864999999999</v>
      </c>
      <c r="AB806" t="n">
        <v>100.0573</v>
      </c>
      <c r="AC806" t="n">
        <v>99.19355</v>
      </c>
      <c r="AD806" t="n">
        <v>99.59999999999999</v>
      </c>
      <c r="AE806" t="n">
        <v>99.46552</v>
      </c>
      <c r="AF806" t="n">
        <v>100.3912</v>
      </c>
      <c r="AG806" t="n">
        <v>100.0147</v>
      </c>
      <c r="AH806" t="n">
        <v>98.70999999999999</v>
      </c>
      <c r="AI806" t="n">
        <v>98.84610000000001</v>
      </c>
      <c r="AJ806" t="n">
        <v>101.9757</v>
      </c>
      <c r="AK806" t="n">
        <v>98.70999999999999</v>
      </c>
      <c r="AL806" t="n">
        <v>101.5</v>
      </c>
      <c r="AM806" t="n">
        <v>100.0505</v>
      </c>
      <c r="AN806" t="n">
        <v>99.82298</v>
      </c>
      <c r="AO806" t="n">
        <v>98.9825</v>
      </c>
      <c r="AP806" t="n">
        <v>99.08102</v>
      </c>
      <c r="AQ806" t="n">
        <v>104.586</v>
      </c>
      <c r="AR806" t="n">
        <v>101.928</v>
      </c>
      <c r="AS806" t="n">
        <v>99.29136</v>
      </c>
      <c r="AT806" t="n">
        <v>98.38</v>
      </c>
      <c r="AU806" t="n">
        <v>99.93112000000001</v>
      </c>
      <c r="AV806" t="n">
        <v>105.3169</v>
      </c>
      <c r="AW806" t="n">
        <v>99.95739</v>
      </c>
      <c r="AX806" t="n">
        <v>102.6218</v>
      </c>
    </row>
    <row r="807">
      <c r="A807" s="92" t="n">
        <v>42401</v>
      </c>
      <c r="B807" t="n">
        <v>99.89167999999999</v>
      </c>
      <c r="C807" t="n">
        <v>100.7408</v>
      </c>
      <c r="D807" t="n">
        <v>106.521</v>
      </c>
      <c r="E807" t="n">
        <v>100.4214</v>
      </c>
      <c r="F807" t="n">
        <v>99.18388</v>
      </c>
      <c r="G807" t="n">
        <v>102.5378</v>
      </c>
      <c r="H807" t="n">
        <v>102.7</v>
      </c>
      <c r="I807" t="n">
        <v>105.5719</v>
      </c>
      <c r="J807" t="n">
        <v>100.2318</v>
      </c>
      <c r="K807" t="n">
        <v>100.2</v>
      </c>
      <c r="L807" t="n">
        <v>99.31655000000001</v>
      </c>
      <c r="M807" t="n">
        <v>100.1</v>
      </c>
      <c r="N807" t="n">
        <v>98.73</v>
      </c>
      <c r="O807" t="n">
        <v>98.00926</v>
      </c>
      <c r="P807" t="n">
        <v>99.25999</v>
      </c>
      <c r="Q807" t="n">
        <v>98.84999999999999</v>
      </c>
      <c r="R807" t="n">
        <v>99.7</v>
      </c>
      <c r="S807" t="n">
        <v>99.33</v>
      </c>
      <c r="T807" t="n">
        <v>101.1814</v>
      </c>
      <c r="U807" t="n">
        <v>99.85935000000001</v>
      </c>
      <c r="V807" t="n">
        <v>100.1</v>
      </c>
      <c r="W807" t="n">
        <v>97.72501</v>
      </c>
      <c r="X807" t="n">
        <v>99.40783999999999</v>
      </c>
      <c r="Y807" t="n">
        <v>102.5646</v>
      </c>
      <c r="Z807" t="n">
        <v>102.1358</v>
      </c>
      <c r="AA807" t="n">
        <v>99.27735</v>
      </c>
      <c r="AB807" t="n">
        <v>100.7472</v>
      </c>
      <c r="AC807" t="n">
        <v>98.89113</v>
      </c>
      <c r="AD807" t="n">
        <v>99.40000000000001</v>
      </c>
      <c r="AE807" t="n">
        <v>99.56732</v>
      </c>
      <c r="AF807" t="n">
        <v>100.8213</v>
      </c>
      <c r="AG807" t="n">
        <v>99.6948</v>
      </c>
      <c r="AH807" t="n">
        <v>100.01</v>
      </c>
      <c r="AI807" t="n">
        <v>98.91392</v>
      </c>
      <c r="AJ807" t="n">
        <v>102.4222</v>
      </c>
      <c r="AK807" t="n">
        <v>99.3</v>
      </c>
      <c r="AL807" t="n">
        <v>102.1</v>
      </c>
      <c r="AM807" t="n">
        <v>100.1828</v>
      </c>
      <c r="AN807" t="n">
        <v>99.92019000000001</v>
      </c>
      <c r="AO807" t="n">
        <v>98.9011</v>
      </c>
      <c r="AP807" t="n">
        <v>98.63717</v>
      </c>
      <c r="AQ807" t="n">
        <v>105.2449</v>
      </c>
      <c r="AR807" t="n">
        <v>102.0732</v>
      </c>
      <c r="AS807" t="n">
        <v>99.35254</v>
      </c>
      <c r="AT807" t="n">
        <v>98.42</v>
      </c>
      <c r="AU807" t="n">
        <v>100.2534</v>
      </c>
      <c r="AV807" t="n">
        <v>105.2939</v>
      </c>
      <c r="AW807" t="n">
        <v>100.0397</v>
      </c>
      <c r="AX807" t="n">
        <v>104.1071</v>
      </c>
    </row>
    <row r="808">
      <c r="A808" s="92" t="n">
        <v>42430</v>
      </c>
      <c r="B808" t="n">
        <v>100.6916</v>
      </c>
      <c r="C808" t="n">
        <v>101.6526</v>
      </c>
      <c r="D808" t="n">
        <v>106.9789</v>
      </c>
      <c r="E808" t="n">
        <v>101.0535</v>
      </c>
      <c r="F808" t="n">
        <v>99.47507</v>
      </c>
      <c r="G808" t="n">
        <v>102.93</v>
      </c>
      <c r="H808" t="n">
        <v>102.2</v>
      </c>
      <c r="I808" t="n">
        <v>106.5671</v>
      </c>
      <c r="J808" t="n">
        <v>99.32182</v>
      </c>
      <c r="K808" t="n">
        <v>100.1</v>
      </c>
      <c r="L808" t="n">
        <v>100.0167</v>
      </c>
      <c r="M808" t="n">
        <v>100.2</v>
      </c>
      <c r="N808" t="n">
        <v>99.95999999999999</v>
      </c>
      <c r="O808" t="n">
        <v>98.63766</v>
      </c>
      <c r="P808" t="n">
        <v>100.0803</v>
      </c>
      <c r="Q808" t="n">
        <v>99.89</v>
      </c>
      <c r="R808" t="n">
        <v>100.08</v>
      </c>
      <c r="S808" t="n">
        <v>100.02</v>
      </c>
      <c r="T808" t="n">
        <v>101.5336</v>
      </c>
      <c r="U808" t="n">
        <v>100.2745</v>
      </c>
      <c r="V808" t="n">
        <v>100.4</v>
      </c>
      <c r="W808" t="n">
        <v>99.04065</v>
      </c>
      <c r="X808" t="n">
        <v>99.48186</v>
      </c>
      <c r="Y808" t="n">
        <v>102.7639</v>
      </c>
      <c r="Z808" t="n">
        <v>102.5183</v>
      </c>
      <c r="AA808" t="n">
        <v>99.67606000000001</v>
      </c>
      <c r="AB808" t="n">
        <v>101.1153</v>
      </c>
      <c r="AC808" t="n">
        <v>98.68951</v>
      </c>
      <c r="AD808" t="n">
        <v>99.59999999999999</v>
      </c>
      <c r="AE808" t="n">
        <v>99.66913</v>
      </c>
      <c r="AF808" t="n">
        <v>100.5609</v>
      </c>
      <c r="AG808" t="n">
        <v>100.7112</v>
      </c>
      <c r="AH808" t="n">
        <v>100.03</v>
      </c>
      <c r="AI808" t="n">
        <v>99.6414</v>
      </c>
      <c r="AJ808" t="n">
        <v>102.5731</v>
      </c>
      <c r="AK808" t="n">
        <v>100.31</v>
      </c>
      <c r="AL808" t="n">
        <v>102.5</v>
      </c>
      <c r="AM808" t="n">
        <v>100.5686</v>
      </c>
      <c r="AN808" t="n">
        <v>100.4004</v>
      </c>
      <c r="AO808" t="n">
        <v>98.9825</v>
      </c>
      <c r="AP808" t="n">
        <v>100.5469</v>
      </c>
      <c r="AQ808" t="n">
        <v>105.729</v>
      </c>
      <c r="AR808" t="n">
        <v>102.1872</v>
      </c>
      <c r="AS808" t="n">
        <v>99.35254</v>
      </c>
      <c r="AT808" t="n">
        <v>99.15000000000001</v>
      </c>
      <c r="AU808" t="n">
        <v>100.7513</v>
      </c>
      <c r="AV808" t="n">
        <v>105.2516</v>
      </c>
      <c r="AW808" t="n">
        <v>100.4704</v>
      </c>
      <c r="AX808" t="n">
        <v>104.9173</v>
      </c>
    </row>
    <row r="809">
      <c r="A809" s="92" t="n">
        <v>42461</v>
      </c>
      <c r="B809" t="n">
        <v>100.6916</v>
      </c>
      <c r="C809" t="n">
        <v>101.831</v>
      </c>
      <c r="D809" t="n">
        <v>107.6316</v>
      </c>
      <c r="E809" t="n">
        <v>101.3695</v>
      </c>
      <c r="F809" t="n">
        <v>99.80416</v>
      </c>
      <c r="G809" t="n">
        <v>103.2677</v>
      </c>
      <c r="H809" t="n">
        <v>102</v>
      </c>
      <c r="I809" t="n">
        <v>107.0974</v>
      </c>
      <c r="J809" t="n">
        <v>99.41325000000001</v>
      </c>
      <c r="K809" t="n">
        <v>100.7</v>
      </c>
      <c r="L809" t="n">
        <v>100.1167</v>
      </c>
      <c r="M809" t="n">
        <v>100.3</v>
      </c>
      <c r="N809" t="n">
        <v>100.17</v>
      </c>
      <c r="O809" t="n">
        <v>99.32922000000001</v>
      </c>
      <c r="P809" t="n">
        <v>100.0291</v>
      </c>
      <c r="Q809" t="n">
        <v>100.12</v>
      </c>
      <c r="R809" t="n">
        <v>100.37</v>
      </c>
      <c r="S809" t="n">
        <v>100.09</v>
      </c>
      <c r="T809" t="n">
        <v>101.8517</v>
      </c>
      <c r="U809" t="n">
        <v>100.6007</v>
      </c>
      <c r="V809" t="n">
        <v>100.6</v>
      </c>
      <c r="W809" t="n">
        <v>99.77558000000001</v>
      </c>
      <c r="X809" t="n">
        <v>100.2961</v>
      </c>
      <c r="Y809" t="n">
        <v>102.2989</v>
      </c>
      <c r="Z809" t="n">
        <v>103.6659</v>
      </c>
      <c r="AA809" t="n">
        <v>99.8754</v>
      </c>
      <c r="AB809" t="n">
        <v>101.3209</v>
      </c>
      <c r="AC809" t="n">
        <v>99.09274000000001</v>
      </c>
      <c r="AD809" t="n">
        <v>99.5</v>
      </c>
      <c r="AE809" t="n">
        <v>99.87273999999999</v>
      </c>
      <c r="AF809" t="n">
        <v>100.7507</v>
      </c>
      <c r="AG809" t="n">
        <v>101.239</v>
      </c>
      <c r="AH809" t="n">
        <v>100.1</v>
      </c>
      <c r="AI809" t="n">
        <v>99.99126</v>
      </c>
      <c r="AJ809" t="n">
        <v>102.2483</v>
      </c>
      <c r="AK809" t="n">
        <v>100.4</v>
      </c>
      <c r="AL809" t="n">
        <v>102.9</v>
      </c>
      <c r="AM809" t="n">
        <v>100.8896</v>
      </c>
      <c r="AN809" t="n">
        <v>100.6505</v>
      </c>
      <c r="AO809" t="n">
        <v>99.3081</v>
      </c>
      <c r="AP809" t="n">
        <v>100.8992</v>
      </c>
      <c r="AQ809" t="n">
        <v>106.1943</v>
      </c>
      <c r="AR809" t="n">
        <v>102.1872</v>
      </c>
      <c r="AS809" t="n">
        <v>99.65842000000001</v>
      </c>
      <c r="AT809" t="n">
        <v>99.54000000000001</v>
      </c>
      <c r="AU809" t="n">
        <v>100.7322</v>
      </c>
      <c r="AV809" t="n">
        <v>106.0767</v>
      </c>
      <c r="AW809" t="n">
        <v>100.9468</v>
      </c>
      <c r="AX809" t="n">
        <v>105.9975</v>
      </c>
    </row>
    <row r="810">
      <c r="A810" s="92" t="n">
        <v>42491</v>
      </c>
      <c r="B810" t="n">
        <v>100.9916</v>
      </c>
      <c r="C810" t="n">
        <v>102.158</v>
      </c>
      <c r="D810" t="n">
        <v>108.471</v>
      </c>
      <c r="E810" t="n">
        <v>101.7645</v>
      </c>
      <c r="F810" t="n">
        <v>99.94821</v>
      </c>
      <c r="G810" t="n">
        <v>103.4966</v>
      </c>
      <c r="H810" t="n">
        <v>101.6</v>
      </c>
      <c r="I810" t="n">
        <v>107.644</v>
      </c>
      <c r="J810" t="n">
        <v>99.60578</v>
      </c>
      <c r="K810" t="n">
        <v>100.5</v>
      </c>
      <c r="L810" t="n">
        <v>100.6168</v>
      </c>
      <c r="M810" t="n">
        <v>100.5</v>
      </c>
      <c r="N810" t="n">
        <v>100.59</v>
      </c>
      <c r="O810" t="n">
        <v>99.87197999999999</v>
      </c>
      <c r="P810" t="n">
        <v>100.0803</v>
      </c>
      <c r="Q810" t="n">
        <v>100.49</v>
      </c>
      <c r="R810" t="n">
        <v>100.34</v>
      </c>
      <c r="S810" t="n">
        <v>100.5</v>
      </c>
      <c r="T810" t="n">
        <v>102.1891</v>
      </c>
      <c r="U810" t="n">
        <v>100.9576</v>
      </c>
      <c r="V810" t="n">
        <v>100.8</v>
      </c>
      <c r="W810" t="n">
        <v>99.32848</v>
      </c>
      <c r="X810" t="n">
        <v>100.5922</v>
      </c>
      <c r="Y810" t="n">
        <v>102.5397</v>
      </c>
      <c r="Z810" t="n">
        <v>105.196</v>
      </c>
      <c r="AA810" t="n">
        <v>100.3738</v>
      </c>
      <c r="AB810" t="n">
        <v>101.7354</v>
      </c>
      <c r="AC810" t="n">
        <v>99.39516</v>
      </c>
      <c r="AD810" t="n">
        <v>99.8</v>
      </c>
      <c r="AE810" t="n">
        <v>99.97454999999999</v>
      </c>
      <c r="AF810" t="n">
        <v>100.8107</v>
      </c>
      <c r="AG810" t="n">
        <v>101.2299</v>
      </c>
      <c r="AH810" t="n">
        <v>100.42</v>
      </c>
      <c r="AI810" t="n">
        <v>100.5751</v>
      </c>
      <c r="AJ810" t="n">
        <v>101.7923</v>
      </c>
      <c r="AK810" t="n">
        <v>100.58</v>
      </c>
      <c r="AL810" t="n">
        <v>103.2</v>
      </c>
      <c r="AM810" t="n">
        <v>101.1887</v>
      </c>
      <c r="AN810" t="n">
        <v>100.9869</v>
      </c>
      <c r="AO810" t="n">
        <v>99.3895</v>
      </c>
      <c r="AP810" t="n">
        <v>101.1849</v>
      </c>
      <c r="AQ810" t="n">
        <v>106.6297</v>
      </c>
      <c r="AR810" t="n">
        <v>102.125</v>
      </c>
      <c r="AS810" t="n">
        <v>99.59724</v>
      </c>
      <c r="AT810" t="n">
        <v>100.48</v>
      </c>
      <c r="AU810" t="n">
        <v>100.9141</v>
      </c>
      <c r="AV810" t="n">
        <v>106.6907</v>
      </c>
      <c r="AW810" t="n">
        <v>101.3552</v>
      </c>
      <c r="AX810" t="n">
        <v>106.1326</v>
      </c>
    </row>
    <row r="811">
      <c r="A811" s="92" t="n">
        <v>42522</v>
      </c>
      <c r="B811" t="n">
        <v>101.0916</v>
      </c>
      <c r="C811" t="n">
        <v>102.267</v>
      </c>
      <c r="D811" t="n">
        <v>108.8506</v>
      </c>
      <c r="E811" t="n">
        <v>102.0016</v>
      </c>
      <c r="F811" t="n">
        <v>100.0878</v>
      </c>
      <c r="G811" t="n">
        <v>103.9651</v>
      </c>
      <c r="H811" t="n">
        <v>101.4</v>
      </c>
      <c r="I811" t="n">
        <v>108.1579</v>
      </c>
      <c r="J811" t="n">
        <v>99.58535000000001</v>
      </c>
      <c r="K811" t="n">
        <v>100.6</v>
      </c>
      <c r="L811" t="n">
        <v>100.7168</v>
      </c>
      <c r="M811" t="n">
        <v>100.6</v>
      </c>
      <c r="N811" t="n">
        <v>100.77</v>
      </c>
      <c r="O811" t="n">
        <v>100.3334</v>
      </c>
      <c r="P811" t="n">
        <v>100.4392</v>
      </c>
      <c r="Q811" t="n">
        <v>100.66</v>
      </c>
      <c r="R811" t="n">
        <v>100.39</v>
      </c>
      <c r="S811" t="n">
        <v>100.63</v>
      </c>
      <c r="T811" t="n">
        <v>102.4207</v>
      </c>
      <c r="U811" t="n">
        <v>101.1769</v>
      </c>
      <c r="V811" t="n">
        <v>101</v>
      </c>
      <c r="W811" t="n">
        <v>100.1207</v>
      </c>
      <c r="X811" t="n">
        <v>100.8142</v>
      </c>
      <c r="Y811" t="n">
        <v>103.2123</v>
      </c>
      <c r="Z811" t="n">
        <v>105.9611</v>
      </c>
      <c r="AA811" t="n">
        <v>101.0715</v>
      </c>
      <c r="AB811" t="n">
        <v>101.9228</v>
      </c>
      <c r="AC811" t="n">
        <v>99.69758</v>
      </c>
      <c r="AD811" t="n">
        <v>99.90000000000001</v>
      </c>
      <c r="AE811" t="n">
        <v>99.87273999999999</v>
      </c>
      <c r="AF811" t="n">
        <v>100.7907</v>
      </c>
      <c r="AG811" t="n">
        <v>101.3439</v>
      </c>
      <c r="AH811" t="n">
        <v>100.66</v>
      </c>
      <c r="AI811" t="n">
        <v>100.5643</v>
      </c>
      <c r="AJ811" t="n">
        <v>101.9046</v>
      </c>
      <c r="AK811" t="n">
        <v>100.26</v>
      </c>
      <c r="AL811" t="n">
        <v>103.8</v>
      </c>
      <c r="AM811" t="n">
        <v>101.4065</v>
      </c>
      <c r="AN811" t="n">
        <v>101.1832</v>
      </c>
      <c r="AO811" t="n">
        <v>99.5523</v>
      </c>
      <c r="AP811" t="n">
        <v>101.3192</v>
      </c>
      <c r="AQ811" t="n">
        <v>107.0135</v>
      </c>
      <c r="AR811" t="n">
        <v>102.1976</v>
      </c>
      <c r="AS811" t="n">
        <v>99.7196</v>
      </c>
      <c r="AT811" t="n">
        <v>101.03</v>
      </c>
      <c r="AU811" t="n">
        <v>101.0194</v>
      </c>
      <c r="AV811" t="n">
        <v>107.1934</v>
      </c>
      <c r="AW811" t="n">
        <v>101.6881</v>
      </c>
      <c r="AX811" t="n">
        <v>106.6727</v>
      </c>
    </row>
    <row r="812">
      <c r="A812" s="92" t="n">
        <v>42552</v>
      </c>
      <c r="B812" t="n">
        <v>100.6916</v>
      </c>
      <c r="C812" t="n">
        <v>102.386</v>
      </c>
      <c r="D812" t="n">
        <v>109.4167</v>
      </c>
      <c r="E812" t="n">
        <v>101.8436</v>
      </c>
      <c r="F812" t="n">
        <v>99.64368</v>
      </c>
      <c r="G812" t="n">
        <v>104.2157</v>
      </c>
      <c r="H812" t="n">
        <v>101.6</v>
      </c>
      <c r="I812" t="n">
        <v>108.7208</v>
      </c>
      <c r="J812" t="n">
        <v>100.5125</v>
      </c>
      <c r="K812" t="n">
        <v>100.9</v>
      </c>
      <c r="L812" t="n">
        <v>101.1169</v>
      </c>
      <c r="M812" t="n">
        <v>100.5</v>
      </c>
      <c r="N812" t="n">
        <v>100.28</v>
      </c>
      <c r="O812" t="n">
        <v>99.60328</v>
      </c>
      <c r="P812" t="n">
        <v>100.4392</v>
      </c>
      <c r="Q812" t="n">
        <v>100.24</v>
      </c>
      <c r="R812" t="n">
        <v>100.32</v>
      </c>
      <c r="S812" t="n">
        <v>100.25</v>
      </c>
      <c r="T812" t="n">
        <v>102.5356</v>
      </c>
      <c r="U812" t="n">
        <v>101.0687</v>
      </c>
      <c r="V812" t="n">
        <v>100.9</v>
      </c>
      <c r="W812" t="n">
        <v>98.46955</v>
      </c>
      <c r="X812" t="n">
        <v>100.5922</v>
      </c>
      <c r="Y812" t="n">
        <v>103.9265</v>
      </c>
      <c r="Z812" t="n">
        <v>107.1087</v>
      </c>
      <c r="AA812" t="n">
        <v>100.8722</v>
      </c>
      <c r="AB812" t="n">
        <v>101.6067</v>
      </c>
      <c r="AC812" t="n">
        <v>100.1008</v>
      </c>
      <c r="AD812" t="n">
        <v>100.1</v>
      </c>
      <c r="AE812" t="n">
        <v>99.66913</v>
      </c>
      <c r="AF812" t="n">
        <v>100.601</v>
      </c>
      <c r="AG812" t="n">
        <v>100.6338</v>
      </c>
      <c r="AH812" t="n">
        <v>99.55</v>
      </c>
      <c r="AI812" t="n">
        <v>100.2387</v>
      </c>
      <c r="AJ812" t="n">
        <v>102.1703</v>
      </c>
      <c r="AK812" t="n">
        <v>100.76</v>
      </c>
      <c r="AL812" t="n">
        <v>104.5</v>
      </c>
      <c r="AM812" t="n">
        <v>101.361</v>
      </c>
      <c r="AN812" t="n">
        <v>101.2089</v>
      </c>
      <c r="AO812" t="n">
        <v>99.22669999999999</v>
      </c>
      <c r="AP812" t="n">
        <v>100.6494</v>
      </c>
      <c r="AQ812" t="n">
        <v>107.5914</v>
      </c>
      <c r="AR812" t="n">
        <v>102.3739</v>
      </c>
      <c r="AS812" t="n">
        <v>99.35254</v>
      </c>
      <c r="AT812" t="n">
        <v>100.2</v>
      </c>
      <c r="AU812" t="n">
        <v>101.08</v>
      </c>
      <c r="AV812" t="n">
        <v>108.4406</v>
      </c>
      <c r="AW812" t="n">
        <v>101.5235</v>
      </c>
      <c r="AX812" t="n">
        <v>107.6179</v>
      </c>
    </row>
    <row r="813">
      <c r="A813" s="92" t="n">
        <v>42583</v>
      </c>
      <c r="B813" t="n">
        <v>100.4916</v>
      </c>
      <c r="C813" t="n">
        <v>102.3364</v>
      </c>
      <c r="D813" t="n">
        <v>109.8981</v>
      </c>
      <c r="E813" t="n">
        <v>101.6855</v>
      </c>
      <c r="F813" t="n">
        <v>99.54353999999999</v>
      </c>
      <c r="G813" t="n">
        <v>104.2701</v>
      </c>
      <c r="H813" t="n">
        <v>101.7</v>
      </c>
      <c r="I813" t="n">
        <v>108.3782</v>
      </c>
      <c r="J813" t="n">
        <v>100.5448</v>
      </c>
      <c r="K813" t="n">
        <v>100.8</v>
      </c>
      <c r="L813" t="n">
        <v>101.0168</v>
      </c>
      <c r="M813" t="n">
        <v>100.2</v>
      </c>
      <c r="N813" t="n">
        <v>100.34</v>
      </c>
      <c r="O813" t="n">
        <v>99.73174</v>
      </c>
      <c r="P813" t="n">
        <v>100.4905</v>
      </c>
      <c r="Q813" t="n">
        <v>100.25</v>
      </c>
      <c r="R813" t="n">
        <v>100.37</v>
      </c>
      <c r="S813" t="n">
        <v>100.58</v>
      </c>
      <c r="T813" t="n">
        <v>102.5363</v>
      </c>
      <c r="U813" t="n">
        <v>101.1585</v>
      </c>
      <c r="V813" t="n">
        <v>101.2</v>
      </c>
      <c r="W813" t="n">
        <v>98.13388999999999</v>
      </c>
      <c r="X813" t="n">
        <v>100.2221</v>
      </c>
      <c r="Y813" t="n">
        <v>103.9099</v>
      </c>
      <c r="Z813" t="n">
        <v>106.3436</v>
      </c>
      <c r="AA813" t="n">
        <v>100.6728</v>
      </c>
      <c r="AB813" t="n">
        <v>101.9665</v>
      </c>
      <c r="AC813" t="n">
        <v>99.79839</v>
      </c>
      <c r="AD813" t="n">
        <v>100.3</v>
      </c>
      <c r="AE813" t="n">
        <v>99.66913</v>
      </c>
      <c r="AF813" t="n">
        <v>100.8603</v>
      </c>
      <c r="AG813" t="n">
        <v>100.1629</v>
      </c>
      <c r="AH813" t="n">
        <v>100.7</v>
      </c>
      <c r="AI813" t="n">
        <v>99.55920999999999</v>
      </c>
      <c r="AJ813" t="n">
        <v>102.4582</v>
      </c>
      <c r="AK813" t="n">
        <v>100.88</v>
      </c>
      <c r="AL813" t="n">
        <v>103.9</v>
      </c>
      <c r="AM813" t="n">
        <v>101.4182</v>
      </c>
      <c r="AN813" t="n">
        <v>101.2378</v>
      </c>
      <c r="AO813" t="n">
        <v>99.0639</v>
      </c>
      <c r="AP813" t="n">
        <v>100.4245</v>
      </c>
      <c r="AQ813" t="n">
        <v>107.6022</v>
      </c>
      <c r="AR813" t="n">
        <v>102.1561</v>
      </c>
      <c r="AS813" t="n">
        <v>99.23018</v>
      </c>
      <c r="AT813" t="n">
        <v>100.16</v>
      </c>
      <c r="AU813" t="n">
        <v>100.9683</v>
      </c>
      <c r="AV813" t="n">
        <v>108.1259</v>
      </c>
      <c r="AW813" t="n">
        <v>101.6168</v>
      </c>
      <c r="AX813" t="n">
        <v>107.4828</v>
      </c>
    </row>
    <row r="814">
      <c r="A814" s="92" t="n">
        <v>42614</v>
      </c>
      <c r="B814" t="n">
        <v>101.1916</v>
      </c>
      <c r="C814" t="n">
        <v>102.1184</v>
      </c>
      <c r="D814" t="n">
        <v>109.9861</v>
      </c>
      <c r="E814" t="n">
        <v>101.7645</v>
      </c>
      <c r="F814" t="n">
        <v>99.60408</v>
      </c>
      <c r="G814" t="n">
        <v>104.5207</v>
      </c>
      <c r="H814" t="n">
        <v>102.4</v>
      </c>
      <c r="I814" t="n">
        <v>108.3211</v>
      </c>
      <c r="J814" t="n">
        <v>100.0704</v>
      </c>
      <c r="K814" t="n">
        <v>100.5</v>
      </c>
      <c r="L814" t="n">
        <v>101.0168</v>
      </c>
      <c r="M814" t="n">
        <v>100.2</v>
      </c>
      <c r="N814" t="n">
        <v>100.72</v>
      </c>
      <c r="O814" t="n">
        <v>99.73602</v>
      </c>
      <c r="P814" t="n">
        <v>100.6956</v>
      </c>
      <c r="Q814" t="n">
        <v>100.56</v>
      </c>
      <c r="R814" t="n">
        <v>100.54</v>
      </c>
      <c r="S814" t="n">
        <v>100.34</v>
      </c>
      <c r="T814" t="n">
        <v>102.787</v>
      </c>
      <c r="U814" t="n">
        <v>101.3062</v>
      </c>
      <c r="V814" t="n">
        <v>101.5</v>
      </c>
      <c r="W814" t="n">
        <v>99.87823</v>
      </c>
      <c r="X814" t="n">
        <v>100.3701</v>
      </c>
      <c r="Y814" t="n">
        <v>104.1424</v>
      </c>
      <c r="Z814" t="n">
        <v>105.9611</v>
      </c>
      <c r="AA814" t="n">
        <v>100.2741</v>
      </c>
      <c r="AB814" t="n">
        <v>102.457</v>
      </c>
      <c r="AC814" t="n">
        <v>99.69758</v>
      </c>
      <c r="AD814" t="n">
        <v>100.1</v>
      </c>
      <c r="AE814" t="n">
        <v>99.77094</v>
      </c>
      <c r="AF814" t="n">
        <v>101.4612</v>
      </c>
      <c r="AG814" t="n">
        <v>100.7892</v>
      </c>
      <c r="AH814" t="n">
        <v>100.75</v>
      </c>
      <c r="AI814" t="n">
        <v>100.0139</v>
      </c>
      <c r="AJ814" t="n">
        <v>103.0839</v>
      </c>
      <c r="AK814" t="n">
        <v>100.57</v>
      </c>
      <c r="AL814" t="n">
        <v>104.2</v>
      </c>
      <c r="AM814" t="n">
        <v>101.5898</v>
      </c>
      <c r="AN814" t="n">
        <v>101.2921</v>
      </c>
      <c r="AO814" t="n">
        <v>99.0639</v>
      </c>
      <c r="AP814" t="n">
        <v>101.1222</v>
      </c>
      <c r="AQ814" t="n">
        <v>107.7851</v>
      </c>
      <c r="AR814" t="n">
        <v>102.1561</v>
      </c>
      <c r="AS814" t="n">
        <v>99.29136</v>
      </c>
      <c r="AT814" t="n">
        <v>100.24</v>
      </c>
      <c r="AU814" t="n">
        <v>101.1375</v>
      </c>
      <c r="AV814" t="n">
        <v>108.3217</v>
      </c>
      <c r="AW814" t="n">
        <v>101.861</v>
      </c>
      <c r="AX814" t="n">
        <v>107.6179</v>
      </c>
    </row>
    <row r="815">
      <c r="A815" s="92" t="n">
        <v>42644</v>
      </c>
      <c r="B815" t="n">
        <v>101.4915</v>
      </c>
      <c r="C815" t="n">
        <v>102.4157</v>
      </c>
      <c r="D815" t="n">
        <v>110.2721</v>
      </c>
      <c r="E815" t="n">
        <v>102.0016</v>
      </c>
      <c r="F815" t="n">
        <v>99.65571</v>
      </c>
      <c r="G815" t="n">
        <v>104.6951</v>
      </c>
      <c r="H815" t="n">
        <v>102.3</v>
      </c>
      <c r="I815" t="n">
        <v>108.2558</v>
      </c>
      <c r="J815" t="n">
        <v>99.95321</v>
      </c>
      <c r="K815" t="n">
        <v>100.8</v>
      </c>
      <c r="L815" t="n">
        <v>101.2169</v>
      </c>
      <c r="M815" t="n">
        <v>100.4</v>
      </c>
      <c r="N815" t="n">
        <v>100.96</v>
      </c>
      <c r="O815" t="n">
        <v>100.8761</v>
      </c>
      <c r="P815" t="n">
        <v>100.3367</v>
      </c>
      <c r="Q815" t="n">
        <v>100.82</v>
      </c>
      <c r="R815" t="n">
        <v>100.75</v>
      </c>
      <c r="S815" t="n">
        <v>100.37</v>
      </c>
      <c r="T815" t="n">
        <v>103.0317</v>
      </c>
      <c r="U815" t="n">
        <v>101.4842</v>
      </c>
      <c r="V815" t="n">
        <v>101.6</v>
      </c>
      <c r="W815" t="n">
        <v>100.2672</v>
      </c>
      <c r="X815" t="n">
        <v>100.9622</v>
      </c>
      <c r="Y815" t="n">
        <v>104.2919</v>
      </c>
      <c r="Z815" t="n">
        <v>106.3436</v>
      </c>
      <c r="AA815" t="n">
        <v>99.77573</v>
      </c>
      <c r="AB815" t="n">
        <v>102.4539</v>
      </c>
      <c r="AC815" t="n">
        <v>99.89919</v>
      </c>
      <c r="AD815" t="n">
        <v>100</v>
      </c>
      <c r="AE815" t="n">
        <v>100.3818</v>
      </c>
      <c r="AF815" t="n">
        <v>101.6003</v>
      </c>
      <c r="AG815" t="n">
        <v>101.322</v>
      </c>
      <c r="AH815" t="n">
        <v>100.72</v>
      </c>
      <c r="AI815" t="n">
        <v>100.7835</v>
      </c>
      <c r="AJ815" t="n">
        <v>103.7095</v>
      </c>
      <c r="AK815" t="n">
        <v>100.83</v>
      </c>
      <c r="AL815" t="n">
        <v>104.7</v>
      </c>
      <c r="AM815" t="n">
        <v>101.8733</v>
      </c>
      <c r="AN815" t="n">
        <v>101.6451</v>
      </c>
      <c r="AO815" t="n">
        <v>99.5523</v>
      </c>
      <c r="AP815" t="n">
        <v>101.4685</v>
      </c>
      <c r="AQ815" t="n">
        <v>108.2486</v>
      </c>
      <c r="AR815" t="n">
        <v>102.0109</v>
      </c>
      <c r="AS815" t="n">
        <v>99.53607</v>
      </c>
      <c r="AT815" t="n">
        <v>100.69</v>
      </c>
      <c r="AU815" t="n">
        <v>101.4853</v>
      </c>
      <c r="AV815" t="n">
        <v>109.8797</v>
      </c>
      <c r="AW815" t="n">
        <v>101.988</v>
      </c>
      <c r="AX815" t="n">
        <v>108.158</v>
      </c>
    </row>
    <row r="816">
      <c r="A816" s="92" t="n">
        <v>42675</v>
      </c>
      <c r="B816" t="n">
        <v>101.5915</v>
      </c>
      <c r="C816" t="n">
        <v>102.4851</v>
      </c>
      <c r="D816" t="n">
        <v>110.4707</v>
      </c>
      <c r="E816" t="n">
        <v>101.6065</v>
      </c>
      <c r="F816" t="n">
        <v>99.45873</v>
      </c>
      <c r="G816" t="n">
        <v>104.7495</v>
      </c>
      <c r="H816" t="n">
        <v>102.4</v>
      </c>
      <c r="I816" t="n">
        <v>108.3782</v>
      </c>
      <c r="J816" t="n">
        <v>99.95213</v>
      </c>
      <c r="K816" t="n">
        <v>101.2</v>
      </c>
      <c r="L816" t="n">
        <v>100.5168</v>
      </c>
      <c r="M816" t="n">
        <v>100.3</v>
      </c>
      <c r="N816" t="n">
        <v>100.6</v>
      </c>
      <c r="O816" t="n">
        <v>101.2423</v>
      </c>
      <c r="P816" t="n">
        <v>100.4392</v>
      </c>
      <c r="Q816" t="n">
        <v>100.53</v>
      </c>
      <c r="R816" t="n">
        <v>100.77</v>
      </c>
      <c r="S816" t="n">
        <v>100.35</v>
      </c>
      <c r="T816" t="n">
        <v>102.982</v>
      </c>
      <c r="U816" t="n">
        <v>101.3257</v>
      </c>
      <c r="V816" t="n">
        <v>101.8</v>
      </c>
      <c r="W816" t="n">
        <v>99.10326000000001</v>
      </c>
      <c r="X816" t="n">
        <v>101.0363</v>
      </c>
      <c r="Y816" t="n">
        <v>104.7818</v>
      </c>
      <c r="Z816" t="n">
        <v>105.9611</v>
      </c>
      <c r="AA816" t="n">
        <v>99.67606000000001</v>
      </c>
      <c r="AB816" t="n">
        <v>102.4179</v>
      </c>
      <c r="AC816" t="n">
        <v>99.49596</v>
      </c>
      <c r="AD816" t="n">
        <v>99.90000000000001</v>
      </c>
      <c r="AE816" t="n">
        <v>100.3818</v>
      </c>
      <c r="AF816" t="n">
        <v>101.4506</v>
      </c>
      <c r="AG816" t="n">
        <v>101.6577</v>
      </c>
      <c r="AH816" t="n">
        <v>100.8</v>
      </c>
      <c r="AI816" t="n">
        <v>100.9886</v>
      </c>
      <c r="AJ816" t="n">
        <v>104.5203</v>
      </c>
      <c r="AK816" t="n">
        <v>100.49</v>
      </c>
      <c r="AL816" t="n">
        <v>104.9</v>
      </c>
      <c r="AM816" t="n">
        <v>101.8083</v>
      </c>
      <c r="AN816" t="n">
        <v>101.5904</v>
      </c>
      <c r="AO816" t="n">
        <v>99.6337</v>
      </c>
      <c r="AP816" t="n">
        <v>100.958</v>
      </c>
      <c r="AQ816" t="n">
        <v>108.7248</v>
      </c>
      <c r="AR816" t="n">
        <v>101.8658</v>
      </c>
      <c r="AS816" t="n">
        <v>99.65842000000001</v>
      </c>
      <c r="AT816" t="n">
        <v>100.8</v>
      </c>
      <c r="AU816" t="n">
        <v>101.5172</v>
      </c>
      <c r="AV816" t="n">
        <v>110.4476</v>
      </c>
      <c r="AW816" t="n">
        <v>101.8294</v>
      </c>
      <c r="AX816" t="n">
        <v>108.5631</v>
      </c>
    </row>
    <row r="817">
      <c r="A817" s="92" t="n">
        <v>42705</v>
      </c>
      <c r="B817" t="n">
        <v>102.0915</v>
      </c>
      <c r="C817" t="n">
        <v>102.6139</v>
      </c>
      <c r="D817" t="n">
        <v>110.802</v>
      </c>
      <c r="E817" t="n">
        <v>101.4485</v>
      </c>
      <c r="F817" t="n">
        <v>99.37954999999999</v>
      </c>
      <c r="G817" t="n">
        <v>104.5316</v>
      </c>
      <c r="H817" t="n">
        <v>102.6</v>
      </c>
      <c r="I817" t="n">
        <v>108.8269</v>
      </c>
      <c r="J817" t="n">
        <v>100.3426</v>
      </c>
      <c r="K817" t="n">
        <v>101.5</v>
      </c>
      <c r="L817" t="n">
        <v>101.2169</v>
      </c>
      <c r="M817" t="n">
        <v>100.3</v>
      </c>
      <c r="N817" t="n">
        <v>101.13</v>
      </c>
      <c r="O817" t="n">
        <v>101.8418</v>
      </c>
      <c r="P817" t="n">
        <v>100.9007</v>
      </c>
      <c r="Q817" t="n">
        <v>101.04</v>
      </c>
      <c r="R817" t="n">
        <v>101.02</v>
      </c>
      <c r="S817" t="n">
        <v>100.65</v>
      </c>
      <c r="T817" t="n">
        <v>103.1375</v>
      </c>
      <c r="U817" t="n">
        <v>101.443</v>
      </c>
      <c r="V817" t="n">
        <v>102.2</v>
      </c>
      <c r="W817" t="n">
        <v>100.1095</v>
      </c>
      <c r="X817" t="n">
        <v>101.4064</v>
      </c>
      <c r="Y817" t="n">
        <v>105.2219</v>
      </c>
      <c r="Z817" t="n">
        <v>105.196</v>
      </c>
      <c r="AA817" t="n">
        <v>99.67606000000001</v>
      </c>
      <c r="AB817" t="n">
        <v>102.5623</v>
      </c>
      <c r="AC817" t="n">
        <v>99.49596</v>
      </c>
      <c r="AD817" t="n">
        <v>100.3</v>
      </c>
      <c r="AE817" t="n">
        <v>100.1782</v>
      </c>
      <c r="AF817" t="n">
        <v>101.5613</v>
      </c>
      <c r="AG817" t="n">
        <v>102.0671</v>
      </c>
      <c r="AH817" t="n">
        <v>101.04</v>
      </c>
      <c r="AI817" t="n">
        <v>101.5716</v>
      </c>
      <c r="AJ817" t="n">
        <v>105.002</v>
      </c>
      <c r="AK817" t="n">
        <v>100.71</v>
      </c>
      <c r="AL817" t="n">
        <v>104.4</v>
      </c>
      <c r="AM817" t="n">
        <v>102.0262</v>
      </c>
      <c r="AN817" t="n">
        <v>102.144</v>
      </c>
      <c r="AO817" t="n">
        <v>100.3663</v>
      </c>
      <c r="AP817" t="n">
        <v>100.9978</v>
      </c>
      <c r="AQ817" t="n">
        <v>109.1597</v>
      </c>
      <c r="AR817" t="n">
        <v>101.565</v>
      </c>
      <c r="AS817" t="n">
        <v>99.7196</v>
      </c>
      <c r="AT817" t="n">
        <v>100.26</v>
      </c>
      <c r="AU817" t="n">
        <v>102.0215</v>
      </c>
      <c r="AV817" t="n">
        <v>112.2628</v>
      </c>
      <c r="AW817" t="n">
        <v>101.8627</v>
      </c>
      <c r="AX817" t="n">
        <v>108.9682</v>
      </c>
    </row>
    <row r="818">
      <c r="A818" s="92" t="n">
        <v>42736</v>
      </c>
      <c r="B818" t="n">
        <v>101.7915</v>
      </c>
      <c r="C818" t="n">
        <v>103.3473</v>
      </c>
      <c r="D818" t="n">
        <v>111.2231</v>
      </c>
      <c r="E818" t="n">
        <v>102.3176</v>
      </c>
      <c r="F818" t="n">
        <v>99.34556000000001</v>
      </c>
      <c r="G818" t="n">
        <v>105.0982</v>
      </c>
      <c r="H818" t="n">
        <v>103.7</v>
      </c>
      <c r="I818" t="n">
        <v>109.9445</v>
      </c>
      <c r="J818" t="n">
        <v>100.9137</v>
      </c>
      <c r="K818" t="n">
        <v>102.3</v>
      </c>
      <c r="L818" t="n">
        <v>100.6168</v>
      </c>
      <c r="M818" t="n">
        <v>100.3</v>
      </c>
      <c r="N818" t="n">
        <v>100.26</v>
      </c>
      <c r="O818" t="n">
        <v>101.2819</v>
      </c>
      <c r="P818" t="n">
        <v>101.3108</v>
      </c>
      <c r="Q818" t="n">
        <v>100.35</v>
      </c>
      <c r="R818" t="n">
        <v>100.41</v>
      </c>
      <c r="S818" t="n">
        <v>100.41</v>
      </c>
      <c r="T818" t="n">
        <v>103.4751</v>
      </c>
      <c r="U818" t="n">
        <v>101.7045</v>
      </c>
      <c r="V818" t="n">
        <v>101.8</v>
      </c>
      <c r="W818" t="n">
        <v>99.27901</v>
      </c>
      <c r="X818" t="n">
        <v>101.8505</v>
      </c>
      <c r="Y818" t="n">
        <v>106.2433</v>
      </c>
      <c r="Z818" t="n">
        <v>104.8135</v>
      </c>
      <c r="AA818" t="n">
        <v>99.17767000000001</v>
      </c>
      <c r="AB818" t="n">
        <v>101.9763</v>
      </c>
      <c r="AC818" t="n">
        <v>99.29436</v>
      </c>
      <c r="AD818" t="n">
        <v>100.6</v>
      </c>
      <c r="AE818" t="n">
        <v>99.97454999999999</v>
      </c>
      <c r="AF818" t="n">
        <v>102.6408</v>
      </c>
      <c r="AG818" t="n">
        <v>102.3231</v>
      </c>
      <c r="AH818" t="n">
        <v>100.39</v>
      </c>
      <c r="AI818" t="n">
        <v>101.7133</v>
      </c>
      <c r="AJ818" t="n">
        <v>106.7872</v>
      </c>
      <c r="AK818" t="n">
        <v>100.35</v>
      </c>
      <c r="AL818" t="n">
        <v>104.3</v>
      </c>
      <c r="AM818" t="n">
        <v>102.4101</v>
      </c>
      <c r="AN818" t="n">
        <v>102.1462</v>
      </c>
      <c r="AO818" t="n">
        <v>100.7733</v>
      </c>
      <c r="AP818" t="n">
        <v>100.3997</v>
      </c>
      <c r="AQ818" t="n">
        <v>109.8365</v>
      </c>
      <c r="AR818" t="n">
        <v>101.3887</v>
      </c>
      <c r="AS818" t="n">
        <v>99.96431</v>
      </c>
      <c r="AT818" t="n">
        <v>99.66</v>
      </c>
      <c r="AU818" t="n">
        <v>101.3257</v>
      </c>
      <c r="AV818" t="n">
        <v>115.0258</v>
      </c>
      <c r="AW818" t="n">
        <v>102.4564</v>
      </c>
      <c r="AX818" t="n">
        <v>109.6433</v>
      </c>
    </row>
    <row r="819">
      <c r="A819" s="92" t="n">
        <v>42767</v>
      </c>
      <c r="B819" t="n">
        <v>102.0915</v>
      </c>
      <c r="C819" t="n">
        <v>103.7338</v>
      </c>
      <c r="D819" t="n">
        <v>111.5902</v>
      </c>
      <c r="E819" t="n">
        <v>102.4756</v>
      </c>
      <c r="F819" t="n">
        <v>99.82462</v>
      </c>
      <c r="G819" t="n">
        <v>105.3488</v>
      </c>
      <c r="H819" t="n">
        <v>103.5</v>
      </c>
      <c r="I819" t="n">
        <v>111.0458</v>
      </c>
      <c r="J819" t="n">
        <v>101.3203</v>
      </c>
      <c r="K819" t="n">
        <v>102.7</v>
      </c>
      <c r="L819" t="n">
        <v>101.2169</v>
      </c>
      <c r="M819" t="n">
        <v>101.1</v>
      </c>
      <c r="N819" t="n">
        <v>100.66</v>
      </c>
      <c r="O819" t="n">
        <v>100.9179</v>
      </c>
      <c r="P819" t="n">
        <v>102.6439</v>
      </c>
      <c r="Q819" t="n">
        <v>100.75</v>
      </c>
      <c r="R819" t="n">
        <v>100.92</v>
      </c>
      <c r="S819" t="n">
        <v>100.53</v>
      </c>
      <c r="T819" t="n">
        <v>103.7087</v>
      </c>
      <c r="U819" t="n">
        <v>102.008</v>
      </c>
      <c r="V819" t="n">
        <v>102.4</v>
      </c>
      <c r="W819" t="n">
        <v>98.99581000000001</v>
      </c>
      <c r="X819" t="n">
        <v>102.2206</v>
      </c>
      <c r="Y819" t="n">
        <v>106.4925</v>
      </c>
      <c r="Z819" t="n">
        <v>104.8135</v>
      </c>
      <c r="AA819" t="n">
        <v>99.77573</v>
      </c>
      <c r="AB819" t="n">
        <v>102.7101</v>
      </c>
      <c r="AC819" t="n">
        <v>99.29436</v>
      </c>
      <c r="AD819" t="n">
        <v>101</v>
      </c>
      <c r="AE819" t="n">
        <v>99.87273999999999</v>
      </c>
      <c r="AF819" t="n">
        <v>102.9212</v>
      </c>
      <c r="AG819" t="n">
        <v>102.6767</v>
      </c>
      <c r="AH819" t="n">
        <v>101.77</v>
      </c>
      <c r="AI819" t="n">
        <v>102.1341</v>
      </c>
      <c r="AJ819" t="n">
        <v>107.4043</v>
      </c>
      <c r="AK819" t="n">
        <v>101.09</v>
      </c>
      <c r="AL819" t="n">
        <v>104.7</v>
      </c>
      <c r="AM819" t="n">
        <v>102.7381</v>
      </c>
      <c r="AN819" t="n">
        <v>102.5617</v>
      </c>
      <c r="AO819" t="n">
        <v>101.0989</v>
      </c>
      <c r="AP819" t="n">
        <v>100.1688</v>
      </c>
      <c r="AQ819" t="n">
        <v>110.0782</v>
      </c>
      <c r="AR819" t="n">
        <v>101.4924</v>
      </c>
      <c r="AS819" t="n">
        <v>100.4537</v>
      </c>
      <c r="AT819" t="n">
        <v>100.64</v>
      </c>
      <c r="AU819" t="n">
        <v>102.0374</v>
      </c>
      <c r="AV819" t="n">
        <v>115.9583</v>
      </c>
      <c r="AW819" t="n">
        <v>102.7787</v>
      </c>
      <c r="AX819" t="n">
        <v>110.8586</v>
      </c>
    </row>
    <row r="820">
      <c r="A820" s="92" t="n">
        <v>42795</v>
      </c>
      <c r="B820" t="n">
        <v>102.5915</v>
      </c>
      <c r="C820" t="n">
        <v>103.9717</v>
      </c>
      <c r="D820" t="n">
        <v>111.8691</v>
      </c>
      <c r="E820" t="n">
        <v>102.6337</v>
      </c>
      <c r="F820" t="n">
        <v>100.0399</v>
      </c>
      <c r="G820" t="n">
        <v>105.7519</v>
      </c>
      <c r="H820" t="n">
        <v>103.2</v>
      </c>
      <c r="I820" t="n">
        <v>111.568</v>
      </c>
      <c r="J820" t="n">
        <v>100.8933</v>
      </c>
      <c r="K820" t="n">
        <v>102.7</v>
      </c>
      <c r="L820" t="n">
        <v>101.4169</v>
      </c>
      <c r="M820" t="n">
        <v>101.2</v>
      </c>
      <c r="N820" t="n">
        <v>101.49</v>
      </c>
      <c r="O820" t="n">
        <v>100.8965</v>
      </c>
      <c r="P820" t="n">
        <v>102.9002</v>
      </c>
      <c r="Q820" t="n">
        <v>101.43</v>
      </c>
      <c r="R820" t="n">
        <v>100.91</v>
      </c>
      <c r="S820" t="n">
        <v>101.17</v>
      </c>
      <c r="T820" t="n">
        <v>103.927</v>
      </c>
      <c r="U820" t="n">
        <v>102.1418</v>
      </c>
      <c r="V820" t="n">
        <v>102.7</v>
      </c>
      <c r="W820" t="n">
        <v>100.7698</v>
      </c>
      <c r="X820" t="n">
        <v>102.1466</v>
      </c>
      <c r="Y820" t="n">
        <v>106.4759</v>
      </c>
      <c r="Z820" t="n">
        <v>105.196</v>
      </c>
      <c r="AA820" t="n">
        <v>100.3738</v>
      </c>
      <c r="AB820" t="n">
        <v>102.7677</v>
      </c>
      <c r="AC820" t="n">
        <v>99.59677000000001</v>
      </c>
      <c r="AD820" t="n">
        <v>101</v>
      </c>
      <c r="AE820" t="n">
        <v>99.87273999999999</v>
      </c>
      <c r="AF820" t="n">
        <v>102.8506</v>
      </c>
      <c r="AG820" t="n">
        <v>103.8371</v>
      </c>
      <c r="AH820" t="n">
        <v>101.78</v>
      </c>
      <c r="AI820" t="n">
        <v>103.0262</v>
      </c>
      <c r="AJ820" t="n">
        <v>108.0634</v>
      </c>
      <c r="AK820" t="n">
        <v>101.44</v>
      </c>
      <c r="AL820" t="n">
        <v>105</v>
      </c>
      <c r="AM820" t="n">
        <v>102.9402</v>
      </c>
      <c r="AN820" t="n">
        <v>102.9101</v>
      </c>
      <c r="AO820" t="n">
        <v>101.0175</v>
      </c>
      <c r="AP820" t="n">
        <v>101.9243</v>
      </c>
      <c r="AQ820" t="n">
        <v>110.2213</v>
      </c>
      <c r="AR820" t="n">
        <v>101.4302</v>
      </c>
      <c r="AS820" t="n">
        <v>100.3314</v>
      </c>
      <c r="AT820" t="n">
        <v>100.99</v>
      </c>
      <c r="AU820" t="n">
        <v>102.0215</v>
      </c>
      <c r="AV820" t="n">
        <v>117.1364</v>
      </c>
      <c r="AW820" t="n">
        <v>102.8622</v>
      </c>
      <c r="AX820" t="n">
        <v>111.3987</v>
      </c>
    </row>
    <row r="821">
      <c r="A821" s="92" t="n">
        <v>42826</v>
      </c>
      <c r="B821" t="n">
        <v>102.7914</v>
      </c>
      <c r="C821" t="n">
        <v>104.15</v>
      </c>
      <c r="D821" t="n">
        <v>112.0257</v>
      </c>
      <c r="E821" t="n">
        <v>103.0287</v>
      </c>
      <c r="F821" t="n">
        <v>100.2411</v>
      </c>
      <c r="G821" t="n">
        <v>106.0134</v>
      </c>
      <c r="H821" t="n">
        <v>103.2</v>
      </c>
      <c r="I821" t="n">
        <v>112.0901</v>
      </c>
      <c r="J821" t="n">
        <v>101.0471</v>
      </c>
      <c r="K821" t="n">
        <v>102.7</v>
      </c>
      <c r="L821" t="n">
        <v>101.817</v>
      </c>
      <c r="M821" t="n">
        <v>101.4</v>
      </c>
      <c r="N821" t="n">
        <v>102.07</v>
      </c>
      <c r="O821" t="n">
        <v>101.8653</v>
      </c>
      <c r="P821" t="n">
        <v>103.2078</v>
      </c>
      <c r="Q821" t="n">
        <v>101.97</v>
      </c>
      <c r="R821" t="n">
        <v>101.22</v>
      </c>
      <c r="S821" t="n">
        <v>101.26</v>
      </c>
      <c r="T821" t="n">
        <v>104.2829</v>
      </c>
      <c r="U821" t="n">
        <v>102.4769</v>
      </c>
      <c r="V821" t="n">
        <v>103.2</v>
      </c>
      <c r="W821" t="n">
        <v>101.4137</v>
      </c>
      <c r="X821" t="n">
        <v>102.5167</v>
      </c>
      <c r="Y821" t="n">
        <v>106.5672</v>
      </c>
      <c r="Z821" t="n">
        <v>105.9611</v>
      </c>
      <c r="AA821" t="n">
        <v>100.7725</v>
      </c>
      <c r="AB821" t="n">
        <v>103.2937</v>
      </c>
      <c r="AC821" t="n">
        <v>99.79839</v>
      </c>
      <c r="AD821" t="n">
        <v>101.4</v>
      </c>
      <c r="AE821" t="n">
        <v>100.28</v>
      </c>
      <c r="AF821" t="n">
        <v>102.7209</v>
      </c>
      <c r="AG821" t="n">
        <v>104.8284</v>
      </c>
      <c r="AH821" t="n">
        <v>102.04</v>
      </c>
      <c r="AI821" t="n">
        <v>103.4133</v>
      </c>
      <c r="AJ821" t="n">
        <v>108.1962</v>
      </c>
      <c r="AK821" t="n">
        <v>101.98</v>
      </c>
      <c r="AL821" t="n">
        <v>105.2</v>
      </c>
      <c r="AM821" t="n">
        <v>103.3074</v>
      </c>
      <c r="AN821" t="n">
        <v>103.412</v>
      </c>
      <c r="AO821" t="n">
        <v>101.3431</v>
      </c>
      <c r="AP821" t="n">
        <v>102.8956</v>
      </c>
      <c r="AQ821" t="n">
        <v>110.585</v>
      </c>
      <c r="AR821" t="n">
        <v>101.5132</v>
      </c>
      <c r="AS821" t="n">
        <v>100.4537</v>
      </c>
      <c r="AT821" t="n">
        <v>101.3</v>
      </c>
      <c r="AU821" t="n">
        <v>102.6151</v>
      </c>
      <c r="AV821" t="n">
        <v>118.6676</v>
      </c>
      <c r="AW821" t="n">
        <v>103.1673</v>
      </c>
      <c r="AX821" t="n">
        <v>111.5337</v>
      </c>
    </row>
    <row r="822">
      <c r="A822" s="92" t="n">
        <v>42856</v>
      </c>
      <c r="B822" t="n">
        <v>102.8914</v>
      </c>
      <c r="C822" t="n">
        <v>104.0609</v>
      </c>
      <c r="D822" t="n">
        <v>112.373</v>
      </c>
      <c r="E822" t="n">
        <v>103.1077</v>
      </c>
      <c r="F822" t="n">
        <v>100.4274</v>
      </c>
      <c r="G822" t="n">
        <v>106.1442</v>
      </c>
      <c r="H822" t="n">
        <v>103.3</v>
      </c>
      <c r="I822" t="n">
        <v>112.343</v>
      </c>
      <c r="J822" t="n">
        <v>101.2708</v>
      </c>
      <c r="K822" t="n">
        <v>102.9</v>
      </c>
      <c r="L822" t="n">
        <v>101.817</v>
      </c>
      <c r="M822" t="n">
        <v>101.3</v>
      </c>
      <c r="N822" t="n">
        <v>101.98</v>
      </c>
      <c r="O822" t="n">
        <v>101.8043</v>
      </c>
      <c r="P822" t="n">
        <v>103.4129</v>
      </c>
      <c r="Q822" t="n">
        <v>101.9</v>
      </c>
      <c r="R822" t="n">
        <v>101.06</v>
      </c>
      <c r="S822" t="n">
        <v>101.31</v>
      </c>
      <c r="T822" t="n">
        <v>104.4129</v>
      </c>
      <c r="U822" t="n">
        <v>102.5546</v>
      </c>
      <c r="V822" t="n">
        <v>103.5</v>
      </c>
      <c r="W822" t="n">
        <v>100.5134</v>
      </c>
      <c r="X822" t="n">
        <v>102.7387</v>
      </c>
      <c r="Y822" t="n">
        <v>106.9824</v>
      </c>
      <c r="Z822" t="n">
        <v>106.3436</v>
      </c>
      <c r="AA822" t="n">
        <v>100.5731</v>
      </c>
      <c r="AB822" t="n">
        <v>103.4947</v>
      </c>
      <c r="AC822" t="n">
        <v>100.2016</v>
      </c>
      <c r="AD822" t="n">
        <v>101.2</v>
      </c>
      <c r="AE822" t="n">
        <v>100.3818</v>
      </c>
      <c r="AF822" t="n">
        <v>102.8306</v>
      </c>
      <c r="AG822" t="n">
        <v>104.6743</v>
      </c>
      <c r="AH822" t="n">
        <v>102.12</v>
      </c>
      <c r="AI822" t="n">
        <v>103.4313</v>
      </c>
      <c r="AJ822" t="n">
        <v>108.0668</v>
      </c>
      <c r="AK822" t="n">
        <v>101.65</v>
      </c>
      <c r="AL822" t="n">
        <v>105.4</v>
      </c>
      <c r="AM822" t="n">
        <v>103.3747</v>
      </c>
      <c r="AN822" t="n">
        <v>103.4587</v>
      </c>
      <c r="AO822" t="n">
        <v>101.3431</v>
      </c>
      <c r="AP822" t="n">
        <v>102.6528</v>
      </c>
      <c r="AQ822" t="n">
        <v>110.9942</v>
      </c>
      <c r="AR822" t="n">
        <v>101.368</v>
      </c>
      <c r="AS822" t="n">
        <v>100.6984</v>
      </c>
      <c r="AT822" t="n">
        <v>102</v>
      </c>
      <c r="AU822" t="n">
        <v>102.6789</v>
      </c>
      <c r="AV822" t="n">
        <v>119.1972</v>
      </c>
      <c r="AW822" t="n">
        <v>103.2555</v>
      </c>
      <c r="AX822" t="n">
        <v>111.8038</v>
      </c>
    </row>
    <row r="823">
      <c r="A823" s="92" t="n">
        <v>42887</v>
      </c>
      <c r="B823" t="n">
        <v>102.9914</v>
      </c>
      <c r="C823" t="n">
        <v>103.9023</v>
      </c>
      <c r="D823" t="n">
        <v>112.1145</v>
      </c>
      <c r="E823" t="n">
        <v>103.0287</v>
      </c>
      <c r="F823" t="n">
        <v>100.2852</v>
      </c>
      <c r="G823" t="n">
        <v>105.7301</v>
      </c>
      <c r="H823" t="n">
        <v>103.1</v>
      </c>
      <c r="I823" t="n">
        <v>112.4735</v>
      </c>
      <c r="J823" t="n">
        <v>101.3526</v>
      </c>
      <c r="K823" t="n">
        <v>102.9</v>
      </c>
      <c r="L823" t="n">
        <v>102.117</v>
      </c>
      <c r="M823" t="n">
        <v>101.2</v>
      </c>
      <c r="N823" t="n">
        <v>102.08</v>
      </c>
      <c r="O823" t="n">
        <v>101.8482</v>
      </c>
      <c r="P823" t="n">
        <v>103.3616</v>
      </c>
      <c r="Q823" t="n">
        <v>101.97</v>
      </c>
      <c r="R823" t="n">
        <v>101.14</v>
      </c>
      <c r="S823" t="n">
        <v>101.32</v>
      </c>
      <c r="T823" t="n">
        <v>104.5288</v>
      </c>
      <c r="U823" t="n">
        <v>102.614</v>
      </c>
      <c r="V823" t="n">
        <v>103.5</v>
      </c>
      <c r="W823" t="n">
        <v>101.138</v>
      </c>
      <c r="X823" t="n">
        <v>102.7239</v>
      </c>
      <c r="Y823" t="n">
        <v>107.7215</v>
      </c>
      <c r="Z823" t="n">
        <v>107.1087</v>
      </c>
      <c r="AA823" t="n">
        <v>100.6728</v>
      </c>
      <c r="AB823" t="n">
        <v>103.4963</v>
      </c>
      <c r="AC823" t="n">
        <v>99.49596</v>
      </c>
      <c r="AD823" t="n">
        <v>101.1</v>
      </c>
      <c r="AE823" t="n">
        <v>100.28</v>
      </c>
      <c r="AF823" t="n">
        <v>102.6113</v>
      </c>
      <c r="AG823" t="n">
        <v>104.9425</v>
      </c>
      <c r="AH823" t="n">
        <v>102.17</v>
      </c>
      <c r="AI823" t="n">
        <v>103.6067</v>
      </c>
      <c r="AJ823" t="n">
        <v>108.3385</v>
      </c>
      <c r="AK823" t="n">
        <v>101.37</v>
      </c>
      <c r="AL823" t="n">
        <v>105.8</v>
      </c>
      <c r="AM823" t="n">
        <v>103.4063</v>
      </c>
      <c r="AN823" t="n">
        <v>103.4692</v>
      </c>
      <c r="AO823" t="n">
        <v>101.1803</v>
      </c>
      <c r="AP823" t="n">
        <v>102.2398</v>
      </c>
      <c r="AQ823" t="n">
        <v>111.6712</v>
      </c>
      <c r="AR823" t="n">
        <v>101.6376</v>
      </c>
      <c r="AS823" t="n">
        <v>100.6984</v>
      </c>
      <c r="AT823" t="n">
        <v>101.96</v>
      </c>
      <c r="AU823" t="n">
        <v>102.7523</v>
      </c>
      <c r="AV823" t="n">
        <v>118.8787</v>
      </c>
      <c r="AW823" t="n">
        <v>103.3491</v>
      </c>
      <c r="AX823" t="n">
        <v>112.0738</v>
      </c>
    </row>
    <row r="824">
      <c r="A824" s="92" t="n">
        <v>42917</v>
      </c>
      <c r="B824" t="n">
        <v>102.6914</v>
      </c>
      <c r="C824" t="n">
        <v>104.2095</v>
      </c>
      <c r="D824" t="n">
        <v>112.3837</v>
      </c>
      <c r="E824" t="n">
        <v>103.0287</v>
      </c>
      <c r="F824" t="n">
        <v>99.97176</v>
      </c>
      <c r="G824" t="n">
        <v>105.9807</v>
      </c>
      <c r="H824" t="n">
        <v>103</v>
      </c>
      <c r="I824" t="n">
        <v>112.4164</v>
      </c>
      <c r="J824" t="n">
        <v>101.6817</v>
      </c>
      <c r="K824" t="n">
        <v>103.4</v>
      </c>
      <c r="L824" t="n">
        <v>102.5171</v>
      </c>
      <c r="M824" t="n">
        <v>102</v>
      </c>
      <c r="N824" t="n">
        <v>101.62</v>
      </c>
      <c r="O824" t="n">
        <v>101.1459</v>
      </c>
      <c r="P824" t="n">
        <v>104.0282</v>
      </c>
      <c r="Q824" t="n">
        <v>101.61</v>
      </c>
      <c r="R824" t="n">
        <v>100.85</v>
      </c>
      <c r="S824" t="n">
        <v>100.97</v>
      </c>
      <c r="T824" t="n">
        <v>104.645</v>
      </c>
      <c r="U824" t="n">
        <v>102.5703</v>
      </c>
      <c r="V824" t="n">
        <v>103.5</v>
      </c>
      <c r="W824" t="n">
        <v>99.45372999999999</v>
      </c>
      <c r="X824" t="n">
        <v>102.7609</v>
      </c>
      <c r="Y824" t="n">
        <v>107.954</v>
      </c>
      <c r="Z824" t="n">
        <v>109.0214</v>
      </c>
      <c r="AA824" t="n">
        <v>100.6728</v>
      </c>
      <c r="AB824" t="n">
        <v>103.4632</v>
      </c>
      <c r="AC824" t="n">
        <v>99.39516</v>
      </c>
      <c r="AD824" t="n">
        <v>101.2</v>
      </c>
      <c r="AE824" t="n">
        <v>100.0764</v>
      </c>
      <c r="AF824" t="n">
        <v>102.781</v>
      </c>
      <c r="AG824" t="n">
        <v>104.5896</v>
      </c>
      <c r="AH824" t="n">
        <v>101.46</v>
      </c>
      <c r="AI824" t="n">
        <v>102.8932</v>
      </c>
      <c r="AJ824" t="n">
        <v>108.7482</v>
      </c>
      <c r="AK824" t="n">
        <v>102.11</v>
      </c>
      <c r="AL824" t="n">
        <v>106.1</v>
      </c>
      <c r="AM824" t="n">
        <v>103.3954</v>
      </c>
      <c r="AN824" t="n">
        <v>103.4597</v>
      </c>
      <c r="AO824" t="n">
        <v>101.0175</v>
      </c>
      <c r="AP824" t="n">
        <v>101.5571</v>
      </c>
      <c r="AQ824" t="n">
        <v>111.7494</v>
      </c>
      <c r="AR824" t="n">
        <v>101.5754</v>
      </c>
      <c r="AS824" t="n">
        <v>100.7596</v>
      </c>
      <c r="AT824" t="n">
        <v>101.23</v>
      </c>
      <c r="AU824" t="n">
        <v>103.3012</v>
      </c>
      <c r="AV824" t="n">
        <v>119.0552</v>
      </c>
      <c r="AW824" t="n">
        <v>103.2778</v>
      </c>
      <c r="AX824" t="n">
        <v>112.2088</v>
      </c>
    </row>
    <row r="825">
      <c r="A825" s="92" t="n">
        <v>42948</v>
      </c>
      <c r="B825" t="n">
        <v>102.5915</v>
      </c>
      <c r="C825" t="n">
        <v>104.2789</v>
      </c>
      <c r="D825" t="n">
        <v>112.5971</v>
      </c>
      <c r="E825" t="n">
        <v>103.1077</v>
      </c>
      <c r="F825" t="n">
        <v>100.0041</v>
      </c>
      <c r="G825" t="n">
        <v>106.1986</v>
      </c>
      <c r="H825" t="n">
        <v>103.5</v>
      </c>
      <c r="I825" t="n">
        <v>112.5714</v>
      </c>
      <c r="J825" t="n">
        <v>101.4602</v>
      </c>
      <c r="K825" t="n">
        <v>103.3</v>
      </c>
      <c r="L825" t="n">
        <v>102.6171</v>
      </c>
      <c r="M825" t="n">
        <v>101.7</v>
      </c>
      <c r="N825" t="n">
        <v>101.89</v>
      </c>
      <c r="O825" t="n">
        <v>101.3472</v>
      </c>
      <c r="P825" t="n">
        <v>104.4383</v>
      </c>
      <c r="Q825" t="n">
        <v>101.81</v>
      </c>
      <c r="R825" t="n">
        <v>101.11</v>
      </c>
      <c r="S825" t="n">
        <v>101.49</v>
      </c>
      <c r="T825" t="n">
        <v>104.8911</v>
      </c>
      <c r="U825" t="n">
        <v>102.8658</v>
      </c>
      <c r="V825" t="n">
        <v>104</v>
      </c>
      <c r="W825" t="n">
        <v>99.00959</v>
      </c>
      <c r="X825" t="n">
        <v>102.8053</v>
      </c>
      <c r="Y825" t="n">
        <v>107.8793</v>
      </c>
      <c r="Z825" t="n">
        <v>109.0214</v>
      </c>
      <c r="AA825" t="n">
        <v>101.0715</v>
      </c>
      <c r="AB825" t="n">
        <v>103.736</v>
      </c>
      <c r="AC825" t="n">
        <v>99.69758</v>
      </c>
      <c r="AD825" t="n">
        <v>101.5</v>
      </c>
      <c r="AE825" t="n">
        <v>100.28</v>
      </c>
      <c r="AF825" t="n">
        <v>103.3703</v>
      </c>
      <c r="AG825" t="n">
        <v>104.5411</v>
      </c>
      <c r="AH825" t="n">
        <v>102.68</v>
      </c>
      <c r="AI825" t="n">
        <v>102.6504</v>
      </c>
      <c r="AJ825" t="n">
        <v>109.2855</v>
      </c>
      <c r="AK825" t="n">
        <v>102.27</v>
      </c>
      <c r="AL825" t="n">
        <v>105.3</v>
      </c>
      <c r="AM825" t="n">
        <v>103.6701</v>
      </c>
      <c r="AN825" t="n">
        <v>103.6991</v>
      </c>
      <c r="AO825" t="n">
        <v>100.9361</v>
      </c>
      <c r="AP825" t="n">
        <v>101.565</v>
      </c>
      <c r="AQ825" t="n">
        <v>111.146</v>
      </c>
      <c r="AR825" t="n">
        <v>101.3991</v>
      </c>
      <c r="AS825" t="n">
        <v>100.7596</v>
      </c>
      <c r="AT825" t="n">
        <v>101.36</v>
      </c>
      <c r="AU825" t="n">
        <v>103.1384</v>
      </c>
      <c r="AV825" t="n">
        <v>119.673</v>
      </c>
      <c r="AW825" t="n">
        <v>103.5871</v>
      </c>
      <c r="AX825" t="n">
        <v>112.3439</v>
      </c>
    </row>
    <row r="826">
      <c r="A826" s="92" t="n">
        <v>42979</v>
      </c>
      <c r="B826" t="n">
        <v>103.5914</v>
      </c>
      <c r="C826" t="n">
        <v>104.1699</v>
      </c>
      <c r="D826" t="n">
        <v>112.7772</v>
      </c>
      <c r="E826" t="n">
        <v>103.3447</v>
      </c>
      <c r="F826" t="n">
        <v>100.2535</v>
      </c>
      <c r="G826" t="n">
        <v>106.0352</v>
      </c>
      <c r="H826" t="n">
        <v>104.1</v>
      </c>
      <c r="I826" t="n">
        <v>112.6203</v>
      </c>
      <c r="J826" t="n">
        <v>101.7129</v>
      </c>
      <c r="K826" t="n">
        <v>103.2</v>
      </c>
      <c r="L826" t="n">
        <v>102.7171</v>
      </c>
      <c r="M826" t="n">
        <v>101.8</v>
      </c>
      <c r="N826" t="n">
        <v>102.29</v>
      </c>
      <c r="O826" t="n">
        <v>101.5238</v>
      </c>
      <c r="P826" t="n">
        <v>104.3871</v>
      </c>
      <c r="Q826" t="n">
        <v>102.17</v>
      </c>
      <c r="R826" t="n">
        <v>101.32</v>
      </c>
      <c r="S826" t="n">
        <v>101.33</v>
      </c>
      <c r="T826" t="n">
        <v>105.258</v>
      </c>
      <c r="U826" t="n">
        <v>103.2205</v>
      </c>
      <c r="V826" t="n">
        <v>104.3</v>
      </c>
      <c r="W826" t="n">
        <v>100.8816</v>
      </c>
      <c r="X826" t="n">
        <v>102.9016</v>
      </c>
      <c r="Y826" t="n">
        <v>108.0204</v>
      </c>
      <c r="Z826" t="n">
        <v>109.0214</v>
      </c>
      <c r="AA826" t="n">
        <v>100.4735</v>
      </c>
      <c r="AB826" t="n">
        <v>103.8714</v>
      </c>
      <c r="AC826" t="n">
        <v>99.79839</v>
      </c>
      <c r="AD826" t="n">
        <v>101.2</v>
      </c>
      <c r="AE826" t="n">
        <v>100.5854</v>
      </c>
      <c r="AF826" t="n">
        <v>103.4905</v>
      </c>
      <c r="AG826" t="n">
        <v>105.6101</v>
      </c>
      <c r="AH826" t="n">
        <v>102.52</v>
      </c>
      <c r="AI826" t="n">
        <v>102.9198</v>
      </c>
      <c r="AJ826" t="n">
        <v>109.6275</v>
      </c>
      <c r="AK826" t="n">
        <v>102.03</v>
      </c>
      <c r="AL826" t="n">
        <v>105.9</v>
      </c>
      <c r="AM826" t="n">
        <v>104.0057</v>
      </c>
      <c r="AN826" t="n">
        <v>103.8762</v>
      </c>
      <c r="AO826" t="n">
        <v>101.3431</v>
      </c>
      <c r="AP826" t="n">
        <v>102.5274</v>
      </c>
      <c r="AQ826" t="n">
        <v>110.9792</v>
      </c>
      <c r="AR826" t="n">
        <v>101.3576</v>
      </c>
      <c r="AS826" t="n">
        <v>100.9432</v>
      </c>
      <c r="AT826" t="n">
        <v>101.6</v>
      </c>
      <c r="AU826" t="n">
        <v>103.2789</v>
      </c>
      <c r="AV826" t="n">
        <v>120.4521</v>
      </c>
      <c r="AW826" t="n">
        <v>104.1356</v>
      </c>
      <c r="AX826" t="n">
        <v>112.884</v>
      </c>
    </row>
    <row r="827">
      <c r="A827" s="92" t="n">
        <v>43009</v>
      </c>
      <c r="B827" t="n">
        <v>103.6914</v>
      </c>
      <c r="C827" t="n">
        <v>104.4672</v>
      </c>
      <c r="D827" t="n">
        <v>113.2509</v>
      </c>
      <c r="E827" t="n">
        <v>103.4238</v>
      </c>
      <c r="F827" t="n">
        <v>100.3144</v>
      </c>
      <c r="G827" t="n">
        <v>106.6563</v>
      </c>
      <c r="H827" t="n">
        <v>104.2</v>
      </c>
      <c r="I827" t="n">
        <v>112.6366</v>
      </c>
      <c r="J827" t="n">
        <v>102.2776</v>
      </c>
      <c r="K827" t="n">
        <v>103.7</v>
      </c>
      <c r="L827" t="n">
        <v>102.5171</v>
      </c>
      <c r="M827" t="n">
        <v>101.9</v>
      </c>
      <c r="N827" t="n">
        <v>102.34</v>
      </c>
      <c r="O827" t="n">
        <v>102.4605</v>
      </c>
      <c r="P827" t="n">
        <v>104.1307</v>
      </c>
      <c r="Q827" t="n">
        <v>102.29</v>
      </c>
      <c r="R827" t="n">
        <v>101.3</v>
      </c>
      <c r="S827" t="n">
        <v>101.43</v>
      </c>
      <c r="T827" t="n">
        <v>105.4522</v>
      </c>
      <c r="U827" t="n">
        <v>103.1708</v>
      </c>
      <c r="V827" t="n">
        <v>104.4</v>
      </c>
      <c r="W827" t="n">
        <v>100.9835</v>
      </c>
      <c r="X827" t="n">
        <v>103.1828</v>
      </c>
      <c r="Y827" t="n">
        <v>108.0287</v>
      </c>
      <c r="Z827" t="n">
        <v>109.7864</v>
      </c>
      <c r="AA827" t="n">
        <v>100.3738</v>
      </c>
      <c r="AB827" t="n">
        <v>104.3628</v>
      </c>
      <c r="AC827" t="n">
        <v>100.1008</v>
      </c>
      <c r="AD827" t="n">
        <v>101</v>
      </c>
      <c r="AE827" t="n">
        <v>100.5854</v>
      </c>
      <c r="AF827" t="n">
        <v>103.3903</v>
      </c>
      <c r="AG827" t="n">
        <v>105.7737</v>
      </c>
      <c r="AH827" t="n">
        <v>102.63</v>
      </c>
      <c r="AI827" t="n">
        <v>103.613</v>
      </c>
      <c r="AJ827" t="n">
        <v>110.3174</v>
      </c>
      <c r="AK827" t="n">
        <v>102.17</v>
      </c>
      <c r="AL827" t="n">
        <v>106</v>
      </c>
      <c r="AM827" t="n">
        <v>104.1389</v>
      </c>
      <c r="AN827" t="n">
        <v>104.1761</v>
      </c>
      <c r="AO827" t="n">
        <v>101.8315</v>
      </c>
      <c r="AP827" t="n">
        <v>102.8807</v>
      </c>
      <c r="AQ827" t="n">
        <v>111.2012</v>
      </c>
      <c r="AR827" t="n">
        <v>100.8287</v>
      </c>
      <c r="AS827" t="n">
        <v>101.249</v>
      </c>
      <c r="AT827" t="n">
        <v>101.72</v>
      </c>
      <c r="AU827" t="n">
        <v>103.2023</v>
      </c>
      <c r="AV827" t="n">
        <v>122.9541</v>
      </c>
      <c r="AW827" t="n">
        <v>104.0697</v>
      </c>
      <c r="AX827" t="n">
        <v>113.2891</v>
      </c>
    </row>
    <row r="828">
      <c r="A828" s="92" t="n">
        <v>43040</v>
      </c>
      <c r="B828" t="n">
        <v>103.8913</v>
      </c>
      <c r="C828" t="n">
        <v>104.6059</v>
      </c>
      <c r="D828" t="n">
        <v>113.5681</v>
      </c>
      <c r="E828" t="n">
        <v>103.7398</v>
      </c>
      <c r="F828" t="n">
        <v>100.2415</v>
      </c>
      <c r="G828" t="n">
        <v>106.7543</v>
      </c>
      <c r="H828" t="n">
        <v>104.2</v>
      </c>
      <c r="I828" t="n">
        <v>112.8406</v>
      </c>
      <c r="J828" t="n">
        <v>102.4422</v>
      </c>
      <c r="K828" t="n">
        <v>103.8</v>
      </c>
      <c r="L828" t="n">
        <v>102.117</v>
      </c>
      <c r="M828" t="n">
        <v>101.6</v>
      </c>
      <c r="N828" t="n">
        <v>102.14</v>
      </c>
      <c r="O828" t="n">
        <v>102.9283</v>
      </c>
      <c r="P828" t="n">
        <v>104.6947</v>
      </c>
      <c r="Q828" t="n">
        <v>102.17</v>
      </c>
      <c r="R828" t="n">
        <v>101.55</v>
      </c>
      <c r="S828" t="n">
        <v>101.53</v>
      </c>
      <c r="T828" t="n">
        <v>105.574</v>
      </c>
      <c r="U828" t="n">
        <v>103.2006</v>
      </c>
      <c r="V828" t="n">
        <v>104.7</v>
      </c>
      <c r="W828" t="n">
        <v>100.2356</v>
      </c>
      <c r="X828" t="n">
        <v>103.5529</v>
      </c>
      <c r="Y828" t="n">
        <v>108.2446</v>
      </c>
      <c r="Z828" t="n">
        <v>110.169</v>
      </c>
      <c r="AA828" t="n">
        <v>100.1744</v>
      </c>
      <c r="AB828" t="n">
        <v>104.1931</v>
      </c>
      <c r="AC828" t="n">
        <v>99.79839</v>
      </c>
      <c r="AD828" t="n">
        <v>100.8</v>
      </c>
      <c r="AE828" t="n">
        <v>100.8908</v>
      </c>
      <c r="AF828" t="n">
        <v>102.6208</v>
      </c>
      <c r="AG828" t="n">
        <v>106.0859</v>
      </c>
      <c r="AH828" t="n">
        <v>102.35</v>
      </c>
      <c r="AI828" t="n">
        <v>103.7432</v>
      </c>
      <c r="AJ828" t="n">
        <v>111.4547</v>
      </c>
      <c r="AK828" t="n">
        <v>102</v>
      </c>
      <c r="AL828" t="n">
        <v>106.1</v>
      </c>
      <c r="AM828" t="n">
        <v>104.2639</v>
      </c>
      <c r="AN828" t="n">
        <v>104.3391</v>
      </c>
      <c r="AO828" t="n">
        <v>102.3199</v>
      </c>
      <c r="AP828" t="n">
        <v>102.5224</v>
      </c>
      <c r="AQ828" t="n">
        <v>111.4458</v>
      </c>
      <c r="AR828" t="n">
        <v>100.1339</v>
      </c>
      <c r="AS828" t="n">
        <v>101.5549</v>
      </c>
      <c r="AT828" t="n">
        <v>102.02</v>
      </c>
      <c r="AU828" t="n">
        <v>103.4129</v>
      </c>
      <c r="AV828" t="n">
        <v>124.7885</v>
      </c>
      <c r="AW828" t="n">
        <v>104.0723</v>
      </c>
      <c r="AX828" t="n">
        <v>113.2891</v>
      </c>
    </row>
    <row r="829">
      <c r="A829" s="92" t="n">
        <v>43070</v>
      </c>
      <c r="B829" t="n">
        <v>104.2913</v>
      </c>
      <c r="C829" t="n">
        <v>104.8041</v>
      </c>
      <c r="D829" t="n">
        <v>114.0678</v>
      </c>
      <c r="E829" t="n">
        <v>103.3447</v>
      </c>
      <c r="F829" t="n">
        <v>100.213</v>
      </c>
      <c r="G829" t="n">
        <v>106.9069</v>
      </c>
      <c r="H829" t="n">
        <v>104.5</v>
      </c>
      <c r="I829" t="n">
        <v>113.273</v>
      </c>
      <c r="J829" t="n">
        <v>102.9252</v>
      </c>
      <c r="K829" t="n">
        <v>103.9</v>
      </c>
      <c r="L829" t="n">
        <v>102.6171</v>
      </c>
      <c r="M829" t="n">
        <v>101.3</v>
      </c>
      <c r="N829" t="n">
        <v>102.49</v>
      </c>
      <c r="O829" t="n">
        <v>102.9744</v>
      </c>
      <c r="P829" t="n">
        <v>104.3358</v>
      </c>
      <c r="Q829" t="n">
        <v>102.49</v>
      </c>
      <c r="R829" t="n">
        <v>101.51</v>
      </c>
      <c r="S829" t="n">
        <v>101.85</v>
      </c>
      <c r="T829" t="n">
        <v>105.713</v>
      </c>
      <c r="U829" t="n">
        <v>103.2968</v>
      </c>
      <c r="V829" t="n">
        <v>105</v>
      </c>
      <c r="W829" t="n">
        <v>100.7624</v>
      </c>
      <c r="X829" t="n">
        <v>103.6269</v>
      </c>
      <c r="Y829" t="n">
        <v>109.0169</v>
      </c>
      <c r="Z829" t="n">
        <v>109.4039</v>
      </c>
      <c r="AA829" t="n">
        <v>100.0748</v>
      </c>
      <c r="AB829" t="n">
        <v>104.4811</v>
      </c>
      <c r="AC829" t="n">
        <v>99.89919</v>
      </c>
      <c r="AD829" t="n">
        <v>101.2</v>
      </c>
      <c r="AE829" t="n">
        <v>101.1962</v>
      </c>
      <c r="AF829" t="n">
        <v>102.9908</v>
      </c>
      <c r="AG829" t="n">
        <v>106.0629</v>
      </c>
      <c r="AH829" t="n">
        <v>102.41</v>
      </c>
      <c r="AI829" t="n">
        <v>103.7569</v>
      </c>
      <c r="AJ829" t="n">
        <v>112.1138</v>
      </c>
      <c r="AK829" t="n">
        <v>101.97</v>
      </c>
      <c r="AL829" t="n">
        <v>106.1</v>
      </c>
      <c r="AM829" t="n">
        <v>104.4181</v>
      </c>
      <c r="AN829" t="n">
        <v>104.6628</v>
      </c>
      <c r="AO829" t="n">
        <v>102.5641</v>
      </c>
      <c r="AP829" t="n">
        <v>102.4786</v>
      </c>
      <c r="AQ829" t="n">
        <v>111.9139</v>
      </c>
      <c r="AR829" t="n">
        <v>100.4347</v>
      </c>
      <c r="AS829" t="n">
        <v>101.5549</v>
      </c>
      <c r="AT829" t="n">
        <v>102.01</v>
      </c>
      <c r="AU829" t="n">
        <v>103.7927</v>
      </c>
      <c r="AV829" t="n">
        <v>125.6442</v>
      </c>
      <c r="AW829" t="n">
        <v>104.0111</v>
      </c>
      <c r="AX829" t="n">
        <v>113.8292</v>
      </c>
    </row>
    <row r="830">
      <c r="A830" s="92" t="n">
        <v>43101</v>
      </c>
      <c r="B830" t="n">
        <v>103.5914</v>
      </c>
      <c r="C830" t="n">
        <v>105.1114</v>
      </c>
      <c r="D830" t="n">
        <v>114.3987</v>
      </c>
      <c r="E830" t="n">
        <v>104.0558</v>
      </c>
      <c r="F830" t="n">
        <v>100.0809</v>
      </c>
      <c r="G830" t="n">
        <v>107.3971</v>
      </c>
      <c r="H830" t="n">
        <v>105.2</v>
      </c>
      <c r="I830" t="n">
        <v>113.9827</v>
      </c>
      <c r="J830" t="n">
        <v>103.3436</v>
      </c>
      <c r="K830" t="n">
        <v>104.5</v>
      </c>
      <c r="L830" t="n">
        <v>102.017</v>
      </c>
      <c r="M830" t="n">
        <v>101</v>
      </c>
      <c r="N830" t="n">
        <v>101.56</v>
      </c>
      <c r="O830" t="n">
        <v>101.8642</v>
      </c>
      <c r="P830" t="n">
        <v>104.7972</v>
      </c>
      <c r="Q830" t="n">
        <v>101.75</v>
      </c>
      <c r="R830" t="n">
        <v>101.21</v>
      </c>
      <c r="S830" t="n">
        <v>101.75</v>
      </c>
      <c r="T830" t="n">
        <v>106.0777</v>
      </c>
      <c r="U830" t="n">
        <v>103.5752</v>
      </c>
      <c r="V830" t="n">
        <v>104.5</v>
      </c>
      <c r="W830" t="n">
        <v>99.10498</v>
      </c>
      <c r="X830" t="n">
        <v>103.923</v>
      </c>
      <c r="Y830" t="n">
        <v>109.6979</v>
      </c>
      <c r="Z830" t="n">
        <v>110.169</v>
      </c>
      <c r="AA830" t="n">
        <v>99.37702</v>
      </c>
      <c r="AB830" t="n">
        <v>104.3946</v>
      </c>
      <c r="AC830" t="n">
        <v>99.39516</v>
      </c>
      <c r="AD830" t="n">
        <v>101.5</v>
      </c>
      <c r="AE830" t="n">
        <v>101.298</v>
      </c>
      <c r="AF830" t="n">
        <v>103.4209</v>
      </c>
      <c r="AG830" t="n">
        <v>106.4272</v>
      </c>
      <c r="AH830" t="n">
        <v>101.53</v>
      </c>
      <c r="AI830" t="n">
        <v>103.7456</v>
      </c>
      <c r="AJ830" t="n">
        <v>112.7095</v>
      </c>
      <c r="AK830" t="n">
        <v>101.82</v>
      </c>
      <c r="AL830" t="n">
        <v>106</v>
      </c>
      <c r="AM830" t="n">
        <v>104.658</v>
      </c>
      <c r="AN830" t="n">
        <v>104.4574</v>
      </c>
      <c r="AO830" t="n">
        <v>102.8897</v>
      </c>
      <c r="AP830" t="n">
        <v>101.4356</v>
      </c>
      <c r="AQ830" t="n">
        <v>112.2608</v>
      </c>
      <c r="AR830" t="n">
        <v>104.5827</v>
      </c>
      <c r="AS830" t="n">
        <v>102.4114</v>
      </c>
      <c r="AT830" t="n">
        <v>101.18</v>
      </c>
      <c r="AU830" t="n">
        <v>102.9246</v>
      </c>
      <c r="AV830" t="n">
        <v>126.926</v>
      </c>
      <c r="AW830" t="n">
        <v>104.5777</v>
      </c>
      <c r="AX830" t="n">
        <v>114.3693</v>
      </c>
    </row>
    <row r="831">
      <c r="A831" s="92" t="n">
        <v>43132</v>
      </c>
      <c r="B831" t="n">
        <v>103.8913</v>
      </c>
      <c r="C831" t="n">
        <v>105.2699</v>
      </c>
      <c r="D831" t="n">
        <v>114.7648</v>
      </c>
      <c r="E831" t="n">
        <v>104.6879</v>
      </c>
      <c r="F831" t="n">
        <v>100.4516</v>
      </c>
      <c r="G831" t="n">
        <v>107.4516</v>
      </c>
      <c r="H831" t="n">
        <v>106.5</v>
      </c>
      <c r="I831" t="n">
        <v>114.7903</v>
      </c>
      <c r="J831" t="n">
        <v>103.5619</v>
      </c>
      <c r="K831" t="n">
        <v>104.5</v>
      </c>
      <c r="L831" t="n">
        <v>102.3171</v>
      </c>
      <c r="M831" t="n">
        <v>101.7</v>
      </c>
      <c r="N831" t="n">
        <v>101.78</v>
      </c>
      <c r="O831" t="n">
        <v>102.0013</v>
      </c>
      <c r="P831" t="n">
        <v>105.7714</v>
      </c>
      <c r="Q831" t="n">
        <v>101.94</v>
      </c>
      <c r="R831" t="n">
        <v>101.52</v>
      </c>
      <c r="S831" t="n">
        <v>101.72</v>
      </c>
      <c r="T831" t="n">
        <v>106.5287</v>
      </c>
      <c r="U831" t="n">
        <v>103.9211</v>
      </c>
      <c r="V831" t="n">
        <v>104.9</v>
      </c>
      <c r="W831" t="n">
        <v>99.05471</v>
      </c>
      <c r="X831" t="n">
        <v>104.1451</v>
      </c>
      <c r="Y831" t="n">
        <v>109.8806</v>
      </c>
      <c r="Z831" t="n">
        <v>109.7864</v>
      </c>
      <c r="AA831" t="n">
        <v>100.2741</v>
      </c>
      <c r="AB831" t="n">
        <v>105.0079</v>
      </c>
      <c r="AC831" t="n">
        <v>99.49596</v>
      </c>
      <c r="AD831" t="n">
        <v>101.5</v>
      </c>
      <c r="AE831" t="n">
        <v>101.298</v>
      </c>
      <c r="AF831" t="n">
        <v>104.2105</v>
      </c>
      <c r="AG831" t="n">
        <v>106.244</v>
      </c>
      <c r="AH831" t="n">
        <v>102.81</v>
      </c>
      <c r="AI831" t="n">
        <v>103.9752</v>
      </c>
      <c r="AJ831" t="n">
        <v>113.1389</v>
      </c>
      <c r="AK831" t="n">
        <v>102.31</v>
      </c>
      <c r="AL831" t="n">
        <v>107</v>
      </c>
      <c r="AM831" t="n">
        <v>105.0098</v>
      </c>
      <c r="AN831" t="n">
        <v>104.7066</v>
      </c>
      <c r="AO831" t="n">
        <v>102.6455</v>
      </c>
      <c r="AP831" t="n">
        <v>100.747</v>
      </c>
      <c r="AQ831" t="n">
        <v>112.4966</v>
      </c>
      <c r="AR831" t="n">
        <v>104.479</v>
      </c>
      <c r="AS831" t="n">
        <v>102.595</v>
      </c>
      <c r="AT831" t="n">
        <v>101.87</v>
      </c>
      <c r="AU831" t="n">
        <v>103.6778</v>
      </c>
      <c r="AV831" t="n">
        <v>127.8546</v>
      </c>
      <c r="AW831" t="n">
        <v>105.052</v>
      </c>
      <c r="AX831" t="n">
        <v>115.0444</v>
      </c>
    </row>
    <row r="832">
      <c r="A832" s="92" t="n">
        <v>43160</v>
      </c>
      <c r="B832" t="n">
        <v>104.4913</v>
      </c>
      <c r="C832" t="n">
        <v>105.4186</v>
      </c>
      <c r="D832" t="n">
        <v>114.8681</v>
      </c>
      <c r="E832" t="n">
        <v>105.004</v>
      </c>
      <c r="F832" t="n">
        <v>100.8356</v>
      </c>
      <c r="G832" t="n">
        <v>107.6695</v>
      </c>
      <c r="H832" t="n">
        <v>105.3</v>
      </c>
      <c r="I832" t="n">
        <v>115.0677</v>
      </c>
      <c r="J832" t="n">
        <v>103.5297</v>
      </c>
      <c r="K832" t="n">
        <v>104.4</v>
      </c>
      <c r="L832" t="n">
        <v>102.9172</v>
      </c>
      <c r="M832" t="n">
        <v>101.7</v>
      </c>
      <c r="N832" t="n">
        <v>102.91</v>
      </c>
      <c r="O832" t="n">
        <v>102.1212</v>
      </c>
      <c r="P832" t="n">
        <v>105.8226</v>
      </c>
      <c r="Q832" t="n">
        <v>102.88</v>
      </c>
      <c r="R832" t="n">
        <v>101.73</v>
      </c>
      <c r="S832" t="n">
        <v>102.75</v>
      </c>
      <c r="T832" t="n">
        <v>106.6636</v>
      </c>
      <c r="U832" t="n">
        <v>104.1845</v>
      </c>
      <c r="V832" t="n">
        <v>105.1</v>
      </c>
      <c r="W832" t="n">
        <v>100.5342</v>
      </c>
      <c r="X832" t="n">
        <v>104.2191</v>
      </c>
      <c r="Y832" t="n">
        <v>110.0965</v>
      </c>
      <c r="Z832" t="n">
        <v>109.7864</v>
      </c>
      <c r="AA832" t="n">
        <v>100.5731</v>
      </c>
      <c r="AB832" t="n">
        <v>105.6</v>
      </c>
      <c r="AC832" t="n">
        <v>99.79839</v>
      </c>
      <c r="AD832" t="n">
        <v>101.8</v>
      </c>
      <c r="AE832" t="n">
        <v>100.9926</v>
      </c>
      <c r="AF832" t="n">
        <v>104.1008</v>
      </c>
      <c r="AG832" t="n">
        <v>106.6236</v>
      </c>
      <c r="AH832" t="n">
        <v>102.9</v>
      </c>
      <c r="AI832" t="n">
        <v>105.265</v>
      </c>
      <c r="AJ832" t="n">
        <v>113.5048</v>
      </c>
      <c r="AK832" t="n">
        <v>102.47</v>
      </c>
      <c r="AL832" t="n">
        <v>107.3</v>
      </c>
      <c r="AM832" t="n">
        <v>105.2924</v>
      </c>
      <c r="AN832" t="n">
        <v>105.2078</v>
      </c>
      <c r="AO832" t="n">
        <v>102.5641</v>
      </c>
      <c r="AP832" t="n">
        <v>102.6259</v>
      </c>
      <c r="AQ832" t="n">
        <v>112.8228</v>
      </c>
      <c r="AR832" t="n">
        <v>104.3442</v>
      </c>
      <c r="AS832" t="n">
        <v>102.7785</v>
      </c>
      <c r="AT832" t="n">
        <v>102.16</v>
      </c>
      <c r="AU832" t="n">
        <v>103.9618</v>
      </c>
      <c r="AV832" t="n">
        <v>129.1248</v>
      </c>
      <c r="AW832" t="n">
        <v>105.2895</v>
      </c>
      <c r="AX832" t="n">
        <v>115.5846</v>
      </c>
    </row>
    <row r="833">
      <c r="A833" s="92" t="n">
        <v>43191</v>
      </c>
      <c r="B833" t="n">
        <v>104.6913</v>
      </c>
      <c r="C833" t="n">
        <v>105.7357</v>
      </c>
      <c r="D833" t="n">
        <v>115.1207</v>
      </c>
      <c r="E833" t="n">
        <v>105.32</v>
      </c>
      <c r="F833" t="n">
        <v>101.0462</v>
      </c>
      <c r="G833" t="n">
        <v>108.0073</v>
      </c>
      <c r="H833" t="n">
        <v>105.1</v>
      </c>
      <c r="I833" t="n">
        <v>115.598</v>
      </c>
      <c r="J833" t="n">
        <v>103.4479</v>
      </c>
      <c r="K833" t="n">
        <v>104.7</v>
      </c>
      <c r="L833" t="n">
        <v>103.1172</v>
      </c>
      <c r="M833" t="n">
        <v>102.2</v>
      </c>
      <c r="N833" t="n">
        <v>103.32</v>
      </c>
      <c r="O833" t="n">
        <v>102.9647</v>
      </c>
      <c r="P833" t="n">
        <v>106.2328</v>
      </c>
      <c r="Q833" t="n">
        <v>103.32</v>
      </c>
      <c r="R833" t="n">
        <v>101.98</v>
      </c>
      <c r="S833" t="n">
        <v>102.92</v>
      </c>
      <c r="T833" t="n">
        <v>106.9827</v>
      </c>
      <c r="U833" t="n">
        <v>104.4842</v>
      </c>
      <c r="V833" t="n">
        <v>105.5</v>
      </c>
      <c r="W833" t="n">
        <v>101.4515</v>
      </c>
      <c r="X833" t="n">
        <v>104.8853</v>
      </c>
      <c r="Y833" t="n">
        <v>110.2044</v>
      </c>
      <c r="Z833" t="n">
        <v>110.169</v>
      </c>
      <c r="AA833" t="n">
        <v>100.3738</v>
      </c>
      <c r="AB833" t="n">
        <v>105.6367</v>
      </c>
      <c r="AC833" t="n">
        <v>100.2016</v>
      </c>
      <c r="AD833" t="n">
        <v>101.9</v>
      </c>
      <c r="AE833" t="n">
        <v>100.8908</v>
      </c>
      <c r="AF833" t="n">
        <v>104.2906</v>
      </c>
      <c r="AG833" t="n">
        <v>107.2826</v>
      </c>
      <c r="AH833" t="n">
        <v>103.13</v>
      </c>
      <c r="AI833" t="n">
        <v>105.4805</v>
      </c>
      <c r="AJ833" t="n">
        <v>113.12</v>
      </c>
      <c r="AK833" t="n">
        <v>103.11</v>
      </c>
      <c r="AL833" t="n">
        <v>107.7</v>
      </c>
      <c r="AM833" t="n">
        <v>105.656</v>
      </c>
      <c r="AN833" t="n">
        <v>105.7086</v>
      </c>
      <c r="AO833" t="n">
        <v>103.0525</v>
      </c>
      <c r="AP833" t="n">
        <v>103.3036</v>
      </c>
      <c r="AQ833" t="n">
        <v>113.2516</v>
      </c>
      <c r="AR833" t="n">
        <v>104.0435</v>
      </c>
      <c r="AS833" t="n">
        <v>103.3903</v>
      </c>
      <c r="AT833" t="n">
        <v>102.86</v>
      </c>
      <c r="AU833" t="n">
        <v>104.3895</v>
      </c>
      <c r="AV833" t="n">
        <v>131.5425</v>
      </c>
      <c r="AW833" t="n">
        <v>105.708</v>
      </c>
      <c r="AX833" t="n">
        <v>116.2597</v>
      </c>
    </row>
    <row r="834">
      <c r="A834" s="92" t="n">
        <v>43221</v>
      </c>
      <c r="B834" t="n">
        <v>104.8913</v>
      </c>
      <c r="C834" t="n">
        <v>105.9538</v>
      </c>
      <c r="D834" t="n">
        <v>115.5813</v>
      </c>
      <c r="E834" t="n">
        <v>105.399</v>
      </c>
      <c r="F834" t="n">
        <v>101.4309</v>
      </c>
      <c r="G834" t="n">
        <v>108.3124</v>
      </c>
      <c r="H834" t="n">
        <v>104.9</v>
      </c>
      <c r="I834" t="n">
        <v>115.8917</v>
      </c>
      <c r="J834" t="n">
        <v>103.3317</v>
      </c>
      <c r="K834" t="n">
        <v>105.2</v>
      </c>
      <c r="L834" t="n">
        <v>103.9173</v>
      </c>
      <c r="M834" t="n">
        <v>102.4</v>
      </c>
      <c r="N834" t="n">
        <v>103.97</v>
      </c>
      <c r="O834" t="n">
        <v>103.8929</v>
      </c>
      <c r="P834" t="n">
        <v>106.5404</v>
      </c>
      <c r="Q834" t="n">
        <v>103.9</v>
      </c>
      <c r="R834" t="n">
        <v>102.09</v>
      </c>
      <c r="S834" t="n">
        <v>103.36</v>
      </c>
      <c r="T834" t="n">
        <v>107.3381</v>
      </c>
      <c r="U834" t="n">
        <v>104.9043</v>
      </c>
      <c r="V834" t="n">
        <v>105.9</v>
      </c>
      <c r="W834" t="n">
        <v>101.1223</v>
      </c>
      <c r="X834" t="n">
        <v>105.5514</v>
      </c>
      <c r="Y834" t="n">
        <v>110.4369</v>
      </c>
      <c r="Z834" t="n">
        <v>110.5515</v>
      </c>
      <c r="AA834" t="n">
        <v>100.9718</v>
      </c>
      <c r="AB834" t="n">
        <v>105.5598</v>
      </c>
      <c r="AC834" t="n">
        <v>100.7056</v>
      </c>
      <c r="AD834" t="n">
        <v>102.2</v>
      </c>
      <c r="AE834" t="n">
        <v>101.0944</v>
      </c>
      <c r="AF834" t="n">
        <v>104.3412</v>
      </c>
      <c r="AG834" t="n">
        <v>107.7081</v>
      </c>
      <c r="AH834" t="n">
        <v>103.48</v>
      </c>
      <c r="AI834" t="n">
        <v>105.8033</v>
      </c>
      <c r="AJ834" t="n">
        <v>112.9366</v>
      </c>
      <c r="AK834" t="n">
        <v>103.42</v>
      </c>
      <c r="AL834" t="n">
        <v>107.8</v>
      </c>
      <c r="AM834" t="n">
        <v>106.0752</v>
      </c>
      <c r="AN834" t="n">
        <v>106.3082</v>
      </c>
      <c r="AO834" t="n">
        <v>103.2967</v>
      </c>
      <c r="AP834" t="n">
        <v>103.7236</v>
      </c>
      <c r="AQ834" t="n">
        <v>113.6819</v>
      </c>
      <c r="AR834" t="n">
        <v>103.805</v>
      </c>
      <c r="AS834" t="n">
        <v>103.3903</v>
      </c>
      <c r="AT834" t="n">
        <v>104.07</v>
      </c>
      <c r="AU834" t="n">
        <v>104.632</v>
      </c>
      <c r="AV834" t="n">
        <v>133.6761</v>
      </c>
      <c r="AW834" t="n">
        <v>106.1477</v>
      </c>
      <c r="AX834" t="n">
        <v>116.6648</v>
      </c>
    </row>
    <row r="835">
      <c r="A835" s="92" t="n">
        <v>43252</v>
      </c>
      <c r="B835" t="n">
        <v>105.0912</v>
      </c>
      <c r="C835" t="n">
        <v>106.0628</v>
      </c>
      <c r="D835" t="n">
        <v>117.0376</v>
      </c>
      <c r="E835" t="n">
        <v>105.557</v>
      </c>
      <c r="F835" t="n">
        <v>101.4351</v>
      </c>
      <c r="G835" t="n">
        <v>108.4213</v>
      </c>
      <c r="H835" t="n">
        <v>104.9</v>
      </c>
      <c r="I835" t="n">
        <v>116.0711</v>
      </c>
      <c r="J835" t="n">
        <v>103.5157</v>
      </c>
      <c r="K835" t="n">
        <v>105.6</v>
      </c>
      <c r="L835" t="n">
        <v>104.0173</v>
      </c>
      <c r="M835" t="n">
        <v>102.3</v>
      </c>
      <c r="N835" t="n">
        <v>104.09</v>
      </c>
      <c r="O835" t="n">
        <v>104.1648</v>
      </c>
      <c r="P835" t="n">
        <v>107.5146</v>
      </c>
      <c r="Q835" t="n">
        <v>104.03</v>
      </c>
      <c r="R835" t="n">
        <v>102.32</v>
      </c>
      <c r="S835" t="n">
        <v>103.37</v>
      </c>
      <c r="T835" t="n">
        <v>107.6924</v>
      </c>
      <c r="U835" t="n">
        <v>105.0155</v>
      </c>
      <c r="V835" t="n">
        <v>105.9</v>
      </c>
      <c r="W835" t="n">
        <v>102.1206</v>
      </c>
      <c r="X835" t="n">
        <v>105.9215</v>
      </c>
      <c r="Y835" t="n">
        <v>111.0847</v>
      </c>
      <c r="Z835" t="n">
        <v>111.3165</v>
      </c>
      <c r="AA835" t="n">
        <v>101.0715</v>
      </c>
      <c r="AB835" t="n">
        <v>106.2061</v>
      </c>
      <c r="AC835" t="n">
        <v>100.8064</v>
      </c>
      <c r="AD835" t="n">
        <v>102.4</v>
      </c>
      <c r="AE835" t="n">
        <v>100.9926</v>
      </c>
      <c r="AF835" t="n">
        <v>104.1303</v>
      </c>
      <c r="AG835" t="n">
        <v>107.7014</v>
      </c>
      <c r="AH835" t="n">
        <v>103.65</v>
      </c>
      <c r="AI835" t="n">
        <v>106.4696</v>
      </c>
      <c r="AJ835" t="n">
        <v>113.3728</v>
      </c>
      <c r="AK835" t="n">
        <v>103.1</v>
      </c>
      <c r="AL835" t="n">
        <v>108.5</v>
      </c>
      <c r="AM835" t="n">
        <v>106.2913</v>
      </c>
      <c r="AN835" t="n">
        <v>106.6777</v>
      </c>
      <c r="AO835" t="n">
        <v>103.3781</v>
      </c>
      <c r="AP835" t="n">
        <v>103.7903</v>
      </c>
      <c r="AQ835" t="n">
        <v>114.239</v>
      </c>
      <c r="AR835" t="n">
        <v>104.002</v>
      </c>
      <c r="AS835" t="n">
        <v>103.5126</v>
      </c>
      <c r="AT835" t="n">
        <v>104.07</v>
      </c>
      <c r="AU835" t="n">
        <v>104.8745</v>
      </c>
      <c r="AV835" t="n">
        <v>137.1683</v>
      </c>
      <c r="AW835" t="n">
        <v>106.3168</v>
      </c>
      <c r="AX835" t="n">
        <v>116.9348</v>
      </c>
    </row>
    <row r="836">
      <c r="A836" s="92" t="n">
        <v>43282</v>
      </c>
      <c r="B836" t="n">
        <v>104.8913</v>
      </c>
      <c r="C836" t="n">
        <v>106.4691</v>
      </c>
      <c r="D836" t="n">
        <v>117.4239</v>
      </c>
      <c r="E836" t="n">
        <v>106.1101</v>
      </c>
      <c r="F836" t="n">
        <v>101.2017</v>
      </c>
      <c r="G836" t="n">
        <v>108.8027</v>
      </c>
      <c r="H836" t="n">
        <v>105.2</v>
      </c>
      <c r="I836" t="n">
        <v>115.9243</v>
      </c>
      <c r="J836" t="n">
        <v>103.8007</v>
      </c>
      <c r="K836" t="n">
        <v>105.8</v>
      </c>
      <c r="L836" t="n">
        <v>104.4174</v>
      </c>
      <c r="M836" t="n">
        <v>103.1</v>
      </c>
      <c r="N836" t="n">
        <v>103.85</v>
      </c>
      <c r="O836" t="n">
        <v>103.4176</v>
      </c>
      <c r="P836" t="n">
        <v>107.6684</v>
      </c>
      <c r="Q836" t="n">
        <v>103.86</v>
      </c>
      <c r="R836" t="n">
        <v>102.23</v>
      </c>
      <c r="S836" t="n">
        <v>103.28</v>
      </c>
      <c r="T836" t="n">
        <v>108.2045</v>
      </c>
      <c r="U836" t="n">
        <v>105.0905</v>
      </c>
      <c r="V836" t="n">
        <v>105.9</v>
      </c>
      <c r="W836" t="n">
        <v>100.301</v>
      </c>
      <c r="X836" t="n">
        <v>106.2176</v>
      </c>
      <c r="Y836" t="n">
        <v>111.3919</v>
      </c>
      <c r="Z836" t="n">
        <v>115.1419</v>
      </c>
      <c r="AA836" t="n">
        <v>101.4702</v>
      </c>
      <c r="AB836" t="n">
        <v>106.2615</v>
      </c>
      <c r="AC836" t="n">
        <v>100.8064</v>
      </c>
      <c r="AD836" t="n">
        <v>102.7</v>
      </c>
      <c r="AE836" t="n">
        <v>100.9926</v>
      </c>
      <c r="AF836" t="n">
        <v>103.9311</v>
      </c>
      <c r="AG836" t="n">
        <v>107.1698</v>
      </c>
      <c r="AH836" t="n">
        <v>102.94</v>
      </c>
      <c r="AI836" t="n">
        <v>105.614</v>
      </c>
      <c r="AJ836" t="n">
        <v>113.9805</v>
      </c>
      <c r="AK836" t="n">
        <v>104.28</v>
      </c>
      <c r="AL836" t="n">
        <v>109.3</v>
      </c>
      <c r="AM836" t="n">
        <v>106.3817</v>
      </c>
      <c r="AN836" t="n">
        <v>106.7823</v>
      </c>
      <c r="AO836" t="n">
        <v>103.1339</v>
      </c>
      <c r="AP836" t="n">
        <v>103.1573</v>
      </c>
      <c r="AQ836" t="n">
        <v>114.5474</v>
      </c>
      <c r="AR836" t="n">
        <v>103.8568</v>
      </c>
      <c r="AS836" t="n">
        <v>103.3903</v>
      </c>
      <c r="AT836" t="n">
        <v>103.12</v>
      </c>
      <c r="AU836" t="n">
        <v>105.4203</v>
      </c>
      <c r="AV836" t="n">
        <v>137.9243</v>
      </c>
      <c r="AW836" t="n">
        <v>106.324</v>
      </c>
      <c r="AX836" t="n">
        <v>117.8801</v>
      </c>
    </row>
    <row r="837">
      <c r="A837" s="92" t="n">
        <v>43313</v>
      </c>
      <c r="B837" t="n">
        <v>104.8913</v>
      </c>
      <c r="C837" t="n">
        <v>106.6178</v>
      </c>
      <c r="D837" t="n">
        <v>117.3183</v>
      </c>
      <c r="E837" t="n">
        <v>106.0311</v>
      </c>
      <c r="F837" t="n">
        <v>101.1853</v>
      </c>
      <c r="G837" t="n">
        <v>108.9988</v>
      </c>
      <c r="H837" t="n">
        <v>105.9</v>
      </c>
      <c r="I837" t="n">
        <v>116.063</v>
      </c>
      <c r="J837" t="n">
        <v>103.7329</v>
      </c>
      <c r="K837" t="n">
        <v>105.9</v>
      </c>
      <c r="L837" t="n">
        <v>104.5174</v>
      </c>
      <c r="M837" t="n">
        <v>102.7</v>
      </c>
      <c r="N837" t="n">
        <v>104.01</v>
      </c>
      <c r="O837" t="n">
        <v>103.5653</v>
      </c>
      <c r="P837" t="n">
        <v>108.1811</v>
      </c>
      <c r="Q837" t="n">
        <v>103.97</v>
      </c>
      <c r="R837" t="n">
        <v>102.38</v>
      </c>
      <c r="S837" t="n">
        <v>103.78</v>
      </c>
      <c r="T837" t="n">
        <v>108.5435</v>
      </c>
      <c r="U837" t="n">
        <v>105.2971</v>
      </c>
      <c r="V837" t="n">
        <v>106.5</v>
      </c>
      <c r="W837" t="n">
        <v>99.97002000000001</v>
      </c>
      <c r="X837" t="n">
        <v>106.2916</v>
      </c>
      <c r="Y837" t="n">
        <v>111.3338</v>
      </c>
      <c r="Z837" t="n">
        <v>115.1419</v>
      </c>
      <c r="AA837" t="n">
        <v>101.7692</v>
      </c>
      <c r="AB837" t="n">
        <v>106.4542</v>
      </c>
      <c r="AC837" t="n">
        <v>100.9073</v>
      </c>
      <c r="AD837" t="n">
        <v>103.1</v>
      </c>
      <c r="AE837" t="n">
        <v>101.6035</v>
      </c>
      <c r="AF837" t="n">
        <v>104.8503</v>
      </c>
      <c r="AG837" t="n">
        <v>106.7647</v>
      </c>
      <c r="AH837" t="n">
        <v>104.34</v>
      </c>
      <c r="AI837" t="n">
        <v>105.5419</v>
      </c>
      <c r="AJ837" t="n">
        <v>114.6455</v>
      </c>
      <c r="AK837" t="n">
        <v>104.4</v>
      </c>
      <c r="AL837" t="n">
        <v>108.9</v>
      </c>
      <c r="AM837" t="n">
        <v>106.6735</v>
      </c>
      <c r="AN837" t="n">
        <v>107.2321</v>
      </c>
      <c r="AO837" t="n">
        <v>103.1339</v>
      </c>
      <c r="AP837" t="n">
        <v>102.801</v>
      </c>
      <c r="AQ837" t="n">
        <v>114.5589</v>
      </c>
      <c r="AR837" t="n">
        <v>103.7116</v>
      </c>
      <c r="AS837" t="n">
        <v>103.635</v>
      </c>
      <c r="AT837" t="n">
        <v>103.2</v>
      </c>
      <c r="AU837" t="n">
        <v>105.1969</v>
      </c>
      <c r="AV837" t="n">
        <v>141.0902</v>
      </c>
      <c r="AW837" t="n">
        <v>106.3831</v>
      </c>
      <c r="AX837" t="n">
        <v>117.745</v>
      </c>
    </row>
    <row r="838">
      <c r="A838" s="92" t="n">
        <v>43344</v>
      </c>
      <c r="B838" t="n">
        <v>105.6912</v>
      </c>
      <c r="C838" t="n">
        <v>106.6178</v>
      </c>
      <c r="D838" t="n">
        <v>117.8814</v>
      </c>
      <c r="E838" t="n">
        <v>105.636</v>
      </c>
      <c r="F838" t="n">
        <v>101.2455</v>
      </c>
      <c r="G838" t="n">
        <v>109.3692</v>
      </c>
      <c r="H838" t="n">
        <v>106.6</v>
      </c>
      <c r="I838" t="n">
        <v>116.2506</v>
      </c>
      <c r="J838" t="n">
        <v>103.9621</v>
      </c>
      <c r="K838" t="n">
        <v>105.6</v>
      </c>
      <c r="L838" t="n">
        <v>104.7175</v>
      </c>
      <c r="M838" t="n">
        <v>102.4</v>
      </c>
      <c r="N838" t="n">
        <v>104.42</v>
      </c>
      <c r="O838" t="n">
        <v>103.818</v>
      </c>
      <c r="P838" t="n">
        <v>108.1811</v>
      </c>
      <c r="Q838" t="n">
        <v>104.35</v>
      </c>
      <c r="R838" t="n">
        <v>102.6</v>
      </c>
      <c r="S838" t="n">
        <v>103.56</v>
      </c>
      <c r="T838" t="n">
        <v>109.0664</v>
      </c>
      <c r="U838" t="n">
        <v>105.3441</v>
      </c>
      <c r="V838" t="n">
        <v>106.6</v>
      </c>
      <c r="W838" t="n">
        <v>101.9816</v>
      </c>
      <c r="X838" t="n">
        <v>106.5877</v>
      </c>
      <c r="Y838" t="n">
        <v>111.1345</v>
      </c>
      <c r="Z838" t="n">
        <v>115.1419</v>
      </c>
      <c r="AA838" t="n">
        <v>101.3705</v>
      </c>
      <c r="AB838" t="n">
        <v>106.7269</v>
      </c>
      <c r="AC838" t="n">
        <v>101.0081</v>
      </c>
      <c r="AD838" t="n">
        <v>102.6</v>
      </c>
      <c r="AE838" t="n">
        <v>101.7053</v>
      </c>
      <c r="AF838" t="n">
        <v>105.6505</v>
      </c>
      <c r="AG838" t="n">
        <v>108.1927</v>
      </c>
      <c r="AH838" t="n">
        <v>104.58</v>
      </c>
      <c r="AI838" t="n">
        <v>106.2163</v>
      </c>
      <c r="AJ838" t="n">
        <v>115.1303</v>
      </c>
      <c r="AK838" t="n">
        <v>103.95</v>
      </c>
      <c r="AL838" t="n">
        <v>109.5</v>
      </c>
      <c r="AM838" t="n">
        <v>107.0358</v>
      </c>
      <c r="AN838" t="n">
        <v>107.9633</v>
      </c>
      <c r="AO838" t="n">
        <v>103.3781</v>
      </c>
      <c r="AP838" t="n">
        <v>103.9604</v>
      </c>
      <c r="AQ838" t="n">
        <v>114.7422</v>
      </c>
      <c r="AR838" t="n">
        <v>103.4835</v>
      </c>
      <c r="AS838" t="n">
        <v>103.6962</v>
      </c>
      <c r="AT838" t="n">
        <v>103.63</v>
      </c>
      <c r="AU838" t="n">
        <v>105.6788</v>
      </c>
      <c r="AV838" t="n">
        <v>149.9856</v>
      </c>
      <c r="AW838" t="n">
        <v>106.5067</v>
      </c>
      <c r="AX838" t="n">
        <v>118.4202</v>
      </c>
    </row>
    <row r="839">
      <c r="A839" s="92" t="n">
        <v>43374</v>
      </c>
      <c r="B839" t="n">
        <v>105.9912</v>
      </c>
      <c r="C839" t="n">
        <v>107.3412</v>
      </c>
      <c r="D839" t="n">
        <v>118.4118</v>
      </c>
      <c r="E839" t="n">
        <v>105.9521</v>
      </c>
      <c r="F839" t="n">
        <v>101.4245</v>
      </c>
      <c r="G839" t="n">
        <v>109.7615</v>
      </c>
      <c r="H839" t="n">
        <v>106.8</v>
      </c>
      <c r="I839" t="n">
        <v>116.3893</v>
      </c>
      <c r="J839" t="n">
        <v>104.3503</v>
      </c>
      <c r="K839" t="n">
        <v>106</v>
      </c>
      <c r="L839" t="n">
        <v>104.9175</v>
      </c>
      <c r="M839" t="n">
        <v>102.7</v>
      </c>
      <c r="N839" t="n">
        <v>104.68</v>
      </c>
      <c r="O839" t="n">
        <v>104.7782</v>
      </c>
      <c r="P839" t="n">
        <v>108.7451</v>
      </c>
      <c r="Q839" t="n">
        <v>104.62</v>
      </c>
      <c r="R839" t="n">
        <v>102.85</v>
      </c>
      <c r="S839" t="n">
        <v>103.67</v>
      </c>
      <c r="T839" t="n">
        <v>109.4815</v>
      </c>
      <c r="U839" t="n">
        <v>105.5295</v>
      </c>
      <c r="V839" t="n">
        <v>106.7</v>
      </c>
      <c r="W839" t="n">
        <v>102.7695</v>
      </c>
      <c r="X839" t="n">
        <v>107.1799</v>
      </c>
      <c r="Y839" t="n">
        <v>111.4417</v>
      </c>
      <c r="Z839" t="n">
        <v>115.5244</v>
      </c>
      <c r="AA839" t="n">
        <v>101.2709</v>
      </c>
      <c r="AB839" t="n">
        <v>107.3314</v>
      </c>
      <c r="AC839" t="n">
        <v>101.3105</v>
      </c>
      <c r="AD839" t="n">
        <v>102.6</v>
      </c>
      <c r="AE839" t="n">
        <v>102.0107</v>
      </c>
      <c r="AF839" t="n">
        <v>105.4607</v>
      </c>
      <c r="AG839" t="n">
        <v>108.8846</v>
      </c>
      <c r="AH839" t="n">
        <v>104.69</v>
      </c>
      <c r="AI839" t="n">
        <v>106.931</v>
      </c>
      <c r="AJ839" t="n">
        <v>115.727</v>
      </c>
      <c r="AK839" t="n">
        <v>104.32</v>
      </c>
      <c r="AL839" t="n">
        <v>109.3</v>
      </c>
      <c r="AM839" t="n">
        <v>107.3772</v>
      </c>
      <c r="AN839" t="n">
        <v>108.4912</v>
      </c>
      <c r="AO839" t="n">
        <v>103.7851</v>
      </c>
      <c r="AP839" t="n">
        <v>103.8669</v>
      </c>
      <c r="AQ839" t="n">
        <v>115.1438</v>
      </c>
      <c r="AR839" t="n">
        <v>102.9857</v>
      </c>
      <c r="AS839" t="n">
        <v>103.7573</v>
      </c>
      <c r="AT839" t="n">
        <v>103.96</v>
      </c>
      <c r="AU839" t="n">
        <v>105.5447</v>
      </c>
      <c r="AV839" t="n">
        <v>153.9881</v>
      </c>
      <c r="AW839" t="n">
        <v>106.6949</v>
      </c>
      <c r="AX839" t="n">
        <v>118.9603</v>
      </c>
    </row>
    <row r="840">
      <c r="A840" s="92" t="n">
        <v>43405</v>
      </c>
      <c r="B840" t="n">
        <v>106.1912</v>
      </c>
      <c r="C840" t="n">
        <v>107.5097</v>
      </c>
      <c r="D840" t="n">
        <v>118.1631</v>
      </c>
      <c r="E840" t="n">
        <v>105.478</v>
      </c>
      <c r="F840" t="n">
        <v>101.1657</v>
      </c>
      <c r="G840" t="n">
        <v>109.7615</v>
      </c>
      <c r="H840" t="n">
        <v>106.4</v>
      </c>
      <c r="I840" t="n">
        <v>116.528</v>
      </c>
      <c r="J840" t="n">
        <v>104.7914</v>
      </c>
      <c r="K840" t="n">
        <v>105.9</v>
      </c>
      <c r="L840" t="n">
        <v>104.2174</v>
      </c>
      <c r="M840" t="n">
        <v>102.4</v>
      </c>
      <c r="N840" t="n">
        <v>104.1</v>
      </c>
      <c r="O840" t="n">
        <v>104.6637</v>
      </c>
      <c r="P840" t="n">
        <v>108.1811</v>
      </c>
      <c r="Q840" t="n">
        <v>104.11</v>
      </c>
      <c r="R840" t="n">
        <v>102.83</v>
      </c>
      <c r="S840" t="n">
        <v>103.45</v>
      </c>
      <c r="T840" t="n">
        <v>109.2748</v>
      </c>
      <c r="U840" t="n">
        <v>105.2116</v>
      </c>
      <c r="V840" t="n">
        <v>106.9</v>
      </c>
      <c r="W840" t="n">
        <v>101.2247</v>
      </c>
      <c r="X840" t="n">
        <v>106.8098</v>
      </c>
      <c r="Y840" t="n">
        <v>111.7407</v>
      </c>
      <c r="Z840" t="n">
        <v>115.5244</v>
      </c>
      <c r="AA840" t="n">
        <v>100.7725</v>
      </c>
      <c r="AB840" t="n">
        <v>107.5975</v>
      </c>
      <c r="AC840" t="n">
        <v>101.0081</v>
      </c>
      <c r="AD840" t="n">
        <v>102.4</v>
      </c>
      <c r="AE840" t="n">
        <v>101.8071</v>
      </c>
      <c r="AF840" t="n">
        <v>104.7112</v>
      </c>
      <c r="AG840" t="n">
        <v>108.7566</v>
      </c>
      <c r="AH840" t="n">
        <v>104.66</v>
      </c>
      <c r="AI840" t="n">
        <v>106.8039</v>
      </c>
      <c r="AJ840" t="n">
        <v>116.7115</v>
      </c>
      <c r="AK840" t="n">
        <v>104.07</v>
      </c>
      <c r="AL840" t="n">
        <v>109.8</v>
      </c>
      <c r="AM840" t="n">
        <v>107.0856</v>
      </c>
      <c r="AN840" t="n">
        <v>108.1199</v>
      </c>
      <c r="AO840" t="n">
        <v>103.7851</v>
      </c>
      <c r="AP840" t="n">
        <v>103.4021</v>
      </c>
      <c r="AQ840" t="n">
        <v>115.7195</v>
      </c>
      <c r="AR840" t="n">
        <v>102.768</v>
      </c>
      <c r="AS840" t="n">
        <v>103.6962</v>
      </c>
      <c r="AT840" t="n">
        <v>104.06</v>
      </c>
      <c r="AU840" t="n">
        <v>105.4426</v>
      </c>
      <c r="AV840" t="n">
        <v>151.7662</v>
      </c>
      <c r="AW840" t="n">
        <v>106.3375</v>
      </c>
      <c r="AX840" t="n">
        <v>119.0953</v>
      </c>
    </row>
    <row r="841">
      <c r="A841" s="92" t="n">
        <v>43435</v>
      </c>
      <c r="B841" t="n">
        <v>106.2911</v>
      </c>
      <c r="C841" t="n">
        <v>107.2521</v>
      </c>
      <c r="D841" t="n">
        <v>118.3403</v>
      </c>
      <c r="E841" t="n">
        <v>105.399</v>
      </c>
      <c r="F841" t="n">
        <v>100.906</v>
      </c>
      <c r="G841" t="n">
        <v>109.6525</v>
      </c>
      <c r="H841" t="n">
        <v>106.5</v>
      </c>
      <c r="I841" t="n">
        <v>116.8788</v>
      </c>
      <c r="J841" t="n">
        <v>105.0119</v>
      </c>
      <c r="K841" t="n">
        <v>106</v>
      </c>
      <c r="L841" t="n">
        <v>104.2174</v>
      </c>
      <c r="M841" t="n">
        <v>102.1</v>
      </c>
      <c r="N841" t="n">
        <v>104.05</v>
      </c>
      <c r="O841" t="n">
        <v>104.1937</v>
      </c>
      <c r="P841" t="n">
        <v>107.9247</v>
      </c>
      <c r="Q841" t="n">
        <v>104.08</v>
      </c>
      <c r="R841" t="n">
        <v>102.71</v>
      </c>
      <c r="S841" t="n">
        <v>103.47</v>
      </c>
      <c r="T841" t="n">
        <v>109.2513</v>
      </c>
      <c r="U841" t="n">
        <v>104.9932</v>
      </c>
      <c r="V841" t="n">
        <v>107.1</v>
      </c>
      <c r="W841" t="n">
        <v>101.3299</v>
      </c>
      <c r="X841" t="n">
        <v>106.4397</v>
      </c>
      <c r="Y841" t="n">
        <v>112.4299</v>
      </c>
      <c r="Z841" t="n">
        <v>115.1419</v>
      </c>
      <c r="AA841" t="n">
        <v>100.7725</v>
      </c>
      <c r="AB841" t="n">
        <v>108.3876</v>
      </c>
      <c r="AC841" t="n">
        <v>100.7056</v>
      </c>
      <c r="AD841" t="n">
        <v>102.3</v>
      </c>
      <c r="AE841" t="n">
        <v>101.5017</v>
      </c>
      <c r="AF841" t="n">
        <v>104.3507</v>
      </c>
      <c r="AG841" t="n">
        <v>108.0746</v>
      </c>
      <c r="AH841" t="n">
        <v>104.32</v>
      </c>
      <c r="AI841" t="n">
        <v>106.4038</v>
      </c>
      <c r="AJ841" t="n">
        <v>117.5295</v>
      </c>
      <c r="AK841" t="n">
        <v>103.97</v>
      </c>
      <c r="AL841" t="n">
        <v>109.8</v>
      </c>
      <c r="AM841" t="n">
        <v>106.9152</v>
      </c>
      <c r="AN841" t="n">
        <v>108.0355</v>
      </c>
      <c r="AO841" t="n">
        <v>103.7851</v>
      </c>
      <c r="AP841" t="n">
        <v>103.1593</v>
      </c>
      <c r="AQ841" t="n">
        <v>116.6915</v>
      </c>
      <c r="AR841" t="n">
        <v>102.3532</v>
      </c>
      <c r="AS841" t="n">
        <v>103.5738</v>
      </c>
      <c r="AT841" t="n">
        <v>103.46</v>
      </c>
      <c r="AU841" t="n">
        <v>105.9117</v>
      </c>
      <c r="AV841" t="n">
        <v>151.1522</v>
      </c>
      <c r="AW841" t="n">
        <v>105.9979</v>
      </c>
      <c r="AX841" t="n">
        <v>118.9603</v>
      </c>
    </row>
    <row r="842">
      <c r="A842" s="92" t="n">
        <v>43466</v>
      </c>
      <c r="B842" t="n">
        <v>105.4912</v>
      </c>
      <c r="C842" t="n">
        <v>107.2025</v>
      </c>
      <c r="D842" t="n">
        <v>118.719</v>
      </c>
      <c r="E842" t="n">
        <v>105.557</v>
      </c>
      <c r="F842" t="n">
        <v>100.6415</v>
      </c>
      <c r="G842" t="n">
        <v>109.7724</v>
      </c>
      <c r="H842" t="n">
        <v>107</v>
      </c>
      <c r="I842" t="n">
        <v>117.5783</v>
      </c>
      <c r="J842" t="n">
        <v>105.0656</v>
      </c>
      <c r="K842" t="n">
        <v>107.1</v>
      </c>
      <c r="L842" t="n">
        <v>103.4172</v>
      </c>
      <c r="M842" t="n">
        <v>102.3</v>
      </c>
      <c r="N842" t="n">
        <v>102.97</v>
      </c>
      <c r="O842" t="n">
        <v>102.862</v>
      </c>
      <c r="P842" t="n">
        <v>107.6684</v>
      </c>
      <c r="Q842" t="n">
        <v>103.22</v>
      </c>
      <c r="R842" t="n">
        <v>102.31</v>
      </c>
      <c r="S842" t="n">
        <v>103.01</v>
      </c>
      <c r="T842" t="n">
        <v>109.5387</v>
      </c>
      <c r="U842" t="n">
        <v>104.9659</v>
      </c>
      <c r="V842" t="n">
        <v>106.4</v>
      </c>
      <c r="W842" t="n">
        <v>99.54000000000001</v>
      </c>
      <c r="X842" t="n">
        <v>106.7357</v>
      </c>
      <c r="Y842" t="n">
        <v>112.7953</v>
      </c>
      <c r="Z842" t="n">
        <v>117.437</v>
      </c>
      <c r="AA842" t="n">
        <v>100.0748</v>
      </c>
      <c r="AB842" t="n">
        <v>107.9296</v>
      </c>
      <c r="AC842" t="n">
        <v>100.6048</v>
      </c>
      <c r="AD842" t="n">
        <v>102.4</v>
      </c>
      <c r="AE842" t="n">
        <v>101.5017</v>
      </c>
      <c r="AF842" t="n">
        <v>104.241</v>
      </c>
      <c r="AG842" t="n">
        <v>108.2849</v>
      </c>
      <c r="AH842" t="n">
        <v>103.4</v>
      </c>
      <c r="AI842" t="n">
        <v>106.9089</v>
      </c>
      <c r="AJ842" t="n">
        <v>117.6299</v>
      </c>
      <c r="AK842" t="n">
        <v>104.05</v>
      </c>
      <c r="AL842" t="n">
        <v>109.3</v>
      </c>
      <c r="AM842" t="n">
        <v>106.8683</v>
      </c>
      <c r="AN842" t="n">
        <v>107.6389</v>
      </c>
      <c r="AO842" t="n">
        <v>103.5409</v>
      </c>
      <c r="AP842" t="n">
        <v>101.9183</v>
      </c>
      <c r="AQ842" t="n">
        <v>117.8701</v>
      </c>
      <c r="AR842" t="n">
        <v>101.2747</v>
      </c>
      <c r="AS842" t="n">
        <v>104.675</v>
      </c>
      <c r="AT842" t="n">
        <v>102.32</v>
      </c>
      <c r="AU842" t="n">
        <v>104.8554</v>
      </c>
      <c r="AV842" t="n">
        <v>152.7601</v>
      </c>
      <c r="AW842" t="n">
        <v>106.2</v>
      </c>
      <c r="AX842" t="n">
        <v>118.8252</v>
      </c>
    </row>
    <row r="843">
      <c r="A843" s="92" t="n">
        <v>43497</v>
      </c>
      <c r="B843" t="n">
        <v>105.4912</v>
      </c>
      <c r="C843" t="n">
        <v>107.5494</v>
      </c>
      <c r="D843" t="n">
        <v>119.2294</v>
      </c>
      <c r="E843" t="n">
        <v>106.2681</v>
      </c>
      <c r="F843" t="n">
        <v>101.0328</v>
      </c>
      <c r="G843" t="n">
        <v>109.816</v>
      </c>
      <c r="H843" t="n">
        <v>108.1</v>
      </c>
      <c r="I843" t="n">
        <v>118.2541</v>
      </c>
      <c r="J843" t="n">
        <v>105.1517</v>
      </c>
      <c r="K843" t="n">
        <v>107.3</v>
      </c>
      <c r="L843" t="n">
        <v>103.8173</v>
      </c>
      <c r="M843" t="n">
        <v>102.8</v>
      </c>
      <c r="N843" t="n">
        <v>103.3</v>
      </c>
      <c r="O843" t="n">
        <v>103.1135</v>
      </c>
      <c r="P843" t="n">
        <v>107.8222</v>
      </c>
      <c r="Q843" t="n">
        <v>103.57</v>
      </c>
      <c r="R843" t="n">
        <v>102.8</v>
      </c>
      <c r="S843" t="n">
        <v>103.06</v>
      </c>
      <c r="T843" t="n">
        <v>110.0302</v>
      </c>
      <c r="U843" t="n">
        <v>105.3216</v>
      </c>
      <c r="V843" t="n">
        <v>106.8</v>
      </c>
      <c r="W843" t="n">
        <v>99.6691</v>
      </c>
      <c r="X843" t="n">
        <v>107.3279</v>
      </c>
      <c r="Y843" t="n">
        <v>112.704</v>
      </c>
      <c r="Z843" t="n">
        <v>117.437</v>
      </c>
      <c r="AA843" t="n">
        <v>100.8722</v>
      </c>
      <c r="AB843" t="n">
        <v>108.1378</v>
      </c>
      <c r="AC843" t="n">
        <v>100.7056</v>
      </c>
      <c r="AD843" t="n">
        <v>102.5</v>
      </c>
      <c r="AE843" t="n">
        <v>101.5017</v>
      </c>
      <c r="AF843" t="n">
        <v>104.6912</v>
      </c>
      <c r="AG843" t="n">
        <v>108.4233</v>
      </c>
      <c r="AH843" t="n">
        <v>104.97</v>
      </c>
      <c r="AI843" t="n">
        <v>106.9758</v>
      </c>
      <c r="AJ843" t="n">
        <v>117.5968</v>
      </c>
      <c r="AK843" t="n">
        <v>104.97</v>
      </c>
      <c r="AL843" t="n">
        <v>110.2</v>
      </c>
      <c r="AM843" t="n">
        <v>107.2073</v>
      </c>
      <c r="AN843" t="n">
        <v>107.9525</v>
      </c>
      <c r="AO843" t="n">
        <v>103.9479</v>
      </c>
      <c r="AP843" t="n">
        <v>101.6934</v>
      </c>
      <c r="AQ843" t="n">
        <v>118.3887</v>
      </c>
      <c r="AR843" t="n">
        <v>101.0984</v>
      </c>
      <c r="AS843" t="n">
        <v>104.9197</v>
      </c>
      <c r="AT843" t="n">
        <v>103.11</v>
      </c>
      <c r="AU843" t="n">
        <v>105.6405</v>
      </c>
      <c r="AV843" t="n">
        <v>153.0057</v>
      </c>
      <c r="AW843" t="n">
        <v>106.6489</v>
      </c>
      <c r="AX843" t="n">
        <v>119.7705</v>
      </c>
    </row>
    <row r="844">
      <c r="A844" s="92" t="n">
        <v>43525</v>
      </c>
      <c r="B844" t="n">
        <v>106.3911</v>
      </c>
      <c r="C844" t="n">
        <v>107.8764</v>
      </c>
      <c r="D844" t="n">
        <v>120.1236</v>
      </c>
      <c r="E844" t="n">
        <v>106.9792</v>
      </c>
      <c r="F844" t="n">
        <v>101.5708</v>
      </c>
      <c r="G844" t="n">
        <v>110.3389</v>
      </c>
      <c r="H844" t="n">
        <v>107.7</v>
      </c>
      <c r="I844" t="n">
        <v>118.7677</v>
      </c>
      <c r="J844" t="n">
        <v>104.999</v>
      </c>
      <c r="K844" t="n">
        <v>107.5</v>
      </c>
      <c r="L844" t="n">
        <v>104.2174</v>
      </c>
      <c r="M844" t="n">
        <v>102.9</v>
      </c>
      <c r="N844" t="n">
        <v>104.35</v>
      </c>
      <c r="O844" t="n">
        <v>103.4872</v>
      </c>
      <c r="P844" t="n">
        <v>108.1811</v>
      </c>
      <c r="Q844" t="n">
        <v>104.5</v>
      </c>
      <c r="R844" t="n">
        <v>102.87</v>
      </c>
      <c r="S844" t="n">
        <v>103.89</v>
      </c>
      <c r="T844" t="n">
        <v>110.5453</v>
      </c>
      <c r="U844" t="n">
        <v>105.8091</v>
      </c>
      <c r="V844" t="n">
        <v>107</v>
      </c>
      <c r="W844" t="n">
        <v>101.4823</v>
      </c>
      <c r="X844" t="n">
        <v>108.0681</v>
      </c>
      <c r="Y844" t="n">
        <v>112.8285</v>
      </c>
      <c r="Z844" t="n">
        <v>118.2021</v>
      </c>
      <c r="AA844" t="n">
        <v>101.6696</v>
      </c>
      <c r="AB844" t="n">
        <v>108.7023</v>
      </c>
      <c r="AC844" t="n">
        <v>101.2097</v>
      </c>
      <c r="AD844" t="n">
        <v>102.8</v>
      </c>
      <c r="AE844" t="n">
        <v>101.5017</v>
      </c>
      <c r="AF844" t="n">
        <v>104.4909</v>
      </c>
      <c r="AG844" t="n">
        <v>109.4406</v>
      </c>
      <c r="AH844" t="n">
        <v>105.14</v>
      </c>
      <c r="AI844" t="n">
        <v>108.1824</v>
      </c>
      <c r="AJ844" t="n">
        <v>118.0498</v>
      </c>
      <c r="AK844" t="n">
        <v>105.37</v>
      </c>
      <c r="AL844" t="n">
        <v>110.4</v>
      </c>
      <c r="AM844" t="n">
        <v>107.6948</v>
      </c>
      <c r="AN844" t="n">
        <v>108.4918</v>
      </c>
      <c r="AO844" t="n">
        <v>104.2735</v>
      </c>
      <c r="AP844" t="n">
        <v>103.4947</v>
      </c>
      <c r="AQ844" t="n">
        <v>118.7676</v>
      </c>
      <c r="AR844" t="n">
        <v>100.9947</v>
      </c>
      <c r="AS844" t="n">
        <v>105.5315</v>
      </c>
      <c r="AT844" t="n">
        <v>103.83</v>
      </c>
      <c r="AU844" t="n">
        <v>105.8862</v>
      </c>
      <c r="AV844" t="n">
        <v>154.5791</v>
      </c>
      <c r="AW844" t="n">
        <v>107.2505</v>
      </c>
      <c r="AX844" t="n">
        <v>120.7157</v>
      </c>
    </row>
    <row r="845">
      <c r="A845" s="92" t="n">
        <v>43556</v>
      </c>
      <c r="B845" t="n">
        <v>106.4911</v>
      </c>
      <c r="C845" t="n">
        <v>107.9359</v>
      </c>
      <c r="D845" t="n">
        <v>120.8083</v>
      </c>
      <c r="E845" t="n">
        <v>107.4533</v>
      </c>
      <c r="F845" t="n">
        <v>101.7617</v>
      </c>
      <c r="G845" t="n">
        <v>110.6331</v>
      </c>
      <c r="H845" t="n">
        <v>107.8</v>
      </c>
      <c r="I845" t="n">
        <v>119.3567</v>
      </c>
      <c r="J845" t="n">
        <v>105.5884</v>
      </c>
      <c r="K845" t="n">
        <v>107.6</v>
      </c>
      <c r="L845" t="n">
        <v>105.2175</v>
      </c>
      <c r="M845" t="n">
        <v>103.2</v>
      </c>
      <c r="N845" t="n">
        <v>105.1</v>
      </c>
      <c r="O845" t="n">
        <v>104.5309</v>
      </c>
      <c r="P845" t="n">
        <v>109.6167</v>
      </c>
      <c r="Q845" t="n">
        <v>105.26</v>
      </c>
      <c r="R845" t="n">
        <v>103.47</v>
      </c>
      <c r="S845" t="n">
        <v>104.22</v>
      </c>
      <c r="T845" t="n">
        <v>111.172</v>
      </c>
      <c r="U845" t="n">
        <v>106.3493</v>
      </c>
      <c r="V845" t="n">
        <v>107.6</v>
      </c>
      <c r="W845" t="n">
        <v>102.4866</v>
      </c>
      <c r="X845" t="n">
        <v>109.0303</v>
      </c>
      <c r="Y845" t="n">
        <v>113.3268</v>
      </c>
      <c r="Z845" t="n">
        <v>119.3497</v>
      </c>
      <c r="AA845" t="n">
        <v>102.0683</v>
      </c>
      <c r="AB845" t="n">
        <v>109.0967</v>
      </c>
      <c r="AC845" t="n">
        <v>101.5121</v>
      </c>
      <c r="AD845" t="n">
        <v>103</v>
      </c>
      <c r="AE845" t="n">
        <v>101.8071</v>
      </c>
      <c r="AF845" t="n">
        <v>104.8704</v>
      </c>
      <c r="AG845" t="n">
        <v>110.323</v>
      </c>
      <c r="AH845" t="n">
        <v>105.33</v>
      </c>
      <c r="AI845" t="n">
        <v>109.1061</v>
      </c>
      <c r="AJ845" t="n">
        <v>118.1125</v>
      </c>
      <c r="AK845" t="n">
        <v>106.08</v>
      </c>
      <c r="AL845" t="n">
        <v>110.8</v>
      </c>
      <c r="AM845" t="n">
        <v>108.2821</v>
      </c>
      <c r="AN845" t="n">
        <v>109.2512</v>
      </c>
      <c r="AO845" t="n">
        <v>105.4131</v>
      </c>
      <c r="AP845" t="n">
        <v>104.0998</v>
      </c>
      <c r="AQ845" t="n">
        <v>119.112</v>
      </c>
      <c r="AR845" t="n">
        <v>101.0465</v>
      </c>
      <c r="AS845" t="n">
        <v>105.7762</v>
      </c>
      <c r="AT845" t="n">
        <v>104.64</v>
      </c>
      <c r="AU845" t="n">
        <v>106.6266</v>
      </c>
      <c r="AV845" t="n">
        <v>157.1963</v>
      </c>
      <c r="AW845" t="n">
        <v>107.8184</v>
      </c>
      <c r="AX845" t="n">
        <v>121.3908</v>
      </c>
    </row>
    <row r="846">
      <c r="A846" s="92" t="n">
        <v>43586</v>
      </c>
      <c r="B846" t="n">
        <v>106.6911</v>
      </c>
      <c r="C846" t="n">
        <v>107.9557</v>
      </c>
      <c r="D846" t="n">
        <v>120.9653</v>
      </c>
      <c r="E846" t="n">
        <v>107.9273</v>
      </c>
      <c r="F846" t="n">
        <v>102.0742</v>
      </c>
      <c r="G846" t="n">
        <v>111.2977</v>
      </c>
      <c r="H846" t="n">
        <v>107.8</v>
      </c>
      <c r="I846" t="n">
        <v>119.7323</v>
      </c>
      <c r="J846" t="n">
        <v>105.7315</v>
      </c>
      <c r="K846" t="n">
        <v>108.3</v>
      </c>
      <c r="L846" t="n">
        <v>105.4176</v>
      </c>
      <c r="M846" t="n">
        <v>103.1</v>
      </c>
      <c r="N846" t="n">
        <v>105.24</v>
      </c>
      <c r="O846" t="n">
        <v>104.7343</v>
      </c>
      <c r="P846" t="n">
        <v>109.873</v>
      </c>
      <c r="Q846" t="n">
        <v>105.44</v>
      </c>
      <c r="R846" t="n">
        <v>103.29</v>
      </c>
      <c r="S846" t="n">
        <v>104.33</v>
      </c>
      <c r="T846" t="n">
        <v>111.4713</v>
      </c>
      <c r="U846" t="n">
        <v>106.5444</v>
      </c>
      <c r="V846" t="n">
        <v>107.9</v>
      </c>
      <c r="W846" t="n">
        <v>101.3521</v>
      </c>
      <c r="X846" t="n">
        <v>109.6965</v>
      </c>
      <c r="Y846" t="n">
        <v>114.0991</v>
      </c>
      <c r="Z846" t="n">
        <v>120.1148</v>
      </c>
      <c r="AA846" t="n">
        <v>101.9686</v>
      </c>
      <c r="AB846" t="n">
        <v>109.3485</v>
      </c>
      <c r="AC846" t="n">
        <v>102.2177</v>
      </c>
      <c r="AD846" t="n">
        <v>103</v>
      </c>
      <c r="AE846" t="n">
        <v>101.8071</v>
      </c>
      <c r="AF846" t="n">
        <v>105.0506</v>
      </c>
      <c r="AG846" t="n">
        <v>110.5792</v>
      </c>
      <c r="AH846" t="n">
        <v>105.62</v>
      </c>
      <c r="AI846" t="n">
        <v>109.344</v>
      </c>
      <c r="AJ846" t="n">
        <v>117.7725</v>
      </c>
      <c r="AK846" t="n">
        <v>105.94</v>
      </c>
      <c r="AL846" t="n">
        <v>110.5</v>
      </c>
      <c r="AM846" t="n">
        <v>108.4783</v>
      </c>
      <c r="AN846" t="n">
        <v>109.48</v>
      </c>
      <c r="AO846" t="n">
        <v>105.6573</v>
      </c>
      <c r="AP846" t="n">
        <v>104.1605</v>
      </c>
      <c r="AQ846" t="n">
        <v>119.517</v>
      </c>
      <c r="AR846" t="n">
        <v>101.0776</v>
      </c>
      <c r="AS846" t="n">
        <v>106.1433</v>
      </c>
      <c r="AT846" t="n">
        <v>105.56</v>
      </c>
      <c r="AU846" t="n">
        <v>106.8947</v>
      </c>
      <c r="AV846" t="n">
        <v>158.6891</v>
      </c>
      <c r="AW846" t="n">
        <v>108.0479</v>
      </c>
      <c r="AX846" t="n">
        <v>121.7959</v>
      </c>
    </row>
    <row r="847">
      <c r="A847" s="92" t="n">
        <v>43617</v>
      </c>
      <c r="B847" t="n">
        <v>106.7911</v>
      </c>
      <c r="C847" t="n">
        <v>107.8962</v>
      </c>
      <c r="D847" t="n">
        <v>120.9774</v>
      </c>
      <c r="E847" t="n">
        <v>107.6903</v>
      </c>
      <c r="F847" t="n">
        <v>102.0439</v>
      </c>
      <c r="G847" t="n">
        <v>111.3522</v>
      </c>
      <c r="H847" t="n">
        <v>107.7</v>
      </c>
      <c r="I847" t="n">
        <v>120.0524</v>
      </c>
      <c r="J847" t="n">
        <v>106.0219</v>
      </c>
      <c r="K847" t="n">
        <v>108.5</v>
      </c>
      <c r="L847" t="n">
        <v>105.7176</v>
      </c>
      <c r="M847" t="n">
        <v>102.9</v>
      </c>
      <c r="N847" t="n">
        <v>105.41</v>
      </c>
      <c r="O847" t="n">
        <v>104.6112</v>
      </c>
      <c r="P847" t="n">
        <v>110.0781</v>
      </c>
      <c r="Q847" t="n">
        <v>105.57</v>
      </c>
      <c r="R847" t="n">
        <v>103.36</v>
      </c>
      <c r="S847" t="n">
        <v>104.58</v>
      </c>
      <c r="T847" t="n">
        <v>111.6176</v>
      </c>
      <c r="U847" t="n">
        <v>106.5731</v>
      </c>
      <c r="V847" t="n">
        <v>107.9</v>
      </c>
      <c r="W847" t="n">
        <v>101.8369</v>
      </c>
      <c r="X847" t="n">
        <v>109.4745</v>
      </c>
      <c r="Y847" t="n">
        <v>114.7302</v>
      </c>
      <c r="Z847" t="n">
        <v>120.8798</v>
      </c>
      <c r="AA847" t="n">
        <v>102.168</v>
      </c>
      <c r="AB847" t="n">
        <v>109.7578</v>
      </c>
      <c r="AC847" t="n">
        <v>101.6129</v>
      </c>
      <c r="AD847" t="n">
        <v>103.1</v>
      </c>
      <c r="AE847" t="n">
        <v>101.6035</v>
      </c>
      <c r="AF847" t="n">
        <v>104.8809</v>
      </c>
      <c r="AG847" t="n">
        <v>110.3661</v>
      </c>
      <c r="AH847" t="n">
        <v>105.55</v>
      </c>
      <c r="AI847" t="n">
        <v>109.7107</v>
      </c>
      <c r="AJ847" t="n">
        <v>117.8478</v>
      </c>
      <c r="AK847" t="n">
        <v>105.84</v>
      </c>
      <c r="AL847" t="n">
        <v>110.6</v>
      </c>
      <c r="AM847" t="n">
        <v>108.5051</v>
      </c>
      <c r="AN847" t="n">
        <v>109.5947</v>
      </c>
      <c r="AO847" t="n">
        <v>105.9829</v>
      </c>
      <c r="AP847" t="n">
        <v>104.1923</v>
      </c>
      <c r="AQ847" t="n">
        <v>119.5648</v>
      </c>
      <c r="AR847" t="n">
        <v>101.3058</v>
      </c>
      <c r="AS847" t="n">
        <v>106.2044</v>
      </c>
      <c r="AT847" t="n">
        <v>105.93</v>
      </c>
      <c r="AU847" t="n">
        <v>106.7415</v>
      </c>
      <c r="AV847" t="n">
        <v>158.7313</v>
      </c>
      <c r="AW847" t="n">
        <v>108.0695</v>
      </c>
      <c r="AX847" t="n">
        <v>122.201</v>
      </c>
    </row>
    <row r="848">
      <c r="A848" s="92" t="n">
        <v>43647</v>
      </c>
      <c r="B848" t="n">
        <v>106.3911</v>
      </c>
      <c r="C848" t="n">
        <v>107.9854</v>
      </c>
      <c r="D848" t="n">
        <v>121.2073</v>
      </c>
      <c r="E848" t="n">
        <v>108.2433</v>
      </c>
      <c r="F848" t="n">
        <v>101.5173</v>
      </c>
      <c r="G848" t="n">
        <v>111.6028</v>
      </c>
      <c r="H848" t="n">
        <v>108.1</v>
      </c>
      <c r="I848" t="n">
        <v>120.3153</v>
      </c>
      <c r="J848" t="n">
        <v>106.8006</v>
      </c>
      <c r="K848" t="n">
        <v>108.9</v>
      </c>
      <c r="L848" t="n">
        <v>106.2177</v>
      </c>
      <c r="M848" t="n">
        <v>103.5</v>
      </c>
      <c r="N848" t="n">
        <v>104.91</v>
      </c>
      <c r="O848" t="n">
        <v>103.9625</v>
      </c>
      <c r="P848" t="n">
        <v>109.9243</v>
      </c>
      <c r="Q848" t="n">
        <v>105.22</v>
      </c>
      <c r="R848" t="n">
        <v>103.08</v>
      </c>
      <c r="S848" t="n">
        <v>104.38</v>
      </c>
      <c r="T848" t="n">
        <v>111.9011</v>
      </c>
      <c r="U848" t="n">
        <v>106.7378</v>
      </c>
      <c r="V848" t="n">
        <v>108</v>
      </c>
      <c r="W848" t="n">
        <v>100.3478</v>
      </c>
      <c r="X848" t="n">
        <v>109.6965</v>
      </c>
      <c r="Y848" t="n">
        <v>115.0873</v>
      </c>
      <c r="Z848" t="n">
        <v>122.0274</v>
      </c>
      <c r="AA848" t="n">
        <v>101.9686</v>
      </c>
      <c r="AB848" t="n">
        <v>109.5162</v>
      </c>
      <c r="AC848" t="n">
        <v>101.3105</v>
      </c>
      <c r="AD848" t="n">
        <v>103.1</v>
      </c>
      <c r="AE848" t="n">
        <v>101.6035</v>
      </c>
      <c r="AF848" t="n">
        <v>104.5604</v>
      </c>
      <c r="AG848" t="n">
        <v>110.0142</v>
      </c>
      <c r="AH848" t="n">
        <v>104.83</v>
      </c>
      <c r="AI848" t="n">
        <v>108.6572</v>
      </c>
      <c r="AJ848" t="n">
        <v>118.2905</v>
      </c>
      <c r="AK848" t="n">
        <v>106.9</v>
      </c>
      <c r="AL848" t="n">
        <v>111.4</v>
      </c>
      <c r="AM848" t="n">
        <v>108.6775</v>
      </c>
      <c r="AN848" t="n">
        <v>109.7474</v>
      </c>
      <c r="AO848" t="n">
        <v>105.9829</v>
      </c>
      <c r="AP848" t="n">
        <v>102.8319</v>
      </c>
      <c r="AQ848" t="n">
        <v>119.8039</v>
      </c>
      <c r="AR848" t="n">
        <v>101.5858</v>
      </c>
      <c r="AS848" t="n">
        <v>106.3268</v>
      </c>
      <c r="AT848" t="n">
        <v>105.18</v>
      </c>
      <c r="AU848" t="n">
        <v>107.1659</v>
      </c>
      <c r="AV848" t="n">
        <v>160.8842</v>
      </c>
      <c r="AW848" t="n">
        <v>108.25</v>
      </c>
      <c r="AX848" t="n">
        <v>122.6061</v>
      </c>
    </row>
    <row r="849">
      <c r="A849" s="92" t="n">
        <v>43678</v>
      </c>
      <c r="B849" t="n">
        <v>106.4911</v>
      </c>
      <c r="C849" t="n">
        <v>107.9656</v>
      </c>
      <c r="D849" t="n">
        <v>121.3407</v>
      </c>
      <c r="E849" t="n">
        <v>108.0853</v>
      </c>
      <c r="F849" t="n">
        <v>101.507</v>
      </c>
      <c r="G849" t="n">
        <v>111.8098</v>
      </c>
      <c r="H849" t="n">
        <v>108.9</v>
      </c>
      <c r="I849" t="n">
        <v>120.4171</v>
      </c>
      <c r="J849" t="n">
        <v>106.6952</v>
      </c>
      <c r="K849" t="n">
        <v>109</v>
      </c>
      <c r="L849" t="n">
        <v>106.0177</v>
      </c>
      <c r="M849" t="n">
        <v>103.1</v>
      </c>
      <c r="N849" t="n">
        <v>105.06</v>
      </c>
      <c r="O849" t="n">
        <v>103.9047</v>
      </c>
      <c r="P849" t="n">
        <v>110.6934</v>
      </c>
      <c r="Q849" t="n">
        <v>105.31</v>
      </c>
      <c r="R849" t="n">
        <v>103.5</v>
      </c>
      <c r="S849" t="n">
        <v>104.86</v>
      </c>
      <c r="T849" t="n">
        <v>112.2039</v>
      </c>
      <c r="U849" t="n">
        <v>106.8078</v>
      </c>
      <c r="V849" t="n">
        <v>108.3</v>
      </c>
      <c r="W849" t="n">
        <v>99.79971999999999</v>
      </c>
      <c r="X849" t="n">
        <v>109.5485</v>
      </c>
      <c r="Y849" t="n">
        <v>115.2201</v>
      </c>
      <c r="Z849" t="n">
        <v>122.4099</v>
      </c>
      <c r="AA849" t="n">
        <v>102.467</v>
      </c>
      <c r="AB849" t="n">
        <v>109.8235</v>
      </c>
      <c r="AC849" t="n">
        <v>101.5121</v>
      </c>
      <c r="AD849" t="n">
        <v>103.5</v>
      </c>
      <c r="AE849" t="n">
        <v>101.8071</v>
      </c>
      <c r="AF849" t="n">
        <v>104.8113</v>
      </c>
      <c r="AG849" t="n">
        <v>109.5784</v>
      </c>
      <c r="AH849" t="n">
        <v>106.06</v>
      </c>
      <c r="AI849" t="n">
        <v>108.8734</v>
      </c>
      <c r="AJ849" t="n">
        <v>118.2711</v>
      </c>
      <c r="AK849" t="n">
        <v>107.37</v>
      </c>
      <c r="AL849" t="n">
        <v>110.6</v>
      </c>
      <c r="AM849" t="n">
        <v>108.7668</v>
      </c>
      <c r="AN849" t="n">
        <v>109.939</v>
      </c>
      <c r="AO849" t="n">
        <v>105.9829</v>
      </c>
      <c r="AP849" t="n">
        <v>102.7135</v>
      </c>
      <c r="AQ849" t="n">
        <v>119.5164</v>
      </c>
      <c r="AR849" t="n">
        <v>101.7828</v>
      </c>
      <c r="AS849" t="n">
        <v>106.5715</v>
      </c>
      <c r="AT849" t="n">
        <v>105.57</v>
      </c>
      <c r="AU849" t="n">
        <v>106.716</v>
      </c>
      <c r="AV849" t="n">
        <v>162.2657</v>
      </c>
      <c r="AW849" t="n">
        <v>108.2446</v>
      </c>
      <c r="AX849" t="n">
        <v>122.8761</v>
      </c>
    </row>
    <row r="850">
      <c r="A850" s="92" t="n">
        <v>43709</v>
      </c>
      <c r="B850" t="n">
        <v>106.9911</v>
      </c>
      <c r="C850" t="n">
        <v>107.4701</v>
      </c>
      <c r="D850" t="n">
        <v>121.2922</v>
      </c>
      <c r="E850" t="n">
        <v>107.6113</v>
      </c>
      <c r="F850" t="n">
        <v>101.3957</v>
      </c>
      <c r="G850" t="n">
        <v>111.8207</v>
      </c>
      <c r="H850" t="n">
        <v>109.8</v>
      </c>
      <c r="I850" t="n">
        <v>120.6922</v>
      </c>
      <c r="J850" t="n">
        <v>106.5909</v>
      </c>
      <c r="K850" t="n">
        <v>108.4</v>
      </c>
      <c r="L850" t="n">
        <v>106.0177</v>
      </c>
      <c r="M850" t="n">
        <v>102.9</v>
      </c>
      <c r="N850" t="n">
        <v>105.29</v>
      </c>
      <c r="O850" t="n">
        <v>103.9047</v>
      </c>
      <c r="P850" t="n">
        <v>110.5395</v>
      </c>
      <c r="Q850" t="n">
        <v>105.49</v>
      </c>
      <c r="R850" t="n">
        <v>103.54</v>
      </c>
      <c r="S850" t="n">
        <v>104.5</v>
      </c>
      <c r="T850" t="n">
        <v>112.6144</v>
      </c>
      <c r="U850" t="n">
        <v>106.7972</v>
      </c>
      <c r="V850" t="n">
        <v>108.4</v>
      </c>
      <c r="W850" t="n">
        <v>101.9057</v>
      </c>
      <c r="X850" t="n">
        <v>109.6225</v>
      </c>
      <c r="Y850" t="n">
        <v>114.9046</v>
      </c>
      <c r="Z850" t="n">
        <v>123.175</v>
      </c>
      <c r="AA850" t="n">
        <v>102.2676</v>
      </c>
      <c r="AB850" t="n">
        <v>109.9215</v>
      </c>
      <c r="AC850" t="n">
        <v>101.3105</v>
      </c>
      <c r="AD850" t="n">
        <v>102.9</v>
      </c>
      <c r="AE850" t="n">
        <v>101.9089</v>
      </c>
      <c r="AF850" t="n">
        <v>105.2003</v>
      </c>
      <c r="AG850" t="n">
        <v>110.5867</v>
      </c>
      <c r="AH850" t="n">
        <v>105.9</v>
      </c>
      <c r="AI850" t="n">
        <v>108.9301</v>
      </c>
      <c r="AJ850" t="n">
        <v>118.5814</v>
      </c>
      <c r="AK850" t="n">
        <v>106.7</v>
      </c>
      <c r="AL850" t="n">
        <v>111.1</v>
      </c>
      <c r="AM850" t="n">
        <v>108.8331</v>
      </c>
      <c r="AN850" t="n">
        <v>109.973</v>
      </c>
      <c r="AO850" t="n">
        <v>105.9829</v>
      </c>
      <c r="AP850" t="n">
        <v>103.844</v>
      </c>
      <c r="AQ850" t="n">
        <v>119.3252</v>
      </c>
      <c r="AR850" t="n">
        <v>102.0213</v>
      </c>
      <c r="AS850" t="n">
        <v>106.6939</v>
      </c>
      <c r="AT850" t="n">
        <v>105.37</v>
      </c>
      <c r="AU850" t="n">
        <v>107.2138</v>
      </c>
      <c r="AV850" t="n">
        <v>163.8774</v>
      </c>
      <c r="AW850" t="n">
        <v>108.3294</v>
      </c>
      <c r="AX850" t="n">
        <v>123.2812</v>
      </c>
    </row>
    <row r="851">
      <c r="A851" s="92" t="n">
        <v>43739</v>
      </c>
      <c r="B851" t="n">
        <v>107.1911</v>
      </c>
      <c r="C851" t="n">
        <v>107.8566</v>
      </c>
      <c r="D851" t="n">
        <v>121.4136</v>
      </c>
      <c r="E851" t="n">
        <v>107.9273</v>
      </c>
      <c r="F851" t="n">
        <v>101.1677</v>
      </c>
      <c r="G851" t="n">
        <v>112.736</v>
      </c>
      <c r="H851" t="n">
        <v>110.8</v>
      </c>
      <c r="I851" t="n">
        <v>120.8836</v>
      </c>
      <c r="J851" t="n">
        <v>106.5134</v>
      </c>
      <c r="K851" t="n">
        <v>108.9</v>
      </c>
      <c r="L851" t="n">
        <v>106.1177</v>
      </c>
      <c r="M851" t="n">
        <v>103.3</v>
      </c>
      <c r="N851" t="n">
        <v>105.44</v>
      </c>
      <c r="O851" t="n">
        <v>104.9131</v>
      </c>
      <c r="P851" t="n">
        <v>110.437</v>
      </c>
      <c r="Q851" t="n">
        <v>105.67</v>
      </c>
      <c r="R851" t="n">
        <v>103.62</v>
      </c>
      <c r="S851" t="n">
        <v>104.46</v>
      </c>
      <c r="T851" t="n">
        <v>113.1525</v>
      </c>
      <c r="U851" t="n">
        <v>106.977</v>
      </c>
      <c r="V851" t="n">
        <v>108.3</v>
      </c>
      <c r="W851" t="n">
        <v>102.038</v>
      </c>
      <c r="X851" t="n">
        <v>110.2887</v>
      </c>
      <c r="Y851" t="n">
        <v>114.9295</v>
      </c>
      <c r="Z851" t="n">
        <v>124.3226</v>
      </c>
      <c r="AA851" t="n">
        <v>101.9686</v>
      </c>
      <c r="AB851" t="n">
        <v>110.32</v>
      </c>
      <c r="AC851" t="n">
        <v>101.7137</v>
      </c>
      <c r="AD851" t="n">
        <v>102.8</v>
      </c>
      <c r="AE851" t="n">
        <v>102.2143</v>
      </c>
      <c r="AF851" t="n">
        <v>105.4607</v>
      </c>
      <c r="AG851" t="n">
        <v>110.6717</v>
      </c>
      <c r="AH851" t="n">
        <v>105.89</v>
      </c>
      <c r="AI851" t="n">
        <v>109.3437</v>
      </c>
      <c r="AJ851" t="n">
        <v>119.2214</v>
      </c>
      <c r="AK851" t="n">
        <v>107.16</v>
      </c>
      <c r="AL851" t="n">
        <v>111.3</v>
      </c>
      <c r="AM851" t="n">
        <v>109.1492</v>
      </c>
      <c r="AN851" t="n">
        <v>110.3052</v>
      </c>
      <c r="AO851" t="n">
        <v>106.2271</v>
      </c>
      <c r="AP851" t="n">
        <v>103.8828</v>
      </c>
      <c r="AQ851" t="n">
        <v>119.4803</v>
      </c>
      <c r="AR851" t="n">
        <v>102.0732</v>
      </c>
      <c r="AS851" t="n">
        <v>106.6327</v>
      </c>
      <c r="AT851" t="n">
        <v>105.44</v>
      </c>
      <c r="AU851" t="n">
        <v>107.2425</v>
      </c>
      <c r="AV851" t="n">
        <v>167.1585</v>
      </c>
      <c r="AW851" t="n">
        <v>108.577</v>
      </c>
      <c r="AX851" t="n">
        <v>123.2812</v>
      </c>
    </row>
    <row r="852">
      <c r="A852" s="92" t="n">
        <v>43770</v>
      </c>
      <c r="B852" t="n">
        <v>107.3911</v>
      </c>
      <c r="C852" t="n">
        <v>107.926</v>
      </c>
      <c r="D852" t="n">
        <v>122.0328</v>
      </c>
      <c r="E852" t="n">
        <v>107.7693</v>
      </c>
      <c r="F852" t="n">
        <v>101.033</v>
      </c>
      <c r="G852" t="n">
        <v>112.8231</v>
      </c>
      <c r="H852" t="n">
        <v>111.2</v>
      </c>
      <c r="I852" t="n">
        <v>121.0105</v>
      </c>
      <c r="J852" t="n">
        <v>106.7361</v>
      </c>
      <c r="K852" t="n">
        <v>109.2</v>
      </c>
      <c r="L852" t="n">
        <v>105.3176</v>
      </c>
      <c r="M852" t="n">
        <v>103.1</v>
      </c>
      <c r="N852" t="n">
        <v>105.1</v>
      </c>
      <c r="O852" t="n">
        <v>105.0908</v>
      </c>
      <c r="P852" t="n">
        <v>110.1806</v>
      </c>
      <c r="Q852" t="n">
        <v>105.42</v>
      </c>
      <c r="R852" t="n">
        <v>103.52</v>
      </c>
      <c r="S852" t="n">
        <v>104.52</v>
      </c>
      <c r="T852" t="n">
        <v>113.4213</v>
      </c>
      <c r="U852" t="n">
        <v>106.8821</v>
      </c>
      <c r="V852" t="n">
        <v>108.5</v>
      </c>
      <c r="W852" t="n">
        <v>101.4502</v>
      </c>
      <c r="X852" t="n">
        <v>110.3627</v>
      </c>
      <c r="Y852" t="n">
        <v>115.0956</v>
      </c>
      <c r="Z852" t="n">
        <v>125.4702</v>
      </c>
      <c r="AA852" t="n">
        <v>101.8689</v>
      </c>
      <c r="AB852" t="n">
        <v>110.4552</v>
      </c>
      <c r="AC852" t="n">
        <v>101.3105</v>
      </c>
      <c r="AD852" t="n">
        <v>102.6</v>
      </c>
      <c r="AE852" t="n">
        <v>102.3161</v>
      </c>
      <c r="AF852" t="n">
        <v>104.8704</v>
      </c>
      <c r="AG852" t="n">
        <v>110.6553</v>
      </c>
      <c r="AH852" t="n">
        <v>105.93</v>
      </c>
      <c r="AI852" t="n">
        <v>109.0625</v>
      </c>
      <c r="AJ852" t="n">
        <v>120.1831</v>
      </c>
      <c r="AK852" t="n">
        <v>106.73</v>
      </c>
      <c r="AL852" t="n">
        <v>111.6</v>
      </c>
      <c r="AM852" t="n">
        <v>109.1164</v>
      </c>
      <c r="AN852" t="n">
        <v>110.2112</v>
      </c>
      <c r="AO852" t="n">
        <v>106.3085</v>
      </c>
      <c r="AP852" t="n">
        <v>103.7296</v>
      </c>
      <c r="AQ852" t="n">
        <v>119.8148</v>
      </c>
      <c r="AR852" t="n">
        <v>101.9383</v>
      </c>
      <c r="AS852" t="n">
        <v>106.755</v>
      </c>
      <c r="AT852" t="n">
        <v>105.52</v>
      </c>
      <c r="AU852" t="n">
        <v>107.3447</v>
      </c>
      <c r="AV852" t="n">
        <v>167.7955</v>
      </c>
      <c r="AW852" t="n">
        <v>108.5188</v>
      </c>
      <c r="AX852" t="n">
        <v>123.4162</v>
      </c>
    </row>
    <row r="853">
      <c r="A853" s="92" t="n">
        <v>43800</v>
      </c>
      <c r="B853" t="n">
        <v>108.091</v>
      </c>
      <c r="C853" t="n">
        <v>108.0647</v>
      </c>
      <c r="D853" t="n">
        <v>123.4363</v>
      </c>
      <c r="E853" t="n">
        <v>107.7693</v>
      </c>
      <c r="F853" t="n">
        <v>101.0632</v>
      </c>
      <c r="G853" t="n">
        <v>112.943</v>
      </c>
      <c r="H853" t="n">
        <v>111.2</v>
      </c>
      <c r="I853" t="n">
        <v>121.3252</v>
      </c>
      <c r="J853" t="n">
        <v>106.6102</v>
      </c>
      <c r="K853" t="n">
        <v>109.4</v>
      </c>
      <c r="L853" t="n">
        <v>105.8176</v>
      </c>
      <c r="M853" t="n">
        <v>102.9</v>
      </c>
      <c r="N853" t="n">
        <v>105.43</v>
      </c>
      <c r="O853" t="n">
        <v>105.0148</v>
      </c>
      <c r="P853" t="n">
        <v>109.8217</v>
      </c>
      <c r="Q853" t="n">
        <v>105.76</v>
      </c>
      <c r="R853" t="n">
        <v>103.65</v>
      </c>
      <c r="S853" t="n">
        <v>104.98</v>
      </c>
      <c r="T853" t="n">
        <v>113.7289</v>
      </c>
      <c r="U853" t="n">
        <v>106.9133</v>
      </c>
      <c r="V853" t="n">
        <v>108.5</v>
      </c>
      <c r="W853" t="n">
        <v>102.1203</v>
      </c>
      <c r="X853" t="n">
        <v>110.6588</v>
      </c>
      <c r="Y853" t="n">
        <v>115.4859</v>
      </c>
      <c r="Z853" t="n">
        <v>126.2353</v>
      </c>
      <c r="AA853" t="n">
        <v>102.0683</v>
      </c>
      <c r="AB853" t="n">
        <v>110.5884</v>
      </c>
      <c r="AC853" t="n">
        <v>101.3105</v>
      </c>
      <c r="AD853" t="n">
        <v>102.8</v>
      </c>
      <c r="AE853" t="n">
        <v>102.3161</v>
      </c>
      <c r="AF853" t="n">
        <v>105.1213</v>
      </c>
      <c r="AG853" t="n">
        <v>111.0177</v>
      </c>
      <c r="AH853" t="n">
        <v>106.08</v>
      </c>
      <c r="AI853" t="n">
        <v>108.811</v>
      </c>
      <c r="AJ853" t="n">
        <v>120.8539</v>
      </c>
      <c r="AK853" t="n">
        <v>106.8</v>
      </c>
      <c r="AL853" t="n">
        <v>111.3</v>
      </c>
      <c r="AM853" t="n">
        <v>109.233</v>
      </c>
      <c r="AN853" t="n">
        <v>110.539</v>
      </c>
      <c r="AO853" t="n">
        <v>107.1225</v>
      </c>
      <c r="AP853" t="n">
        <v>103.5922</v>
      </c>
      <c r="AQ853" t="n">
        <v>120.2462</v>
      </c>
      <c r="AR853" t="n">
        <v>102.1665</v>
      </c>
      <c r="AS853" t="n">
        <v>106.6327</v>
      </c>
      <c r="AT853" t="n">
        <v>105.35</v>
      </c>
      <c r="AU853" t="n">
        <v>107.7659</v>
      </c>
      <c r="AV853" t="n">
        <v>169.0427</v>
      </c>
      <c r="AW853" t="n">
        <v>108.4201</v>
      </c>
      <c r="AX853" t="n">
        <v>123.6863</v>
      </c>
    </row>
    <row r="854">
      <c r="A854" s="92" t="n">
        <v>43831</v>
      </c>
      <c r="B854" t="n">
        <v>107.591</v>
      </c>
      <c r="C854" t="n">
        <v>108.7089</v>
      </c>
      <c r="D854" t="n">
        <v>123.6954</v>
      </c>
      <c r="E854" t="n">
        <v>108.0853</v>
      </c>
      <c r="F854" t="n">
        <v>100.8451</v>
      </c>
      <c r="G854" t="n">
        <v>113.5749</v>
      </c>
      <c r="H854" t="n">
        <v>112.8</v>
      </c>
      <c r="I854" t="n">
        <v>121.8374</v>
      </c>
      <c r="J854" t="n">
        <v>106.7286</v>
      </c>
      <c r="K854" t="n">
        <v>111</v>
      </c>
      <c r="L854" t="n">
        <v>105.2175</v>
      </c>
      <c r="M854" t="n">
        <v>103</v>
      </c>
      <c r="N854" t="n">
        <v>104.37</v>
      </c>
      <c r="O854" t="n">
        <v>103.9903</v>
      </c>
      <c r="P854" t="n">
        <v>109.4116</v>
      </c>
      <c r="Q854" t="n">
        <v>105</v>
      </c>
      <c r="R854" t="n">
        <v>103.32</v>
      </c>
      <c r="S854" t="n">
        <v>104.54</v>
      </c>
      <c r="T854" t="n">
        <v>114.0806</v>
      </c>
      <c r="U854" t="n">
        <v>107.0737</v>
      </c>
      <c r="V854" t="n">
        <v>108.3</v>
      </c>
      <c r="W854" t="n">
        <v>100.3992</v>
      </c>
      <c r="X854" t="n">
        <v>111.695</v>
      </c>
      <c r="Y854" t="n">
        <v>115.818</v>
      </c>
      <c r="Z854" t="n">
        <v>126.2353</v>
      </c>
      <c r="AA854" t="n">
        <v>101.3705</v>
      </c>
      <c r="AB854" t="n">
        <v>109.7625</v>
      </c>
      <c r="AC854" t="n">
        <v>100.9073</v>
      </c>
      <c r="AD854" t="n">
        <v>102.9</v>
      </c>
      <c r="AE854" t="n">
        <v>102.3161</v>
      </c>
      <c r="AF854" t="n">
        <v>105.5124</v>
      </c>
      <c r="AG854" t="n">
        <v>111.501</v>
      </c>
      <c r="AH854" t="n">
        <v>105.4</v>
      </c>
      <c r="AI854" t="n">
        <v>109.2358</v>
      </c>
      <c r="AJ854" t="n">
        <v>121.4392</v>
      </c>
      <c r="AK854" t="n">
        <v>105.97</v>
      </c>
      <c r="AL854" t="n">
        <v>111.3</v>
      </c>
      <c r="AM854" t="n">
        <v>109.4133</v>
      </c>
      <c r="AN854" t="n">
        <v>110.385</v>
      </c>
      <c r="AO854" t="n">
        <v>108.0993</v>
      </c>
      <c r="AP854" t="n">
        <v>102.7334</v>
      </c>
      <c r="AQ854" t="n">
        <v>120.7271</v>
      </c>
      <c r="AR854" t="n">
        <v>102.0109</v>
      </c>
      <c r="AS854" t="n">
        <v>107.8562</v>
      </c>
      <c r="AT854" t="n">
        <v>104.45</v>
      </c>
      <c r="AU854" t="n">
        <v>106.2149</v>
      </c>
      <c r="AV854" t="n">
        <v>171.326</v>
      </c>
      <c r="AW854" t="n">
        <v>108.8407</v>
      </c>
      <c r="AX854" t="n">
        <v>123.9563</v>
      </c>
    </row>
    <row r="855">
      <c r="A855" s="92" t="n">
        <v>43862</v>
      </c>
      <c r="B855" t="n">
        <v>107.6992</v>
      </c>
      <c r="C855" t="n">
        <v>108.7287</v>
      </c>
      <c r="D855" t="n">
        <v>124.0047</v>
      </c>
      <c r="E855" t="n">
        <v>108.5594</v>
      </c>
      <c r="F855" t="n">
        <v>100.97</v>
      </c>
      <c r="G855" t="n">
        <v>114.087</v>
      </c>
      <c r="H855" t="n">
        <v>113.7</v>
      </c>
      <c r="I855" t="n">
        <v>122.6533</v>
      </c>
      <c r="J855" t="n">
        <v>107.034</v>
      </c>
      <c r="K855" t="n">
        <v>111.3</v>
      </c>
      <c r="L855" t="n">
        <v>105.6176</v>
      </c>
      <c r="M855" t="n">
        <v>103.6</v>
      </c>
      <c r="N855" t="n">
        <v>104.56</v>
      </c>
      <c r="O855" t="n">
        <v>103.8672</v>
      </c>
      <c r="P855" t="n">
        <v>109.9243</v>
      </c>
      <c r="Q855" t="n">
        <v>105.22</v>
      </c>
      <c r="R855" t="n">
        <v>103.67</v>
      </c>
      <c r="S855" t="n">
        <v>104.53</v>
      </c>
      <c r="T855" t="n">
        <v>114.3857</v>
      </c>
      <c r="U855" t="n">
        <v>107.2909</v>
      </c>
      <c r="V855" t="n">
        <v>108.6</v>
      </c>
      <c r="W855" t="n">
        <v>99.89766</v>
      </c>
      <c r="X855" t="n">
        <v>112.0651</v>
      </c>
      <c r="Y855" t="n">
        <v>116.1419</v>
      </c>
      <c r="Z855" t="n">
        <v>125.4702</v>
      </c>
      <c r="AA855" t="n">
        <v>101.9686</v>
      </c>
      <c r="AB855" t="n">
        <v>110.7749</v>
      </c>
      <c r="AC855" t="n">
        <v>100.8064</v>
      </c>
      <c r="AD855" t="n">
        <v>102.8</v>
      </c>
      <c r="AE855" t="n">
        <v>102.1125</v>
      </c>
      <c r="AF855" t="n">
        <v>105.5862</v>
      </c>
      <c r="AG855" t="n">
        <v>111.4443</v>
      </c>
      <c r="AH855" t="n">
        <v>106.73</v>
      </c>
      <c r="AI855" t="n">
        <v>109.3833</v>
      </c>
      <c r="AJ855" t="n">
        <v>121.9434</v>
      </c>
      <c r="AK855" t="n">
        <v>106.64</v>
      </c>
      <c r="AL855" t="n">
        <v>111.2</v>
      </c>
      <c r="AM855" t="n">
        <v>109.6479</v>
      </c>
      <c r="AN855" t="n">
        <v>110.6017</v>
      </c>
      <c r="AO855" t="n">
        <v>108.8319</v>
      </c>
      <c r="AP855" t="n">
        <v>102.0795</v>
      </c>
      <c r="AQ855" t="n">
        <v>121.1255</v>
      </c>
      <c r="AR855" t="n">
        <v>102.3428</v>
      </c>
      <c r="AS855" t="n">
        <v>107.9786</v>
      </c>
      <c r="AT855" t="n">
        <v>105.14</v>
      </c>
      <c r="AU855" t="n">
        <v>106.7415</v>
      </c>
      <c r="AV855" t="n">
        <v>171.9285</v>
      </c>
      <c r="AW855" t="n">
        <v>109.139</v>
      </c>
      <c r="AX855" t="n">
        <v>125.1716</v>
      </c>
    </row>
    <row r="856">
      <c r="A856" s="92" t="n">
        <v>43891</v>
      </c>
      <c r="B856" t="n">
        <v>108.0236</v>
      </c>
      <c r="C856" t="n">
        <v>108.5503</v>
      </c>
      <c r="D856" t="n">
        <v>124.0915</v>
      </c>
      <c r="E856" t="n">
        <v>107.9273</v>
      </c>
      <c r="F856" t="n">
        <v>101.0475</v>
      </c>
      <c r="G856" t="n">
        <v>114.4683</v>
      </c>
      <c r="H856" t="n">
        <v>112.3</v>
      </c>
      <c r="I856" t="n">
        <v>123.3468</v>
      </c>
      <c r="J856" t="n">
        <v>107.0018</v>
      </c>
      <c r="K856" t="n">
        <v>111.2</v>
      </c>
      <c r="L856" t="n">
        <v>105.7176</v>
      </c>
      <c r="M856" t="n">
        <v>103.3</v>
      </c>
      <c r="N856" t="n">
        <v>105.13</v>
      </c>
      <c r="O856" t="n">
        <v>103.469</v>
      </c>
      <c r="P856" t="n">
        <v>109.1552</v>
      </c>
      <c r="Q856" t="n">
        <v>105.7</v>
      </c>
      <c r="R856" t="n">
        <v>103.49</v>
      </c>
      <c r="S856" t="n">
        <v>104.59</v>
      </c>
      <c r="T856" t="n">
        <v>114.1847</v>
      </c>
      <c r="U856" t="n">
        <v>107.1499</v>
      </c>
      <c r="V856" t="n">
        <v>108.6</v>
      </c>
      <c r="W856" t="n">
        <v>101.4785</v>
      </c>
      <c r="X856" t="n">
        <v>112.2872</v>
      </c>
      <c r="Y856" t="n">
        <v>116.2523</v>
      </c>
      <c r="Z856" t="n">
        <v>124.7051</v>
      </c>
      <c r="AA856" t="n">
        <v>102.3673</v>
      </c>
      <c r="AB856" t="n">
        <v>111.0186</v>
      </c>
      <c r="AC856" t="n">
        <v>101.2097</v>
      </c>
      <c r="AD856" t="n">
        <v>102.9</v>
      </c>
      <c r="AE856" t="n">
        <v>102.1125</v>
      </c>
      <c r="AF856" t="n">
        <v>105.3542</v>
      </c>
      <c r="AG856" t="n">
        <v>111.3606</v>
      </c>
      <c r="AH856" t="n">
        <v>106.04</v>
      </c>
      <c r="AI856" t="n">
        <v>109.7016</v>
      </c>
      <c r="AJ856" t="n">
        <v>121.8853</v>
      </c>
      <c r="AK856" t="n">
        <v>106.85</v>
      </c>
      <c r="AL856" t="n">
        <v>111.2</v>
      </c>
      <c r="AM856" t="n">
        <v>109.5815</v>
      </c>
      <c r="AN856" t="n">
        <v>110.7289</v>
      </c>
      <c r="AO856" t="n">
        <v>109.0761</v>
      </c>
      <c r="AP856" t="n">
        <v>103.5435</v>
      </c>
      <c r="AQ856" t="n">
        <v>121.7917</v>
      </c>
      <c r="AR856" t="n">
        <v>102.488</v>
      </c>
      <c r="AS856" t="n">
        <v>107.9786</v>
      </c>
      <c r="AT856" t="n">
        <v>104.32</v>
      </c>
      <c r="AU856" t="n">
        <v>106.5628</v>
      </c>
      <c r="AV856" t="n">
        <v>172.9109</v>
      </c>
      <c r="AW856" t="n">
        <v>108.9015</v>
      </c>
      <c r="AX856" t="n">
        <v>125.7117</v>
      </c>
    </row>
    <row r="857">
      <c r="A857" s="92" t="n">
        <v>43922</v>
      </c>
      <c r="B857" t="n">
        <v>108.0236</v>
      </c>
      <c r="C857" t="n">
        <v>108.5503</v>
      </c>
      <c r="D857" t="n">
        <v>123.7068</v>
      </c>
      <c r="E857" t="n">
        <v>107.2162</v>
      </c>
      <c r="F857" t="n">
        <v>100.68</v>
      </c>
      <c r="G857" t="n">
        <v>114.4139</v>
      </c>
      <c r="H857" t="n">
        <v>111.3</v>
      </c>
      <c r="I857" t="n">
        <v>123.5404</v>
      </c>
      <c r="J857" t="n">
        <v>106.5296</v>
      </c>
      <c r="K857" t="n">
        <v>111</v>
      </c>
      <c r="L857" t="n">
        <v>106.1177</v>
      </c>
      <c r="M857" t="n">
        <v>103.2</v>
      </c>
      <c r="N857" t="n">
        <v>105.43</v>
      </c>
      <c r="O857" t="n">
        <v>103.7816</v>
      </c>
      <c r="P857" t="n">
        <v>108.7451</v>
      </c>
      <c r="Q857" t="n">
        <v>105.93</v>
      </c>
      <c r="R857" t="n">
        <v>103.14</v>
      </c>
      <c r="S857" t="n">
        <v>104.56</v>
      </c>
      <c r="T857" t="n">
        <v>113.9509</v>
      </c>
      <c r="U857" t="n">
        <v>106.7381</v>
      </c>
      <c r="V857" t="n">
        <v>108.6</v>
      </c>
      <c r="W857" t="n">
        <v>101.0155</v>
      </c>
      <c r="X857" t="n">
        <v>111.621</v>
      </c>
      <c r="Y857" t="n">
        <v>116.3411</v>
      </c>
      <c r="Z857" t="n">
        <v>125.8527</v>
      </c>
      <c r="AA857" t="n">
        <v>101.9686</v>
      </c>
      <c r="AB857" t="n">
        <v>111.5684</v>
      </c>
      <c r="AC857" t="n">
        <v>100.9073</v>
      </c>
      <c r="AD857" t="n">
        <v>103</v>
      </c>
      <c r="AE857" t="n">
        <v>102.0107</v>
      </c>
      <c r="AF857" t="n">
        <v>104.8904</v>
      </c>
      <c r="AG857" t="n">
        <v>111.451</v>
      </c>
      <c r="AH857" t="n">
        <v>105.98</v>
      </c>
      <c r="AI857" t="n">
        <v>109.1467</v>
      </c>
      <c r="AJ857" t="n">
        <v>120.6497</v>
      </c>
      <c r="AK857" t="n">
        <v>107.34</v>
      </c>
      <c r="AL857" t="n">
        <v>111.7</v>
      </c>
      <c r="AM857" t="n">
        <v>109.2093</v>
      </c>
      <c r="AN857" t="n">
        <v>110.8961</v>
      </c>
      <c r="AO857" t="n">
        <v>108.9947</v>
      </c>
      <c r="AP857" t="n">
        <v>103.8719</v>
      </c>
      <c r="AQ857" t="n">
        <v>122.8026</v>
      </c>
      <c r="AR857" t="n">
        <v>102.3635</v>
      </c>
      <c r="AS857" t="n">
        <v>107.9786</v>
      </c>
      <c r="AT857" t="n">
        <v>103.36</v>
      </c>
      <c r="AU857" t="n">
        <v>106.2404</v>
      </c>
      <c r="AV857" t="n">
        <v>174.3884</v>
      </c>
      <c r="AW857" t="n">
        <v>108.1733</v>
      </c>
      <c r="AX857" t="n">
        <v>124.9015</v>
      </c>
    </row>
    <row r="858">
      <c r="A858" s="92" t="n">
        <v>43952</v>
      </c>
      <c r="B858" t="n">
        <v>107.3748</v>
      </c>
      <c r="C858" t="n">
        <v>108.471</v>
      </c>
      <c r="D858" t="n">
        <v>123.2367</v>
      </c>
      <c r="E858" t="n">
        <v>107.5323</v>
      </c>
      <c r="F858" t="n">
        <v>100.7222</v>
      </c>
      <c r="G858" t="n">
        <v>114.3594</v>
      </c>
      <c r="H858" t="n">
        <v>110.4</v>
      </c>
      <c r="I858" t="n">
        <v>123.1469</v>
      </c>
      <c r="J858" t="n">
        <v>106.3747</v>
      </c>
      <c r="K858" t="n">
        <v>111.4</v>
      </c>
      <c r="L858" t="n">
        <v>106.0177</v>
      </c>
      <c r="M858" t="n">
        <v>103.1</v>
      </c>
      <c r="N858" t="n">
        <v>105.33</v>
      </c>
      <c r="O858" t="n">
        <v>103.7751</v>
      </c>
      <c r="P858" t="n">
        <v>108.0273</v>
      </c>
      <c r="Q858" t="n">
        <v>105.94</v>
      </c>
      <c r="R858" t="n">
        <v>103.12</v>
      </c>
      <c r="S858" t="n">
        <v>104.71</v>
      </c>
      <c r="T858" t="n">
        <v>113.895</v>
      </c>
      <c r="U858" t="n">
        <v>106.7293</v>
      </c>
      <c r="V858" t="n">
        <v>108.6</v>
      </c>
      <c r="W858" t="n">
        <v>100.1945</v>
      </c>
      <c r="X858" t="n">
        <v>112.1392</v>
      </c>
      <c r="Y858" t="n">
        <v>116.4188</v>
      </c>
      <c r="Z858" t="n">
        <v>126.2353</v>
      </c>
      <c r="AA858" t="n">
        <v>101.4702</v>
      </c>
      <c r="AB858" t="n">
        <v>112.1658</v>
      </c>
      <c r="AC858" t="n">
        <v>100.6048</v>
      </c>
      <c r="AD858" t="n">
        <v>102.8</v>
      </c>
      <c r="AE858" t="n">
        <v>101.9089</v>
      </c>
      <c r="AF858" t="n">
        <v>104.8272</v>
      </c>
      <c r="AG858" t="n">
        <v>110.911</v>
      </c>
      <c r="AH858" t="n">
        <v>105.82</v>
      </c>
      <c r="AI858" t="n">
        <v>108.7079</v>
      </c>
      <c r="AJ858" t="n">
        <v>121.1141</v>
      </c>
      <c r="AK858" t="n">
        <v>107.18</v>
      </c>
      <c r="AL858" t="n">
        <v>111.9</v>
      </c>
      <c r="AM858" t="n">
        <v>109.247</v>
      </c>
      <c r="AN858" t="n">
        <v>110.971</v>
      </c>
      <c r="AO858" t="n">
        <v>108.7505</v>
      </c>
      <c r="AP858" t="n">
        <v>103.4061</v>
      </c>
      <c r="AQ858" t="n">
        <v>123.1342</v>
      </c>
      <c r="AR858" t="n">
        <v>102.1458</v>
      </c>
      <c r="AS858" t="n">
        <v>108.2233</v>
      </c>
      <c r="AT858" t="n">
        <v>104.26</v>
      </c>
      <c r="AU858" t="n">
        <v>106.8819</v>
      </c>
      <c r="AV858" t="n">
        <v>176.7638</v>
      </c>
      <c r="AW858" t="n">
        <v>108.1754</v>
      </c>
      <c r="AX858" t="n">
        <v>124.2264</v>
      </c>
    </row>
    <row r="859">
      <c r="A859" s="92" t="n">
        <v>43983</v>
      </c>
      <c r="B859" t="n">
        <v>107.9154</v>
      </c>
      <c r="C859" t="n">
        <v>108.5404</v>
      </c>
      <c r="D859" t="n">
        <v>123.5571</v>
      </c>
      <c r="E859" t="n">
        <v>108.4014</v>
      </c>
      <c r="F859" t="n">
        <v>100.7431</v>
      </c>
      <c r="G859" t="n">
        <v>114.2831</v>
      </c>
      <c r="H859" t="n">
        <v>110.4</v>
      </c>
      <c r="I859" t="n">
        <v>122.6837</v>
      </c>
      <c r="J859" t="n">
        <v>106.3521</v>
      </c>
      <c r="K859" t="n">
        <v>112.1</v>
      </c>
      <c r="L859" t="n">
        <v>106.6178</v>
      </c>
      <c r="M859" t="n">
        <v>103.2</v>
      </c>
      <c r="N859" t="n">
        <v>105.69</v>
      </c>
      <c r="O859" t="n">
        <v>104.2537</v>
      </c>
      <c r="P859" t="n">
        <v>109.0014</v>
      </c>
      <c r="Q859" t="n">
        <v>106.31</v>
      </c>
      <c r="R859" t="n">
        <v>103.32</v>
      </c>
      <c r="S859" t="n">
        <v>104.79</v>
      </c>
      <c r="T859" t="n">
        <v>114.3107</v>
      </c>
      <c r="U859" t="n">
        <v>107.1569</v>
      </c>
      <c r="V859" t="n">
        <v>108.8</v>
      </c>
      <c r="W859" t="n">
        <v>100.2388</v>
      </c>
      <c r="X859" t="n">
        <v>112.5833</v>
      </c>
      <c r="Y859" t="n">
        <v>116.6298</v>
      </c>
      <c r="Z859" t="n">
        <v>127.0003</v>
      </c>
      <c r="AA859" t="n">
        <v>101.7692</v>
      </c>
      <c r="AB859" t="n">
        <v>112.6673</v>
      </c>
      <c r="AC859" t="n">
        <v>100.504</v>
      </c>
      <c r="AD859" t="n">
        <v>102.9</v>
      </c>
      <c r="AE859" t="n">
        <v>101.7053</v>
      </c>
      <c r="AF859" t="n">
        <v>105.1118</v>
      </c>
      <c r="AG859" t="n">
        <v>111.477</v>
      </c>
      <c r="AH859" t="n">
        <v>106.34</v>
      </c>
      <c r="AI859" t="n">
        <v>108.9163</v>
      </c>
      <c r="AJ859" t="n">
        <v>121.7769</v>
      </c>
      <c r="AK859" t="n">
        <v>107.51</v>
      </c>
      <c r="AL859" t="n">
        <v>112.1</v>
      </c>
      <c r="AM859" t="n">
        <v>109.6846</v>
      </c>
      <c r="AN859" t="n">
        <v>111.4045</v>
      </c>
      <c r="AO859" t="n">
        <v>109.4017</v>
      </c>
      <c r="AP859" t="n">
        <v>104.3227</v>
      </c>
      <c r="AQ859" t="n">
        <v>123.4051</v>
      </c>
      <c r="AR859" t="n">
        <v>101.8346</v>
      </c>
      <c r="AS859" t="n">
        <v>108.1009</v>
      </c>
      <c r="AT859" t="n">
        <v>105.6</v>
      </c>
      <c r="AU859" t="n">
        <v>107.4978</v>
      </c>
      <c r="AV859" t="n">
        <v>178.767</v>
      </c>
      <c r="AW859" t="n">
        <v>108.7673</v>
      </c>
      <c r="AX859" t="n">
        <v>124.7665</v>
      </c>
    </row>
    <row r="860">
      <c r="A860" s="92" t="n">
        <v>44013</v>
      </c>
      <c r="B860" t="n">
        <v>108.1317</v>
      </c>
      <c r="C860" t="n">
        <v>108.7783</v>
      </c>
      <c r="D860" t="n">
        <v>124.0019</v>
      </c>
      <c r="E860" t="n">
        <v>108.4014</v>
      </c>
      <c r="F860" t="n">
        <v>100.5834</v>
      </c>
      <c r="G860" t="n">
        <v>114.3921</v>
      </c>
      <c r="H860" t="n">
        <v>110</v>
      </c>
      <c r="I860" t="n">
        <v>122.6854</v>
      </c>
      <c r="J860" t="n">
        <v>106.6242</v>
      </c>
      <c r="K860" t="n">
        <v>112.6</v>
      </c>
      <c r="L860" t="n">
        <v>106.1177</v>
      </c>
      <c r="M860" t="n">
        <v>104</v>
      </c>
      <c r="N860" t="n">
        <v>105.32</v>
      </c>
      <c r="O860" t="n">
        <v>103.318</v>
      </c>
      <c r="P860" t="n">
        <v>109.0014</v>
      </c>
      <c r="Q860" t="n">
        <v>106.06</v>
      </c>
      <c r="R860" t="n">
        <v>103.69</v>
      </c>
      <c r="S860" t="n">
        <v>105.19</v>
      </c>
      <c r="T860" t="n">
        <v>114.7168</v>
      </c>
      <c r="U860" t="n">
        <v>107.4766</v>
      </c>
      <c r="V860" t="n">
        <v>109.2</v>
      </c>
      <c r="W860" t="n">
        <v>98.53287</v>
      </c>
      <c r="X860" t="n">
        <v>113.8416</v>
      </c>
      <c r="Y860" t="n">
        <v>116.5077</v>
      </c>
      <c r="Z860" t="n">
        <v>128.5304</v>
      </c>
      <c r="AA860" t="n">
        <v>101.5699</v>
      </c>
      <c r="AB860" t="n">
        <v>112.8273</v>
      </c>
      <c r="AC860" t="n">
        <v>100.7056</v>
      </c>
      <c r="AD860" t="n">
        <v>102.7</v>
      </c>
      <c r="AE860" t="n">
        <v>101.8071</v>
      </c>
      <c r="AF860" t="n">
        <v>105.0275</v>
      </c>
      <c r="AG860" t="n">
        <v>111.1681</v>
      </c>
      <c r="AH860" t="n">
        <v>105.82</v>
      </c>
      <c r="AI860" t="n">
        <v>109.1799</v>
      </c>
      <c r="AJ860" t="n">
        <v>122.5766</v>
      </c>
      <c r="AK860" t="n">
        <v>108.69</v>
      </c>
      <c r="AL860" t="n">
        <v>112.9</v>
      </c>
      <c r="AM860" t="n">
        <v>109.9862</v>
      </c>
      <c r="AN860" t="n">
        <v>111.4045</v>
      </c>
      <c r="AO860" t="n">
        <v>109.1575</v>
      </c>
      <c r="AP860" t="n">
        <v>102.9782</v>
      </c>
      <c r="AQ860" t="n">
        <v>123.837</v>
      </c>
      <c r="AR860" t="n">
        <v>107.8078</v>
      </c>
      <c r="AS860" t="n">
        <v>108.2233</v>
      </c>
      <c r="AT860" t="n">
        <v>105.48</v>
      </c>
      <c r="AU860" t="n">
        <v>107.7308</v>
      </c>
      <c r="AV860" t="n">
        <v>179.8108</v>
      </c>
      <c r="AW860" t="n">
        <v>109.3175</v>
      </c>
      <c r="AX860" t="n">
        <v>126.5219</v>
      </c>
    </row>
    <row r="861">
      <c r="A861" s="92" t="n">
        <v>44044</v>
      </c>
      <c r="B861" t="n">
        <v>107.9154</v>
      </c>
      <c r="C861" t="n">
        <v>108.8476</v>
      </c>
      <c r="D861" t="n">
        <v>124.2996</v>
      </c>
      <c r="E861" t="n">
        <v>108.2433</v>
      </c>
      <c r="F861" t="n">
        <v>100.6277</v>
      </c>
      <c r="G861" t="n">
        <v>114.5446</v>
      </c>
      <c r="H861" t="n">
        <v>111.5</v>
      </c>
      <c r="I861" t="n">
        <v>122.6787</v>
      </c>
      <c r="J861" t="n">
        <v>106.6199</v>
      </c>
      <c r="K861" t="n">
        <v>112.6</v>
      </c>
      <c r="L861" t="n">
        <v>106.0177</v>
      </c>
      <c r="M861" t="n">
        <v>103.6</v>
      </c>
      <c r="N861" t="n">
        <v>104.88</v>
      </c>
      <c r="O861" t="n">
        <v>103.3651</v>
      </c>
      <c r="P861" t="n">
        <v>109.6679</v>
      </c>
      <c r="Q861" t="n">
        <v>105.69</v>
      </c>
      <c r="R861" t="n">
        <v>103.71</v>
      </c>
      <c r="S861" t="n">
        <v>105.09</v>
      </c>
      <c r="T861" t="n">
        <v>115.1423</v>
      </c>
      <c r="U861" t="n">
        <v>107.6503</v>
      </c>
      <c r="V861" t="n">
        <v>108.8</v>
      </c>
      <c r="W861" t="n">
        <v>97.89494000000001</v>
      </c>
      <c r="X861" t="n">
        <v>113.8416</v>
      </c>
      <c r="Y861" t="n">
        <v>116.4522</v>
      </c>
      <c r="Z861" t="n">
        <v>129.2955</v>
      </c>
      <c r="AA861" t="n">
        <v>101.4702</v>
      </c>
      <c r="AB861" t="n">
        <v>113.3363</v>
      </c>
      <c r="AC861" t="n">
        <v>100.7056</v>
      </c>
      <c r="AD861" t="n">
        <v>103</v>
      </c>
      <c r="AE861" t="n">
        <v>101.9089</v>
      </c>
      <c r="AF861" t="n">
        <v>105.6178</v>
      </c>
      <c r="AG861" t="n">
        <v>110.9607</v>
      </c>
      <c r="AH861" t="n">
        <v>106.69</v>
      </c>
      <c r="AI861" t="n">
        <v>108.6281</v>
      </c>
      <c r="AJ861" t="n">
        <v>123.0592</v>
      </c>
      <c r="AK861" t="n">
        <v>108.13</v>
      </c>
      <c r="AL861" t="n">
        <v>112.5</v>
      </c>
      <c r="AM861" t="n">
        <v>110.1627</v>
      </c>
      <c r="AN861" t="n">
        <v>111.3879</v>
      </c>
      <c r="AO861" t="n">
        <v>109.0761</v>
      </c>
      <c r="AP861" t="n">
        <v>102.7015</v>
      </c>
      <c r="AQ861" t="n">
        <v>123.7875</v>
      </c>
      <c r="AR861" t="n">
        <v>108.0567</v>
      </c>
      <c r="AS861" t="n">
        <v>108.1009</v>
      </c>
      <c r="AT861" t="n">
        <v>105.42</v>
      </c>
      <c r="AU861" t="n">
        <v>107.5712</v>
      </c>
      <c r="AV861" t="n">
        <v>181.365</v>
      </c>
      <c r="AW861" t="n">
        <v>109.6622</v>
      </c>
      <c r="AX861" t="n">
        <v>126.6569</v>
      </c>
    </row>
    <row r="862">
      <c r="A862" s="92" t="n">
        <v>44075</v>
      </c>
      <c r="B862" t="n">
        <v>108.348</v>
      </c>
      <c r="C862" t="n">
        <v>108.4413</v>
      </c>
      <c r="D862" t="n">
        <v>125.0951</v>
      </c>
      <c r="E862" t="n">
        <v>108.1643</v>
      </c>
      <c r="F862" t="n">
        <v>100.5846</v>
      </c>
      <c r="G862" t="n">
        <v>115.2746</v>
      </c>
      <c r="H862" t="n">
        <v>111.7</v>
      </c>
      <c r="I862" t="n">
        <v>123.0668</v>
      </c>
      <c r="J862" t="n">
        <v>106.9103</v>
      </c>
      <c r="K862" t="n">
        <v>111.9</v>
      </c>
      <c r="L862" t="n">
        <v>105.8176</v>
      </c>
      <c r="M862" t="n">
        <v>103.5</v>
      </c>
      <c r="N862" t="n">
        <v>104.96</v>
      </c>
      <c r="O862" t="n">
        <v>103.5204</v>
      </c>
      <c r="P862" t="n">
        <v>109.3603</v>
      </c>
      <c r="Q862" t="n">
        <v>105.73</v>
      </c>
      <c r="R862" t="n">
        <v>103.71</v>
      </c>
      <c r="S862" t="n">
        <v>104.55</v>
      </c>
      <c r="T862" t="n">
        <v>115.413</v>
      </c>
      <c r="U862" t="n">
        <v>107.6474</v>
      </c>
      <c r="V862" t="n">
        <v>109.2</v>
      </c>
      <c r="W862" t="n">
        <v>99.8858</v>
      </c>
      <c r="X862" t="n">
        <v>113.3975</v>
      </c>
      <c r="Y862" t="n">
        <v>116.3966</v>
      </c>
      <c r="Z862" t="n">
        <v>130.1179</v>
      </c>
      <c r="AA862" t="n">
        <v>101.0715</v>
      </c>
      <c r="AB862" t="n">
        <v>113.7724</v>
      </c>
      <c r="AC862" t="n">
        <v>100.6048</v>
      </c>
      <c r="AD862" t="n">
        <v>102.3</v>
      </c>
      <c r="AE862" t="n">
        <v>101.7053</v>
      </c>
      <c r="AF862" t="n">
        <v>106.1976</v>
      </c>
      <c r="AG862" t="n">
        <v>111.4091</v>
      </c>
      <c r="AH862" t="n">
        <v>106.62</v>
      </c>
      <c r="AI862" t="n">
        <v>108.655</v>
      </c>
      <c r="AJ862" t="n">
        <v>123.341</v>
      </c>
      <c r="AK862" t="n">
        <v>107.88</v>
      </c>
      <c r="AL862" t="n">
        <v>112.9</v>
      </c>
      <c r="AM862" t="n">
        <v>110.252</v>
      </c>
      <c r="AN862" t="n">
        <v>111.4089</v>
      </c>
      <c r="AO862" t="n">
        <v>109.3203</v>
      </c>
      <c r="AP862" t="n">
        <v>103.6987</v>
      </c>
      <c r="AQ862" t="n">
        <v>123.7008</v>
      </c>
      <c r="AR862" t="n">
        <v>107.8804</v>
      </c>
      <c r="AS862" t="n">
        <v>108.1621</v>
      </c>
      <c r="AT862" t="n">
        <v>105.01</v>
      </c>
      <c r="AU862" t="n">
        <v>107.6351</v>
      </c>
      <c r="AV862" t="n">
        <v>183.1303</v>
      </c>
      <c r="AW862" t="n">
        <v>109.8149</v>
      </c>
      <c r="AX862" t="n">
        <v>126.7919</v>
      </c>
    </row>
    <row r="863">
      <c r="A863" s="92" t="n">
        <v>44105</v>
      </c>
      <c r="B863" t="n">
        <v>108.5642</v>
      </c>
      <c r="C863" t="n">
        <v>108.6593</v>
      </c>
      <c r="D863" t="n">
        <v>126.171</v>
      </c>
      <c r="E863" t="n">
        <v>108.6384</v>
      </c>
      <c r="F863" t="n">
        <v>100.5908</v>
      </c>
      <c r="G863" t="n">
        <v>116.0591</v>
      </c>
      <c r="H863" t="n">
        <v>111.4</v>
      </c>
      <c r="I863" t="n">
        <v>122.9969</v>
      </c>
      <c r="J863" t="n">
        <v>106.9953</v>
      </c>
      <c r="K863" t="n">
        <v>112.1</v>
      </c>
      <c r="L863" t="n">
        <v>105.9177</v>
      </c>
      <c r="M863" t="n">
        <v>103.7</v>
      </c>
      <c r="N863" t="n">
        <v>105.15</v>
      </c>
      <c r="O863" t="n">
        <v>104.0642</v>
      </c>
      <c r="P863" t="n">
        <v>108.7963</v>
      </c>
      <c r="Q863" t="n">
        <v>105.92</v>
      </c>
      <c r="R863" t="n">
        <v>103.81</v>
      </c>
      <c r="S863" t="n">
        <v>104.51</v>
      </c>
      <c r="T863" t="n">
        <v>115.7559</v>
      </c>
      <c r="U863" t="n">
        <v>107.6993</v>
      </c>
      <c r="V863" t="n">
        <v>109.2</v>
      </c>
      <c r="W863" t="n">
        <v>100.2342</v>
      </c>
      <c r="X863" t="n">
        <v>113.6195</v>
      </c>
      <c r="Y863" t="n">
        <v>116.4744</v>
      </c>
      <c r="Z863" t="n">
        <v>131.6603</v>
      </c>
      <c r="AA863" t="n">
        <v>100.4735</v>
      </c>
      <c r="AB863" t="n">
        <v>114.2588</v>
      </c>
      <c r="AC863" t="n">
        <v>100.9073</v>
      </c>
      <c r="AD863" t="n">
        <v>102.5</v>
      </c>
      <c r="AE863" t="n">
        <v>101.6035</v>
      </c>
      <c r="AF863" t="n">
        <v>105.6072</v>
      </c>
      <c r="AG863" t="n">
        <v>111.4826</v>
      </c>
      <c r="AH863" t="n">
        <v>106.59</v>
      </c>
      <c r="AI863" t="n">
        <v>108.6181</v>
      </c>
      <c r="AJ863" t="n">
        <v>124.0939</v>
      </c>
      <c r="AK863" t="n">
        <v>108.47</v>
      </c>
      <c r="AL863" t="n">
        <v>113.2</v>
      </c>
      <c r="AM863" t="n">
        <v>110.44</v>
      </c>
      <c r="AN863" t="n">
        <v>111.7556</v>
      </c>
      <c r="AO863" t="n">
        <v>109.4017</v>
      </c>
      <c r="AP863" t="n">
        <v>103.8082</v>
      </c>
      <c r="AQ863" t="n">
        <v>124.2327</v>
      </c>
      <c r="AR863" t="n">
        <v>107.953</v>
      </c>
      <c r="AS863" t="n">
        <v>108.2845</v>
      </c>
      <c r="AT863" t="n">
        <v>105.34</v>
      </c>
      <c r="AU863" t="n">
        <v>107.5393</v>
      </c>
      <c r="AV863" t="n">
        <v>187.033</v>
      </c>
      <c r="AW863" t="n">
        <v>109.8605</v>
      </c>
      <c r="AX863" t="n">
        <v>127.3321</v>
      </c>
    </row>
    <row r="864">
      <c r="A864" s="92" t="n">
        <v>44136</v>
      </c>
      <c r="B864" t="n">
        <v>108.6723</v>
      </c>
      <c r="C864" t="n">
        <v>108.481</v>
      </c>
      <c r="D864" t="n">
        <v>127.2939</v>
      </c>
      <c r="E864" t="n">
        <v>108.7964</v>
      </c>
      <c r="F864" t="n">
        <v>100.3412</v>
      </c>
      <c r="G864" t="n">
        <v>115.9066</v>
      </c>
      <c r="H864" t="n">
        <v>110.7</v>
      </c>
      <c r="I864" t="n">
        <v>122.8129</v>
      </c>
      <c r="J864" t="n">
        <v>106.9964</v>
      </c>
      <c r="K864" t="n">
        <v>112.1</v>
      </c>
      <c r="L864" t="n">
        <v>105.0175</v>
      </c>
      <c r="M864" t="n">
        <v>103.6</v>
      </c>
      <c r="N864" t="n">
        <v>104.8</v>
      </c>
      <c r="O864" t="n">
        <v>104.2344</v>
      </c>
      <c r="P864" t="n">
        <v>108.9501</v>
      </c>
      <c r="Q864" t="n">
        <v>105.63</v>
      </c>
      <c r="R864" t="n">
        <v>103.74</v>
      </c>
      <c r="S864" t="n">
        <v>104.73</v>
      </c>
      <c r="T864" t="n">
        <v>115.7759</v>
      </c>
      <c r="U864" t="n">
        <v>107.5531</v>
      </c>
      <c r="V864" t="n">
        <v>109.1</v>
      </c>
      <c r="W864" t="n">
        <v>99.3552</v>
      </c>
      <c r="X864" t="n">
        <v>113.3235</v>
      </c>
      <c r="Y864" t="n">
        <v>116.7963</v>
      </c>
      <c r="Z864" t="n">
        <v>132.101</v>
      </c>
      <c r="AA864" t="n">
        <v>100.7725</v>
      </c>
      <c r="AB864" t="n">
        <v>114.313</v>
      </c>
      <c r="AC864" t="n">
        <v>100.7056</v>
      </c>
      <c r="AD864" t="n">
        <v>102.4</v>
      </c>
      <c r="AE864" t="n">
        <v>101.298</v>
      </c>
      <c r="AF864" t="n">
        <v>105.5124</v>
      </c>
      <c r="AG864" t="n">
        <v>111.3244</v>
      </c>
      <c r="AH864" t="n">
        <v>106.37</v>
      </c>
      <c r="AI864" t="n">
        <v>108.3176</v>
      </c>
      <c r="AJ864" t="n">
        <v>124.1875</v>
      </c>
      <c r="AK864" t="n">
        <v>107.61</v>
      </c>
      <c r="AL864" t="n">
        <v>112.4</v>
      </c>
      <c r="AM864" t="n">
        <v>110.3966</v>
      </c>
      <c r="AN864" t="n">
        <v>111.7772</v>
      </c>
      <c r="AO864" t="n">
        <v>109.4831</v>
      </c>
      <c r="AP864" t="n">
        <v>103.5007</v>
      </c>
      <c r="AQ864" t="n">
        <v>125.1148</v>
      </c>
      <c r="AR864" t="n">
        <v>107.8493</v>
      </c>
      <c r="AS864" t="n">
        <v>108.3457</v>
      </c>
      <c r="AT864" t="n">
        <v>104.54</v>
      </c>
      <c r="AU864" t="n">
        <v>107.5489</v>
      </c>
      <c r="AV864" t="n">
        <v>191.331</v>
      </c>
      <c r="AW864" t="n">
        <v>109.7934</v>
      </c>
      <c r="AX864" t="n">
        <v>127.3321</v>
      </c>
    </row>
    <row r="865">
      <c r="A865" s="92" t="n">
        <v>44166</v>
      </c>
      <c r="B865" t="n">
        <v>109.3211</v>
      </c>
      <c r="C865" t="n">
        <v>108.5107</v>
      </c>
      <c r="D865" t="n">
        <v>129.0124</v>
      </c>
      <c r="E865" t="n">
        <v>108.5594</v>
      </c>
      <c r="F865" t="n">
        <v>100.2407</v>
      </c>
      <c r="G865" t="n">
        <v>116.2988</v>
      </c>
      <c r="H865" t="n">
        <v>111.5</v>
      </c>
      <c r="I865" t="n">
        <v>123.2791</v>
      </c>
      <c r="J865" t="n">
        <v>107.5622</v>
      </c>
      <c r="K865" t="n">
        <v>111.9</v>
      </c>
      <c r="L865" t="n">
        <v>105.5176</v>
      </c>
      <c r="M865" t="n">
        <v>103.4</v>
      </c>
      <c r="N865" t="n">
        <v>105.15</v>
      </c>
      <c r="O865" t="n">
        <v>104.456</v>
      </c>
      <c r="P865" t="n">
        <v>108.9501</v>
      </c>
      <c r="Q865" t="n">
        <v>105.97</v>
      </c>
      <c r="R865" t="n">
        <v>103.89</v>
      </c>
      <c r="S865" t="n">
        <v>104.96</v>
      </c>
      <c r="T865" t="n">
        <v>116.1008</v>
      </c>
      <c r="U865" t="n">
        <v>107.6733</v>
      </c>
      <c r="V865" t="n">
        <v>109.4</v>
      </c>
      <c r="W865" t="n">
        <v>99.75089</v>
      </c>
      <c r="X865" t="n">
        <v>113.6936</v>
      </c>
      <c r="Y865" t="n">
        <v>117.3181</v>
      </c>
      <c r="Z865" t="n">
        <v>130.8891</v>
      </c>
      <c r="AA865" t="n">
        <v>101.0715</v>
      </c>
      <c r="AB865" t="n">
        <v>114.5423</v>
      </c>
      <c r="AC865" t="n">
        <v>100.6048</v>
      </c>
      <c r="AD865" t="n">
        <v>102.6</v>
      </c>
      <c r="AE865" t="n">
        <v>101.0944</v>
      </c>
      <c r="AF865" t="n">
        <v>105.7654</v>
      </c>
      <c r="AG865" t="n">
        <v>111.2892</v>
      </c>
      <c r="AH865" t="n">
        <v>106.67</v>
      </c>
      <c r="AI865" t="n">
        <v>108.2719</v>
      </c>
      <c r="AJ865" t="n">
        <v>124.6609</v>
      </c>
      <c r="AK865" t="n">
        <v>107.85</v>
      </c>
      <c r="AL865" t="n">
        <v>112.9</v>
      </c>
      <c r="AM865" t="n">
        <v>110.5911</v>
      </c>
      <c r="AN865" t="n">
        <v>112.1668</v>
      </c>
      <c r="AO865" t="n">
        <v>109.5645</v>
      </c>
      <c r="AP865" t="n">
        <v>103.3544</v>
      </c>
      <c r="AQ865" t="n">
        <v>126.1532</v>
      </c>
      <c r="AR865" t="n">
        <v>107.6108</v>
      </c>
      <c r="AS865" t="n">
        <v>108.2845</v>
      </c>
      <c r="AT865" t="n">
        <v>104.21</v>
      </c>
      <c r="AU865" t="n">
        <v>108.2957</v>
      </c>
      <c r="AV865" t="n">
        <v>193.7218</v>
      </c>
      <c r="AW865" t="n">
        <v>109.8968</v>
      </c>
      <c r="AX865" t="n">
        <v>127.4671</v>
      </c>
    </row>
    <row r="866">
      <c r="A866" s="92" t="n">
        <v>44197</v>
      </c>
      <c r="B866" t="n">
        <v>108.4561</v>
      </c>
      <c r="C866" t="n">
        <v>108.9864</v>
      </c>
      <c r="D866" t="n">
        <v>129.3349</v>
      </c>
      <c r="E866" t="n">
        <v>109.1915</v>
      </c>
      <c r="F866" t="n">
        <v>100.2961</v>
      </c>
      <c r="G866" t="n">
        <v>117.116</v>
      </c>
      <c r="H866" t="n">
        <v>112.55</v>
      </c>
      <c r="I866" t="n">
        <v>123.7834</v>
      </c>
      <c r="J866" t="n">
        <v>107.7525</v>
      </c>
      <c r="K866" t="n">
        <v>113.4</v>
      </c>
      <c r="L866" t="n">
        <v>106.3177</v>
      </c>
      <c r="M866" t="n">
        <v>103.6</v>
      </c>
      <c r="N866" t="n">
        <v>105.32</v>
      </c>
      <c r="O866" t="n">
        <v>104.4656</v>
      </c>
      <c r="P866" t="n">
        <v>109.6679</v>
      </c>
      <c r="Q866" t="n">
        <v>106.27</v>
      </c>
      <c r="R866" t="n">
        <v>104.24</v>
      </c>
      <c r="S866" t="n">
        <v>105.12</v>
      </c>
      <c r="T866" t="n">
        <v>116.6333</v>
      </c>
      <c r="U866" t="n">
        <v>108.1376</v>
      </c>
      <c r="V866" t="n">
        <v>109.3</v>
      </c>
      <c r="W866" t="n">
        <v>98.42724</v>
      </c>
      <c r="X866" t="n">
        <v>114.7298</v>
      </c>
      <c r="Y866" t="n">
        <v>117.6178</v>
      </c>
      <c r="Z866" t="n">
        <v>130.228</v>
      </c>
      <c r="AA866" t="n">
        <v>101.1712</v>
      </c>
      <c r="AB866" t="n">
        <v>114.4814</v>
      </c>
      <c r="AC866" t="n">
        <v>100.504</v>
      </c>
      <c r="AD866" t="n">
        <v>103.3</v>
      </c>
      <c r="AE866" t="n">
        <v>101.6035</v>
      </c>
      <c r="AF866" t="n">
        <v>106.5138</v>
      </c>
      <c r="AG866" t="n">
        <v>111.8332</v>
      </c>
      <c r="AH866" t="n">
        <v>107.38</v>
      </c>
      <c r="AI866" t="n">
        <v>108.7139</v>
      </c>
      <c r="AJ866" t="n">
        <v>125.7322</v>
      </c>
      <c r="AK866" t="n">
        <v>107.62</v>
      </c>
      <c r="AL866" t="n">
        <v>114.1</v>
      </c>
      <c r="AM866" t="n">
        <v>111.1156</v>
      </c>
      <c r="AN866" t="n">
        <v>112.6731</v>
      </c>
      <c r="AO866" t="n">
        <v>110.9483</v>
      </c>
      <c r="AP866" t="n">
        <v>103.0429</v>
      </c>
      <c r="AQ866" t="n">
        <v>126.9984</v>
      </c>
      <c r="AR866" t="n">
        <v>107.8493</v>
      </c>
      <c r="AS866" t="n">
        <v>108.6515</v>
      </c>
      <c r="AT866" t="n">
        <v>103.76</v>
      </c>
      <c r="AU866" t="n">
        <v>107.8968</v>
      </c>
      <c r="AV866" t="n">
        <v>196.9799</v>
      </c>
      <c r="AW866" t="n">
        <v>110.3642</v>
      </c>
      <c r="AX866" t="n">
        <v>128.0072</v>
      </c>
    </row>
    <row r="867">
      <c r="A867" s="92" t="n">
        <v>44228</v>
      </c>
      <c r="B867" t="n">
        <v>108.9967</v>
      </c>
      <c r="C867" t="n">
        <v>109.2243</v>
      </c>
      <c r="D867" t="n">
        <v>130.4472</v>
      </c>
      <c r="E867" t="n">
        <v>109.7445</v>
      </c>
      <c r="F867" t="n">
        <v>100.461</v>
      </c>
      <c r="G867" t="n">
        <v>117.3339</v>
      </c>
      <c r="H867" t="n">
        <v>113.2193</v>
      </c>
      <c r="I867" t="n">
        <v>124.5705</v>
      </c>
      <c r="J867" t="n">
        <v>107.4772</v>
      </c>
      <c r="K867" t="n">
        <v>113.6</v>
      </c>
      <c r="L867" t="n">
        <v>107.0178</v>
      </c>
      <c r="M867" t="n">
        <v>104.2</v>
      </c>
      <c r="N867" t="n">
        <v>105.54</v>
      </c>
      <c r="O867" t="n">
        <v>103.8501</v>
      </c>
      <c r="P867" t="n">
        <v>110.5908</v>
      </c>
      <c r="Q867" t="n">
        <v>106.55</v>
      </c>
      <c r="R867" t="n">
        <v>104.62</v>
      </c>
      <c r="S867" t="n">
        <v>105.12</v>
      </c>
      <c r="T867" t="n">
        <v>117.2311</v>
      </c>
      <c r="U867" t="n">
        <v>108.58</v>
      </c>
      <c r="V867" t="n">
        <v>109.4</v>
      </c>
      <c r="W867" t="n">
        <v>98.63056</v>
      </c>
      <c r="X867" t="n">
        <v>115.544</v>
      </c>
      <c r="Y867" t="n">
        <v>117.7399</v>
      </c>
      <c r="Z867" t="n">
        <v>131.1094</v>
      </c>
      <c r="AA867" t="n">
        <v>101.5699</v>
      </c>
      <c r="AB867" t="n">
        <v>115.2641</v>
      </c>
      <c r="AC867" t="n">
        <v>100.8064</v>
      </c>
      <c r="AD867" t="n">
        <v>103.4</v>
      </c>
      <c r="AE867" t="n">
        <v>101.6035</v>
      </c>
      <c r="AF867" t="n">
        <v>107.0831</v>
      </c>
      <c r="AG867" t="n">
        <v>112.075</v>
      </c>
      <c r="AH867" t="n">
        <v>106.64</v>
      </c>
      <c r="AI867" t="n">
        <v>109.1787</v>
      </c>
      <c r="AJ867" t="n">
        <v>126.5273</v>
      </c>
      <c r="AK867" t="n">
        <v>108.57</v>
      </c>
      <c r="AL867" t="n">
        <v>114.9</v>
      </c>
      <c r="AM867" t="n">
        <v>111.5605</v>
      </c>
      <c r="AN867" t="n">
        <v>113.0071</v>
      </c>
      <c r="AO867" t="n">
        <v>111.5181</v>
      </c>
      <c r="AP867" t="n">
        <v>102.5712</v>
      </c>
      <c r="AQ867" t="n">
        <v>127.989</v>
      </c>
      <c r="AR867" t="n">
        <v>107.7145</v>
      </c>
      <c r="AS867" t="n">
        <v>108.8963</v>
      </c>
      <c r="AT867" t="n">
        <v>104.06</v>
      </c>
      <c r="AU867" t="n">
        <v>108.1904</v>
      </c>
      <c r="AV867" t="n">
        <v>198.7682</v>
      </c>
      <c r="AW867" t="n">
        <v>110.9684</v>
      </c>
      <c r="AX867" t="n">
        <v>128.8174</v>
      </c>
    </row>
    <row r="868">
      <c r="A868" s="92" t="n">
        <v>44256</v>
      </c>
      <c r="B868" t="n">
        <v>110.1862</v>
      </c>
      <c r="C868" t="n">
        <v>109.5216</v>
      </c>
      <c r="D868" t="n">
        <v>131.6604</v>
      </c>
      <c r="E868" t="n">
        <v>110.2976</v>
      </c>
      <c r="F868" t="n">
        <v>100.7998</v>
      </c>
      <c r="G868" t="n">
        <v>117.7697</v>
      </c>
      <c r="H868" t="n">
        <v>112.6615</v>
      </c>
      <c r="I868" t="n">
        <v>125.2051</v>
      </c>
      <c r="J868" t="n">
        <v>107.5073</v>
      </c>
      <c r="K868" t="n">
        <v>113.8</v>
      </c>
      <c r="L868" t="n">
        <v>107.5179</v>
      </c>
      <c r="M868" t="n">
        <v>104.3</v>
      </c>
      <c r="N868" t="n">
        <v>106.53</v>
      </c>
      <c r="O868" t="n">
        <v>104.8574</v>
      </c>
      <c r="P868" t="n">
        <v>110.3857</v>
      </c>
      <c r="Q868" t="n">
        <v>107.46</v>
      </c>
      <c r="R868" t="n">
        <v>104.87</v>
      </c>
      <c r="S868" t="n">
        <v>105.75</v>
      </c>
      <c r="T868" t="n">
        <v>117.7972</v>
      </c>
      <c r="U868" t="n">
        <v>109.1833</v>
      </c>
      <c r="V868" t="n">
        <v>109.7</v>
      </c>
      <c r="W868" t="n">
        <v>99.81734</v>
      </c>
      <c r="X868" t="n">
        <v>116.3583</v>
      </c>
      <c r="Y868" t="n">
        <v>117.8398</v>
      </c>
      <c r="Z868" t="n">
        <v>131.7705</v>
      </c>
      <c r="AA868" t="n">
        <v>102.3673</v>
      </c>
      <c r="AB868" t="n">
        <v>115.833</v>
      </c>
      <c r="AC868" t="n">
        <v>101.4113</v>
      </c>
      <c r="AD868" t="n">
        <v>103.7</v>
      </c>
      <c r="AE868" t="n">
        <v>101.7053</v>
      </c>
      <c r="AF868" t="n">
        <v>107.3572</v>
      </c>
      <c r="AG868" t="n">
        <v>113.1832</v>
      </c>
      <c r="AH868" t="n">
        <v>108.14</v>
      </c>
      <c r="AI868" t="n">
        <v>110.023</v>
      </c>
      <c r="AJ868" t="n">
        <v>127.5735</v>
      </c>
      <c r="AK868" t="n">
        <v>108.87</v>
      </c>
      <c r="AL868" t="n">
        <v>114.6</v>
      </c>
      <c r="AM868" t="n">
        <v>112.2022</v>
      </c>
      <c r="AN868" t="n">
        <v>113.6496</v>
      </c>
      <c r="AO868" t="n">
        <v>112.6577</v>
      </c>
      <c r="AP868" t="n">
        <v>104.0142</v>
      </c>
      <c r="AQ868" t="n">
        <v>128.8338</v>
      </c>
      <c r="AR868" t="n">
        <v>107.559</v>
      </c>
      <c r="AS868" t="n">
        <v>109.4469</v>
      </c>
      <c r="AT868" t="n">
        <v>104.41</v>
      </c>
      <c r="AU868" t="n">
        <v>108.3595</v>
      </c>
      <c r="AV868" t="n">
        <v>200.9057</v>
      </c>
      <c r="AW868" t="n">
        <v>111.7544</v>
      </c>
      <c r="AX868" t="n">
        <v>129.6275</v>
      </c>
    </row>
    <row r="869">
      <c r="A869" s="92" t="n">
        <v>44287</v>
      </c>
      <c r="B869" t="n">
        <v>110.0781</v>
      </c>
      <c r="C869" t="n">
        <v>109.8883</v>
      </c>
      <c r="D869" t="n">
        <v>132.0685</v>
      </c>
      <c r="E869" t="n">
        <v>110.8507</v>
      </c>
      <c r="F869" t="n">
        <v>101.0101</v>
      </c>
      <c r="G869" t="n">
        <v>118.2164</v>
      </c>
      <c r="H869" t="n">
        <v>112.3269</v>
      </c>
      <c r="I869" t="n">
        <v>125.9467</v>
      </c>
      <c r="J869" t="n">
        <v>107.8182</v>
      </c>
      <c r="K869" t="n">
        <v>114.4</v>
      </c>
      <c r="L869" t="n">
        <v>108.218</v>
      </c>
      <c r="M869" t="n">
        <v>104.7</v>
      </c>
      <c r="N869" t="n">
        <v>107.14</v>
      </c>
      <c r="O869" t="n">
        <v>106.095</v>
      </c>
      <c r="P869" t="n">
        <v>110.7959</v>
      </c>
      <c r="Q869" t="n">
        <v>108.08</v>
      </c>
      <c r="R869" t="n">
        <v>105.26</v>
      </c>
      <c r="S869" t="n">
        <v>105.86</v>
      </c>
      <c r="T869" t="n">
        <v>118.3177</v>
      </c>
      <c r="U869" t="n">
        <v>109.778</v>
      </c>
      <c r="V869" t="n">
        <v>110.4</v>
      </c>
      <c r="W869" t="n">
        <v>100.7251</v>
      </c>
      <c r="X869" t="n">
        <v>117.3205</v>
      </c>
      <c r="Y869" t="n">
        <v>117.9952</v>
      </c>
      <c r="Z869" t="n">
        <v>132.3214</v>
      </c>
      <c r="AA869" t="n">
        <v>103.065</v>
      </c>
      <c r="AB869" t="n">
        <v>116.6418</v>
      </c>
      <c r="AC869" t="n">
        <v>101.7137</v>
      </c>
      <c r="AD869" t="n">
        <v>104.1</v>
      </c>
      <c r="AE869" t="n">
        <v>100.8908</v>
      </c>
      <c r="AF869" t="n">
        <v>107.5048</v>
      </c>
      <c r="AG869" t="n">
        <v>114.236</v>
      </c>
      <c r="AH869" t="n">
        <v>108.19</v>
      </c>
      <c r="AI869" t="n">
        <v>110.971</v>
      </c>
      <c r="AJ869" t="n">
        <v>127.991</v>
      </c>
      <c r="AK869" t="n">
        <v>109.36</v>
      </c>
      <c r="AL869" t="n">
        <v>115</v>
      </c>
      <c r="AM869" t="n">
        <v>112.8502</v>
      </c>
      <c r="AN869" t="n">
        <v>114.3768</v>
      </c>
      <c r="AO869" t="n">
        <v>113.5531</v>
      </c>
      <c r="AP869" t="n">
        <v>104.4461</v>
      </c>
      <c r="AQ869" t="n">
        <v>129.581</v>
      </c>
      <c r="AR869" t="n">
        <v>107.7456</v>
      </c>
      <c r="AS869" t="n">
        <v>109.6916</v>
      </c>
      <c r="AT869" t="n">
        <v>105.5</v>
      </c>
      <c r="AU869" t="n">
        <v>108.6244</v>
      </c>
      <c r="AV869" t="n">
        <v>204.2788</v>
      </c>
      <c r="AW869" t="n">
        <v>112.6729</v>
      </c>
      <c r="AX869" t="n">
        <v>130.5728</v>
      </c>
    </row>
    <row r="870">
      <c r="A870" s="92" t="n">
        <v>44317</v>
      </c>
      <c r="B870" t="n">
        <v>110.4025</v>
      </c>
      <c r="C870" t="n">
        <v>110.0567</v>
      </c>
      <c r="D870" t="n">
        <v>133.1648</v>
      </c>
      <c r="E870" t="n">
        <v>111.4037</v>
      </c>
      <c r="F870" t="n">
        <v>101.2771</v>
      </c>
      <c r="G870" t="n">
        <v>118.5324</v>
      </c>
      <c r="H870" t="n">
        <v>112.2154</v>
      </c>
      <c r="I870" t="n">
        <v>127.2054</v>
      </c>
      <c r="J870" t="n">
        <v>107.802</v>
      </c>
      <c r="K870" t="n">
        <v>114.6</v>
      </c>
      <c r="L870" t="n">
        <v>108.7181</v>
      </c>
      <c r="M870" t="n">
        <v>104.9</v>
      </c>
      <c r="N870" t="n">
        <v>107.42</v>
      </c>
      <c r="O870" t="n">
        <v>106.5949</v>
      </c>
      <c r="P870" t="n">
        <v>111.8726</v>
      </c>
      <c r="Q870" t="n">
        <v>108.38</v>
      </c>
      <c r="R870" t="n">
        <v>105.42</v>
      </c>
      <c r="S870" t="n">
        <v>106.2</v>
      </c>
      <c r="T870" t="n">
        <v>118.857</v>
      </c>
      <c r="U870" t="n">
        <v>110.4559</v>
      </c>
      <c r="V870" t="n">
        <v>111</v>
      </c>
      <c r="W870" t="n">
        <v>100.3314</v>
      </c>
      <c r="X870" t="n">
        <v>117.9127</v>
      </c>
      <c r="Y870" t="n">
        <v>118.3727</v>
      </c>
      <c r="Z870" t="n">
        <v>132.8723</v>
      </c>
      <c r="AA870" t="n">
        <v>103.1647</v>
      </c>
      <c r="AB870" t="n">
        <v>117.1505</v>
      </c>
      <c r="AC870" t="n">
        <v>102.1169</v>
      </c>
      <c r="AD870" t="n">
        <v>104.1</v>
      </c>
      <c r="AE870" t="n">
        <v>101.1962</v>
      </c>
      <c r="AF870" t="n">
        <v>107.5786</v>
      </c>
      <c r="AG870" t="n">
        <v>114.8849</v>
      </c>
      <c r="AH870" t="n">
        <v>108.5</v>
      </c>
      <c r="AI870" t="n">
        <v>111.5428</v>
      </c>
      <c r="AJ870" t="n">
        <v>128.2523</v>
      </c>
      <c r="AK870" t="n">
        <v>109.46</v>
      </c>
      <c r="AL870" t="n">
        <v>114.9</v>
      </c>
      <c r="AM870" t="n">
        <v>113.4538</v>
      </c>
      <c r="AN870" t="n">
        <v>114.807</v>
      </c>
      <c r="AO870" t="n">
        <v>113.8787</v>
      </c>
      <c r="AP870" t="n">
        <v>104.6929</v>
      </c>
      <c r="AQ870" t="n">
        <v>130.5399</v>
      </c>
      <c r="AR870" t="n">
        <v>107.9426</v>
      </c>
      <c r="AS870" t="n">
        <v>110.6092</v>
      </c>
      <c r="AT870" t="n">
        <v>106.48</v>
      </c>
      <c r="AU870" t="n">
        <v>108.8382</v>
      </c>
      <c r="AV870" t="n">
        <v>206.094</v>
      </c>
      <c r="AW870" t="n">
        <v>113.5762</v>
      </c>
      <c r="AX870" t="n">
        <v>130.7078</v>
      </c>
    </row>
    <row r="871">
      <c r="A871" s="92" t="n">
        <v>44348</v>
      </c>
      <c r="B871" t="n">
        <v>110.9431</v>
      </c>
      <c r="C871" t="n">
        <v>110.3045</v>
      </c>
      <c r="D871" t="n">
        <v>133.8705</v>
      </c>
      <c r="E871" t="n">
        <v>111.7198</v>
      </c>
      <c r="F871" t="n">
        <v>101.3521</v>
      </c>
      <c r="G871" t="n">
        <v>118.6304</v>
      </c>
      <c r="H871" t="n">
        <v>111.7692</v>
      </c>
      <c r="I871" t="n">
        <v>127.1429</v>
      </c>
      <c r="J871" t="n">
        <v>108.3818</v>
      </c>
      <c r="K871" t="n">
        <v>115.2</v>
      </c>
      <c r="L871" t="n">
        <v>109.1182</v>
      </c>
      <c r="M871" t="n">
        <v>105</v>
      </c>
      <c r="N871" t="n">
        <v>107.7</v>
      </c>
      <c r="O871" t="n">
        <v>107.1023</v>
      </c>
      <c r="P871" t="n">
        <v>113.1543</v>
      </c>
      <c r="Q871" t="n">
        <v>108.65</v>
      </c>
      <c r="R871" t="n">
        <v>105.36</v>
      </c>
      <c r="S871" t="n">
        <v>106.34</v>
      </c>
      <c r="T871" t="n">
        <v>119.4144</v>
      </c>
      <c r="U871" t="n">
        <v>111.1583</v>
      </c>
      <c r="V871" t="n">
        <v>111.4</v>
      </c>
      <c r="W871" t="n">
        <v>101.2696</v>
      </c>
      <c r="X871" t="n">
        <v>118.5788</v>
      </c>
      <c r="Y871" t="n">
        <v>118.1839</v>
      </c>
      <c r="Z871" t="n">
        <v>134.0842</v>
      </c>
      <c r="AA871" t="n">
        <v>103.3641</v>
      </c>
      <c r="AB871" t="n">
        <v>117.4514</v>
      </c>
      <c r="AC871" t="n">
        <v>102.2177</v>
      </c>
      <c r="AD871" t="n">
        <v>104.2</v>
      </c>
      <c r="AE871" t="n">
        <v>101.298</v>
      </c>
      <c r="AF871" t="n">
        <v>107.5786</v>
      </c>
      <c r="AG871" t="n">
        <v>115.5194</v>
      </c>
      <c r="AH871" t="n">
        <v>108.68</v>
      </c>
      <c r="AI871" t="n">
        <v>111.8644</v>
      </c>
      <c r="AJ871" t="n">
        <v>128.9357</v>
      </c>
      <c r="AK871" t="n">
        <v>109.67</v>
      </c>
      <c r="AL871" t="n">
        <v>115.3</v>
      </c>
      <c r="AM871" t="n">
        <v>114.1163</v>
      </c>
      <c r="AN871" t="n">
        <v>115.3047</v>
      </c>
      <c r="AO871" t="n">
        <v>113.9601</v>
      </c>
      <c r="AP871" t="n">
        <v>104.8521</v>
      </c>
      <c r="AQ871" t="n">
        <v>131.4406</v>
      </c>
      <c r="AR871" t="n">
        <v>108.1086</v>
      </c>
      <c r="AS871" t="n">
        <v>111.221</v>
      </c>
      <c r="AT871" t="n">
        <v>107.1</v>
      </c>
      <c r="AU871" t="n">
        <v>108.9276</v>
      </c>
      <c r="AV871" t="n">
        <v>210.0965</v>
      </c>
      <c r="AW871" t="n">
        <v>114.6314</v>
      </c>
      <c r="AX871" t="n">
        <v>131.1129</v>
      </c>
    </row>
    <row r="872">
      <c r="A872" s="92" t="n">
        <v>44378</v>
      </c>
      <c r="B872" t="n">
        <v>111.2675</v>
      </c>
      <c r="C872" t="n">
        <v>111.246</v>
      </c>
      <c r="D872" t="n">
        <v>135.1557</v>
      </c>
      <c r="E872" t="n">
        <v>112.4309</v>
      </c>
      <c r="F872" t="n">
        <v>101.2662</v>
      </c>
      <c r="G872" t="n">
        <v>119.5892</v>
      </c>
      <c r="H872" t="n">
        <v>112.1038</v>
      </c>
      <c r="I872" t="n">
        <v>127.5561</v>
      </c>
      <c r="J872" t="n">
        <v>108.1591</v>
      </c>
      <c r="K872" t="n">
        <v>116.4</v>
      </c>
      <c r="L872" t="n">
        <v>110.1184</v>
      </c>
      <c r="M872" t="n">
        <v>105.7</v>
      </c>
      <c r="N872" t="n">
        <v>107.6</v>
      </c>
      <c r="O872" t="n">
        <v>106.2952</v>
      </c>
      <c r="P872" t="n">
        <v>114.3848</v>
      </c>
      <c r="Q872" t="n">
        <v>108.68</v>
      </c>
      <c r="R872" t="n">
        <v>105.71</v>
      </c>
      <c r="S872" t="n">
        <v>106.4</v>
      </c>
      <c r="T872" t="n">
        <v>119.9535</v>
      </c>
      <c r="U872" t="n">
        <v>111.647</v>
      </c>
      <c r="V872" t="n">
        <v>111.4</v>
      </c>
      <c r="W872" t="n">
        <v>99.86414000000001</v>
      </c>
      <c r="X872" t="n">
        <v>119.171</v>
      </c>
      <c r="Y872" t="n">
        <v>118.2728</v>
      </c>
      <c r="Z872" t="n">
        <v>135.2961</v>
      </c>
      <c r="AA872" t="n">
        <v>103.7628</v>
      </c>
      <c r="AB872" t="n">
        <v>117.6369</v>
      </c>
      <c r="AC872" t="n">
        <v>102.621</v>
      </c>
      <c r="AD872" t="n">
        <v>104.7</v>
      </c>
      <c r="AE872" t="n">
        <v>101.5017</v>
      </c>
      <c r="AF872" t="n">
        <v>107.7999</v>
      </c>
      <c r="AG872" t="n">
        <v>116.3401</v>
      </c>
      <c r="AH872" t="n">
        <v>108.26</v>
      </c>
      <c r="AI872" t="n">
        <v>112.2728</v>
      </c>
      <c r="AJ872" t="n">
        <v>129.6932</v>
      </c>
      <c r="AK872" t="n">
        <v>110.23</v>
      </c>
      <c r="AL872" t="n">
        <v>116.3</v>
      </c>
      <c r="AM872" t="n">
        <v>114.6372</v>
      </c>
      <c r="AN872" t="n">
        <v>115.8104</v>
      </c>
      <c r="AO872" t="n">
        <v>114.4485</v>
      </c>
      <c r="AP872" t="n">
        <v>104.4879</v>
      </c>
      <c r="AQ872" t="n">
        <v>131.8481</v>
      </c>
      <c r="AR872" t="n">
        <v>108.2745</v>
      </c>
      <c r="AS872" t="n">
        <v>111.7716</v>
      </c>
      <c r="AT872" t="n">
        <v>107.54</v>
      </c>
      <c r="AU872" t="n">
        <v>109.218</v>
      </c>
      <c r="AV872" t="n">
        <v>213.888</v>
      </c>
      <c r="AW872" t="n">
        <v>115.1829</v>
      </c>
      <c r="AX872" t="n">
        <v>132.4632</v>
      </c>
    </row>
    <row r="873">
      <c r="A873" s="92" t="n">
        <v>44409</v>
      </c>
      <c r="B873" t="n">
        <v>111.3756</v>
      </c>
      <c r="C873" t="n">
        <v>111.8208</v>
      </c>
      <c r="D873" t="n">
        <v>136.3315</v>
      </c>
      <c r="E873" t="n">
        <v>112.6679</v>
      </c>
      <c r="F873" t="n">
        <v>101.5149</v>
      </c>
      <c r="G873" t="n">
        <v>120.0142</v>
      </c>
      <c r="H873" t="n">
        <v>112.2154</v>
      </c>
      <c r="I873" t="n">
        <v>128.1269</v>
      </c>
      <c r="J873" t="n">
        <v>108.4582</v>
      </c>
      <c r="K873" t="n">
        <v>117.2</v>
      </c>
      <c r="L873" t="n">
        <v>110.1184</v>
      </c>
      <c r="M873" t="n">
        <v>105.5</v>
      </c>
      <c r="N873" t="n">
        <v>107.98</v>
      </c>
      <c r="O873" t="n">
        <v>106.778</v>
      </c>
      <c r="P873" t="n">
        <v>115.2052</v>
      </c>
      <c r="Q873" t="n">
        <v>109.04</v>
      </c>
      <c r="R873" t="n">
        <v>105.96</v>
      </c>
      <c r="S873" t="n">
        <v>107.05</v>
      </c>
      <c r="T873" t="n">
        <v>120.2898</v>
      </c>
      <c r="U873" t="n">
        <v>111.9028</v>
      </c>
      <c r="V873" t="n">
        <v>112.1</v>
      </c>
      <c r="W873" t="n">
        <v>99.73394999999999</v>
      </c>
      <c r="X873" t="n">
        <v>119.393</v>
      </c>
      <c r="Y873" t="n">
        <v>118.3061</v>
      </c>
      <c r="Z873" t="n">
        <v>135.5165</v>
      </c>
      <c r="AA873" t="n">
        <v>104.3608</v>
      </c>
      <c r="AB873" t="n">
        <v>118.1772</v>
      </c>
      <c r="AC873" t="n">
        <v>102.9234</v>
      </c>
      <c r="AD873" t="n">
        <v>105.1</v>
      </c>
      <c r="AE873" t="n">
        <v>101.5017</v>
      </c>
      <c r="AF873" t="n">
        <v>108.3165</v>
      </c>
      <c r="AG873" t="n">
        <v>116.8061</v>
      </c>
      <c r="AH873" t="n">
        <v>109.31</v>
      </c>
      <c r="AI873" t="n">
        <v>112.6934</v>
      </c>
      <c r="AJ873" t="n">
        <v>129.9408</v>
      </c>
      <c r="AK873" t="n">
        <v>110.71</v>
      </c>
      <c r="AL873" t="n">
        <v>116.3</v>
      </c>
      <c r="AM873" t="n">
        <v>114.9521</v>
      </c>
      <c r="AN873" t="n">
        <v>116.2949</v>
      </c>
      <c r="AO873" t="n">
        <v>114.7741</v>
      </c>
      <c r="AP873" t="n">
        <v>104.2789</v>
      </c>
      <c r="AQ873" t="n">
        <v>132.0722</v>
      </c>
      <c r="AR873" t="n">
        <v>108.3471</v>
      </c>
      <c r="AS873" t="n">
        <v>112.1998</v>
      </c>
      <c r="AT873" t="n">
        <v>107.64</v>
      </c>
      <c r="AU873" t="n">
        <v>109.7797</v>
      </c>
      <c r="AV873" t="n">
        <v>216.2826</v>
      </c>
      <c r="AW873" t="n">
        <v>115.4208</v>
      </c>
      <c r="AX873" t="n">
        <v>133.0033</v>
      </c>
    </row>
    <row r="874">
      <c r="A874" s="92" t="n">
        <v>44440</v>
      </c>
      <c r="B874" t="n">
        <v>111.9163</v>
      </c>
      <c r="C874" t="n">
        <v>111.5433</v>
      </c>
      <c r="D874" t="n">
        <v>137.9129</v>
      </c>
      <c r="E874" t="n">
        <v>112.9049</v>
      </c>
      <c r="F874" t="n">
        <v>101.5325</v>
      </c>
      <c r="G874" t="n">
        <v>121.4306</v>
      </c>
      <c r="H874" t="n">
        <v>112.2154</v>
      </c>
      <c r="I874" t="n">
        <v>128.6173</v>
      </c>
      <c r="J874" t="n">
        <v>109.1401</v>
      </c>
      <c r="K874" t="n">
        <v>117.4</v>
      </c>
      <c r="L874" t="n">
        <v>110.1184</v>
      </c>
      <c r="M874" t="n">
        <v>105.8</v>
      </c>
      <c r="N874" t="n">
        <v>108.49</v>
      </c>
      <c r="O874" t="n">
        <v>107.6687</v>
      </c>
      <c r="P874" t="n">
        <v>116.6407</v>
      </c>
      <c r="Q874" t="n">
        <v>109.57</v>
      </c>
      <c r="R874" t="n">
        <v>106.29</v>
      </c>
      <c r="S874" t="n">
        <v>106.81</v>
      </c>
      <c r="T874" t="n">
        <v>120.7384</v>
      </c>
      <c r="U874" t="n">
        <v>112.1298</v>
      </c>
      <c r="V874" t="n">
        <v>112.4</v>
      </c>
      <c r="W874" t="n">
        <v>102.0951</v>
      </c>
      <c r="X874" t="n">
        <v>119.5411</v>
      </c>
      <c r="Y874" t="n">
        <v>118.2617</v>
      </c>
      <c r="Z874" t="n">
        <v>135.847</v>
      </c>
      <c r="AA874" t="n">
        <v>104.8592</v>
      </c>
      <c r="AB874" t="n">
        <v>118.7229</v>
      </c>
      <c r="AC874" t="n">
        <v>103.125</v>
      </c>
      <c r="AD874" t="n">
        <v>104.9</v>
      </c>
      <c r="AE874" t="n">
        <v>101.9089</v>
      </c>
      <c r="AF874" t="n">
        <v>108.7592</v>
      </c>
      <c r="AG874" t="n">
        <v>118.4514</v>
      </c>
      <c r="AH874" t="n">
        <v>109.47</v>
      </c>
      <c r="AI874" t="n">
        <v>113.8805</v>
      </c>
      <c r="AJ874" t="n">
        <v>130.7416</v>
      </c>
      <c r="AK874" t="n">
        <v>110.79</v>
      </c>
      <c r="AL874" t="n">
        <v>117.5</v>
      </c>
      <c r="AM874" t="n">
        <v>115.3151</v>
      </c>
      <c r="AN874" t="n">
        <v>116.6645</v>
      </c>
      <c r="AO874" t="n">
        <v>115.5881</v>
      </c>
      <c r="AP874" t="n">
        <v>105.2323</v>
      </c>
      <c r="AQ874" t="n">
        <v>132.8647</v>
      </c>
      <c r="AR874" t="n">
        <v>108.5649</v>
      </c>
      <c r="AS874" t="n">
        <v>113.1175</v>
      </c>
      <c r="AT874" t="n">
        <v>107.58</v>
      </c>
      <c r="AU874" t="n">
        <v>110.3382</v>
      </c>
      <c r="AV874" t="n">
        <v>218.9919</v>
      </c>
      <c r="AW874" t="n">
        <v>115.7343</v>
      </c>
      <c r="AX874" t="n">
        <v>133.2733</v>
      </c>
    </row>
    <row r="875">
      <c r="A875" s="92" t="n">
        <v>44470</v>
      </c>
      <c r="B875" t="n">
        <v>112.5651</v>
      </c>
      <c r="C875" t="n">
        <v>113.1786</v>
      </c>
      <c r="D875" t="n">
        <v>139.6367</v>
      </c>
      <c r="E875" t="n">
        <v>113.695</v>
      </c>
      <c r="F875" t="n">
        <v>101.84</v>
      </c>
      <c r="G875" t="n">
        <v>123.054</v>
      </c>
      <c r="H875" t="n">
        <v>112.9962</v>
      </c>
      <c r="I875" t="n">
        <v>128.6345</v>
      </c>
      <c r="J875" t="n">
        <v>109.6747</v>
      </c>
      <c r="K875" t="n">
        <v>118.6</v>
      </c>
      <c r="L875" t="n">
        <v>110.7185</v>
      </c>
      <c r="M875" t="n">
        <v>106.8</v>
      </c>
      <c r="N875" t="n">
        <v>109.41</v>
      </c>
      <c r="O875" t="n">
        <v>109.6491</v>
      </c>
      <c r="P875" t="n">
        <v>116.4357</v>
      </c>
      <c r="Q875" t="n">
        <v>110.54</v>
      </c>
      <c r="R875" t="n">
        <v>107.09</v>
      </c>
      <c r="S875" t="n">
        <v>107.25</v>
      </c>
      <c r="T875" t="n">
        <v>121.804</v>
      </c>
      <c r="U875" t="n">
        <v>112.8755</v>
      </c>
      <c r="V875" t="n">
        <v>113.4</v>
      </c>
      <c r="W875" t="n">
        <v>103.6557</v>
      </c>
      <c r="X875" t="n">
        <v>120.9474</v>
      </c>
      <c r="Y875" t="n">
        <v>118.406</v>
      </c>
      <c r="Z875" t="n">
        <v>137.6098</v>
      </c>
      <c r="AA875" t="n">
        <v>105.5569</v>
      </c>
      <c r="AB875" t="n">
        <v>119.4431</v>
      </c>
      <c r="AC875" t="n">
        <v>103.2258</v>
      </c>
      <c r="AD875" t="n">
        <v>105.6</v>
      </c>
      <c r="AE875" t="n">
        <v>101.7053</v>
      </c>
      <c r="AF875" t="n">
        <v>108.949</v>
      </c>
      <c r="AG875" t="n">
        <v>120.4154</v>
      </c>
      <c r="AH875" t="n">
        <v>110.45</v>
      </c>
      <c r="AI875" t="n">
        <v>115.1769</v>
      </c>
      <c r="AJ875" t="n">
        <v>131.8368</v>
      </c>
      <c r="AK875" t="n">
        <v>112.18</v>
      </c>
      <c r="AL875" t="n">
        <v>117.2</v>
      </c>
      <c r="AM875" t="n">
        <v>116.217</v>
      </c>
      <c r="AN875" t="n">
        <v>117.7857</v>
      </c>
      <c r="AO875" t="n">
        <v>116.8905</v>
      </c>
      <c r="AP875" t="n">
        <v>105.709</v>
      </c>
      <c r="AQ875" t="n">
        <v>134.3395</v>
      </c>
      <c r="AR875" t="n">
        <v>108.8345</v>
      </c>
      <c r="AS875" t="n">
        <v>113.7905</v>
      </c>
      <c r="AT875" t="n">
        <v>108.55</v>
      </c>
      <c r="AU875" t="n">
        <v>110.5615</v>
      </c>
      <c r="AV875" t="n">
        <v>224.2339</v>
      </c>
      <c r="AW875" t="n">
        <v>116.6958</v>
      </c>
      <c r="AX875" t="n">
        <v>133.6784</v>
      </c>
    </row>
    <row r="876">
      <c r="A876" s="92" t="n">
        <v>44501</v>
      </c>
      <c r="B876" t="n">
        <v>113.322</v>
      </c>
      <c r="C876" t="n">
        <v>114.5958</v>
      </c>
      <c r="D876" t="n">
        <v>140.9634</v>
      </c>
      <c r="E876" t="n">
        <v>113.9321</v>
      </c>
      <c r="F876" t="n">
        <v>101.8792</v>
      </c>
      <c r="G876" t="n">
        <v>123.6751</v>
      </c>
      <c r="H876" t="n">
        <v>113.4424</v>
      </c>
      <c r="I876" t="n">
        <v>129.2716</v>
      </c>
      <c r="J876" t="n">
        <v>110.576</v>
      </c>
      <c r="K876" t="n">
        <v>118.8</v>
      </c>
      <c r="L876" t="n">
        <v>110.5184</v>
      </c>
      <c r="M876" t="n">
        <v>107.1</v>
      </c>
      <c r="N876" t="n">
        <v>109.9</v>
      </c>
      <c r="O876" t="n">
        <v>109.9842</v>
      </c>
      <c r="P876" t="n">
        <v>118.589</v>
      </c>
      <c r="Q876" t="n">
        <v>111.07</v>
      </c>
      <c r="R876" t="n">
        <v>107.57</v>
      </c>
      <c r="S876" t="n">
        <v>107.64</v>
      </c>
      <c r="T876" t="n">
        <v>122.5507</v>
      </c>
      <c r="U876" t="n">
        <v>113.321</v>
      </c>
      <c r="V876" t="n">
        <v>114.1</v>
      </c>
      <c r="W876" t="n">
        <v>104.1469</v>
      </c>
      <c r="X876" t="n">
        <v>121.7617</v>
      </c>
      <c r="Y876" t="n">
        <v>118.8389</v>
      </c>
      <c r="Z876" t="n">
        <v>138.4912</v>
      </c>
      <c r="AA876" t="n">
        <v>106.155</v>
      </c>
      <c r="AB876" t="n">
        <v>119.8499</v>
      </c>
      <c r="AC876" t="n">
        <v>103.125</v>
      </c>
      <c r="AD876" t="n">
        <v>106.2</v>
      </c>
      <c r="AE876" t="n">
        <v>101.9089</v>
      </c>
      <c r="AF876" t="n">
        <v>109.4971</v>
      </c>
      <c r="AG876" t="n">
        <v>121.5544</v>
      </c>
      <c r="AH876" t="n">
        <v>111.18</v>
      </c>
      <c r="AI876" t="n">
        <v>116.4078</v>
      </c>
      <c r="AJ876" t="n">
        <v>133.3462</v>
      </c>
      <c r="AK876" t="n">
        <v>113.17</v>
      </c>
      <c r="AL876" t="n">
        <v>118.1</v>
      </c>
      <c r="AM876" t="n">
        <v>116.8669</v>
      </c>
      <c r="AN876" t="n">
        <v>118.636</v>
      </c>
      <c r="AO876" t="n">
        <v>118.0301</v>
      </c>
      <c r="AP876" t="n">
        <v>106.1747</v>
      </c>
      <c r="AQ876" t="n">
        <v>135.6291</v>
      </c>
      <c r="AR876" t="n">
        <v>109.0626</v>
      </c>
      <c r="AS876" t="n">
        <v>114.4022</v>
      </c>
      <c r="AT876" t="n">
        <v>109.31</v>
      </c>
      <c r="AU876" t="n">
        <v>111.069</v>
      </c>
      <c r="AV876" t="n">
        <v>232.1085</v>
      </c>
      <c r="AW876" t="n">
        <v>117.2692</v>
      </c>
      <c r="AX876" t="n">
        <v>134.2185</v>
      </c>
    </row>
    <row r="877">
      <c r="A877" s="92" t="n">
        <v>44531</v>
      </c>
      <c r="B877" t="n">
        <v>113.9708</v>
      </c>
      <c r="C877" t="n">
        <v>114.7048</v>
      </c>
      <c r="D877" t="n">
        <v>141.9924</v>
      </c>
      <c r="E877" t="n">
        <v>113.774</v>
      </c>
      <c r="F877" t="n">
        <v>101.7755</v>
      </c>
      <c r="G877" t="n">
        <v>124.6339</v>
      </c>
      <c r="H877" t="n">
        <v>113.1077</v>
      </c>
      <c r="I877" t="n">
        <v>130.2106</v>
      </c>
      <c r="J877" t="n">
        <v>111.1106</v>
      </c>
      <c r="K877" t="n">
        <v>119.3</v>
      </c>
      <c r="L877" t="n">
        <v>111.1185</v>
      </c>
      <c r="M877" t="n">
        <v>106.6</v>
      </c>
      <c r="N877" t="n">
        <v>110.37</v>
      </c>
      <c r="O877" t="n">
        <v>111.2978</v>
      </c>
      <c r="P877" t="n">
        <v>122.178</v>
      </c>
      <c r="Q877" t="n">
        <v>111.59</v>
      </c>
      <c r="R877" t="n">
        <v>107.49</v>
      </c>
      <c r="S877" t="n">
        <v>107.85</v>
      </c>
      <c r="T877" t="n">
        <v>123.2352</v>
      </c>
      <c r="U877" t="n">
        <v>113.652</v>
      </c>
      <c r="V877" t="n">
        <v>114.7</v>
      </c>
      <c r="W877" t="n">
        <v>104.8531</v>
      </c>
      <c r="X877" t="n">
        <v>122.0577</v>
      </c>
      <c r="Y877" t="n">
        <v>119.5161</v>
      </c>
      <c r="Z877" t="n">
        <v>138.1607</v>
      </c>
      <c r="AA877" t="n">
        <v>106.6534</v>
      </c>
      <c r="AB877" t="n">
        <v>120.3976</v>
      </c>
      <c r="AC877" t="n">
        <v>103.4274</v>
      </c>
      <c r="AD877" t="n">
        <v>106.6</v>
      </c>
      <c r="AE877" t="n">
        <v>101.9089</v>
      </c>
      <c r="AF877" t="n">
        <v>109.6764</v>
      </c>
      <c r="AG877" t="n">
        <v>123.0417</v>
      </c>
      <c r="AH877" t="n">
        <v>111.09</v>
      </c>
      <c r="AI877" t="n">
        <v>116.8443</v>
      </c>
      <c r="AJ877" t="n">
        <v>133.8299</v>
      </c>
      <c r="AK877" t="n">
        <v>114.01</v>
      </c>
      <c r="AL877" t="n">
        <v>118.9</v>
      </c>
      <c r="AM877" t="n">
        <v>117.8394</v>
      </c>
      <c r="AN877" t="n">
        <v>120.8338</v>
      </c>
      <c r="AO877" t="n">
        <v>119.0883</v>
      </c>
      <c r="AP877" t="n">
        <v>106.1907</v>
      </c>
      <c r="AQ877" t="n">
        <v>136.7413</v>
      </c>
      <c r="AR877" t="n">
        <v>108.9486</v>
      </c>
      <c r="AS877" t="n">
        <v>114.5858</v>
      </c>
      <c r="AT877" t="n">
        <v>109.3</v>
      </c>
      <c r="AU877" t="n">
        <v>112.4859</v>
      </c>
      <c r="AV877" t="n">
        <v>263.6184</v>
      </c>
      <c r="AW877" t="n">
        <v>117.6295</v>
      </c>
      <c r="AX877" t="n">
        <v>135.0287</v>
      </c>
    </row>
    <row r="878">
      <c r="A878" s="92" t="n">
        <v>44562</v>
      </c>
      <c r="B878" t="n">
        <v>113.8627</v>
      </c>
      <c r="C878" t="n">
        <v>117.2617</v>
      </c>
      <c r="D878" t="n">
        <v>142.7592</v>
      </c>
      <c r="E878" t="n">
        <v>114.8012</v>
      </c>
      <c r="F878" t="n">
        <v>101.9498</v>
      </c>
      <c r="G878" t="n">
        <v>126.1374</v>
      </c>
      <c r="H878" t="n">
        <v>113.6655</v>
      </c>
      <c r="I878" t="n">
        <v>132.3796</v>
      </c>
      <c r="J878" t="n">
        <v>111.5204</v>
      </c>
      <c r="K878" t="n">
        <v>124.6</v>
      </c>
      <c r="L878" t="n">
        <v>111.5186</v>
      </c>
      <c r="M878" t="n">
        <v>108.1</v>
      </c>
      <c r="N878" t="n">
        <v>110.7</v>
      </c>
      <c r="O878" t="n">
        <v>110.8717</v>
      </c>
      <c r="P878" t="n">
        <v>122.0754</v>
      </c>
      <c r="Q878" t="n">
        <v>112.2</v>
      </c>
      <c r="R878" t="n">
        <v>108.8</v>
      </c>
      <c r="S878" t="n">
        <v>108.12</v>
      </c>
      <c r="T878" t="n">
        <v>124.1983</v>
      </c>
      <c r="U878" t="n">
        <v>114.4162</v>
      </c>
      <c r="V878" t="n">
        <v>114.6</v>
      </c>
      <c r="W878" t="n">
        <v>104.5787</v>
      </c>
      <c r="X878" t="n">
        <v>123.7602</v>
      </c>
      <c r="Y878" t="n">
        <v>120.1822</v>
      </c>
      <c r="Z878" t="n">
        <v>137.8302</v>
      </c>
      <c r="AA878" t="n">
        <v>106.2547</v>
      </c>
      <c r="AB878" t="n">
        <v>120.9887</v>
      </c>
      <c r="AC878" t="n">
        <v>103.629</v>
      </c>
      <c r="AD878" t="n">
        <v>108.3</v>
      </c>
      <c r="AE878" t="n">
        <v>102.1125</v>
      </c>
      <c r="AF878" t="n">
        <v>110.3616</v>
      </c>
      <c r="AG878" t="n">
        <v>125.7127</v>
      </c>
      <c r="AH878" t="n">
        <v>111.22</v>
      </c>
      <c r="AI878" t="n">
        <v>116.8101</v>
      </c>
      <c r="AJ878" t="n">
        <v>134.6216</v>
      </c>
      <c r="AK878" t="n">
        <v>114.53</v>
      </c>
      <c r="AL878" t="n">
        <v>117.8</v>
      </c>
      <c r="AM878" t="n">
        <v>119.0916</v>
      </c>
      <c r="AN878" t="n">
        <v>122.6683</v>
      </c>
      <c r="AO878" t="n">
        <v>121.3675</v>
      </c>
      <c r="AP878" t="n">
        <v>106.4842</v>
      </c>
      <c r="AQ878" t="n">
        <v>138.095</v>
      </c>
      <c r="AR878" t="n">
        <v>109.1145</v>
      </c>
      <c r="AS878" t="n">
        <v>117.7425</v>
      </c>
      <c r="AT878" t="n">
        <v>109.73</v>
      </c>
      <c r="AU878" t="n">
        <v>111.8764</v>
      </c>
      <c r="AV878" t="n">
        <v>292.891</v>
      </c>
      <c r="AW878" t="n">
        <v>118.6193</v>
      </c>
      <c r="AX878" t="n">
        <v>135.2988</v>
      </c>
    </row>
    <row r="879">
      <c r="A879" s="92" t="n">
        <v>44593</v>
      </c>
      <c r="B879" t="n">
        <v>115.2684</v>
      </c>
      <c r="C879" t="n">
        <v>118.005</v>
      </c>
      <c r="D879" t="n">
        <v>144.2011</v>
      </c>
      <c r="E879" t="n">
        <v>115.9863</v>
      </c>
      <c r="F879" t="n">
        <v>102.6218</v>
      </c>
      <c r="G879" t="n">
        <v>126.497</v>
      </c>
      <c r="H879" t="n">
        <v>114.3347</v>
      </c>
      <c r="I879" t="n">
        <v>134.5426</v>
      </c>
      <c r="K879" t="n">
        <v>126.2</v>
      </c>
      <c r="L879" t="n">
        <v>112.5188</v>
      </c>
      <c r="M879" t="n">
        <v>109.2</v>
      </c>
      <c r="N879" t="n">
        <v>111.74</v>
      </c>
      <c r="O879" t="n">
        <v>111.7667</v>
      </c>
      <c r="P879" t="n">
        <v>123.8699</v>
      </c>
      <c r="Q879" t="n">
        <v>113.18</v>
      </c>
      <c r="R879" t="n">
        <v>109.36</v>
      </c>
      <c r="S879" t="n">
        <v>108.94</v>
      </c>
      <c r="T879" t="n">
        <v>125.2049</v>
      </c>
      <c r="U879" t="n">
        <v>115.3761</v>
      </c>
      <c r="V879" t="n">
        <v>115.4</v>
      </c>
      <c r="W879" t="n">
        <v>105.7458</v>
      </c>
      <c r="X879" t="n">
        <v>125.0925</v>
      </c>
      <c r="Y879" t="n">
        <v>120.16</v>
      </c>
      <c r="Z879" t="n">
        <v>137.72</v>
      </c>
      <c r="AA879" t="n">
        <v>107.2514</v>
      </c>
      <c r="AB879" t="n">
        <v>122.3963</v>
      </c>
      <c r="AC879" t="n">
        <v>104.3347</v>
      </c>
      <c r="AD879" t="n">
        <v>109.3</v>
      </c>
      <c r="AE879" t="n">
        <v>102.5197</v>
      </c>
      <c r="AF879" t="n">
        <v>111.0046</v>
      </c>
      <c r="AG879" t="n">
        <v>127.9733</v>
      </c>
      <c r="AH879" t="n">
        <v>113.64</v>
      </c>
      <c r="AI879" t="n">
        <v>118.7128</v>
      </c>
      <c r="AJ879" t="n">
        <v>135.7385</v>
      </c>
      <c r="AK879" t="n">
        <v>115.27</v>
      </c>
      <c r="AL879" t="n">
        <v>119.1</v>
      </c>
      <c r="AM879" t="n">
        <v>120.213</v>
      </c>
      <c r="AN879" t="n">
        <v>124.1032</v>
      </c>
      <c r="AO879" t="n">
        <v>121.0419</v>
      </c>
      <c r="AP879" t="n">
        <v>106.8734</v>
      </c>
      <c r="AQ879" t="n">
        <v>139.7107</v>
      </c>
      <c r="AR879" t="n">
        <v>109.4567</v>
      </c>
      <c r="AS879" t="n">
        <v>118.7459</v>
      </c>
      <c r="AT879" t="n">
        <v>111.24</v>
      </c>
      <c r="AU879" t="n">
        <v>112.8338</v>
      </c>
      <c r="AV879" t="n">
        <v>306.9747</v>
      </c>
      <c r="AW879" t="n">
        <v>119.7028</v>
      </c>
      <c r="AX879" t="n">
        <v>136.1089</v>
      </c>
    </row>
    <row r="880">
      <c r="A880" s="92" t="n">
        <v>44621</v>
      </c>
      <c r="B880" t="n">
        <v>117.6473</v>
      </c>
      <c r="C880" t="n">
        <v>118.6195</v>
      </c>
      <c r="D880" t="n">
        <v>146.5372</v>
      </c>
      <c r="E880" t="n">
        <v>117.6455</v>
      </c>
      <c r="F880" t="n">
        <v>103.205</v>
      </c>
      <c r="G880" t="n">
        <v>128.8504</v>
      </c>
      <c r="H880" t="n">
        <v>114.3347</v>
      </c>
      <c r="I880" t="n">
        <v>135.8824</v>
      </c>
      <c r="K880" t="n">
        <v>128.3</v>
      </c>
      <c r="L880" t="n">
        <v>115.3192</v>
      </c>
      <c r="M880" t="n">
        <v>109.9</v>
      </c>
      <c r="N880" t="n">
        <v>114.46</v>
      </c>
      <c r="O880" t="n">
        <v>115.1527</v>
      </c>
      <c r="P880" t="n">
        <v>127.1512</v>
      </c>
      <c r="Q880" t="n">
        <v>115.87</v>
      </c>
      <c r="R880" t="n">
        <v>110.95</v>
      </c>
      <c r="S880" t="n">
        <v>110.49</v>
      </c>
      <c r="T880" t="n">
        <v>127.1038</v>
      </c>
      <c r="U880" t="n">
        <v>116.8844</v>
      </c>
      <c r="V880" t="n">
        <v>116.5</v>
      </c>
      <c r="W880" t="n">
        <v>108.6512</v>
      </c>
      <c r="X880" t="n">
        <v>126.3509</v>
      </c>
      <c r="Y880" t="n">
        <v>120.9482</v>
      </c>
      <c r="Z880" t="n">
        <v>138.8218</v>
      </c>
      <c r="AA880" t="n">
        <v>109.245</v>
      </c>
      <c r="AB880" t="n">
        <v>123.5553</v>
      </c>
      <c r="AC880" t="n">
        <v>104.9395</v>
      </c>
      <c r="AD880" t="n">
        <v>110.4</v>
      </c>
      <c r="AE880" t="n">
        <v>102.927</v>
      </c>
      <c r="AF880" t="n">
        <v>111.8058</v>
      </c>
      <c r="AG880" t="n">
        <v>130.981</v>
      </c>
      <c r="AH880" t="n">
        <v>114.78</v>
      </c>
      <c r="AI880" t="n">
        <v>122.6502</v>
      </c>
      <c r="AJ880" t="n">
        <v>137.0824</v>
      </c>
      <c r="AK880" t="n">
        <v>119.46</v>
      </c>
      <c r="AL880" t="n">
        <v>119.8</v>
      </c>
      <c r="AM880" t="n">
        <v>122.0396</v>
      </c>
      <c r="AN880" t="n">
        <v>126.8478</v>
      </c>
      <c r="AO880" t="n">
        <v>125.0305</v>
      </c>
      <c r="AP880" t="n">
        <v>109.5594</v>
      </c>
      <c r="AQ880" t="n">
        <v>150.347</v>
      </c>
      <c r="AR880" t="n">
        <v>109.7574</v>
      </c>
      <c r="AS880" t="n">
        <v>120.8259</v>
      </c>
      <c r="AT880" t="n">
        <v>110.01</v>
      </c>
      <c r="AU880" t="n">
        <v>114.8252</v>
      </c>
      <c r="AV880" t="n">
        <v>323.7485</v>
      </c>
      <c r="AW880" t="n">
        <v>121.301</v>
      </c>
      <c r="AX880" t="n">
        <v>137.5942</v>
      </c>
    </row>
    <row r="881">
      <c r="A881" s="92" t="n">
        <v>44652</v>
      </c>
      <c r="B881" t="n">
        <v>117.9717</v>
      </c>
      <c r="C881" t="n">
        <v>119.0159</v>
      </c>
      <c r="D881" t="n">
        <v>148.0906</v>
      </c>
      <c r="E881" t="n">
        <v>118.3566</v>
      </c>
      <c r="F881" t="n">
        <v>103.5838</v>
      </c>
      <c r="G881" t="n">
        <v>130.6482</v>
      </c>
      <c r="H881" t="n">
        <v>114.7809</v>
      </c>
      <c r="I881" t="n">
        <v>137.5767</v>
      </c>
      <c r="K881" t="n">
        <v>130.6</v>
      </c>
      <c r="L881" t="n">
        <v>116.2194</v>
      </c>
      <c r="M881" t="n">
        <v>111.7</v>
      </c>
      <c r="N881" t="n">
        <v>115.11</v>
      </c>
      <c r="O881" t="n">
        <v>114.9483</v>
      </c>
      <c r="P881" t="n">
        <v>131.7143</v>
      </c>
      <c r="Q881" t="n">
        <v>116.83</v>
      </c>
      <c r="R881" t="n">
        <v>111.3</v>
      </c>
      <c r="S881" t="n">
        <v>110.97</v>
      </c>
      <c r="T881" t="n">
        <v>128.3963</v>
      </c>
      <c r="U881" t="n">
        <v>117.6202</v>
      </c>
      <c r="V881" t="n">
        <v>119</v>
      </c>
      <c r="W881" t="n">
        <v>110.9716</v>
      </c>
      <c r="X881" t="n">
        <v>128.3494</v>
      </c>
      <c r="Y881" t="n">
        <v>122.0916</v>
      </c>
      <c r="Z881" t="n">
        <v>140.6947</v>
      </c>
      <c r="AA881" t="n">
        <v>110.2417</v>
      </c>
      <c r="AB881" t="n">
        <v>125.0757</v>
      </c>
      <c r="AC881" t="n">
        <v>105.746</v>
      </c>
      <c r="AD881" t="n">
        <v>110.3</v>
      </c>
      <c r="AE881" t="n">
        <v>103.3342</v>
      </c>
      <c r="AF881" t="n">
        <v>112.6386</v>
      </c>
      <c r="AG881" t="n">
        <v>133.4713</v>
      </c>
      <c r="AH881" t="n">
        <v>115.72</v>
      </c>
      <c r="AI881" t="n">
        <v>125.3879</v>
      </c>
      <c r="AJ881" t="n">
        <v>137.824</v>
      </c>
      <c r="AK881" t="n">
        <v>119.81</v>
      </c>
      <c r="AL881" t="n">
        <v>121.2</v>
      </c>
      <c r="AM881" t="n">
        <v>123.2203</v>
      </c>
      <c r="AN881" t="n">
        <v>128.8343</v>
      </c>
      <c r="AO881" t="n">
        <v>127.5539</v>
      </c>
      <c r="AP881" t="n">
        <v>111.9707</v>
      </c>
      <c r="AR881" t="n">
        <v>110.2241</v>
      </c>
      <c r="AS881" t="n">
        <v>122.5389</v>
      </c>
      <c r="AT881" t="n">
        <v>112.83</v>
      </c>
      <c r="AU881" t="n">
        <v>115.5337</v>
      </c>
      <c r="AV881" t="n">
        <v>347.2149</v>
      </c>
      <c r="AW881" t="n">
        <v>121.9782</v>
      </c>
      <c r="AX881" t="n">
        <v>138.4044</v>
      </c>
    </row>
    <row r="882">
      <c r="A882" s="92" t="n">
        <v>44682</v>
      </c>
      <c r="B882" t="n">
        <v>118.9449</v>
      </c>
      <c r="C882" t="n">
        <v>119.9277</v>
      </c>
      <c r="D882" t="n">
        <v>148.7866</v>
      </c>
      <c r="E882" t="n">
        <v>120.0158</v>
      </c>
      <c r="F882" t="n">
        <v>104.2572</v>
      </c>
      <c r="G882" t="n">
        <v>132.2171</v>
      </c>
      <c r="H882" t="n">
        <v>114.5578</v>
      </c>
      <c r="I882" t="n">
        <v>138.7389</v>
      </c>
      <c r="K882" t="n">
        <v>132.9</v>
      </c>
      <c r="L882" t="n">
        <v>117.3195</v>
      </c>
      <c r="M882" t="n">
        <v>112.7</v>
      </c>
      <c r="N882" t="n">
        <v>116.07</v>
      </c>
      <c r="O882" t="n">
        <v>115.8978</v>
      </c>
      <c r="P882" t="n">
        <v>134.2266</v>
      </c>
      <c r="Q882" t="n">
        <v>117.95</v>
      </c>
      <c r="R882" t="n">
        <v>112.76</v>
      </c>
      <c r="S882" t="n">
        <v>111.72</v>
      </c>
      <c r="T882" t="n">
        <v>129.3823</v>
      </c>
      <c r="U882" t="n">
        <v>118.7255</v>
      </c>
      <c r="V882" t="n">
        <v>119.7</v>
      </c>
      <c r="W882" t="n">
        <v>111.6983</v>
      </c>
      <c r="X882" t="n">
        <v>130.4959</v>
      </c>
      <c r="Y882" t="n">
        <v>122.58</v>
      </c>
      <c r="Z882" t="n">
        <v>142.127</v>
      </c>
      <c r="AA882" t="n">
        <v>111.2385</v>
      </c>
      <c r="AB882" t="n">
        <v>126.0421</v>
      </c>
      <c r="AC882" t="n">
        <v>106.3508</v>
      </c>
      <c r="AD882" t="n">
        <v>111.2</v>
      </c>
      <c r="AF882" t="n">
        <v>113.3871</v>
      </c>
      <c r="AG882" t="n">
        <v>136.5965</v>
      </c>
      <c r="AH882" t="n">
        <v>115.87</v>
      </c>
      <c r="AI882" t="n">
        <v>130.3442</v>
      </c>
      <c r="AJ882" t="n">
        <v>138.067</v>
      </c>
      <c r="AK882" t="n">
        <v>119.05</v>
      </c>
      <c r="AL882" t="n">
        <v>121.5</v>
      </c>
      <c r="AM882" t="n">
        <v>124.4118</v>
      </c>
      <c r="AN882" t="n">
        <v>130.2352</v>
      </c>
      <c r="AO882" t="n">
        <v>129.7517</v>
      </c>
      <c r="AP882" t="n">
        <v>113.0674</v>
      </c>
      <c r="AR882" t="n">
        <v>110.3589</v>
      </c>
      <c r="AS882" t="n">
        <v>124.4966</v>
      </c>
      <c r="AT882" t="n">
        <v>115.12</v>
      </c>
      <c r="AU882" t="n">
        <v>116.7464</v>
      </c>
      <c r="AV882" t="n">
        <v>357.5647</v>
      </c>
      <c r="AW882" t="n">
        <v>123.3228</v>
      </c>
      <c r="AX882" t="n">
        <v>139.3496</v>
      </c>
    </row>
    <row r="883">
      <c r="A883" s="92" t="n">
        <v>44713</v>
      </c>
      <c r="B883" t="n">
        <v>120.5668</v>
      </c>
      <c r="C883" t="n">
        <v>120.9484</v>
      </c>
      <c r="D883" t="n">
        <v>149.7836</v>
      </c>
      <c r="E883" t="n">
        <v>120.8059</v>
      </c>
      <c r="F883" t="n">
        <v>104.7828</v>
      </c>
      <c r="G883" t="n">
        <v>133.4483</v>
      </c>
      <c r="H883" t="n">
        <v>114.5578</v>
      </c>
      <c r="I883" t="n">
        <v>139.4425</v>
      </c>
      <c r="K883" t="n">
        <v>135</v>
      </c>
      <c r="L883" t="n">
        <v>117.4196</v>
      </c>
      <c r="M883" t="n">
        <v>113.6</v>
      </c>
      <c r="N883" t="n">
        <v>117.01</v>
      </c>
      <c r="O883" t="n">
        <v>118.0443</v>
      </c>
      <c r="P883" t="n">
        <v>137.8668</v>
      </c>
      <c r="Q883" t="n">
        <v>119.03</v>
      </c>
      <c r="R883" t="n">
        <v>113.57</v>
      </c>
      <c r="S883" t="n">
        <v>112.55</v>
      </c>
      <c r="T883" t="n">
        <v>130.4595</v>
      </c>
      <c r="U883" t="n">
        <v>119.8986</v>
      </c>
      <c r="V883" t="n">
        <v>120.5</v>
      </c>
      <c r="W883" t="n">
        <v>113.5169</v>
      </c>
      <c r="X883" t="n">
        <v>132.4204</v>
      </c>
      <c r="Y883" t="n">
        <v>123.3238</v>
      </c>
      <c r="Z883" t="n">
        <v>142.3474</v>
      </c>
      <c r="AA883" t="n">
        <v>112.7336</v>
      </c>
      <c r="AB883" t="n">
        <v>127.809</v>
      </c>
      <c r="AC883" t="n">
        <v>106.754</v>
      </c>
      <c r="AD883" t="n">
        <v>112.5</v>
      </c>
      <c r="AF883" t="n">
        <v>114.0828</v>
      </c>
      <c r="AG883" t="n">
        <v>139.7608</v>
      </c>
      <c r="AH883" t="n">
        <v>116.75</v>
      </c>
      <c r="AI883" t="n">
        <v>133.5006</v>
      </c>
      <c r="AJ883" t="n">
        <v>139.2329</v>
      </c>
      <c r="AK883" t="n">
        <v>119.05</v>
      </c>
      <c r="AL883" t="n">
        <v>122.6</v>
      </c>
      <c r="AM883" t="n">
        <v>125.8337</v>
      </c>
      <c r="AN883" t="n">
        <v>131.9588</v>
      </c>
      <c r="AO883" t="n">
        <v>131.7053</v>
      </c>
      <c r="AP883" t="n">
        <v>114.0029</v>
      </c>
      <c r="AR883" t="n">
        <v>110.6078</v>
      </c>
      <c r="AS883" t="n">
        <v>125.9648</v>
      </c>
      <c r="AT883" t="n">
        <v>118.27</v>
      </c>
      <c r="AU883" t="n">
        <v>118.3836</v>
      </c>
      <c r="AV883" t="n">
        <v>375.271</v>
      </c>
      <c r="AW883" t="n">
        <v>125.0168</v>
      </c>
      <c r="AX883" t="n">
        <v>140.8349</v>
      </c>
    </row>
    <row r="884">
      <c r="A884" s="92" t="n">
        <v>44743</v>
      </c>
      <c r="B884" t="n">
        <v>121.7563</v>
      </c>
      <c r="C884" t="n">
        <v>121.9494</v>
      </c>
      <c r="D884" t="n">
        <v>148.765</v>
      </c>
      <c r="E884" t="n">
        <v>120.9639</v>
      </c>
      <c r="F884" t="n">
        <v>104.7431</v>
      </c>
      <c r="G884" t="n">
        <v>135.2788</v>
      </c>
      <c r="H884" t="n">
        <v>115.1156</v>
      </c>
      <c r="I884" t="n">
        <v>140.5743</v>
      </c>
      <c r="K884" t="n">
        <v>136.8</v>
      </c>
      <c r="L884" t="n">
        <v>118.4197</v>
      </c>
      <c r="M884" t="n">
        <v>114.9</v>
      </c>
      <c r="N884" t="n">
        <v>117.14</v>
      </c>
      <c r="O884" t="n">
        <v>117.7434</v>
      </c>
      <c r="P884" t="n">
        <v>140.534</v>
      </c>
      <c r="Q884" t="n">
        <v>119.31</v>
      </c>
      <c r="R884" t="n">
        <v>113.94</v>
      </c>
      <c r="S884" t="n">
        <v>112.87</v>
      </c>
      <c r="T884" t="n">
        <v>131.0097</v>
      </c>
      <c r="U884" t="n">
        <v>120.1465</v>
      </c>
      <c r="V884" t="n">
        <v>121.2</v>
      </c>
      <c r="W884" t="n">
        <v>111.4391</v>
      </c>
      <c r="X884" t="n">
        <v>135.5292</v>
      </c>
      <c r="Y884" t="n">
        <v>124.112</v>
      </c>
      <c r="Z884" t="n">
        <v>143.1186</v>
      </c>
      <c r="AA884" t="n">
        <v>113.232</v>
      </c>
      <c r="AB884" t="n">
        <v>129.3178</v>
      </c>
      <c r="AC884" t="n">
        <v>107.9637</v>
      </c>
      <c r="AD884" t="n">
        <v>113</v>
      </c>
      <c r="AF884" t="n">
        <v>114.631</v>
      </c>
      <c r="AG884" t="n">
        <v>141.4896</v>
      </c>
      <c r="AH884" t="n">
        <v>115.58</v>
      </c>
      <c r="AI884" t="n">
        <v>136.4238</v>
      </c>
      <c r="AJ884" t="n">
        <v>140.2642</v>
      </c>
      <c r="AK884" t="n">
        <v>121.57</v>
      </c>
      <c r="AL884" t="n">
        <v>124.2</v>
      </c>
      <c r="AM884" t="n">
        <v>126.3688</v>
      </c>
      <c r="AN884" t="n">
        <v>132.977</v>
      </c>
      <c r="AO884" t="n">
        <v>132.3565</v>
      </c>
      <c r="AP884" t="n">
        <v>113.9551</v>
      </c>
      <c r="AR884" t="n">
        <v>111.1678</v>
      </c>
      <c r="AS884" t="n">
        <v>127.0048</v>
      </c>
      <c r="AT884" t="n">
        <v>119.41</v>
      </c>
      <c r="AU884" t="n">
        <v>118.4889</v>
      </c>
      <c r="AV884" t="n">
        <v>384.1472</v>
      </c>
      <c r="AW884" t="n">
        <v>125.002</v>
      </c>
      <c r="AX884" t="n">
        <v>143.1304</v>
      </c>
    </row>
    <row r="885">
      <c r="A885" s="92" t="n">
        <v>44774</v>
      </c>
      <c r="B885" t="n">
        <v>121.7563</v>
      </c>
      <c r="C885" t="n">
        <v>122.9405</v>
      </c>
      <c r="D885" t="n">
        <v>148.2295</v>
      </c>
      <c r="E885" t="n">
        <v>120.5689</v>
      </c>
      <c r="F885" t="n">
        <v>105.0193</v>
      </c>
      <c r="G885" t="n">
        <v>136.924</v>
      </c>
      <c r="H885" t="n">
        <v>115.004</v>
      </c>
      <c r="I885" t="n">
        <v>142.0107</v>
      </c>
      <c r="K885" t="n">
        <v>137.4</v>
      </c>
      <c r="L885" t="n">
        <v>118.8198</v>
      </c>
      <c r="M885" t="n">
        <v>114.9</v>
      </c>
      <c r="N885" t="n">
        <v>117.85</v>
      </c>
      <c r="O885" t="n">
        <v>118.0421</v>
      </c>
      <c r="P885" t="n">
        <v>143.7629</v>
      </c>
      <c r="Q885" t="n">
        <v>120.1</v>
      </c>
      <c r="R885" t="n">
        <v>114.03</v>
      </c>
      <c r="S885" t="n">
        <v>113.38</v>
      </c>
      <c r="T885" t="n">
        <v>131.3578</v>
      </c>
      <c r="U885" t="n">
        <v>120.3168</v>
      </c>
      <c r="V885" t="n">
        <v>121.8</v>
      </c>
      <c r="W885" t="n">
        <v>111.1074</v>
      </c>
      <c r="X885" t="n">
        <v>137.9719</v>
      </c>
      <c r="Y885" t="n">
        <v>123.8567</v>
      </c>
      <c r="Z885" t="n">
        <v>143.4492</v>
      </c>
      <c r="AA885" t="n">
        <v>113.4314</v>
      </c>
      <c r="AB885" t="n">
        <v>129.682</v>
      </c>
      <c r="AC885" t="n">
        <v>107.6613</v>
      </c>
      <c r="AD885" t="n">
        <v>113.9</v>
      </c>
      <c r="AF885" t="n">
        <v>114.5045</v>
      </c>
      <c r="AG885" t="n">
        <v>142.9273</v>
      </c>
      <c r="AH885" t="n">
        <v>116.7</v>
      </c>
      <c r="AI885" t="n">
        <v>136.9766</v>
      </c>
      <c r="AJ885" t="n">
        <v>141.2396</v>
      </c>
      <c r="AK885" t="n">
        <v>123.95</v>
      </c>
      <c r="AL885" t="n">
        <v>123.9</v>
      </c>
      <c r="AM885" t="n">
        <v>126.7388</v>
      </c>
      <c r="AN885" t="n">
        <v>133.8396</v>
      </c>
      <c r="AO885" t="n">
        <v>133.4147</v>
      </c>
      <c r="AP885" t="n">
        <v>113.6058</v>
      </c>
      <c r="AR885" t="n">
        <v>111.5929</v>
      </c>
      <c r="AS885" t="n">
        <v>127.9837</v>
      </c>
      <c r="AT885" t="n">
        <v>119.44</v>
      </c>
      <c r="AU885" t="n">
        <v>120.5729</v>
      </c>
      <c r="AV885" t="n">
        <v>389.7577</v>
      </c>
      <c r="AW885" t="n">
        <v>124.9577</v>
      </c>
      <c r="AX885" t="n">
        <v>143.5355</v>
      </c>
    </row>
    <row r="886">
      <c r="A886" s="92" t="n">
        <v>44805</v>
      </c>
      <c r="AB886" t="n">
        <v>129.8096</v>
      </c>
    </row>
    <row r="887">
      <c r="A887" s="92" t="n">
        <v>44835</v>
      </c>
    </row>
    <row r="888">
      <c r="A888" s="92" t="n">
        <v>44866</v>
      </c>
    </row>
    <row r="889">
      <c r="A889" s="92" t="n">
        <v>44896</v>
      </c>
    </row>
    <row r="890">
      <c r="A890" s="92" t="n">
        <v>44927</v>
      </c>
    </row>
  </sheetData>
  <pageMargins left="0.7" right="0.7" top="0.75" bottom="0.75" header="0.3" footer="0.3"/>
</worksheet>
</file>

<file path=xl/worksheets/sheet3.xml><?xml version="1.0" encoding="utf-8"?>
<worksheet xmlns="http://schemas.openxmlformats.org/spreadsheetml/2006/main">
  <sheetPr codeName="Sheet7">
    <tabColor theme="1" tint="0.499984740745262"/>
    <outlinePr summaryBelow="1" summaryRight="1"/>
    <pageSetUpPr/>
  </sheetPr>
  <dimension ref="A1:AX890"/>
  <sheetViews>
    <sheetView workbookViewId="0">
      <pane xSplit="1" ySplit="1" topLeftCell="B850" activePane="bottomRight" state="frozen"/>
      <selection activeCell="M12" sqref="M12"/>
      <selection pane="topRight" activeCell="M12" sqref="M12"/>
      <selection pane="bottomLeft" activeCell="M12" sqref="M12"/>
      <selection pane="bottomRight" activeCell="M12" sqref="M12"/>
    </sheetView>
  </sheetViews>
  <sheetFormatPr baseColWidth="10" defaultColWidth="9.1640625" defaultRowHeight="15"/>
  <cols>
    <col width="11.1640625" customWidth="1" style="78" min="1" max="1"/>
    <col width="9.1640625" customWidth="1" style="78" min="2" max="4"/>
    <col width="10.6640625" bestFit="1" customWidth="1" style="78" min="5" max="5"/>
    <col width="9.1640625" customWidth="1" style="78" min="6" max="15"/>
    <col width="9.1640625" customWidth="1" style="78" min="16" max="16384"/>
  </cols>
  <sheetData>
    <row r="1">
      <c r="A1" t="inlineStr">
        <is>
          <t>DATE</t>
        </is>
      </c>
      <c r="B1" t="inlineStr">
        <is>
          <t>AUT</t>
        </is>
      </c>
      <c r="C1" t="inlineStr">
        <is>
          <t>BEL</t>
        </is>
      </c>
      <c r="D1" t="inlineStr">
        <is>
          <t>BRA</t>
        </is>
      </c>
      <c r="E1" t="inlineStr">
        <is>
          <t>CAN</t>
        </is>
      </c>
      <c r="F1" t="inlineStr">
        <is>
          <t>CHE</t>
        </is>
      </c>
      <c r="G1" t="inlineStr">
        <is>
          <t>CHL</t>
        </is>
      </c>
      <c r="H1" t="inlineStr">
        <is>
          <t>CHN</t>
        </is>
      </c>
      <c r="I1" t="inlineStr">
        <is>
          <t>COL</t>
        </is>
      </c>
      <c r="J1" t="inlineStr">
        <is>
          <t>CRI</t>
        </is>
      </c>
      <c r="K1" t="inlineStr">
        <is>
          <t>CZE</t>
        </is>
      </c>
      <c r="L1" t="inlineStr">
        <is>
          <t>DEU</t>
        </is>
      </c>
      <c r="M1" t="inlineStr">
        <is>
          <t>DNK</t>
        </is>
      </c>
      <c r="N1" t="inlineStr">
        <is>
          <t>EA19</t>
        </is>
      </c>
      <c r="O1" t="inlineStr">
        <is>
          <t>ESP</t>
        </is>
      </c>
      <c r="P1" t="inlineStr">
        <is>
          <t>EST</t>
        </is>
      </c>
      <c r="Q1" t="inlineStr">
        <is>
          <t>EU27_2020</t>
        </is>
      </c>
      <c r="R1" t="inlineStr">
        <is>
          <t>FIN</t>
        </is>
      </c>
      <c r="S1" t="inlineStr">
        <is>
          <t>FRA</t>
        </is>
      </c>
      <c r="T1" t="inlineStr">
        <is>
          <t>G-20</t>
        </is>
      </c>
      <c r="U1" t="inlineStr">
        <is>
          <t>G-7</t>
        </is>
      </c>
      <c r="V1" t="inlineStr">
        <is>
          <t>GBR</t>
        </is>
      </c>
      <c r="W1" t="inlineStr">
        <is>
          <t>GRC</t>
        </is>
      </c>
      <c r="X1" t="inlineStr">
        <is>
          <t>HUN</t>
        </is>
      </c>
      <c r="Y1" t="inlineStr">
        <is>
          <t>IDN</t>
        </is>
      </c>
      <c r="Z1" t="inlineStr">
        <is>
          <t>IND</t>
        </is>
      </c>
      <c r="AA1" t="inlineStr">
        <is>
          <t>IRL</t>
        </is>
      </c>
      <c r="AB1" t="inlineStr">
        <is>
          <t>ISL</t>
        </is>
      </c>
      <c r="AC1" t="inlineStr">
        <is>
          <t>ISR</t>
        </is>
      </c>
      <c r="AD1" t="inlineStr">
        <is>
          <t>ITA</t>
        </is>
      </c>
      <c r="AE1" t="inlineStr">
        <is>
          <t>JPN</t>
        </is>
      </c>
      <c r="AF1" t="inlineStr">
        <is>
          <t>KOR</t>
        </is>
      </c>
      <c r="AG1" t="inlineStr">
        <is>
          <t>LTU</t>
        </is>
      </c>
      <c r="AH1" t="inlineStr">
        <is>
          <t>LUX</t>
        </is>
      </c>
      <c r="AI1" t="inlineStr">
        <is>
          <t>LVA</t>
        </is>
      </c>
      <c r="AJ1" t="inlineStr">
        <is>
          <t>MEX</t>
        </is>
      </c>
      <c r="AK1" t="inlineStr">
        <is>
          <t>NLD</t>
        </is>
      </c>
      <c r="AL1" t="inlineStr">
        <is>
          <t>NOR</t>
        </is>
      </c>
      <c r="AM1" t="inlineStr">
        <is>
          <t>OECD</t>
        </is>
      </c>
      <c r="AN1" t="inlineStr">
        <is>
          <t>OECDE</t>
        </is>
      </c>
      <c r="AO1" t="inlineStr">
        <is>
          <t>POL</t>
        </is>
      </c>
      <c r="AP1" t="inlineStr">
        <is>
          <t>PRT</t>
        </is>
      </c>
      <c r="AQ1" t="inlineStr">
        <is>
          <t>RUS</t>
        </is>
      </c>
      <c r="AR1" t="inlineStr">
        <is>
          <t>SAU</t>
        </is>
      </c>
      <c r="AS1" t="inlineStr">
        <is>
          <t>SVK</t>
        </is>
      </c>
      <c r="AT1" t="inlineStr">
        <is>
          <t>SVN</t>
        </is>
      </c>
      <c r="AU1" t="inlineStr">
        <is>
          <t>SWE</t>
        </is>
      </c>
      <c r="AV1" t="inlineStr">
        <is>
          <t>TUR</t>
        </is>
      </c>
      <c r="AW1" t="inlineStr">
        <is>
          <t>USA</t>
        </is>
      </c>
      <c r="AX1" t="inlineStr">
        <is>
          <t>ZAF</t>
        </is>
      </c>
    </row>
    <row r="2">
      <c r="A2" s="92" t="n">
        <v>17899</v>
      </c>
      <c r="B2" t="n">
        <v/>
      </c>
      <c r="C2" t="n">
        <v/>
      </c>
      <c r="D2" t="n">
        <v/>
      </c>
      <c r="E2" t="n">
        <v/>
      </c>
      <c r="F2" t="n">
        <v/>
      </c>
      <c r="G2" t="n">
        <v/>
      </c>
      <c r="H2" t="n">
        <v/>
      </c>
      <c r="I2" t="n">
        <v/>
      </c>
      <c r="J2" t="n">
        <v/>
      </c>
      <c r="K2" t="n">
        <v/>
      </c>
      <c r="L2" t="n">
        <v/>
      </c>
      <c r="M2" t="n">
        <v/>
      </c>
      <c r="N2" t="n">
        <v/>
      </c>
      <c r="O2" t="n">
        <v/>
      </c>
      <c r="P2" t="n">
        <v/>
      </c>
      <c r="Q2" t="n">
        <v/>
      </c>
      <c r="R2" t="n">
        <v/>
      </c>
      <c r="S2" t="n">
        <v/>
      </c>
      <c r="T2" t="n">
        <v/>
      </c>
      <c r="U2" t="n">
        <v/>
      </c>
      <c r="V2" t="n">
        <v/>
      </c>
      <c r="W2" t="n">
        <v/>
      </c>
      <c r="X2" t="n">
        <v/>
      </c>
      <c r="Y2" t="n">
        <v/>
      </c>
      <c r="Z2" t="n">
        <v/>
      </c>
      <c r="AA2" t="n">
        <v/>
      </c>
      <c r="AB2" t="n">
        <v/>
      </c>
      <c r="AC2" t="n">
        <v/>
      </c>
      <c r="AD2" t="n">
        <v/>
      </c>
      <c r="AE2" t="n">
        <v/>
      </c>
      <c r="AF2" t="n">
        <v/>
      </c>
      <c r="AG2" t="n">
        <v/>
      </c>
      <c r="AH2" t="n">
        <v/>
      </c>
      <c r="AI2" t="n">
        <v/>
      </c>
      <c r="AJ2" t="n">
        <v/>
      </c>
      <c r="AK2" t="n">
        <v/>
      </c>
      <c r="AL2" t="n">
        <v/>
      </c>
      <c r="AM2" t="n">
        <v/>
      </c>
      <c r="AN2" t="n">
        <v/>
      </c>
      <c r="AO2" t="n">
        <v/>
      </c>
      <c r="AP2" t="n">
        <v/>
      </c>
      <c r="AQ2" t="n">
        <v/>
      </c>
      <c r="AR2" t="n">
        <v/>
      </c>
      <c r="AS2" t="n">
        <v/>
      </c>
      <c r="AT2" t="n">
        <v/>
      </c>
      <c r="AU2" t="n">
        <v/>
      </c>
      <c r="AV2" t="n">
        <v/>
      </c>
      <c r="AW2" t="n">
        <v/>
      </c>
      <c r="AX2" t="n">
        <v/>
      </c>
    </row>
    <row r="3">
      <c r="A3" s="92" t="n">
        <v>17930</v>
      </c>
      <c r="B3" t="n">
        <v/>
      </c>
      <c r="C3" t="n">
        <v/>
      </c>
      <c r="D3" t="n">
        <v/>
      </c>
      <c r="E3" t="n">
        <v/>
      </c>
      <c r="F3" t="n">
        <v/>
      </c>
      <c r="G3" t="n">
        <v/>
      </c>
      <c r="H3" t="n">
        <v/>
      </c>
      <c r="I3" t="n">
        <v/>
      </c>
      <c r="J3" t="n">
        <v/>
      </c>
      <c r="K3" t="n">
        <v/>
      </c>
      <c r="L3" t="n">
        <v/>
      </c>
      <c r="M3" t="n">
        <v/>
      </c>
      <c r="N3" t="n">
        <v/>
      </c>
      <c r="O3" t="n">
        <v/>
      </c>
      <c r="P3" t="n">
        <v/>
      </c>
      <c r="Q3" t="n">
        <v/>
      </c>
      <c r="R3" t="n">
        <v/>
      </c>
      <c r="S3" t="n">
        <v/>
      </c>
      <c r="T3" t="n">
        <v/>
      </c>
      <c r="U3" t="n">
        <v/>
      </c>
      <c r="V3" t="n">
        <v/>
      </c>
      <c r="W3" t="n">
        <v/>
      </c>
      <c r="X3" t="n">
        <v/>
      </c>
      <c r="Y3" t="n">
        <v/>
      </c>
      <c r="Z3" t="n">
        <v/>
      </c>
      <c r="AA3" t="n">
        <v/>
      </c>
      <c r="AB3" t="n">
        <v/>
      </c>
      <c r="AC3" t="n">
        <v/>
      </c>
      <c r="AD3" t="n">
        <v/>
      </c>
      <c r="AE3" t="n">
        <v/>
      </c>
      <c r="AF3" t="n">
        <v/>
      </c>
      <c r="AG3" t="n">
        <v/>
      </c>
      <c r="AH3" t="n">
        <v/>
      </c>
      <c r="AI3" t="n">
        <v/>
      </c>
      <c r="AJ3" t="n">
        <v/>
      </c>
      <c r="AK3" t="n">
        <v/>
      </c>
      <c r="AL3" t="n">
        <v/>
      </c>
      <c r="AM3" t="n">
        <v/>
      </c>
      <c r="AN3" t="n">
        <v/>
      </c>
      <c r="AO3" t="n">
        <v/>
      </c>
      <c r="AP3" t="n">
        <v/>
      </c>
      <c r="AQ3" t="n">
        <v/>
      </c>
      <c r="AR3" t="n">
        <v/>
      </c>
      <c r="AS3" t="n">
        <v/>
      </c>
      <c r="AT3" t="n">
        <v/>
      </c>
      <c r="AU3" t="n">
        <v/>
      </c>
      <c r="AV3" t="n">
        <v/>
      </c>
      <c r="AW3" t="n">
        <v/>
      </c>
      <c r="AX3" t="n">
        <v/>
      </c>
    </row>
    <row r="4">
      <c r="A4" s="92" t="n">
        <v>17958</v>
      </c>
      <c r="B4" t="n">
        <v/>
      </c>
      <c r="C4" t="n">
        <v/>
      </c>
      <c r="D4" t="n">
        <v/>
      </c>
      <c r="E4" t="n">
        <v/>
      </c>
      <c r="F4" t="n">
        <v/>
      </c>
      <c r="G4" t="n">
        <v/>
      </c>
      <c r="H4" t="n">
        <v/>
      </c>
      <c r="I4" t="n">
        <v/>
      </c>
      <c r="J4" t="n">
        <v/>
      </c>
      <c r="K4" t="n">
        <v/>
      </c>
      <c r="L4" t="n">
        <v/>
      </c>
      <c r="M4" t="n">
        <v/>
      </c>
      <c r="N4" t="n">
        <v/>
      </c>
      <c r="O4" t="n">
        <v/>
      </c>
      <c r="P4" t="n">
        <v/>
      </c>
      <c r="Q4" t="n">
        <v/>
      </c>
      <c r="R4" t="n">
        <v/>
      </c>
      <c r="S4" t="n">
        <v/>
      </c>
      <c r="T4" t="n">
        <v/>
      </c>
      <c r="U4" t="n">
        <v/>
      </c>
      <c r="V4" t="n">
        <v/>
      </c>
      <c r="W4" t="n">
        <v/>
      </c>
      <c r="X4" t="n">
        <v/>
      </c>
      <c r="Y4" t="n">
        <v/>
      </c>
      <c r="Z4" t="n">
        <v/>
      </c>
      <c r="AA4" t="n">
        <v/>
      </c>
      <c r="AB4" t="n">
        <v/>
      </c>
      <c r="AC4" t="n">
        <v/>
      </c>
      <c r="AD4" t="n">
        <v/>
      </c>
      <c r="AE4" t="n">
        <v/>
      </c>
      <c r="AF4" t="n">
        <v/>
      </c>
      <c r="AG4" t="n">
        <v/>
      </c>
      <c r="AH4" t="n">
        <v/>
      </c>
      <c r="AI4" t="n">
        <v/>
      </c>
      <c r="AJ4" t="n">
        <v/>
      </c>
      <c r="AK4" t="n">
        <v/>
      </c>
      <c r="AL4" t="n">
        <v/>
      </c>
      <c r="AM4" t="n">
        <v/>
      </c>
      <c r="AN4" t="n">
        <v/>
      </c>
      <c r="AO4" t="n">
        <v/>
      </c>
      <c r="AP4" t="n">
        <v/>
      </c>
      <c r="AQ4" t="n">
        <v/>
      </c>
      <c r="AR4" t="n">
        <v/>
      </c>
      <c r="AS4" t="n">
        <v/>
      </c>
      <c r="AT4" t="n">
        <v/>
      </c>
      <c r="AU4" t="n">
        <v/>
      </c>
      <c r="AV4" t="n">
        <v/>
      </c>
      <c r="AW4" t="n">
        <v/>
      </c>
      <c r="AX4" t="n">
        <v/>
      </c>
    </row>
    <row r="5">
      <c r="A5" s="92" t="n">
        <v>17989</v>
      </c>
      <c r="B5" t="n">
        <v/>
      </c>
      <c r="C5" t="n">
        <v/>
      </c>
      <c r="D5" t="n">
        <v/>
      </c>
      <c r="E5" t="n">
        <v/>
      </c>
      <c r="F5" t="n">
        <v/>
      </c>
      <c r="G5" t="n">
        <v/>
      </c>
      <c r="H5" t="n">
        <v/>
      </c>
      <c r="I5" t="n">
        <v/>
      </c>
      <c r="J5" t="n">
        <v/>
      </c>
      <c r="K5" t="n">
        <v/>
      </c>
      <c r="L5" t="n">
        <v/>
      </c>
      <c r="M5" t="n">
        <v/>
      </c>
      <c r="N5" t="n">
        <v/>
      </c>
      <c r="O5" t="n">
        <v/>
      </c>
      <c r="P5" t="n">
        <v/>
      </c>
      <c r="Q5" t="n">
        <v/>
      </c>
      <c r="R5" t="n">
        <v/>
      </c>
      <c r="S5" t="n">
        <v/>
      </c>
      <c r="T5" t="n">
        <v/>
      </c>
      <c r="U5" t="n">
        <v/>
      </c>
      <c r="V5" t="n">
        <v/>
      </c>
      <c r="W5" t="n">
        <v/>
      </c>
      <c r="X5" t="n">
        <v/>
      </c>
      <c r="Y5" t="n">
        <v/>
      </c>
      <c r="Z5" t="n">
        <v/>
      </c>
      <c r="AA5" t="n">
        <v/>
      </c>
      <c r="AB5" t="n">
        <v/>
      </c>
      <c r="AC5" t="n">
        <v/>
      </c>
      <c r="AD5" t="n">
        <v/>
      </c>
      <c r="AE5" t="n">
        <v/>
      </c>
      <c r="AF5" t="n">
        <v/>
      </c>
      <c r="AG5" t="n">
        <v/>
      </c>
      <c r="AH5" t="n">
        <v/>
      </c>
      <c r="AI5" t="n">
        <v/>
      </c>
      <c r="AJ5" t="n">
        <v/>
      </c>
      <c r="AK5" t="n">
        <v/>
      </c>
      <c r="AL5" t="n">
        <v/>
      </c>
      <c r="AM5" t="n">
        <v/>
      </c>
      <c r="AN5" t="n">
        <v/>
      </c>
      <c r="AO5" t="n">
        <v/>
      </c>
      <c r="AP5" t="n">
        <v/>
      </c>
      <c r="AQ5" t="n">
        <v/>
      </c>
      <c r="AR5" t="n">
        <v/>
      </c>
      <c r="AS5" t="n">
        <v/>
      </c>
      <c r="AT5" t="n">
        <v/>
      </c>
      <c r="AU5" t="n">
        <v/>
      </c>
      <c r="AV5" t="n">
        <v/>
      </c>
      <c r="AW5" t="n">
        <v/>
      </c>
      <c r="AX5" t="n">
        <v/>
      </c>
    </row>
    <row r="6">
      <c r="A6" s="92" t="n">
        <v>18019</v>
      </c>
      <c r="B6" t="n">
        <v/>
      </c>
      <c r="C6" t="n">
        <v/>
      </c>
      <c r="D6" t="n">
        <v/>
      </c>
      <c r="E6" t="n">
        <v/>
      </c>
      <c r="F6" t="n">
        <v/>
      </c>
      <c r="G6" t="n">
        <v/>
      </c>
      <c r="H6" t="n">
        <v/>
      </c>
      <c r="I6" t="n">
        <v/>
      </c>
      <c r="J6" t="n">
        <v/>
      </c>
      <c r="K6" t="n">
        <v/>
      </c>
      <c r="L6" t="n">
        <v/>
      </c>
      <c r="M6" t="n">
        <v/>
      </c>
      <c r="N6" t="n">
        <v/>
      </c>
      <c r="O6" t="n">
        <v/>
      </c>
      <c r="P6" t="n">
        <v/>
      </c>
      <c r="Q6" t="n">
        <v/>
      </c>
      <c r="R6" t="n">
        <v/>
      </c>
      <c r="S6" t="n">
        <v/>
      </c>
      <c r="T6" t="n">
        <v/>
      </c>
      <c r="U6" t="n">
        <v/>
      </c>
      <c r="V6" t="n">
        <v/>
      </c>
      <c r="W6" t="n">
        <v/>
      </c>
      <c r="X6" t="n">
        <v/>
      </c>
      <c r="Y6" t="n">
        <v/>
      </c>
      <c r="Z6" t="n">
        <v/>
      </c>
      <c r="AA6" t="n">
        <v/>
      </c>
      <c r="AB6" t="n">
        <v/>
      </c>
      <c r="AC6" t="n">
        <v/>
      </c>
      <c r="AD6" t="n">
        <v/>
      </c>
      <c r="AE6" t="n">
        <v/>
      </c>
      <c r="AF6" t="n">
        <v/>
      </c>
      <c r="AG6" t="n">
        <v/>
      </c>
      <c r="AH6" t="n">
        <v/>
      </c>
      <c r="AI6" t="n">
        <v/>
      </c>
      <c r="AJ6" t="n">
        <v/>
      </c>
      <c r="AK6" t="n">
        <v/>
      </c>
      <c r="AL6" t="n">
        <v/>
      </c>
      <c r="AM6" t="n">
        <v/>
      </c>
      <c r="AN6" t="n">
        <v/>
      </c>
      <c r="AO6" t="n">
        <v/>
      </c>
      <c r="AP6" t="n">
        <v/>
      </c>
      <c r="AQ6" t="n">
        <v/>
      </c>
      <c r="AR6" t="n">
        <v/>
      </c>
      <c r="AS6" t="n">
        <v/>
      </c>
      <c r="AT6" t="n">
        <v/>
      </c>
      <c r="AU6" t="n">
        <v/>
      </c>
      <c r="AV6" t="n">
        <v/>
      </c>
      <c r="AW6" t="n">
        <v/>
      </c>
      <c r="AX6" t="n">
        <v/>
      </c>
    </row>
    <row r="7">
      <c r="A7" s="92" t="n">
        <v>18050</v>
      </c>
      <c r="B7" t="n">
        <v/>
      </c>
      <c r="C7" t="n">
        <v/>
      </c>
      <c r="D7" t="n">
        <v/>
      </c>
      <c r="E7" t="n">
        <v/>
      </c>
      <c r="F7" t="n">
        <v/>
      </c>
      <c r="G7" t="n">
        <v/>
      </c>
      <c r="H7" t="n">
        <v/>
      </c>
      <c r="I7" t="n">
        <v/>
      </c>
      <c r="J7" t="n">
        <v/>
      </c>
      <c r="K7" t="n">
        <v/>
      </c>
      <c r="L7" t="n">
        <v/>
      </c>
      <c r="M7" t="n">
        <v/>
      </c>
      <c r="N7" t="n">
        <v/>
      </c>
      <c r="O7" t="n">
        <v/>
      </c>
      <c r="P7" t="n">
        <v/>
      </c>
      <c r="Q7" t="n">
        <v/>
      </c>
      <c r="R7" t="n">
        <v/>
      </c>
      <c r="S7" t="n">
        <v/>
      </c>
      <c r="T7" t="n">
        <v/>
      </c>
      <c r="U7" t="n">
        <v/>
      </c>
      <c r="V7" t="n">
        <v/>
      </c>
      <c r="W7" t="n">
        <v/>
      </c>
      <c r="X7" t="n">
        <v/>
      </c>
      <c r="Y7" t="n">
        <v/>
      </c>
      <c r="Z7" t="n">
        <v/>
      </c>
      <c r="AA7" t="n">
        <v/>
      </c>
      <c r="AB7" t="n">
        <v/>
      </c>
      <c r="AC7" t="n">
        <v/>
      </c>
      <c r="AD7" t="n">
        <v/>
      </c>
      <c r="AE7" t="n">
        <v/>
      </c>
      <c r="AF7" t="n">
        <v/>
      </c>
      <c r="AG7" t="n">
        <v/>
      </c>
      <c r="AH7" t="n">
        <v/>
      </c>
      <c r="AI7" t="n">
        <v/>
      </c>
      <c r="AJ7" t="n">
        <v/>
      </c>
      <c r="AK7" t="n">
        <v/>
      </c>
      <c r="AL7" t="n">
        <v/>
      </c>
      <c r="AM7" t="n">
        <v/>
      </c>
      <c r="AN7" t="n">
        <v/>
      </c>
      <c r="AO7" t="n">
        <v/>
      </c>
      <c r="AP7" t="n">
        <v/>
      </c>
      <c r="AQ7" t="n">
        <v/>
      </c>
      <c r="AR7" t="n">
        <v/>
      </c>
      <c r="AS7" t="n">
        <v/>
      </c>
      <c r="AT7" t="n">
        <v/>
      </c>
      <c r="AU7" t="n">
        <v/>
      </c>
      <c r="AV7" t="n">
        <v/>
      </c>
      <c r="AW7" t="n">
        <v/>
      </c>
      <c r="AX7" t="n">
        <v/>
      </c>
    </row>
    <row r="8">
      <c r="A8" s="92" t="n">
        <v>18080</v>
      </c>
      <c r="B8" t="n">
        <v/>
      </c>
      <c r="C8" t="n">
        <v/>
      </c>
      <c r="D8" t="n">
        <v/>
      </c>
      <c r="E8" t="n">
        <v/>
      </c>
      <c r="F8" t="n">
        <v/>
      </c>
      <c r="G8" t="n">
        <v/>
      </c>
      <c r="H8" t="n">
        <v/>
      </c>
      <c r="I8" t="n">
        <v/>
      </c>
      <c r="J8" t="n">
        <v/>
      </c>
      <c r="K8" t="n">
        <v/>
      </c>
      <c r="L8" t="n">
        <v/>
      </c>
      <c r="M8" t="n">
        <v/>
      </c>
      <c r="N8" t="n">
        <v/>
      </c>
      <c r="O8" t="n">
        <v/>
      </c>
      <c r="P8" t="n">
        <v/>
      </c>
      <c r="Q8" t="n">
        <v/>
      </c>
      <c r="R8" t="n">
        <v/>
      </c>
      <c r="S8" t="n">
        <v/>
      </c>
      <c r="T8" t="n">
        <v/>
      </c>
      <c r="U8" t="n">
        <v/>
      </c>
      <c r="V8" t="n">
        <v/>
      </c>
      <c r="W8" t="n">
        <v/>
      </c>
      <c r="X8" t="n">
        <v/>
      </c>
      <c r="Y8" t="n">
        <v/>
      </c>
      <c r="Z8" t="n">
        <v/>
      </c>
      <c r="AA8" t="n">
        <v/>
      </c>
      <c r="AB8" t="n">
        <v/>
      </c>
      <c r="AC8" t="n">
        <v/>
      </c>
      <c r="AD8" t="n">
        <v/>
      </c>
      <c r="AE8" t="n">
        <v/>
      </c>
      <c r="AF8" t="n">
        <v/>
      </c>
      <c r="AG8" t="n">
        <v/>
      </c>
      <c r="AH8" t="n">
        <v/>
      </c>
      <c r="AI8" t="n">
        <v/>
      </c>
      <c r="AJ8" t="n">
        <v/>
      </c>
      <c r="AK8" t="n">
        <v/>
      </c>
      <c r="AL8" t="n">
        <v/>
      </c>
      <c r="AM8" t="n">
        <v/>
      </c>
      <c r="AN8" t="n">
        <v/>
      </c>
      <c r="AO8" t="n">
        <v/>
      </c>
      <c r="AP8" t="n">
        <v/>
      </c>
      <c r="AQ8" t="n">
        <v/>
      </c>
      <c r="AR8" t="n">
        <v/>
      </c>
      <c r="AS8" t="n">
        <v/>
      </c>
      <c r="AT8" t="n">
        <v/>
      </c>
      <c r="AU8" t="n">
        <v/>
      </c>
      <c r="AV8" t="n">
        <v/>
      </c>
      <c r="AW8" t="n">
        <v/>
      </c>
      <c r="AX8" t="n">
        <v/>
      </c>
    </row>
    <row r="9">
      <c r="A9" s="92" t="n">
        <v>18111</v>
      </c>
      <c r="B9" t="n">
        <v/>
      </c>
      <c r="C9" t="n">
        <v/>
      </c>
      <c r="D9" t="n">
        <v/>
      </c>
      <c r="E9" t="n">
        <v/>
      </c>
      <c r="F9" t="n">
        <v/>
      </c>
      <c r="G9" t="n">
        <v/>
      </c>
      <c r="H9" t="n">
        <v/>
      </c>
      <c r="I9" t="n">
        <v/>
      </c>
      <c r="J9" t="n">
        <v/>
      </c>
      <c r="K9" t="n">
        <v/>
      </c>
      <c r="L9" t="n">
        <v/>
      </c>
      <c r="M9" t="n">
        <v/>
      </c>
      <c r="N9" t="n">
        <v/>
      </c>
      <c r="O9" t="n">
        <v/>
      </c>
      <c r="P9" t="n">
        <v/>
      </c>
      <c r="Q9" t="n">
        <v/>
      </c>
      <c r="R9" t="n">
        <v/>
      </c>
      <c r="S9" t="n">
        <v/>
      </c>
      <c r="T9" t="n">
        <v/>
      </c>
      <c r="U9" t="n">
        <v/>
      </c>
      <c r="V9" t="n">
        <v/>
      </c>
      <c r="W9" t="n">
        <v/>
      </c>
      <c r="X9" t="n">
        <v/>
      </c>
      <c r="Y9" t="n">
        <v/>
      </c>
      <c r="Z9" t="n">
        <v/>
      </c>
      <c r="AA9" t="n">
        <v/>
      </c>
      <c r="AB9" t="n">
        <v/>
      </c>
      <c r="AC9" t="n">
        <v/>
      </c>
      <c r="AD9" t="n">
        <v/>
      </c>
      <c r="AE9" t="n">
        <v/>
      </c>
      <c r="AF9" t="n">
        <v/>
      </c>
      <c r="AG9" t="n">
        <v/>
      </c>
      <c r="AH9" t="n">
        <v/>
      </c>
      <c r="AI9" t="n">
        <v/>
      </c>
      <c r="AJ9" t="n">
        <v/>
      </c>
      <c r="AK9" t="n">
        <v/>
      </c>
      <c r="AL9" t="n">
        <v/>
      </c>
      <c r="AM9" t="n">
        <v/>
      </c>
      <c r="AN9" t="n">
        <v/>
      </c>
      <c r="AO9" t="n">
        <v/>
      </c>
      <c r="AP9" t="n">
        <v/>
      </c>
      <c r="AQ9" t="n">
        <v/>
      </c>
      <c r="AR9" t="n">
        <v/>
      </c>
      <c r="AS9" t="n">
        <v/>
      </c>
      <c r="AT9" t="n">
        <v/>
      </c>
      <c r="AU9" t="n">
        <v/>
      </c>
      <c r="AV9" t="n">
        <v/>
      </c>
      <c r="AW9" t="n">
        <v/>
      </c>
      <c r="AX9" t="n">
        <v/>
      </c>
    </row>
    <row r="10">
      <c r="A10" s="92" t="n">
        <v>18142</v>
      </c>
      <c r="B10" t="n">
        <v/>
      </c>
      <c r="C10" t="n">
        <v/>
      </c>
      <c r="D10" t="n">
        <v/>
      </c>
      <c r="E10" t="n">
        <v/>
      </c>
      <c r="F10" t="n">
        <v/>
      </c>
      <c r="G10" t="n">
        <v/>
      </c>
      <c r="H10" t="n">
        <v/>
      </c>
      <c r="I10" t="n">
        <v/>
      </c>
      <c r="J10" t="n">
        <v/>
      </c>
      <c r="K10" t="n">
        <v/>
      </c>
      <c r="L10" t="n">
        <v/>
      </c>
      <c r="M10" t="n">
        <v/>
      </c>
      <c r="N10" t="n">
        <v/>
      </c>
      <c r="O10" t="n">
        <v/>
      </c>
      <c r="P10" t="n">
        <v/>
      </c>
      <c r="Q10" t="n">
        <v/>
      </c>
      <c r="R10" t="n">
        <v/>
      </c>
      <c r="S10" t="n">
        <v/>
      </c>
      <c r="T10" t="n">
        <v/>
      </c>
      <c r="U10" t="n">
        <v/>
      </c>
      <c r="V10" t="n">
        <v/>
      </c>
      <c r="W10" t="n">
        <v/>
      </c>
      <c r="X10" t="n">
        <v/>
      </c>
      <c r="Y10" t="n">
        <v/>
      </c>
      <c r="Z10" t="n">
        <v/>
      </c>
      <c r="AA10" t="n">
        <v/>
      </c>
      <c r="AB10" t="n">
        <v/>
      </c>
      <c r="AC10" t="n">
        <v/>
      </c>
      <c r="AD10" t="n">
        <v/>
      </c>
      <c r="AE10" t="n">
        <v/>
      </c>
      <c r="AF10" t="n">
        <v/>
      </c>
      <c r="AG10" t="n">
        <v/>
      </c>
      <c r="AH10" t="n">
        <v/>
      </c>
      <c r="AI10" t="n">
        <v/>
      </c>
      <c r="AJ10" t="n">
        <v/>
      </c>
      <c r="AK10" t="n">
        <v/>
      </c>
      <c r="AL10" t="n">
        <v/>
      </c>
      <c r="AM10" t="n">
        <v/>
      </c>
      <c r="AN10" t="n">
        <v/>
      </c>
      <c r="AO10" t="n">
        <v/>
      </c>
      <c r="AP10" t="n">
        <v/>
      </c>
      <c r="AQ10" t="n">
        <v/>
      </c>
      <c r="AR10" t="n">
        <v/>
      </c>
      <c r="AS10" t="n">
        <v/>
      </c>
      <c r="AT10" t="n">
        <v/>
      </c>
      <c r="AU10" t="n">
        <v/>
      </c>
      <c r="AV10" t="n">
        <v/>
      </c>
      <c r="AW10" t="n">
        <v/>
      </c>
      <c r="AX10" t="n">
        <v/>
      </c>
    </row>
    <row r="11">
      <c r="A11" s="92" t="n">
        <v>18172</v>
      </c>
      <c r="B11" t="n">
        <v/>
      </c>
      <c r="C11" t="n">
        <v/>
      </c>
      <c r="D11" t="n">
        <v/>
      </c>
      <c r="E11" t="n">
        <v/>
      </c>
      <c r="F11" t="n">
        <v/>
      </c>
      <c r="G11" t="n">
        <v/>
      </c>
      <c r="H11" t="n">
        <v/>
      </c>
      <c r="I11" t="n">
        <v/>
      </c>
      <c r="J11" t="n">
        <v/>
      </c>
      <c r="K11" t="n">
        <v/>
      </c>
      <c r="L11" t="n">
        <v/>
      </c>
      <c r="M11" t="n">
        <v/>
      </c>
      <c r="N11" t="n">
        <v/>
      </c>
      <c r="O11" t="n">
        <v/>
      </c>
      <c r="P11" t="n">
        <v/>
      </c>
      <c r="Q11" t="n">
        <v/>
      </c>
      <c r="R11" t="n">
        <v/>
      </c>
      <c r="S11" t="n">
        <v/>
      </c>
      <c r="T11" t="n">
        <v/>
      </c>
      <c r="U11" t="n">
        <v/>
      </c>
      <c r="V11" t="n">
        <v/>
      </c>
      <c r="W11" t="n">
        <v/>
      </c>
      <c r="X11" t="n">
        <v/>
      </c>
      <c r="Y11" t="n">
        <v/>
      </c>
      <c r="Z11" t="n">
        <v/>
      </c>
      <c r="AA11" t="n">
        <v/>
      </c>
      <c r="AB11" t="n">
        <v/>
      </c>
      <c r="AC11" t="n">
        <v/>
      </c>
      <c r="AD11" t="n">
        <v/>
      </c>
      <c r="AE11" t="n">
        <v/>
      </c>
      <c r="AF11" t="n">
        <v/>
      </c>
      <c r="AG11" t="n">
        <v/>
      </c>
      <c r="AH11" t="n">
        <v/>
      </c>
      <c r="AI11" t="n">
        <v/>
      </c>
      <c r="AJ11" t="n">
        <v/>
      </c>
      <c r="AK11" t="n">
        <v/>
      </c>
      <c r="AL11" t="n">
        <v/>
      </c>
      <c r="AM11" t="n">
        <v/>
      </c>
      <c r="AN11" t="n">
        <v/>
      </c>
      <c r="AO11" t="n">
        <v/>
      </c>
      <c r="AP11" t="n">
        <v/>
      </c>
      <c r="AQ11" t="n">
        <v/>
      </c>
      <c r="AR11" t="n">
        <v/>
      </c>
      <c r="AS11" t="n">
        <v/>
      </c>
      <c r="AT11" t="n">
        <v/>
      </c>
      <c r="AU11" t="n">
        <v/>
      </c>
      <c r="AV11" t="n">
        <v/>
      </c>
      <c r="AW11" t="n">
        <v/>
      </c>
      <c r="AX11" t="n">
        <v/>
      </c>
    </row>
    <row r="12">
      <c r="A12" s="92" t="n">
        <v>18203</v>
      </c>
      <c r="B12" t="n">
        <v/>
      </c>
      <c r="C12" t="n">
        <v/>
      </c>
      <c r="D12" t="n">
        <v/>
      </c>
      <c r="E12" t="n">
        <v/>
      </c>
      <c r="F12" t="n">
        <v/>
      </c>
      <c r="G12" t="n">
        <v/>
      </c>
      <c r="H12" t="n">
        <v/>
      </c>
      <c r="I12" t="n">
        <v/>
      </c>
      <c r="J12" t="n">
        <v/>
      </c>
      <c r="K12" t="n">
        <v/>
      </c>
      <c r="L12" t="n">
        <v/>
      </c>
      <c r="M12" t="n">
        <v/>
      </c>
      <c r="N12" t="n">
        <v/>
      </c>
      <c r="O12" t="n">
        <v/>
      </c>
      <c r="P12" t="n">
        <v/>
      </c>
      <c r="Q12" t="n">
        <v/>
      </c>
      <c r="R12" t="n">
        <v/>
      </c>
      <c r="S12" t="n">
        <v/>
      </c>
      <c r="T12" t="n">
        <v/>
      </c>
      <c r="U12" t="n">
        <v/>
      </c>
      <c r="V12" t="n">
        <v/>
      </c>
      <c r="W12" t="n">
        <v/>
      </c>
      <c r="X12" t="n">
        <v/>
      </c>
      <c r="Y12" t="n">
        <v/>
      </c>
      <c r="Z12" t="n">
        <v/>
      </c>
      <c r="AA12" t="n">
        <v/>
      </c>
      <c r="AB12" t="n">
        <v/>
      </c>
      <c r="AC12" t="n">
        <v/>
      </c>
      <c r="AD12" t="n">
        <v/>
      </c>
      <c r="AE12" t="n">
        <v/>
      </c>
      <c r="AF12" t="n">
        <v/>
      </c>
      <c r="AG12" t="n">
        <v/>
      </c>
      <c r="AH12" t="n">
        <v/>
      </c>
      <c r="AI12" t="n">
        <v/>
      </c>
      <c r="AJ12" t="n">
        <v/>
      </c>
      <c r="AK12" t="n">
        <v/>
      </c>
      <c r="AL12" t="n">
        <v/>
      </c>
      <c r="AM12" t="n">
        <v/>
      </c>
      <c r="AN12" t="n">
        <v/>
      </c>
      <c r="AO12" t="n">
        <v/>
      </c>
      <c r="AP12" t="n">
        <v/>
      </c>
      <c r="AQ12" t="n">
        <v/>
      </c>
      <c r="AR12" t="n">
        <v/>
      </c>
      <c r="AS12" t="n">
        <v/>
      </c>
      <c r="AT12" t="n">
        <v/>
      </c>
      <c r="AU12" t="n">
        <v/>
      </c>
      <c r="AV12" t="n">
        <v/>
      </c>
      <c r="AW12" t="n">
        <v/>
      </c>
      <c r="AX12" t="n">
        <v/>
      </c>
    </row>
    <row r="13">
      <c r="A13" s="92" t="n">
        <v>18233</v>
      </c>
      <c r="B13" t="n">
        <v/>
      </c>
      <c r="C13" t="n">
        <v/>
      </c>
      <c r="D13" t="n">
        <v/>
      </c>
      <c r="E13" t="n">
        <v/>
      </c>
      <c r="F13" t="n">
        <v/>
      </c>
      <c r="G13" t="n">
        <v/>
      </c>
      <c r="H13" t="n">
        <v/>
      </c>
      <c r="I13" t="n">
        <v/>
      </c>
      <c r="J13" t="n">
        <v/>
      </c>
      <c r="K13" t="n">
        <v/>
      </c>
      <c r="L13" t="n">
        <v/>
      </c>
      <c r="M13" t="n">
        <v/>
      </c>
      <c r="N13" t="n">
        <v/>
      </c>
      <c r="O13" t="n">
        <v/>
      </c>
      <c r="P13" t="n">
        <v/>
      </c>
      <c r="Q13" t="n">
        <v/>
      </c>
      <c r="R13" t="n">
        <v/>
      </c>
      <c r="S13" t="n">
        <v/>
      </c>
      <c r="T13" t="n">
        <v/>
      </c>
      <c r="U13" t="n">
        <v/>
      </c>
      <c r="V13" t="n">
        <v/>
      </c>
      <c r="W13" t="n">
        <v/>
      </c>
      <c r="X13" t="n">
        <v/>
      </c>
      <c r="Y13" t="n">
        <v/>
      </c>
      <c r="Z13" t="n">
        <v/>
      </c>
      <c r="AA13" t="n">
        <v/>
      </c>
      <c r="AB13" t="n">
        <v/>
      </c>
      <c r="AC13" t="n">
        <v/>
      </c>
      <c r="AD13" t="n">
        <v/>
      </c>
      <c r="AE13" t="n">
        <v/>
      </c>
      <c r="AF13" t="n">
        <v/>
      </c>
      <c r="AG13" t="n">
        <v/>
      </c>
      <c r="AH13" t="n">
        <v/>
      </c>
      <c r="AI13" t="n">
        <v/>
      </c>
      <c r="AJ13" t="n">
        <v/>
      </c>
      <c r="AK13" t="n">
        <v/>
      </c>
      <c r="AL13" t="n">
        <v/>
      </c>
      <c r="AM13" t="n">
        <v/>
      </c>
      <c r="AN13" t="n">
        <v/>
      </c>
      <c r="AO13" t="n">
        <v/>
      </c>
      <c r="AP13" t="n">
        <v/>
      </c>
      <c r="AQ13" t="n">
        <v/>
      </c>
      <c r="AR13" t="n">
        <v/>
      </c>
      <c r="AS13" t="n">
        <v/>
      </c>
      <c r="AT13" t="n">
        <v/>
      </c>
      <c r="AU13" t="n">
        <v/>
      </c>
      <c r="AV13" t="n">
        <v/>
      </c>
      <c r="AW13" t="n">
        <v/>
      </c>
      <c r="AX13" t="n">
        <v/>
      </c>
    </row>
    <row r="14">
      <c r="A14" s="92" t="n">
        <v>18264</v>
      </c>
      <c r="B14" t="n">
        <v/>
      </c>
      <c r="C14" t="n">
        <v/>
      </c>
      <c r="D14" t="n">
        <v/>
      </c>
      <c r="E14" t="n">
        <v/>
      </c>
      <c r="F14" t="n">
        <v/>
      </c>
      <c r="G14" t="n">
        <v/>
      </c>
      <c r="H14" t="n">
        <v/>
      </c>
      <c r="I14" t="n">
        <v/>
      </c>
      <c r="J14" t="n">
        <v/>
      </c>
      <c r="K14" t="n">
        <v/>
      </c>
      <c r="L14" t="n">
        <v/>
      </c>
      <c r="M14" t="n">
        <v/>
      </c>
      <c r="N14" t="n">
        <v/>
      </c>
      <c r="O14" t="n">
        <v/>
      </c>
      <c r="P14" t="n">
        <v/>
      </c>
      <c r="Q14" t="n">
        <v/>
      </c>
      <c r="R14" t="n">
        <v/>
      </c>
      <c r="S14" t="n">
        <v/>
      </c>
      <c r="T14" t="n">
        <v/>
      </c>
      <c r="U14" t="n">
        <v/>
      </c>
      <c r="V14" t="n">
        <v/>
      </c>
      <c r="W14" t="n">
        <v/>
      </c>
      <c r="X14" t="n">
        <v/>
      </c>
      <c r="Y14" t="n">
        <v/>
      </c>
      <c r="Z14" t="n">
        <v/>
      </c>
      <c r="AA14" t="n">
        <v/>
      </c>
      <c r="AB14" t="n">
        <v/>
      </c>
      <c r="AC14" t="n">
        <v/>
      </c>
      <c r="AD14" t="n">
        <v/>
      </c>
      <c r="AE14" t="n">
        <v/>
      </c>
      <c r="AF14" t="n">
        <v/>
      </c>
      <c r="AG14" t="n">
        <v/>
      </c>
      <c r="AH14" t="n">
        <v/>
      </c>
      <c r="AI14" t="n">
        <v/>
      </c>
      <c r="AJ14" t="n">
        <v/>
      </c>
      <c r="AK14" t="n">
        <v/>
      </c>
      <c r="AL14" t="n">
        <v/>
      </c>
      <c r="AM14" t="n">
        <v/>
      </c>
      <c r="AN14" t="n">
        <v/>
      </c>
      <c r="AO14" t="n">
        <v/>
      </c>
      <c r="AP14" t="n">
        <v/>
      </c>
      <c r="AQ14" t="n">
        <v/>
      </c>
      <c r="AR14" t="n">
        <v/>
      </c>
      <c r="AS14" t="n">
        <v/>
      </c>
      <c r="AT14" t="n">
        <v/>
      </c>
      <c r="AU14" t="n">
        <v/>
      </c>
      <c r="AV14" t="n">
        <v/>
      </c>
      <c r="AW14" t="n">
        <v/>
      </c>
      <c r="AX14" t="n">
        <v/>
      </c>
    </row>
    <row r="15">
      <c r="A15" s="92" t="n">
        <v>18295</v>
      </c>
      <c r="B15" t="n">
        <v/>
      </c>
      <c r="C15" t="n">
        <v/>
      </c>
      <c r="D15" t="n">
        <v/>
      </c>
      <c r="E15" t="n">
        <v/>
      </c>
      <c r="F15" t="n">
        <v/>
      </c>
      <c r="G15" t="n">
        <v/>
      </c>
      <c r="H15" t="n">
        <v/>
      </c>
      <c r="I15" t="n">
        <v/>
      </c>
      <c r="J15" t="n">
        <v/>
      </c>
      <c r="K15" t="n">
        <v/>
      </c>
      <c r="L15" t="n">
        <v/>
      </c>
      <c r="M15" t="n">
        <v/>
      </c>
      <c r="N15" t="n">
        <v/>
      </c>
      <c r="O15" t="n">
        <v/>
      </c>
      <c r="P15" t="n">
        <v/>
      </c>
      <c r="Q15" t="n">
        <v/>
      </c>
      <c r="R15" t="n">
        <v/>
      </c>
      <c r="S15" t="n">
        <v/>
      </c>
      <c r="T15" t="n">
        <v/>
      </c>
      <c r="U15" t="n">
        <v/>
      </c>
      <c r="V15" t="n">
        <v/>
      </c>
      <c r="W15" t="n">
        <v/>
      </c>
      <c r="X15" t="n">
        <v/>
      </c>
      <c r="Y15" t="n">
        <v/>
      </c>
      <c r="Z15" t="n">
        <v/>
      </c>
      <c r="AA15" t="n">
        <v/>
      </c>
      <c r="AB15" t="n">
        <v/>
      </c>
      <c r="AC15" t="n">
        <v/>
      </c>
      <c r="AD15" t="n">
        <v/>
      </c>
      <c r="AE15" t="n">
        <v/>
      </c>
      <c r="AF15" t="n">
        <v/>
      </c>
      <c r="AG15" t="n">
        <v/>
      </c>
      <c r="AH15" t="n">
        <v/>
      </c>
      <c r="AI15" t="n">
        <v/>
      </c>
      <c r="AJ15" t="n">
        <v/>
      </c>
      <c r="AK15" t="n">
        <v/>
      </c>
      <c r="AL15" t="n">
        <v/>
      </c>
      <c r="AM15" t="n">
        <v/>
      </c>
      <c r="AN15" t="n">
        <v/>
      </c>
      <c r="AO15" t="n">
        <v/>
      </c>
      <c r="AP15" t="n">
        <v/>
      </c>
      <c r="AQ15" t="n">
        <v/>
      </c>
      <c r="AR15" t="n">
        <v/>
      </c>
      <c r="AS15" t="n">
        <v/>
      </c>
      <c r="AT15" t="n">
        <v/>
      </c>
      <c r="AU15" t="n">
        <v/>
      </c>
      <c r="AV15" t="n">
        <v/>
      </c>
      <c r="AW15" t="n">
        <v/>
      </c>
      <c r="AX15" t="n">
        <v/>
      </c>
    </row>
    <row r="16">
      <c r="A16" s="92" t="n">
        <v>18323</v>
      </c>
      <c r="B16" t="n">
        <v/>
      </c>
      <c r="C16" t="n">
        <v/>
      </c>
      <c r="D16" t="n">
        <v/>
      </c>
      <c r="E16" t="n">
        <v/>
      </c>
      <c r="F16" t="n">
        <v/>
      </c>
      <c r="G16" t="n">
        <v/>
      </c>
      <c r="H16" t="n">
        <v/>
      </c>
      <c r="I16" t="n">
        <v/>
      </c>
      <c r="J16" t="n">
        <v/>
      </c>
      <c r="K16" t="n">
        <v/>
      </c>
      <c r="L16" t="n">
        <v/>
      </c>
      <c r="M16" t="n">
        <v/>
      </c>
      <c r="N16" t="n">
        <v/>
      </c>
      <c r="O16" t="n">
        <v/>
      </c>
      <c r="P16" t="n">
        <v/>
      </c>
      <c r="Q16" t="n">
        <v/>
      </c>
      <c r="R16" t="n">
        <v/>
      </c>
      <c r="S16" t="n">
        <v/>
      </c>
      <c r="T16" t="n">
        <v/>
      </c>
      <c r="U16" t="n">
        <v/>
      </c>
      <c r="V16" t="n">
        <v/>
      </c>
      <c r="W16" t="n">
        <v/>
      </c>
      <c r="X16" t="n">
        <v/>
      </c>
      <c r="Y16" t="n">
        <v/>
      </c>
      <c r="Z16" t="n">
        <v/>
      </c>
      <c r="AA16" t="n">
        <v/>
      </c>
      <c r="AB16" t="n">
        <v/>
      </c>
      <c r="AC16" t="n">
        <v/>
      </c>
      <c r="AD16" t="n">
        <v/>
      </c>
      <c r="AE16" t="n">
        <v/>
      </c>
      <c r="AF16" t="n">
        <v/>
      </c>
      <c r="AG16" t="n">
        <v/>
      </c>
      <c r="AH16" t="n">
        <v/>
      </c>
      <c r="AI16" t="n">
        <v/>
      </c>
      <c r="AJ16" t="n">
        <v/>
      </c>
      <c r="AK16" t="n">
        <v/>
      </c>
      <c r="AL16" t="n">
        <v/>
      </c>
      <c r="AM16" t="n">
        <v/>
      </c>
      <c r="AN16" t="n">
        <v/>
      </c>
      <c r="AO16" t="n">
        <v/>
      </c>
      <c r="AP16" t="n">
        <v/>
      </c>
      <c r="AQ16" t="n">
        <v/>
      </c>
      <c r="AR16" t="n">
        <v/>
      </c>
      <c r="AS16" t="n">
        <v/>
      </c>
      <c r="AT16" t="n">
        <v/>
      </c>
      <c r="AU16" t="n">
        <v/>
      </c>
      <c r="AV16" t="n">
        <v/>
      </c>
      <c r="AW16" t="n">
        <v/>
      </c>
      <c r="AX16" t="n">
        <v/>
      </c>
    </row>
    <row r="17">
      <c r="A17" s="92" t="n">
        <v>18354</v>
      </c>
      <c r="B17" t="n">
        <v/>
      </c>
      <c r="C17" t="n">
        <v/>
      </c>
      <c r="D17" t="n">
        <v/>
      </c>
      <c r="E17" t="n">
        <v/>
      </c>
      <c r="F17" t="n">
        <v/>
      </c>
      <c r="G17" t="n">
        <v/>
      </c>
      <c r="H17" t="n">
        <v/>
      </c>
      <c r="I17" t="n">
        <v/>
      </c>
      <c r="J17" t="n">
        <v/>
      </c>
      <c r="K17" t="n">
        <v/>
      </c>
      <c r="L17" t="n">
        <v/>
      </c>
      <c r="M17" t="n">
        <v/>
      </c>
      <c r="N17" t="n">
        <v/>
      </c>
      <c r="O17" t="n">
        <v/>
      </c>
      <c r="P17" t="n">
        <v/>
      </c>
      <c r="Q17" t="n">
        <v/>
      </c>
      <c r="R17" t="n">
        <v/>
      </c>
      <c r="S17" t="n">
        <v/>
      </c>
      <c r="T17" t="n">
        <v/>
      </c>
      <c r="U17" t="n">
        <v/>
      </c>
      <c r="V17" t="n">
        <v/>
      </c>
      <c r="W17" t="n">
        <v/>
      </c>
      <c r="X17" t="n">
        <v/>
      </c>
      <c r="Y17" t="n">
        <v/>
      </c>
      <c r="Z17" t="n">
        <v/>
      </c>
      <c r="AA17" t="n">
        <v/>
      </c>
      <c r="AB17" t="n">
        <v/>
      </c>
      <c r="AC17" t="n">
        <v/>
      </c>
      <c r="AD17" t="n">
        <v/>
      </c>
      <c r="AE17" t="n">
        <v/>
      </c>
      <c r="AF17" t="n">
        <v/>
      </c>
      <c r="AG17" t="n">
        <v/>
      </c>
      <c r="AH17" t="n">
        <v/>
      </c>
      <c r="AI17" t="n">
        <v/>
      </c>
      <c r="AJ17" t="n">
        <v/>
      </c>
      <c r="AK17" t="n">
        <v/>
      </c>
      <c r="AL17" t="n">
        <v/>
      </c>
      <c r="AM17" t="n">
        <v/>
      </c>
      <c r="AN17" t="n">
        <v/>
      </c>
      <c r="AO17" t="n">
        <v/>
      </c>
      <c r="AP17" t="n">
        <v/>
      </c>
      <c r="AQ17" t="n">
        <v/>
      </c>
      <c r="AR17" t="n">
        <v/>
      </c>
      <c r="AS17" t="n">
        <v/>
      </c>
      <c r="AT17" t="n">
        <v/>
      </c>
      <c r="AU17" t="n">
        <v/>
      </c>
      <c r="AV17" t="n">
        <v/>
      </c>
      <c r="AW17" t="n">
        <v/>
      </c>
      <c r="AX17" t="n">
        <v/>
      </c>
    </row>
    <row r="18">
      <c r="A18" s="92" t="n">
        <v>18384</v>
      </c>
      <c r="B18" t="n">
        <v/>
      </c>
      <c r="C18" t="n">
        <v/>
      </c>
      <c r="D18" t="n">
        <v/>
      </c>
      <c r="E18" t="n">
        <v/>
      </c>
      <c r="F18" t="n">
        <v/>
      </c>
      <c r="G18" t="n">
        <v/>
      </c>
      <c r="H18" t="n">
        <v/>
      </c>
      <c r="I18" t="n">
        <v/>
      </c>
      <c r="J18" t="n">
        <v/>
      </c>
      <c r="K18" t="n">
        <v/>
      </c>
      <c r="L18" t="n">
        <v/>
      </c>
      <c r="M18" t="n">
        <v/>
      </c>
      <c r="N18" t="n">
        <v/>
      </c>
      <c r="O18" t="n">
        <v/>
      </c>
      <c r="P18" t="n">
        <v/>
      </c>
      <c r="Q18" t="n">
        <v/>
      </c>
      <c r="R18" t="n">
        <v/>
      </c>
      <c r="S18" t="n">
        <v/>
      </c>
      <c r="T18" t="n">
        <v/>
      </c>
      <c r="U18" t="n">
        <v/>
      </c>
      <c r="V18" t="n">
        <v/>
      </c>
      <c r="W18" t="n">
        <v/>
      </c>
      <c r="X18" t="n">
        <v/>
      </c>
      <c r="Y18" t="n">
        <v/>
      </c>
      <c r="Z18" t="n">
        <v/>
      </c>
      <c r="AA18" t="n">
        <v/>
      </c>
      <c r="AB18" t="n">
        <v/>
      </c>
      <c r="AC18" t="n">
        <v/>
      </c>
      <c r="AD18" t="n">
        <v/>
      </c>
      <c r="AE18" t="n">
        <v/>
      </c>
      <c r="AF18" t="n">
        <v/>
      </c>
      <c r="AG18" t="n">
        <v/>
      </c>
      <c r="AH18" t="n">
        <v/>
      </c>
      <c r="AI18" t="n">
        <v/>
      </c>
      <c r="AJ18" t="n">
        <v/>
      </c>
      <c r="AK18" t="n">
        <v/>
      </c>
      <c r="AL18" t="n">
        <v/>
      </c>
      <c r="AM18" t="n">
        <v/>
      </c>
      <c r="AN18" t="n">
        <v/>
      </c>
      <c r="AO18" t="n">
        <v/>
      </c>
      <c r="AP18" t="n">
        <v/>
      </c>
      <c r="AQ18" t="n">
        <v/>
      </c>
      <c r="AR18" t="n">
        <v/>
      </c>
      <c r="AS18" t="n">
        <v/>
      </c>
      <c r="AT18" t="n">
        <v/>
      </c>
      <c r="AU18" t="n">
        <v/>
      </c>
      <c r="AV18" t="n">
        <v/>
      </c>
      <c r="AW18" t="n">
        <v/>
      </c>
      <c r="AX18" t="n">
        <v/>
      </c>
    </row>
    <row r="19">
      <c r="A19" s="92" t="n">
        <v>18415</v>
      </c>
      <c r="B19" t="n">
        <v/>
      </c>
      <c r="C19" t="n">
        <v/>
      </c>
      <c r="D19" t="n">
        <v/>
      </c>
      <c r="E19" t="n">
        <v/>
      </c>
      <c r="F19" t="n">
        <v/>
      </c>
      <c r="G19" t="n">
        <v/>
      </c>
      <c r="H19" t="n">
        <v/>
      </c>
      <c r="I19" t="n">
        <v/>
      </c>
      <c r="J19" t="n">
        <v/>
      </c>
      <c r="K19" t="n">
        <v/>
      </c>
      <c r="L19" t="n">
        <v/>
      </c>
      <c r="M19" t="n">
        <v/>
      </c>
      <c r="N19" t="n">
        <v/>
      </c>
      <c r="O19" t="n">
        <v/>
      </c>
      <c r="P19" t="n">
        <v/>
      </c>
      <c r="Q19" t="n">
        <v/>
      </c>
      <c r="R19" t="n">
        <v/>
      </c>
      <c r="S19" t="n">
        <v/>
      </c>
      <c r="T19" t="n">
        <v/>
      </c>
      <c r="U19" t="n">
        <v/>
      </c>
      <c r="V19" t="n">
        <v/>
      </c>
      <c r="W19" t="n">
        <v/>
      </c>
      <c r="X19" t="n">
        <v/>
      </c>
      <c r="Y19" t="n">
        <v/>
      </c>
      <c r="Z19" t="n">
        <v/>
      </c>
      <c r="AA19" t="n">
        <v/>
      </c>
      <c r="AB19" t="n">
        <v/>
      </c>
      <c r="AC19" t="n">
        <v/>
      </c>
      <c r="AD19" t="n">
        <v/>
      </c>
      <c r="AE19" t="n">
        <v/>
      </c>
      <c r="AF19" t="n">
        <v/>
      </c>
      <c r="AG19" t="n">
        <v/>
      </c>
      <c r="AH19" t="n">
        <v/>
      </c>
      <c r="AI19" t="n">
        <v/>
      </c>
      <c r="AJ19" t="n">
        <v/>
      </c>
      <c r="AK19" t="n">
        <v/>
      </c>
      <c r="AL19" t="n">
        <v/>
      </c>
      <c r="AM19" t="n">
        <v/>
      </c>
      <c r="AN19" t="n">
        <v/>
      </c>
      <c r="AO19" t="n">
        <v/>
      </c>
      <c r="AP19" t="n">
        <v/>
      </c>
      <c r="AQ19" t="n">
        <v/>
      </c>
      <c r="AR19" t="n">
        <v/>
      </c>
      <c r="AS19" t="n">
        <v/>
      </c>
      <c r="AT19" t="n">
        <v/>
      </c>
      <c r="AU19" t="n">
        <v/>
      </c>
      <c r="AV19" t="n">
        <v/>
      </c>
      <c r="AW19" t="n">
        <v/>
      </c>
      <c r="AX19" t="n">
        <v/>
      </c>
    </row>
    <row r="20">
      <c r="A20" s="92" t="n">
        <v>18445</v>
      </c>
      <c r="B20" t="n">
        <v/>
      </c>
      <c r="C20" t="n">
        <v/>
      </c>
      <c r="D20" t="n">
        <v/>
      </c>
      <c r="E20" t="n">
        <v/>
      </c>
      <c r="F20" t="n">
        <v/>
      </c>
      <c r="G20" t="n">
        <v/>
      </c>
      <c r="H20" t="n">
        <v/>
      </c>
      <c r="I20" t="n">
        <v/>
      </c>
      <c r="J20" t="n">
        <v/>
      </c>
      <c r="K20" t="n">
        <v/>
      </c>
      <c r="L20" t="n">
        <v/>
      </c>
      <c r="M20" t="n">
        <v/>
      </c>
      <c r="N20" t="n">
        <v/>
      </c>
      <c r="O20" t="n">
        <v/>
      </c>
      <c r="P20" t="n">
        <v/>
      </c>
      <c r="Q20" t="n">
        <v/>
      </c>
      <c r="R20" t="n">
        <v/>
      </c>
      <c r="S20" t="n">
        <v/>
      </c>
      <c r="T20" t="n">
        <v/>
      </c>
      <c r="U20" t="n">
        <v/>
      </c>
      <c r="V20" t="n">
        <v/>
      </c>
      <c r="W20" t="n">
        <v/>
      </c>
      <c r="X20" t="n">
        <v/>
      </c>
      <c r="Y20" t="n">
        <v/>
      </c>
      <c r="Z20" t="n">
        <v/>
      </c>
      <c r="AA20" t="n">
        <v/>
      </c>
      <c r="AB20" t="n">
        <v/>
      </c>
      <c r="AC20" t="n">
        <v/>
      </c>
      <c r="AD20" t="n">
        <v/>
      </c>
      <c r="AE20" t="n">
        <v/>
      </c>
      <c r="AF20" t="n">
        <v/>
      </c>
      <c r="AG20" t="n">
        <v/>
      </c>
      <c r="AH20" t="n">
        <v/>
      </c>
      <c r="AI20" t="n">
        <v/>
      </c>
      <c r="AJ20" t="n">
        <v/>
      </c>
      <c r="AK20" t="n">
        <v/>
      </c>
      <c r="AL20" t="n">
        <v/>
      </c>
      <c r="AM20" t="n">
        <v/>
      </c>
      <c r="AN20" t="n">
        <v/>
      </c>
      <c r="AO20" t="n">
        <v/>
      </c>
      <c r="AP20" t="n">
        <v/>
      </c>
      <c r="AQ20" t="n">
        <v/>
      </c>
      <c r="AR20" t="n">
        <v/>
      </c>
      <c r="AS20" t="n">
        <v/>
      </c>
      <c r="AT20" t="n">
        <v/>
      </c>
      <c r="AU20" t="n">
        <v/>
      </c>
      <c r="AV20" t="n">
        <v/>
      </c>
      <c r="AW20" t="n">
        <v/>
      </c>
      <c r="AX20" t="n">
        <v/>
      </c>
    </row>
    <row r="21">
      <c r="A21" s="92" t="n">
        <v>18476</v>
      </c>
      <c r="B21" t="n">
        <v/>
      </c>
      <c r="C21" t="n">
        <v/>
      </c>
      <c r="D21" t="n">
        <v/>
      </c>
      <c r="E21" t="n">
        <v/>
      </c>
      <c r="F21" t="n">
        <v/>
      </c>
      <c r="G21" t="n">
        <v/>
      </c>
      <c r="H21" t="n">
        <v/>
      </c>
      <c r="I21" t="n">
        <v/>
      </c>
      <c r="J21" t="n">
        <v/>
      </c>
      <c r="K21" t="n">
        <v/>
      </c>
      <c r="L21" t="n">
        <v/>
      </c>
      <c r="M21" t="n">
        <v/>
      </c>
      <c r="N21" t="n">
        <v/>
      </c>
      <c r="O21" t="n">
        <v/>
      </c>
      <c r="P21" t="n">
        <v/>
      </c>
      <c r="Q21" t="n">
        <v/>
      </c>
      <c r="R21" t="n">
        <v/>
      </c>
      <c r="S21" t="n">
        <v/>
      </c>
      <c r="T21" t="n">
        <v/>
      </c>
      <c r="U21" t="n">
        <v/>
      </c>
      <c r="V21" t="n">
        <v/>
      </c>
      <c r="W21" t="n">
        <v/>
      </c>
      <c r="X21" t="n">
        <v/>
      </c>
      <c r="Y21" t="n">
        <v/>
      </c>
      <c r="Z21" t="n">
        <v/>
      </c>
      <c r="AA21" t="n">
        <v/>
      </c>
      <c r="AB21" t="n">
        <v/>
      </c>
      <c r="AC21" t="n">
        <v/>
      </c>
      <c r="AD21" t="n">
        <v/>
      </c>
      <c r="AE21" t="n">
        <v/>
      </c>
      <c r="AF21" t="n">
        <v/>
      </c>
      <c r="AG21" t="n">
        <v/>
      </c>
      <c r="AH21" t="n">
        <v/>
      </c>
      <c r="AI21" t="n">
        <v/>
      </c>
      <c r="AJ21" t="n">
        <v/>
      </c>
      <c r="AK21" t="n">
        <v/>
      </c>
      <c r="AL21" t="n">
        <v/>
      </c>
      <c r="AM21" t="n">
        <v/>
      </c>
      <c r="AN21" t="n">
        <v/>
      </c>
      <c r="AO21" t="n">
        <v/>
      </c>
      <c r="AP21" t="n">
        <v/>
      </c>
      <c r="AQ21" t="n">
        <v/>
      </c>
      <c r="AR21" t="n">
        <v/>
      </c>
      <c r="AS21" t="n">
        <v/>
      </c>
      <c r="AT21" t="n">
        <v/>
      </c>
      <c r="AU21" t="n">
        <v/>
      </c>
      <c r="AV21" t="n">
        <v/>
      </c>
      <c r="AW21" t="n">
        <v/>
      </c>
      <c r="AX21" t="n">
        <v/>
      </c>
    </row>
    <row r="22">
      <c r="A22" s="92" t="n">
        <v>18507</v>
      </c>
      <c r="B22" t="n">
        <v/>
      </c>
      <c r="C22" t="n">
        <v/>
      </c>
      <c r="D22" t="n">
        <v/>
      </c>
      <c r="E22" t="n">
        <v/>
      </c>
      <c r="F22" t="n">
        <v/>
      </c>
      <c r="G22" t="n">
        <v/>
      </c>
      <c r="H22" t="n">
        <v/>
      </c>
      <c r="I22" t="n">
        <v/>
      </c>
      <c r="J22" t="n">
        <v/>
      </c>
      <c r="K22" t="n">
        <v/>
      </c>
      <c r="L22" t="n">
        <v/>
      </c>
      <c r="M22" t="n">
        <v/>
      </c>
      <c r="N22" t="n">
        <v/>
      </c>
      <c r="O22" t="n">
        <v/>
      </c>
      <c r="P22" t="n">
        <v/>
      </c>
      <c r="Q22" t="n">
        <v/>
      </c>
      <c r="R22" t="n">
        <v/>
      </c>
      <c r="S22" t="n">
        <v/>
      </c>
      <c r="T22" t="n">
        <v/>
      </c>
      <c r="U22" t="n">
        <v/>
      </c>
      <c r="V22" t="n">
        <v/>
      </c>
      <c r="W22" t="n">
        <v/>
      </c>
      <c r="X22" t="n">
        <v/>
      </c>
      <c r="Y22" t="n">
        <v/>
      </c>
      <c r="Z22" t="n">
        <v/>
      </c>
      <c r="AA22" t="n">
        <v/>
      </c>
      <c r="AB22" t="n">
        <v/>
      </c>
      <c r="AC22" t="n">
        <v/>
      </c>
      <c r="AD22" t="n">
        <v/>
      </c>
      <c r="AE22" t="n">
        <v/>
      </c>
      <c r="AF22" t="n">
        <v/>
      </c>
      <c r="AG22" t="n">
        <v/>
      </c>
      <c r="AH22" t="n">
        <v/>
      </c>
      <c r="AI22" t="n">
        <v/>
      </c>
      <c r="AJ22" t="n">
        <v/>
      </c>
      <c r="AK22" t="n">
        <v/>
      </c>
      <c r="AL22" t="n">
        <v/>
      </c>
      <c r="AM22" t="n">
        <v/>
      </c>
      <c r="AN22" t="n">
        <v/>
      </c>
      <c r="AO22" t="n">
        <v/>
      </c>
      <c r="AP22" t="n">
        <v/>
      </c>
      <c r="AQ22" t="n">
        <v/>
      </c>
      <c r="AR22" t="n">
        <v/>
      </c>
      <c r="AS22" t="n">
        <v/>
      </c>
      <c r="AT22" t="n">
        <v/>
      </c>
      <c r="AU22" t="n">
        <v/>
      </c>
      <c r="AV22" t="n">
        <v/>
      </c>
      <c r="AW22" t="n">
        <v/>
      </c>
      <c r="AX22" t="n">
        <v/>
      </c>
    </row>
    <row r="23">
      <c r="A23" s="92" t="n">
        <v>18537</v>
      </c>
      <c r="B23" t="n">
        <v/>
      </c>
      <c r="C23" t="n">
        <v/>
      </c>
      <c r="D23" t="n">
        <v/>
      </c>
      <c r="E23" t="n">
        <v/>
      </c>
      <c r="F23" t="n">
        <v/>
      </c>
      <c r="G23" t="n">
        <v/>
      </c>
      <c r="H23" t="n">
        <v/>
      </c>
      <c r="I23" t="n">
        <v/>
      </c>
      <c r="J23" t="n">
        <v/>
      </c>
      <c r="K23" t="n">
        <v/>
      </c>
      <c r="L23" t="n">
        <v/>
      </c>
      <c r="M23" t="n">
        <v/>
      </c>
      <c r="N23" t="n">
        <v/>
      </c>
      <c r="O23" t="n">
        <v/>
      </c>
      <c r="P23" t="n">
        <v/>
      </c>
      <c r="Q23" t="n">
        <v/>
      </c>
      <c r="R23" t="n">
        <v/>
      </c>
      <c r="S23" t="n">
        <v/>
      </c>
      <c r="T23" t="n">
        <v/>
      </c>
      <c r="U23" t="n">
        <v/>
      </c>
      <c r="V23" t="n">
        <v/>
      </c>
      <c r="W23" t="n">
        <v/>
      </c>
      <c r="X23" t="n">
        <v/>
      </c>
      <c r="Y23" t="n">
        <v/>
      </c>
      <c r="Z23" t="n">
        <v/>
      </c>
      <c r="AA23" t="n">
        <v/>
      </c>
      <c r="AB23" t="n">
        <v/>
      </c>
      <c r="AC23" t="n">
        <v/>
      </c>
      <c r="AD23" t="n">
        <v/>
      </c>
      <c r="AE23" t="n">
        <v/>
      </c>
      <c r="AF23" t="n">
        <v/>
      </c>
      <c r="AG23" t="n">
        <v/>
      </c>
      <c r="AH23" t="n">
        <v/>
      </c>
      <c r="AI23" t="n">
        <v/>
      </c>
      <c r="AJ23" t="n">
        <v/>
      </c>
      <c r="AK23" t="n">
        <v/>
      </c>
      <c r="AL23" t="n">
        <v/>
      </c>
      <c r="AM23" t="n">
        <v/>
      </c>
      <c r="AN23" t="n">
        <v/>
      </c>
      <c r="AO23" t="n">
        <v/>
      </c>
      <c r="AP23" t="n">
        <v/>
      </c>
      <c r="AQ23" t="n">
        <v/>
      </c>
      <c r="AR23" t="n">
        <v/>
      </c>
      <c r="AS23" t="n">
        <v/>
      </c>
      <c r="AT23" t="n">
        <v/>
      </c>
      <c r="AU23" t="n">
        <v/>
      </c>
      <c r="AV23" t="n">
        <v/>
      </c>
      <c r="AW23" t="n">
        <v/>
      </c>
      <c r="AX23" t="n">
        <v/>
      </c>
    </row>
    <row r="24">
      <c r="A24" s="92" t="n">
        <v>18568</v>
      </c>
      <c r="B24" t="n">
        <v/>
      </c>
      <c r="C24" t="n">
        <v/>
      </c>
      <c r="D24" t="n">
        <v/>
      </c>
      <c r="E24" t="n">
        <v/>
      </c>
      <c r="F24" t="n">
        <v/>
      </c>
      <c r="G24" t="n">
        <v/>
      </c>
      <c r="H24" t="n">
        <v/>
      </c>
      <c r="I24" t="n">
        <v/>
      </c>
      <c r="J24" t="n">
        <v/>
      </c>
      <c r="K24" t="n">
        <v/>
      </c>
      <c r="L24" t="n">
        <v/>
      </c>
      <c r="M24" t="n">
        <v/>
      </c>
      <c r="N24" t="n">
        <v/>
      </c>
      <c r="O24" t="n">
        <v/>
      </c>
      <c r="P24" t="n">
        <v/>
      </c>
      <c r="Q24" t="n">
        <v/>
      </c>
      <c r="R24" t="n">
        <v/>
      </c>
      <c r="S24" t="n">
        <v/>
      </c>
      <c r="T24" t="n">
        <v/>
      </c>
      <c r="U24" t="n">
        <v/>
      </c>
      <c r="V24" t="n">
        <v/>
      </c>
      <c r="W24" t="n">
        <v/>
      </c>
      <c r="X24" t="n">
        <v/>
      </c>
      <c r="Y24" t="n">
        <v/>
      </c>
      <c r="Z24" t="n">
        <v/>
      </c>
      <c r="AA24" t="n">
        <v/>
      </c>
      <c r="AB24" t="n">
        <v/>
      </c>
      <c r="AC24" t="n">
        <v/>
      </c>
      <c r="AD24" t="n">
        <v/>
      </c>
      <c r="AE24" t="n">
        <v/>
      </c>
      <c r="AF24" t="n">
        <v/>
      </c>
      <c r="AG24" t="n">
        <v/>
      </c>
      <c r="AH24" t="n">
        <v/>
      </c>
      <c r="AI24" t="n">
        <v/>
      </c>
      <c r="AJ24" t="n">
        <v/>
      </c>
      <c r="AK24" t="n">
        <v/>
      </c>
      <c r="AL24" t="n">
        <v/>
      </c>
      <c r="AM24" t="n">
        <v/>
      </c>
      <c r="AN24" t="n">
        <v/>
      </c>
      <c r="AO24" t="n">
        <v/>
      </c>
      <c r="AP24" t="n">
        <v/>
      </c>
      <c r="AQ24" t="n">
        <v/>
      </c>
      <c r="AR24" t="n">
        <v/>
      </c>
      <c r="AS24" t="n">
        <v/>
      </c>
      <c r="AT24" t="n">
        <v/>
      </c>
      <c r="AU24" t="n">
        <v/>
      </c>
      <c r="AV24" t="n">
        <v/>
      </c>
      <c r="AW24" t="n">
        <v/>
      </c>
      <c r="AX24" t="n">
        <v/>
      </c>
    </row>
    <row r="25">
      <c r="A25" s="92" t="n">
        <v>18598</v>
      </c>
      <c r="B25" t="n">
        <v/>
      </c>
      <c r="C25" t="n">
        <v/>
      </c>
      <c r="D25" t="n">
        <v/>
      </c>
      <c r="E25" t="n">
        <v/>
      </c>
      <c r="F25" t="n">
        <v/>
      </c>
      <c r="G25" t="n">
        <v/>
      </c>
      <c r="H25" t="n">
        <v/>
      </c>
      <c r="I25" t="n">
        <v/>
      </c>
      <c r="J25" t="n">
        <v/>
      </c>
      <c r="K25" t="n">
        <v/>
      </c>
      <c r="L25" t="n">
        <v/>
      </c>
      <c r="M25" t="n">
        <v/>
      </c>
      <c r="N25" t="n">
        <v/>
      </c>
      <c r="O25" t="n">
        <v/>
      </c>
      <c r="P25" t="n">
        <v/>
      </c>
      <c r="Q25" t="n">
        <v/>
      </c>
      <c r="R25" t="n">
        <v/>
      </c>
      <c r="S25" t="n">
        <v/>
      </c>
      <c r="T25" t="n">
        <v/>
      </c>
      <c r="U25" t="n">
        <v/>
      </c>
      <c r="V25" t="n">
        <v/>
      </c>
      <c r="W25" t="n">
        <v/>
      </c>
      <c r="X25" t="n">
        <v/>
      </c>
      <c r="Y25" t="n">
        <v/>
      </c>
      <c r="Z25" t="n">
        <v/>
      </c>
      <c r="AA25" t="n">
        <v/>
      </c>
      <c r="AB25" t="n">
        <v/>
      </c>
      <c r="AC25" t="n">
        <v/>
      </c>
      <c r="AD25" t="n">
        <v/>
      </c>
      <c r="AE25" t="n">
        <v/>
      </c>
      <c r="AF25" t="n">
        <v/>
      </c>
      <c r="AG25" t="n">
        <v/>
      </c>
      <c r="AH25" t="n">
        <v/>
      </c>
      <c r="AI25" t="n">
        <v/>
      </c>
      <c r="AJ25" t="n">
        <v/>
      </c>
      <c r="AK25" t="n">
        <v/>
      </c>
      <c r="AL25" t="n">
        <v/>
      </c>
      <c r="AM25" t="n">
        <v/>
      </c>
      <c r="AN25" t="n">
        <v/>
      </c>
      <c r="AO25" t="n">
        <v/>
      </c>
      <c r="AP25" t="n">
        <v/>
      </c>
      <c r="AQ25" t="n">
        <v/>
      </c>
      <c r="AR25" t="n">
        <v/>
      </c>
      <c r="AS25" t="n">
        <v/>
      </c>
      <c r="AT25" t="n">
        <v/>
      </c>
      <c r="AU25" t="n">
        <v/>
      </c>
      <c r="AV25" t="n">
        <v/>
      </c>
      <c r="AW25" t="n">
        <v/>
      </c>
      <c r="AX25" t="n">
        <v/>
      </c>
    </row>
    <row r="26">
      <c r="A26" s="92" t="n">
        <v>18629</v>
      </c>
      <c r="B26" t="n">
        <v/>
      </c>
      <c r="C26" t="n">
        <v/>
      </c>
      <c r="D26" t="n">
        <v/>
      </c>
      <c r="E26" t="n">
        <v/>
      </c>
      <c r="F26" t="n">
        <v/>
      </c>
      <c r="G26" t="n">
        <v/>
      </c>
      <c r="H26" t="n">
        <v/>
      </c>
      <c r="I26" t="n">
        <v/>
      </c>
      <c r="J26" t="n">
        <v/>
      </c>
      <c r="K26" t="n">
        <v/>
      </c>
      <c r="L26" t="n">
        <v/>
      </c>
      <c r="M26" t="n">
        <v/>
      </c>
      <c r="N26" t="n">
        <v/>
      </c>
      <c r="O26" t="n">
        <v/>
      </c>
      <c r="P26" t="n">
        <v/>
      </c>
      <c r="Q26" t="n">
        <v/>
      </c>
      <c r="R26" t="n">
        <v/>
      </c>
      <c r="S26" t="n">
        <v/>
      </c>
      <c r="T26" t="n">
        <v/>
      </c>
      <c r="U26" t="n">
        <v/>
      </c>
      <c r="V26" t="n">
        <v/>
      </c>
      <c r="W26" t="n">
        <v/>
      </c>
      <c r="X26" t="n">
        <v/>
      </c>
      <c r="Y26" t="n">
        <v/>
      </c>
      <c r="Z26" t="n">
        <v/>
      </c>
      <c r="AA26" t="n">
        <v/>
      </c>
      <c r="AB26" t="n">
        <v/>
      </c>
      <c r="AC26" t="n">
        <v/>
      </c>
      <c r="AD26" t="n">
        <v/>
      </c>
      <c r="AE26" t="n">
        <v/>
      </c>
      <c r="AF26" t="n">
        <v/>
      </c>
      <c r="AG26" t="n">
        <v/>
      </c>
      <c r="AH26" t="n">
        <v/>
      </c>
      <c r="AI26" t="n">
        <v/>
      </c>
      <c r="AJ26" t="n">
        <v/>
      </c>
      <c r="AK26" t="n">
        <v/>
      </c>
      <c r="AL26" t="n">
        <v/>
      </c>
      <c r="AM26" t="n">
        <v/>
      </c>
      <c r="AN26" t="n">
        <v/>
      </c>
      <c r="AO26" t="n">
        <v/>
      </c>
      <c r="AP26" t="n">
        <v/>
      </c>
      <c r="AQ26" t="n">
        <v/>
      </c>
      <c r="AR26" t="n">
        <v/>
      </c>
      <c r="AS26" t="n">
        <v/>
      </c>
      <c r="AT26" t="n">
        <v/>
      </c>
      <c r="AU26" t="n">
        <v/>
      </c>
      <c r="AV26" t="n">
        <v/>
      </c>
      <c r="AW26" t="n">
        <v/>
      </c>
      <c r="AX26" t="n">
        <v/>
      </c>
    </row>
    <row r="27">
      <c r="A27" s="92" t="n">
        <v>18660</v>
      </c>
      <c r="B27" t="n">
        <v/>
      </c>
      <c r="C27" t="n">
        <v/>
      </c>
      <c r="D27" t="n">
        <v/>
      </c>
      <c r="E27" t="n">
        <v/>
      </c>
      <c r="F27" t="n">
        <v/>
      </c>
      <c r="G27" t="n">
        <v/>
      </c>
      <c r="H27" t="n">
        <v/>
      </c>
      <c r="I27" t="n">
        <v/>
      </c>
      <c r="J27" t="n">
        <v/>
      </c>
      <c r="K27" t="n">
        <v/>
      </c>
      <c r="L27" t="n">
        <v/>
      </c>
      <c r="M27" t="n">
        <v/>
      </c>
      <c r="N27" t="n">
        <v/>
      </c>
      <c r="O27" t="n">
        <v/>
      </c>
      <c r="P27" t="n">
        <v/>
      </c>
      <c r="Q27" t="n">
        <v/>
      </c>
      <c r="R27" t="n">
        <v/>
      </c>
      <c r="S27" t="n">
        <v/>
      </c>
      <c r="T27" t="n">
        <v/>
      </c>
      <c r="U27" t="n">
        <v/>
      </c>
      <c r="V27" t="n">
        <v/>
      </c>
      <c r="W27" t="n">
        <v/>
      </c>
      <c r="X27" t="n">
        <v/>
      </c>
      <c r="Y27" t="n">
        <v/>
      </c>
      <c r="Z27" t="n">
        <v/>
      </c>
      <c r="AA27" t="n">
        <v/>
      </c>
      <c r="AB27" t="n">
        <v/>
      </c>
      <c r="AC27" t="n">
        <v/>
      </c>
      <c r="AD27" t="n">
        <v/>
      </c>
      <c r="AE27" t="n">
        <v/>
      </c>
      <c r="AF27" t="n">
        <v/>
      </c>
      <c r="AG27" t="n">
        <v/>
      </c>
      <c r="AH27" t="n">
        <v/>
      </c>
      <c r="AI27" t="n">
        <v/>
      </c>
      <c r="AJ27" t="n">
        <v/>
      </c>
      <c r="AK27" t="n">
        <v/>
      </c>
      <c r="AL27" t="n">
        <v/>
      </c>
      <c r="AM27" t="n">
        <v/>
      </c>
      <c r="AN27" t="n">
        <v/>
      </c>
      <c r="AO27" t="n">
        <v/>
      </c>
      <c r="AP27" t="n">
        <v/>
      </c>
      <c r="AQ27" t="n">
        <v/>
      </c>
      <c r="AR27" t="n">
        <v/>
      </c>
      <c r="AS27" t="n">
        <v/>
      </c>
      <c r="AT27" t="n">
        <v/>
      </c>
      <c r="AU27" t="n">
        <v/>
      </c>
      <c r="AV27" t="n">
        <v/>
      </c>
      <c r="AW27" t="n">
        <v/>
      </c>
      <c r="AX27" t="n">
        <v/>
      </c>
    </row>
    <row r="28">
      <c r="A28" s="92" t="n">
        <v>18688</v>
      </c>
      <c r="B28" t="n">
        <v/>
      </c>
      <c r="C28" t="n">
        <v/>
      </c>
      <c r="D28" t="n">
        <v/>
      </c>
      <c r="E28" t="n">
        <v/>
      </c>
      <c r="F28" t="n">
        <v/>
      </c>
      <c r="G28" t="n">
        <v/>
      </c>
      <c r="H28" t="n">
        <v/>
      </c>
      <c r="I28" t="n">
        <v/>
      </c>
      <c r="J28" t="n">
        <v/>
      </c>
      <c r="K28" t="n">
        <v/>
      </c>
      <c r="L28" t="n">
        <v/>
      </c>
      <c r="M28" t="n">
        <v/>
      </c>
      <c r="N28" t="n">
        <v/>
      </c>
      <c r="O28" t="n">
        <v/>
      </c>
      <c r="P28" t="n">
        <v/>
      </c>
      <c r="Q28" t="n">
        <v/>
      </c>
      <c r="R28" t="n">
        <v/>
      </c>
      <c r="S28" t="n">
        <v/>
      </c>
      <c r="T28" t="n">
        <v/>
      </c>
      <c r="U28" t="n">
        <v/>
      </c>
      <c r="V28" t="n">
        <v/>
      </c>
      <c r="W28" t="n">
        <v/>
      </c>
      <c r="X28" t="n">
        <v/>
      </c>
      <c r="Y28" t="n">
        <v/>
      </c>
      <c r="Z28" t="n">
        <v/>
      </c>
      <c r="AA28" t="n">
        <v/>
      </c>
      <c r="AB28" t="n">
        <v/>
      </c>
      <c r="AC28" t="n">
        <v/>
      </c>
      <c r="AD28" t="n">
        <v/>
      </c>
      <c r="AE28" t="n">
        <v/>
      </c>
      <c r="AF28" t="n">
        <v/>
      </c>
      <c r="AG28" t="n">
        <v/>
      </c>
      <c r="AH28" t="n">
        <v/>
      </c>
      <c r="AI28" t="n">
        <v/>
      </c>
      <c r="AJ28" t="n">
        <v/>
      </c>
      <c r="AK28" t="n">
        <v/>
      </c>
      <c r="AL28" t="n">
        <v/>
      </c>
      <c r="AM28" t="n">
        <v/>
      </c>
      <c r="AN28" t="n">
        <v/>
      </c>
      <c r="AO28" t="n">
        <v/>
      </c>
      <c r="AP28" t="n">
        <v/>
      </c>
      <c r="AQ28" t="n">
        <v/>
      </c>
      <c r="AR28" t="n">
        <v/>
      </c>
      <c r="AS28" t="n">
        <v/>
      </c>
      <c r="AT28" t="n">
        <v/>
      </c>
      <c r="AU28" t="n">
        <v/>
      </c>
      <c r="AV28" t="n">
        <v/>
      </c>
      <c r="AW28" t="n">
        <v/>
      </c>
      <c r="AX28" t="n">
        <v/>
      </c>
    </row>
    <row r="29">
      <c r="A29" s="92" t="n">
        <v>18719</v>
      </c>
      <c r="B29" t="n">
        <v/>
      </c>
      <c r="C29" t="n">
        <v/>
      </c>
      <c r="D29" t="n">
        <v/>
      </c>
      <c r="E29" t="n">
        <v/>
      </c>
      <c r="F29" t="n">
        <v/>
      </c>
      <c r="G29" t="n">
        <v/>
      </c>
      <c r="H29" t="n">
        <v/>
      </c>
      <c r="I29" t="n">
        <v/>
      </c>
      <c r="J29" t="n">
        <v/>
      </c>
      <c r="K29" t="n">
        <v/>
      </c>
      <c r="L29" t="n">
        <v/>
      </c>
      <c r="M29" t="n">
        <v/>
      </c>
      <c r="N29" t="n">
        <v/>
      </c>
      <c r="O29" t="n">
        <v/>
      </c>
      <c r="P29" t="n">
        <v/>
      </c>
      <c r="Q29" t="n">
        <v/>
      </c>
      <c r="R29" t="n">
        <v/>
      </c>
      <c r="S29" t="n">
        <v/>
      </c>
      <c r="T29" t="n">
        <v/>
      </c>
      <c r="U29" t="n">
        <v/>
      </c>
      <c r="V29" t="n">
        <v/>
      </c>
      <c r="W29" t="n">
        <v/>
      </c>
      <c r="X29" t="n">
        <v/>
      </c>
      <c r="Y29" t="n">
        <v/>
      </c>
      <c r="Z29" t="n">
        <v/>
      </c>
      <c r="AA29" t="n">
        <v/>
      </c>
      <c r="AB29" t="n">
        <v/>
      </c>
      <c r="AC29" t="n">
        <v/>
      </c>
      <c r="AD29" t="n">
        <v/>
      </c>
      <c r="AE29" t="n">
        <v/>
      </c>
      <c r="AF29" t="n">
        <v/>
      </c>
      <c r="AG29" t="n">
        <v/>
      </c>
      <c r="AH29" t="n">
        <v/>
      </c>
      <c r="AI29" t="n">
        <v/>
      </c>
      <c r="AJ29" t="n">
        <v/>
      </c>
      <c r="AK29" t="n">
        <v/>
      </c>
      <c r="AL29" t="n">
        <v/>
      </c>
      <c r="AM29" t="n">
        <v/>
      </c>
      <c r="AN29" t="n">
        <v/>
      </c>
      <c r="AO29" t="n">
        <v/>
      </c>
      <c r="AP29" t="n">
        <v/>
      </c>
      <c r="AQ29" t="n">
        <v/>
      </c>
      <c r="AR29" t="n">
        <v/>
      </c>
      <c r="AS29" t="n">
        <v/>
      </c>
      <c r="AT29" t="n">
        <v/>
      </c>
      <c r="AU29" t="n">
        <v/>
      </c>
      <c r="AV29" t="n">
        <v/>
      </c>
      <c r="AW29" t="n">
        <v/>
      </c>
      <c r="AX29" t="n">
        <v/>
      </c>
    </row>
    <row r="30">
      <c r="A30" s="92" t="n">
        <v>18749</v>
      </c>
      <c r="B30" t="n">
        <v/>
      </c>
      <c r="C30" t="n">
        <v/>
      </c>
      <c r="D30" t="n">
        <v/>
      </c>
      <c r="E30" t="n">
        <v/>
      </c>
      <c r="F30" t="n">
        <v/>
      </c>
      <c r="G30" t="n">
        <v/>
      </c>
      <c r="H30" t="n">
        <v/>
      </c>
      <c r="I30" t="n">
        <v/>
      </c>
      <c r="J30" t="n">
        <v/>
      </c>
      <c r="K30" t="n">
        <v/>
      </c>
      <c r="L30" t="n">
        <v/>
      </c>
      <c r="M30" t="n">
        <v/>
      </c>
      <c r="N30" t="n">
        <v/>
      </c>
      <c r="O30" t="n">
        <v/>
      </c>
      <c r="P30" t="n">
        <v/>
      </c>
      <c r="Q30" t="n">
        <v/>
      </c>
      <c r="R30" t="n">
        <v/>
      </c>
      <c r="S30" t="n">
        <v/>
      </c>
      <c r="T30" t="n">
        <v/>
      </c>
      <c r="U30" t="n">
        <v/>
      </c>
      <c r="V30" t="n">
        <v/>
      </c>
      <c r="W30" t="n">
        <v/>
      </c>
      <c r="X30" t="n">
        <v/>
      </c>
      <c r="Y30" t="n">
        <v/>
      </c>
      <c r="Z30" t="n">
        <v/>
      </c>
      <c r="AA30" t="n">
        <v/>
      </c>
      <c r="AB30" t="n">
        <v/>
      </c>
      <c r="AC30" t="n">
        <v/>
      </c>
      <c r="AD30" t="n">
        <v/>
      </c>
      <c r="AE30" t="n">
        <v/>
      </c>
      <c r="AF30" t="n">
        <v/>
      </c>
      <c r="AG30" t="n">
        <v/>
      </c>
      <c r="AH30" t="n">
        <v/>
      </c>
      <c r="AI30" t="n">
        <v/>
      </c>
      <c r="AJ30" t="n">
        <v/>
      </c>
      <c r="AK30" t="n">
        <v/>
      </c>
      <c r="AL30" t="n">
        <v/>
      </c>
      <c r="AM30" t="n">
        <v/>
      </c>
      <c r="AN30" t="n">
        <v/>
      </c>
      <c r="AO30" t="n">
        <v/>
      </c>
      <c r="AP30" t="n">
        <v/>
      </c>
      <c r="AQ30" t="n">
        <v/>
      </c>
      <c r="AR30" t="n">
        <v/>
      </c>
      <c r="AS30" t="n">
        <v/>
      </c>
      <c r="AT30" t="n">
        <v/>
      </c>
      <c r="AU30" t="n">
        <v/>
      </c>
      <c r="AV30" t="n">
        <v/>
      </c>
      <c r="AW30" t="n">
        <v/>
      </c>
      <c r="AX30" t="n">
        <v/>
      </c>
    </row>
    <row r="31">
      <c r="A31" s="92" t="n">
        <v>18780</v>
      </c>
      <c r="B31" t="n">
        <v/>
      </c>
      <c r="C31" t="n">
        <v/>
      </c>
      <c r="D31" t="n">
        <v/>
      </c>
      <c r="E31" t="n">
        <v/>
      </c>
      <c r="F31" t="n">
        <v/>
      </c>
      <c r="G31" t="n">
        <v/>
      </c>
      <c r="H31" t="n">
        <v/>
      </c>
      <c r="I31" t="n">
        <v/>
      </c>
      <c r="J31" t="n">
        <v/>
      </c>
      <c r="K31" t="n">
        <v/>
      </c>
      <c r="L31" t="n">
        <v/>
      </c>
      <c r="M31" t="n">
        <v/>
      </c>
      <c r="N31" t="n">
        <v/>
      </c>
      <c r="O31" t="n">
        <v/>
      </c>
      <c r="P31" t="n">
        <v/>
      </c>
      <c r="Q31" t="n">
        <v/>
      </c>
      <c r="R31" t="n">
        <v/>
      </c>
      <c r="S31" t="n">
        <v/>
      </c>
      <c r="T31" t="n">
        <v/>
      </c>
      <c r="U31" t="n">
        <v/>
      </c>
      <c r="V31" t="n">
        <v/>
      </c>
      <c r="W31" t="n">
        <v/>
      </c>
      <c r="X31" t="n">
        <v/>
      </c>
      <c r="Y31" t="n">
        <v/>
      </c>
      <c r="Z31" t="n">
        <v/>
      </c>
      <c r="AA31" t="n">
        <v/>
      </c>
      <c r="AB31" t="n">
        <v/>
      </c>
      <c r="AC31" t="n">
        <v/>
      </c>
      <c r="AD31" t="n">
        <v/>
      </c>
      <c r="AE31" t="n">
        <v/>
      </c>
      <c r="AF31" t="n">
        <v/>
      </c>
      <c r="AG31" t="n">
        <v/>
      </c>
      <c r="AH31" t="n">
        <v/>
      </c>
      <c r="AI31" t="n">
        <v/>
      </c>
      <c r="AJ31" t="n">
        <v/>
      </c>
      <c r="AK31" t="n">
        <v/>
      </c>
      <c r="AL31" t="n">
        <v/>
      </c>
      <c r="AM31" t="n">
        <v/>
      </c>
      <c r="AN31" t="n">
        <v/>
      </c>
      <c r="AO31" t="n">
        <v/>
      </c>
      <c r="AP31" t="n">
        <v/>
      </c>
      <c r="AQ31" t="n">
        <v/>
      </c>
      <c r="AR31" t="n">
        <v/>
      </c>
      <c r="AS31" t="n">
        <v/>
      </c>
      <c r="AT31" t="n">
        <v/>
      </c>
      <c r="AU31" t="n">
        <v/>
      </c>
      <c r="AV31" t="n">
        <v/>
      </c>
      <c r="AW31" t="n">
        <v/>
      </c>
      <c r="AX31" t="n">
        <v/>
      </c>
    </row>
    <row r="32">
      <c r="A32" s="92" t="n">
        <v>18810</v>
      </c>
      <c r="B32" t="n">
        <v/>
      </c>
      <c r="C32" t="n">
        <v/>
      </c>
      <c r="D32" t="n">
        <v/>
      </c>
      <c r="E32" t="n">
        <v/>
      </c>
      <c r="F32" t="n">
        <v/>
      </c>
      <c r="G32" t="n">
        <v/>
      </c>
      <c r="H32" t="n">
        <v/>
      </c>
      <c r="I32" t="n">
        <v/>
      </c>
      <c r="J32" t="n">
        <v/>
      </c>
      <c r="K32" t="n">
        <v/>
      </c>
      <c r="L32" t="n">
        <v/>
      </c>
      <c r="M32" t="n">
        <v/>
      </c>
      <c r="N32" t="n">
        <v/>
      </c>
      <c r="O32" t="n">
        <v/>
      </c>
      <c r="P32" t="n">
        <v/>
      </c>
      <c r="Q32" t="n">
        <v/>
      </c>
      <c r="R32" t="n">
        <v/>
      </c>
      <c r="S32" t="n">
        <v/>
      </c>
      <c r="T32" t="n">
        <v/>
      </c>
      <c r="U32" t="n">
        <v/>
      </c>
      <c r="V32" t="n">
        <v/>
      </c>
      <c r="W32" t="n">
        <v/>
      </c>
      <c r="X32" t="n">
        <v/>
      </c>
      <c r="Y32" t="n">
        <v/>
      </c>
      <c r="Z32" t="n">
        <v/>
      </c>
      <c r="AA32" t="n">
        <v/>
      </c>
      <c r="AB32" t="n">
        <v/>
      </c>
      <c r="AC32" t="n">
        <v/>
      </c>
      <c r="AD32" t="n">
        <v/>
      </c>
      <c r="AE32" t="n">
        <v/>
      </c>
      <c r="AF32" t="n">
        <v/>
      </c>
      <c r="AG32" t="n">
        <v/>
      </c>
      <c r="AH32" t="n">
        <v/>
      </c>
      <c r="AI32" t="n">
        <v/>
      </c>
      <c r="AJ32" t="n">
        <v/>
      </c>
      <c r="AK32" t="n">
        <v/>
      </c>
      <c r="AL32" t="n">
        <v/>
      </c>
      <c r="AM32" t="n">
        <v/>
      </c>
      <c r="AN32" t="n">
        <v/>
      </c>
      <c r="AO32" t="n">
        <v/>
      </c>
      <c r="AP32" t="n">
        <v/>
      </c>
      <c r="AQ32" t="n">
        <v/>
      </c>
      <c r="AR32" t="n">
        <v/>
      </c>
      <c r="AS32" t="n">
        <v/>
      </c>
      <c r="AT32" t="n">
        <v/>
      </c>
      <c r="AU32" t="n">
        <v/>
      </c>
      <c r="AV32" t="n">
        <v/>
      </c>
      <c r="AW32" t="n">
        <v/>
      </c>
      <c r="AX32" t="n">
        <v/>
      </c>
    </row>
    <row r="33">
      <c r="A33" s="92" t="n">
        <v>18841</v>
      </c>
      <c r="B33" t="n">
        <v/>
      </c>
      <c r="C33" t="n">
        <v/>
      </c>
      <c r="D33" t="n">
        <v/>
      </c>
      <c r="E33" t="n">
        <v/>
      </c>
      <c r="F33" t="n">
        <v/>
      </c>
      <c r="G33" t="n">
        <v/>
      </c>
      <c r="H33" t="n">
        <v/>
      </c>
      <c r="I33" t="n">
        <v/>
      </c>
      <c r="J33" t="n">
        <v/>
      </c>
      <c r="K33" t="n">
        <v/>
      </c>
      <c r="L33" t="n">
        <v/>
      </c>
      <c r="M33" t="n">
        <v/>
      </c>
      <c r="N33" t="n">
        <v/>
      </c>
      <c r="O33" t="n">
        <v/>
      </c>
      <c r="P33" t="n">
        <v/>
      </c>
      <c r="Q33" t="n">
        <v/>
      </c>
      <c r="R33" t="n">
        <v/>
      </c>
      <c r="S33" t="n">
        <v/>
      </c>
      <c r="T33" t="n">
        <v/>
      </c>
      <c r="U33" t="n">
        <v/>
      </c>
      <c r="V33" t="n">
        <v/>
      </c>
      <c r="W33" t="n">
        <v/>
      </c>
      <c r="X33" t="n">
        <v/>
      </c>
      <c r="Y33" t="n">
        <v/>
      </c>
      <c r="Z33" t="n">
        <v/>
      </c>
      <c r="AA33" t="n">
        <v/>
      </c>
      <c r="AB33" t="n">
        <v/>
      </c>
      <c r="AC33" t="n">
        <v/>
      </c>
      <c r="AD33" t="n">
        <v/>
      </c>
      <c r="AE33" t="n">
        <v/>
      </c>
      <c r="AF33" t="n">
        <v/>
      </c>
      <c r="AG33" t="n">
        <v/>
      </c>
      <c r="AH33" t="n">
        <v/>
      </c>
      <c r="AI33" t="n">
        <v/>
      </c>
      <c r="AJ33" t="n">
        <v/>
      </c>
      <c r="AK33" t="n">
        <v/>
      </c>
      <c r="AL33" t="n">
        <v/>
      </c>
      <c r="AM33" t="n">
        <v/>
      </c>
      <c r="AN33" t="n">
        <v/>
      </c>
      <c r="AO33" t="n">
        <v/>
      </c>
      <c r="AP33" t="n">
        <v/>
      </c>
      <c r="AQ33" t="n">
        <v/>
      </c>
      <c r="AR33" t="n">
        <v/>
      </c>
      <c r="AS33" t="n">
        <v/>
      </c>
      <c r="AT33" t="n">
        <v/>
      </c>
      <c r="AU33" t="n">
        <v/>
      </c>
      <c r="AV33" t="n">
        <v/>
      </c>
      <c r="AW33" t="n">
        <v/>
      </c>
      <c r="AX33" t="n">
        <v/>
      </c>
    </row>
    <row r="34">
      <c r="A34" s="92" t="n">
        <v>18872</v>
      </c>
      <c r="B34" t="n">
        <v/>
      </c>
      <c r="C34" t="n">
        <v/>
      </c>
      <c r="D34" t="n">
        <v/>
      </c>
      <c r="E34" t="n">
        <v/>
      </c>
      <c r="F34" t="n">
        <v/>
      </c>
      <c r="G34" t="n">
        <v/>
      </c>
      <c r="H34" t="n">
        <v/>
      </c>
      <c r="I34" t="n">
        <v/>
      </c>
      <c r="J34" t="n">
        <v/>
      </c>
      <c r="K34" t="n">
        <v/>
      </c>
      <c r="L34" t="n">
        <v/>
      </c>
      <c r="M34" t="n">
        <v/>
      </c>
      <c r="N34" t="n">
        <v/>
      </c>
      <c r="O34" t="n">
        <v/>
      </c>
      <c r="P34" t="n">
        <v/>
      </c>
      <c r="Q34" t="n">
        <v/>
      </c>
      <c r="R34" t="n">
        <v/>
      </c>
      <c r="S34" t="n">
        <v/>
      </c>
      <c r="T34" t="n">
        <v/>
      </c>
      <c r="U34" t="n">
        <v/>
      </c>
      <c r="V34" t="n">
        <v/>
      </c>
      <c r="W34" t="n">
        <v/>
      </c>
      <c r="X34" t="n">
        <v/>
      </c>
      <c r="Y34" t="n">
        <v/>
      </c>
      <c r="Z34" t="n">
        <v/>
      </c>
      <c r="AA34" t="n">
        <v/>
      </c>
      <c r="AB34" t="n">
        <v/>
      </c>
      <c r="AC34" t="n">
        <v/>
      </c>
      <c r="AD34" t="n">
        <v/>
      </c>
      <c r="AE34" t="n">
        <v/>
      </c>
      <c r="AF34" t="n">
        <v/>
      </c>
      <c r="AG34" t="n">
        <v/>
      </c>
      <c r="AH34" t="n">
        <v/>
      </c>
      <c r="AI34" t="n">
        <v/>
      </c>
      <c r="AJ34" t="n">
        <v/>
      </c>
      <c r="AK34" t="n">
        <v/>
      </c>
      <c r="AL34" t="n">
        <v/>
      </c>
      <c r="AM34" t="n">
        <v/>
      </c>
      <c r="AN34" t="n">
        <v/>
      </c>
      <c r="AO34" t="n">
        <v/>
      </c>
      <c r="AP34" t="n">
        <v/>
      </c>
      <c r="AQ34" t="n">
        <v/>
      </c>
      <c r="AR34" t="n">
        <v/>
      </c>
      <c r="AS34" t="n">
        <v/>
      </c>
      <c r="AT34" t="n">
        <v/>
      </c>
      <c r="AU34" t="n">
        <v/>
      </c>
      <c r="AV34" t="n">
        <v/>
      </c>
      <c r="AW34" t="n">
        <v/>
      </c>
      <c r="AX34" t="n">
        <v/>
      </c>
    </row>
    <row r="35">
      <c r="A35" s="92" t="n">
        <v>18902</v>
      </c>
      <c r="B35" t="n">
        <v/>
      </c>
      <c r="C35" t="n">
        <v/>
      </c>
      <c r="D35" t="n">
        <v/>
      </c>
      <c r="E35" t="n">
        <v/>
      </c>
      <c r="F35" t="n">
        <v/>
      </c>
      <c r="G35" t="n">
        <v/>
      </c>
      <c r="H35" t="n">
        <v/>
      </c>
      <c r="I35" t="n">
        <v/>
      </c>
      <c r="J35" t="n">
        <v/>
      </c>
      <c r="K35" t="n">
        <v/>
      </c>
      <c r="L35" t="n">
        <v/>
      </c>
      <c r="M35" t="n">
        <v/>
      </c>
      <c r="N35" t="n">
        <v/>
      </c>
      <c r="O35" t="n">
        <v/>
      </c>
      <c r="P35" t="n">
        <v/>
      </c>
      <c r="Q35" t="n">
        <v/>
      </c>
      <c r="R35" t="n">
        <v/>
      </c>
      <c r="S35" t="n">
        <v/>
      </c>
      <c r="T35" t="n">
        <v/>
      </c>
      <c r="U35" t="n">
        <v/>
      </c>
      <c r="V35" t="n">
        <v/>
      </c>
      <c r="W35" t="n">
        <v/>
      </c>
      <c r="X35" t="n">
        <v/>
      </c>
      <c r="Y35" t="n">
        <v/>
      </c>
      <c r="Z35" t="n">
        <v/>
      </c>
      <c r="AA35" t="n">
        <v/>
      </c>
      <c r="AB35" t="n">
        <v/>
      </c>
      <c r="AC35" t="n">
        <v/>
      </c>
      <c r="AD35" t="n">
        <v/>
      </c>
      <c r="AE35" t="n">
        <v/>
      </c>
      <c r="AF35" t="n">
        <v/>
      </c>
      <c r="AG35" t="n">
        <v/>
      </c>
      <c r="AH35" t="n">
        <v/>
      </c>
      <c r="AI35" t="n">
        <v/>
      </c>
      <c r="AJ35" t="n">
        <v/>
      </c>
      <c r="AK35" t="n">
        <v/>
      </c>
      <c r="AL35" t="n">
        <v/>
      </c>
      <c r="AM35" t="n">
        <v/>
      </c>
      <c r="AN35" t="n">
        <v/>
      </c>
      <c r="AO35" t="n">
        <v/>
      </c>
      <c r="AP35" t="n">
        <v/>
      </c>
      <c r="AQ35" t="n">
        <v/>
      </c>
      <c r="AR35" t="n">
        <v/>
      </c>
      <c r="AS35" t="n">
        <v/>
      </c>
      <c r="AT35" t="n">
        <v/>
      </c>
      <c r="AU35" t="n">
        <v/>
      </c>
      <c r="AV35" t="n">
        <v/>
      </c>
      <c r="AW35" t="n">
        <v/>
      </c>
      <c r="AX35" t="n">
        <v/>
      </c>
    </row>
    <row r="36">
      <c r="A36" s="92" t="n">
        <v>18933</v>
      </c>
      <c r="B36" t="n">
        <v/>
      </c>
      <c r="C36" t="n">
        <v/>
      </c>
      <c r="D36" t="n">
        <v/>
      </c>
      <c r="E36" t="n">
        <v/>
      </c>
      <c r="F36" t="n">
        <v/>
      </c>
      <c r="G36" t="n">
        <v/>
      </c>
      <c r="H36" t="n">
        <v/>
      </c>
      <c r="I36" t="n">
        <v/>
      </c>
      <c r="J36" t="n">
        <v/>
      </c>
      <c r="K36" t="n">
        <v/>
      </c>
      <c r="L36" t="n">
        <v/>
      </c>
      <c r="M36" t="n">
        <v/>
      </c>
      <c r="N36" t="n">
        <v/>
      </c>
      <c r="O36" t="n">
        <v/>
      </c>
      <c r="P36" t="n">
        <v/>
      </c>
      <c r="Q36" t="n">
        <v/>
      </c>
      <c r="R36" t="n">
        <v/>
      </c>
      <c r="S36" t="n">
        <v/>
      </c>
      <c r="T36" t="n">
        <v/>
      </c>
      <c r="U36" t="n">
        <v/>
      </c>
      <c r="V36" t="n">
        <v/>
      </c>
      <c r="W36" t="n">
        <v/>
      </c>
      <c r="X36" t="n">
        <v/>
      </c>
      <c r="Y36" t="n">
        <v/>
      </c>
      <c r="Z36" t="n">
        <v/>
      </c>
      <c r="AA36" t="n">
        <v/>
      </c>
      <c r="AB36" t="n">
        <v/>
      </c>
      <c r="AC36" t="n">
        <v/>
      </c>
      <c r="AD36" t="n">
        <v/>
      </c>
      <c r="AE36" t="n">
        <v/>
      </c>
      <c r="AF36" t="n">
        <v/>
      </c>
      <c r="AG36" t="n">
        <v/>
      </c>
      <c r="AH36" t="n">
        <v/>
      </c>
      <c r="AI36" t="n">
        <v/>
      </c>
      <c r="AJ36" t="n">
        <v/>
      </c>
      <c r="AK36" t="n">
        <v/>
      </c>
      <c r="AL36" t="n">
        <v/>
      </c>
      <c r="AM36" t="n">
        <v/>
      </c>
      <c r="AN36" t="n">
        <v/>
      </c>
      <c r="AO36" t="n">
        <v/>
      </c>
      <c r="AP36" t="n">
        <v/>
      </c>
      <c r="AQ36" t="n">
        <v/>
      </c>
      <c r="AR36" t="n">
        <v/>
      </c>
      <c r="AS36" t="n">
        <v/>
      </c>
      <c r="AT36" t="n">
        <v/>
      </c>
      <c r="AU36" t="n">
        <v/>
      </c>
      <c r="AV36" t="n">
        <v/>
      </c>
      <c r="AW36" t="n">
        <v/>
      </c>
      <c r="AX36" t="n">
        <v/>
      </c>
    </row>
    <row r="37">
      <c r="A37" s="92" t="n">
        <v>18963</v>
      </c>
      <c r="B37" t="n">
        <v/>
      </c>
      <c r="C37" t="n">
        <v/>
      </c>
      <c r="D37" t="n">
        <v/>
      </c>
      <c r="E37" t="n">
        <v/>
      </c>
      <c r="F37" t="n">
        <v/>
      </c>
      <c r="G37" t="n">
        <v/>
      </c>
      <c r="H37" t="n">
        <v/>
      </c>
      <c r="I37" t="n">
        <v/>
      </c>
      <c r="J37" t="n">
        <v/>
      </c>
      <c r="K37" t="n">
        <v/>
      </c>
      <c r="L37" t="n">
        <v/>
      </c>
      <c r="M37" t="n">
        <v/>
      </c>
      <c r="N37" t="n">
        <v/>
      </c>
      <c r="O37" t="n">
        <v/>
      </c>
      <c r="P37" t="n">
        <v/>
      </c>
      <c r="Q37" t="n">
        <v/>
      </c>
      <c r="R37" t="n">
        <v/>
      </c>
      <c r="S37" t="n">
        <v/>
      </c>
      <c r="T37" t="n">
        <v/>
      </c>
      <c r="U37" t="n">
        <v/>
      </c>
      <c r="V37" t="n">
        <v/>
      </c>
      <c r="W37" t="n">
        <v/>
      </c>
      <c r="X37" t="n">
        <v/>
      </c>
      <c r="Y37" t="n">
        <v/>
      </c>
      <c r="Z37" t="n">
        <v/>
      </c>
      <c r="AA37" t="n">
        <v/>
      </c>
      <c r="AB37" t="n">
        <v/>
      </c>
      <c r="AC37" t="n">
        <v/>
      </c>
      <c r="AD37" t="n">
        <v/>
      </c>
      <c r="AE37" t="n">
        <v/>
      </c>
      <c r="AF37" t="n">
        <v/>
      </c>
      <c r="AG37" t="n">
        <v/>
      </c>
      <c r="AH37" t="n">
        <v/>
      </c>
      <c r="AI37" t="n">
        <v/>
      </c>
      <c r="AJ37" t="n">
        <v/>
      </c>
      <c r="AK37" t="n">
        <v/>
      </c>
      <c r="AL37" t="n">
        <v/>
      </c>
      <c r="AM37" t="n">
        <v/>
      </c>
      <c r="AN37" t="n">
        <v/>
      </c>
      <c r="AO37" t="n">
        <v/>
      </c>
      <c r="AP37" t="n">
        <v/>
      </c>
      <c r="AQ37" t="n">
        <v/>
      </c>
      <c r="AR37" t="n">
        <v/>
      </c>
      <c r="AS37" t="n">
        <v/>
      </c>
      <c r="AT37" t="n">
        <v/>
      </c>
      <c r="AU37" t="n">
        <v/>
      </c>
      <c r="AV37" t="n">
        <v/>
      </c>
      <c r="AW37" t="n">
        <v/>
      </c>
      <c r="AX37" t="n">
        <v/>
      </c>
    </row>
    <row r="38">
      <c r="A38" s="92" t="n">
        <v>18994</v>
      </c>
      <c r="B38" t="n">
        <v/>
      </c>
      <c r="C38" t="n">
        <v/>
      </c>
      <c r="D38" t="n">
        <v/>
      </c>
      <c r="E38" t="n">
        <v/>
      </c>
      <c r="F38" t="n">
        <v/>
      </c>
      <c r="G38" t="n">
        <v/>
      </c>
      <c r="H38" t="n">
        <v/>
      </c>
      <c r="I38" t="n">
        <v/>
      </c>
      <c r="J38" t="n">
        <v/>
      </c>
      <c r="K38" t="n">
        <v/>
      </c>
      <c r="L38" t="n">
        <v/>
      </c>
      <c r="M38" t="n">
        <v/>
      </c>
      <c r="N38" t="n">
        <v/>
      </c>
      <c r="O38" t="n">
        <v/>
      </c>
      <c r="P38" t="n">
        <v/>
      </c>
      <c r="Q38" t="n">
        <v/>
      </c>
      <c r="R38" t="n">
        <v/>
      </c>
      <c r="S38" t="n">
        <v/>
      </c>
      <c r="T38" t="n">
        <v/>
      </c>
      <c r="U38" t="n">
        <v/>
      </c>
      <c r="V38" t="n">
        <v/>
      </c>
      <c r="W38" t="n">
        <v/>
      </c>
      <c r="X38" t="n">
        <v/>
      </c>
      <c r="Y38" t="n">
        <v/>
      </c>
      <c r="Z38" t="n">
        <v/>
      </c>
      <c r="AA38" t="n">
        <v/>
      </c>
      <c r="AB38" t="n">
        <v/>
      </c>
      <c r="AC38" t="n">
        <v/>
      </c>
      <c r="AD38" t="n">
        <v/>
      </c>
      <c r="AE38" t="n">
        <v/>
      </c>
      <c r="AF38" t="n">
        <v/>
      </c>
      <c r="AG38" t="n">
        <v/>
      </c>
      <c r="AH38" t="n">
        <v/>
      </c>
      <c r="AI38" t="n">
        <v/>
      </c>
      <c r="AJ38" t="n">
        <v/>
      </c>
      <c r="AK38" t="n">
        <v/>
      </c>
      <c r="AL38" t="n">
        <v/>
      </c>
      <c r="AM38" t="n">
        <v/>
      </c>
      <c r="AN38" t="n">
        <v/>
      </c>
      <c r="AO38" t="n">
        <v/>
      </c>
      <c r="AP38" t="n">
        <v/>
      </c>
      <c r="AQ38" t="n">
        <v/>
      </c>
      <c r="AR38" t="n">
        <v/>
      </c>
      <c r="AS38" t="n">
        <v/>
      </c>
      <c r="AT38" t="n">
        <v/>
      </c>
      <c r="AU38" t="n">
        <v/>
      </c>
      <c r="AV38" t="n">
        <v/>
      </c>
      <c r="AW38" t="n">
        <v/>
      </c>
      <c r="AX38" t="n">
        <v/>
      </c>
    </row>
    <row r="39">
      <c r="A39" s="92" t="n">
        <v>19025</v>
      </c>
      <c r="B39" t="n">
        <v/>
      </c>
      <c r="C39" t="n">
        <v/>
      </c>
      <c r="D39" t="n">
        <v/>
      </c>
      <c r="E39" t="n">
        <v/>
      </c>
      <c r="F39" t="n">
        <v/>
      </c>
      <c r="G39" t="n">
        <v/>
      </c>
      <c r="H39" t="n">
        <v/>
      </c>
      <c r="I39" t="n">
        <v/>
      </c>
      <c r="J39" t="n">
        <v/>
      </c>
      <c r="K39" t="n">
        <v/>
      </c>
      <c r="L39" t="n">
        <v/>
      </c>
      <c r="M39" t="n">
        <v/>
      </c>
      <c r="N39" t="n">
        <v/>
      </c>
      <c r="O39" t="n">
        <v/>
      </c>
      <c r="P39" t="n">
        <v/>
      </c>
      <c r="Q39" t="n">
        <v/>
      </c>
      <c r="R39" t="n">
        <v/>
      </c>
      <c r="S39" t="n">
        <v/>
      </c>
      <c r="T39" t="n">
        <v/>
      </c>
      <c r="U39" t="n">
        <v/>
      </c>
      <c r="V39" t="n">
        <v/>
      </c>
      <c r="W39" t="n">
        <v/>
      </c>
      <c r="X39" t="n">
        <v/>
      </c>
      <c r="Y39" t="n">
        <v/>
      </c>
      <c r="Z39" t="n">
        <v/>
      </c>
      <c r="AA39" t="n">
        <v/>
      </c>
      <c r="AB39" t="n">
        <v/>
      </c>
      <c r="AC39" t="n">
        <v/>
      </c>
      <c r="AD39" t="n">
        <v/>
      </c>
      <c r="AE39" t="n">
        <v/>
      </c>
      <c r="AF39" t="n">
        <v/>
      </c>
      <c r="AG39" t="n">
        <v/>
      </c>
      <c r="AH39" t="n">
        <v/>
      </c>
      <c r="AI39" t="n">
        <v/>
      </c>
      <c r="AJ39" t="n">
        <v/>
      </c>
      <c r="AK39" t="n">
        <v/>
      </c>
      <c r="AL39" t="n">
        <v/>
      </c>
      <c r="AM39" t="n">
        <v/>
      </c>
      <c r="AN39" t="n">
        <v/>
      </c>
      <c r="AO39" t="n">
        <v/>
      </c>
      <c r="AP39" t="n">
        <v/>
      </c>
      <c r="AQ39" t="n">
        <v/>
      </c>
      <c r="AR39" t="n">
        <v/>
      </c>
      <c r="AS39" t="n">
        <v/>
      </c>
      <c r="AT39" t="n">
        <v/>
      </c>
      <c r="AU39" t="n">
        <v/>
      </c>
      <c r="AV39" t="n">
        <v/>
      </c>
      <c r="AW39" t="n">
        <v/>
      </c>
      <c r="AX39" t="n">
        <v/>
      </c>
    </row>
    <row r="40">
      <c r="A40" s="92" t="n">
        <v>19054</v>
      </c>
      <c r="B40" t="n">
        <v/>
      </c>
      <c r="C40" t="n">
        <v/>
      </c>
      <c r="D40" t="n">
        <v/>
      </c>
      <c r="E40" t="n">
        <v/>
      </c>
      <c r="F40" t="n">
        <v/>
      </c>
      <c r="G40" t="n">
        <v/>
      </c>
      <c r="H40" t="n">
        <v/>
      </c>
      <c r="I40" t="n">
        <v/>
      </c>
      <c r="J40" t="n">
        <v/>
      </c>
      <c r="K40" t="n">
        <v/>
      </c>
      <c r="L40" t="n">
        <v/>
      </c>
      <c r="M40" t="n">
        <v/>
      </c>
      <c r="N40" t="n">
        <v/>
      </c>
      <c r="O40" t="n">
        <v/>
      </c>
      <c r="P40" t="n">
        <v/>
      </c>
      <c r="Q40" t="n">
        <v/>
      </c>
      <c r="R40" t="n">
        <v/>
      </c>
      <c r="S40" t="n">
        <v/>
      </c>
      <c r="T40" t="n">
        <v/>
      </c>
      <c r="U40" t="n">
        <v/>
      </c>
      <c r="V40" t="n">
        <v/>
      </c>
      <c r="W40" t="n">
        <v/>
      </c>
      <c r="X40" t="n">
        <v/>
      </c>
      <c r="Y40" t="n">
        <v/>
      </c>
      <c r="Z40" t="n">
        <v/>
      </c>
      <c r="AA40" t="n">
        <v/>
      </c>
      <c r="AB40" t="n">
        <v/>
      </c>
      <c r="AC40" t="n">
        <v/>
      </c>
      <c r="AD40" t="n">
        <v/>
      </c>
      <c r="AE40" t="n">
        <v/>
      </c>
      <c r="AF40" t="n">
        <v/>
      </c>
      <c r="AG40" t="n">
        <v/>
      </c>
      <c r="AH40" t="n">
        <v/>
      </c>
      <c r="AI40" t="n">
        <v/>
      </c>
      <c r="AJ40" t="n">
        <v/>
      </c>
      <c r="AK40" t="n">
        <v/>
      </c>
      <c r="AL40" t="n">
        <v/>
      </c>
      <c r="AM40" t="n">
        <v/>
      </c>
      <c r="AN40" t="n">
        <v/>
      </c>
      <c r="AO40" t="n">
        <v/>
      </c>
      <c r="AP40" t="n">
        <v/>
      </c>
      <c r="AQ40" t="n">
        <v/>
      </c>
      <c r="AR40" t="n">
        <v/>
      </c>
      <c r="AS40" t="n">
        <v/>
      </c>
      <c r="AT40" t="n">
        <v/>
      </c>
      <c r="AU40" t="n">
        <v/>
      </c>
      <c r="AV40" t="n">
        <v/>
      </c>
      <c r="AW40" t="n">
        <v/>
      </c>
      <c r="AX40" t="n">
        <v/>
      </c>
    </row>
    <row r="41">
      <c r="A41" s="92" t="n">
        <v>19085</v>
      </c>
      <c r="B41" t="n">
        <v/>
      </c>
      <c r="C41" t="n">
        <v/>
      </c>
      <c r="D41" t="n">
        <v/>
      </c>
      <c r="E41" t="n">
        <v/>
      </c>
      <c r="F41" t="n">
        <v/>
      </c>
      <c r="G41" t="n">
        <v/>
      </c>
      <c r="H41" t="n">
        <v/>
      </c>
      <c r="I41" t="n">
        <v/>
      </c>
      <c r="J41" t="n">
        <v/>
      </c>
      <c r="K41" t="n">
        <v/>
      </c>
      <c r="L41" t="n">
        <v/>
      </c>
      <c r="M41" t="n">
        <v/>
      </c>
      <c r="N41" t="n">
        <v/>
      </c>
      <c r="O41" t="n">
        <v/>
      </c>
      <c r="P41" t="n">
        <v/>
      </c>
      <c r="Q41" t="n">
        <v/>
      </c>
      <c r="R41" t="n">
        <v/>
      </c>
      <c r="S41" t="n">
        <v/>
      </c>
      <c r="T41" t="n">
        <v/>
      </c>
      <c r="U41" t="n">
        <v/>
      </c>
      <c r="V41" t="n">
        <v/>
      </c>
      <c r="W41" t="n">
        <v/>
      </c>
      <c r="X41" t="n">
        <v/>
      </c>
      <c r="Y41" t="n">
        <v/>
      </c>
      <c r="Z41" t="n">
        <v/>
      </c>
      <c r="AA41" t="n">
        <v/>
      </c>
      <c r="AB41" t="n">
        <v/>
      </c>
      <c r="AC41" t="n">
        <v/>
      </c>
      <c r="AD41" t="n">
        <v/>
      </c>
      <c r="AE41" t="n">
        <v/>
      </c>
      <c r="AF41" t="n">
        <v/>
      </c>
      <c r="AG41" t="n">
        <v/>
      </c>
      <c r="AH41" t="n">
        <v/>
      </c>
      <c r="AI41" t="n">
        <v/>
      </c>
      <c r="AJ41" t="n">
        <v/>
      </c>
      <c r="AK41" t="n">
        <v/>
      </c>
      <c r="AL41" t="n">
        <v/>
      </c>
      <c r="AM41" t="n">
        <v/>
      </c>
      <c r="AN41" t="n">
        <v/>
      </c>
      <c r="AO41" t="n">
        <v/>
      </c>
      <c r="AP41" t="n">
        <v/>
      </c>
      <c r="AQ41" t="n">
        <v/>
      </c>
      <c r="AR41" t="n">
        <v/>
      </c>
      <c r="AS41" t="n">
        <v/>
      </c>
      <c r="AT41" t="n">
        <v/>
      </c>
      <c r="AU41" t="n">
        <v/>
      </c>
      <c r="AV41" t="n">
        <v/>
      </c>
      <c r="AW41" t="n">
        <v/>
      </c>
      <c r="AX41" t="n">
        <v/>
      </c>
    </row>
    <row r="42">
      <c r="A42" s="92" t="n">
        <v>19115</v>
      </c>
      <c r="B42" t="n">
        <v/>
      </c>
      <c r="C42" t="n">
        <v/>
      </c>
      <c r="D42" t="n">
        <v/>
      </c>
      <c r="E42" t="n">
        <v/>
      </c>
      <c r="F42" t="n">
        <v/>
      </c>
      <c r="G42" t="n">
        <v/>
      </c>
      <c r="H42" t="n">
        <v/>
      </c>
      <c r="I42" t="n">
        <v/>
      </c>
      <c r="J42" t="n">
        <v/>
      </c>
      <c r="K42" t="n">
        <v/>
      </c>
      <c r="L42" t="n">
        <v/>
      </c>
      <c r="M42" t="n">
        <v/>
      </c>
      <c r="N42" t="n">
        <v/>
      </c>
      <c r="O42" t="n">
        <v/>
      </c>
      <c r="P42" t="n">
        <v/>
      </c>
      <c r="Q42" t="n">
        <v/>
      </c>
      <c r="R42" t="n">
        <v/>
      </c>
      <c r="S42" t="n">
        <v/>
      </c>
      <c r="T42" t="n">
        <v/>
      </c>
      <c r="U42" t="n">
        <v/>
      </c>
      <c r="V42" t="n">
        <v/>
      </c>
      <c r="W42" t="n">
        <v/>
      </c>
      <c r="X42" t="n">
        <v/>
      </c>
      <c r="Y42" t="n">
        <v/>
      </c>
      <c r="Z42" t="n">
        <v/>
      </c>
      <c r="AA42" t="n">
        <v/>
      </c>
      <c r="AB42" t="n">
        <v/>
      </c>
      <c r="AC42" t="n">
        <v/>
      </c>
      <c r="AD42" t="n">
        <v/>
      </c>
      <c r="AE42" t="n">
        <v/>
      </c>
      <c r="AF42" t="n">
        <v/>
      </c>
      <c r="AG42" t="n">
        <v/>
      </c>
      <c r="AH42" t="n">
        <v/>
      </c>
      <c r="AI42" t="n">
        <v/>
      </c>
      <c r="AJ42" t="n">
        <v/>
      </c>
      <c r="AK42" t="n">
        <v/>
      </c>
      <c r="AL42" t="n">
        <v/>
      </c>
      <c r="AM42" t="n">
        <v/>
      </c>
      <c r="AN42" t="n">
        <v/>
      </c>
      <c r="AO42" t="n">
        <v/>
      </c>
      <c r="AP42" t="n">
        <v/>
      </c>
      <c r="AQ42" t="n">
        <v/>
      </c>
      <c r="AR42" t="n">
        <v/>
      </c>
      <c r="AS42" t="n">
        <v/>
      </c>
      <c r="AT42" t="n">
        <v/>
      </c>
      <c r="AU42" t="n">
        <v/>
      </c>
      <c r="AV42" t="n">
        <v/>
      </c>
      <c r="AW42" t="n">
        <v/>
      </c>
      <c r="AX42" t="n">
        <v/>
      </c>
    </row>
    <row r="43">
      <c r="A43" s="92" t="n">
        <v>19146</v>
      </c>
      <c r="B43" t="n">
        <v/>
      </c>
      <c r="C43" t="n">
        <v/>
      </c>
      <c r="D43" t="n">
        <v/>
      </c>
      <c r="E43" t="n">
        <v/>
      </c>
      <c r="F43" t="n">
        <v/>
      </c>
      <c r="G43" t="n">
        <v/>
      </c>
      <c r="H43" t="n">
        <v/>
      </c>
      <c r="I43" t="n">
        <v/>
      </c>
      <c r="J43" t="n">
        <v/>
      </c>
      <c r="K43" t="n">
        <v/>
      </c>
      <c r="L43" t="n">
        <v/>
      </c>
      <c r="M43" t="n">
        <v/>
      </c>
      <c r="N43" t="n">
        <v/>
      </c>
      <c r="O43" t="n">
        <v/>
      </c>
      <c r="P43" t="n">
        <v/>
      </c>
      <c r="Q43" t="n">
        <v/>
      </c>
      <c r="R43" t="n">
        <v/>
      </c>
      <c r="S43" t="n">
        <v/>
      </c>
      <c r="T43" t="n">
        <v/>
      </c>
      <c r="U43" t="n">
        <v/>
      </c>
      <c r="V43" t="n">
        <v/>
      </c>
      <c r="W43" t="n">
        <v/>
      </c>
      <c r="X43" t="n">
        <v/>
      </c>
      <c r="Y43" t="n">
        <v/>
      </c>
      <c r="Z43" t="n">
        <v/>
      </c>
      <c r="AA43" t="n">
        <v/>
      </c>
      <c r="AB43" t="n">
        <v/>
      </c>
      <c r="AC43" t="n">
        <v/>
      </c>
      <c r="AD43" t="n">
        <v/>
      </c>
      <c r="AE43" t="n">
        <v/>
      </c>
      <c r="AF43" t="n">
        <v/>
      </c>
      <c r="AG43" t="n">
        <v/>
      </c>
      <c r="AH43" t="n">
        <v/>
      </c>
      <c r="AI43" t="n">
        <v/>
      </c>
      <c r="AJ43" t="n">
        <v/>
      </c>
      <c r="AK43" t="n">
        <v/>
      </c>
      <c r="AL43" t="n">
        <v/>
      </c>
      <c r="AM43" t="n">
        <v/>
      </c>
      <c r="AN43" t="n">
        <v/>
      </c>
      <c r="AO43" t="n">
        <v/>
      </c>
      <c r="AP43" t="n">
        <v/>
      </c>
      <c r="AQ43" t="n">
        <v/>
      </c>
      <c r="AR43" t="n">
        <v/>
      </c>
      <c r="AS43" t="n">
        <v/>
      </c>
      <c r="AT43" t="n">
        <v/>
      </c>
      <c r="AU43" t="n">
        <v/>
      </c>
      <c r="AV43" t="n">
        <v/>
      </c>
      <c r="AW43" t="n">
        <v/>
      </c>
      <c r="AX43" t="n">
        <v/>
      </c>
    </row>
    <row r="44">
      <c r="A44" s="92" t="n">
        <v>19176</v>
      </c>
      <c r="B44" t="n">
        <v/>
      </c>
      <c r="C44" t="n">
        <v/>
      </c>
      <c r="D44" t="n">
        <v/>
      </c>
      <c r="E44" t="n">
        <v/>
      </c>
      <c r="F44" t="n">
        <v/>
      </c>
      <c r="G44" t="n">
        <v/>
      </c>
      <c r="H44" t="n">
        <v/>
      </c>
      <c r="I44" t="n">
        <v/>
      </c>
      <c r="J44" t="n">
        <v/>
      </c>
      <c r="K44" t="n">
        <v/>
      </c>
      <c r="L44" t="n">
        <v/>
      </c>
      <c r="M44" t="n">
        <v/>
      </c>
      <c r="N44" t="n">
        <v/>
      </c>
      <c r="O44" t="n">
        <v/>
      </c>
      <c r="P44" t="n">
        <v/>
      </c>
      <c r="Q44" t="n">
        <v/>
      </c>
      <c r="R44" t="n">
        <v/>
      </c>
      <c r="S44" t="n">
        <v/>
      </c>
      <c r="T44" t="n">
        <v/>
      </c>
      <c r="U44" t="n">
        <v/>
      </c>
      <c r="V44" t="n">
        <v/>
      </c>
      <c r="W44" t="n">
        <v/>
      </c>
      <c r="X44" t="n">
        <v/>
      </c>
      <c r="Y44" t="n">
        <v/>
      </c>
      <c r="Z44" t="n">
        <v/>
      </c>
      <c r="AA44" t="n">
        <v/>
      </c>
      <c r="AB44" t="n">
        <v/>
      </c>
      <c r="AC44" t="n">
        <v/>
      </c>
      <c r="AD44" t="n">
        <v/>
      </c>
      <c r="AE44" t="n">
        <v/>
      </c>
      <c r="AF44" t="n">
        <v/>
      </c>
      <c r="AG44" t="n">
        <v/>
      </c>
      <c r="AH44" t="n">
        <v/>
      </c>
      <c r="AI44" t="n">
        <v/>
      </c>
      <c r="AJ44" t="n">
        <v/>
      </c>
      <c r="AK44" t="n">
        <v/>
      </c>
      <c r="AL44" t="n">
        <v/>
      </c>
      <c r="AM44" t="n">
        <v/>
      </c>
      <c r="AN44" t="n">
        <v/>
      </c>
      <c r="AO44" t="n">
        <v/>
      </c>
      <c r="AP44" t="n">
        <v/>
      </c>
      <c r="AQ44" t="n">
        <v/>
      </c>
      <c r="AR44" t="n">
        <v/>
      </c>
      <c r="AS44" t="n">
        <v/>
      </c>
      <c r="AT44" t="n">
        <v/>
      </c>
      <c r="AU44" t="n">
        <v/>
      </c>
      <c r="AV44" t="n">
        <v/>
      </c>
      <c r="AW44" t="n">
        <v/>
      </c>
      <c r="AX44" t="n">
        <v/>
      </c>
    </row>
    <row r="45">
      <c r="A45" s="92" t="n">
        <v>19207</v>
      </c>
      <c r="B45" t="n">
        <v/>
      </c>
      <c r="C45" t="n">
        <v/>
      </c>
      <c r="D45" t="n">
        <v/>
      </c>
      <c r="E45" t="n">
        <v/>
      </c>
      <c r="F45" t="n">
        <v/>
      </c>
      <c r="G45" t="n">
        <v/>
      </c>
      <c r="H45" t="n">
        <v/>
      </c>
      <c r="I45" t="n">
        <v/>
      </c>
      <c r="J45" t="n">
        <v/>
      </c>
      <c r="K45" t="n">
        <v/>
      </c>
      <c r="L45" t="n">
        <v/>
      </c>
      <c r="M45" t="n">
        <v/>
      </c>
      <c r="N45" t="n">
        <v/>
      </c>
      <c r="O45" t="n">
        <v/>
      </c>
      <c r="P45" t="n">
        <v/>
      </c>
      <c r="Q45" t="n">
        <v/>
      </c>
      <c r="R45" t="n">
        <v/>
      </c>
      <c r="S45" t="n">
        <v/>
      </c>
      <c r="T45" t="n">
        <v/>
      </c>
      <c r="U45" t="n">
        <v/>
      </c>
      <c r="V45" t="n">
        <v/>
      </c>
      <c r="W45" t="n">
        <v/>
      </c>
      <c r="X45" t="n">
        <v/>
      </c>
      <c r="Y45" t="n">
        <v/>
      </c>
      <c r="Z45" t="n">
        <v/>
      </c>
      <c r="AA45" t="n">
        <v/>
      </c>
      <c r="AB45" t="n">
        <v/>
      </c>
      <c r="AC45" t="n">
        <v/>
      </c>
      <c r="AD45" t="n">
        <v/>
      </c>
      <c r="AE45" t="n">
        <v/>
      </c>
      <c r="AF45" t="n">
        <v/>
      </c>
      <c r="AG45" t="n">
        <v/>
      </c>
      <c r="AH45" t="n">
        <v/>
      </c>
      <c r="AI45" t="n">
        <v/>
      </c>
      <c r="AJ45" t="n">
        <v/>
      </c>
      <c r="AK45" t="n">
        <v/>
      </c>
      <c r="AL45" t="n">
        <v/>
      </c>
      <c r="AM45" t="n">
        <v/>
      </c>
      <c r="AN45" t="n">
        <v/>
      </c>
      <c r="AO45" t="n">
        <v/>
      </c>
      <c r="AP45" t="n">
        <v/>
      </c>
      <c r="AQ45" t="n">
        <v/>
      </c>
      <c r="AR45" t="n">
        <v/>
      </c>
      <c r="AS45" t="n">
        <v/>
      </c>
      <c r="AT45" t="n">
        <v/>
      </c>
      <c r="AU45" t="n">
        <v/>
      </c>
      <c r="AV45" t="n">
        <v/>
      </c>
      <c r="AW45" t="n">
        <v/>
      </c>
      <c r="AX45" t="n">
        <v/>
      </c>
    </row>
    <row r="46">
      <c r="A46" s="92" t="n">
        <v>19238</v>
      </c>
      <c r="B46" t="n">
        <v/>
      </c>
      <c r="C46" t="n">
        <v/>
      </c>
      <c r="D46" t="n">
        <v/>
      </c>
      <c r="E46" t="n">
        <v/>
      </c>
      <c r="F46" t="n">
        <v/>
      </c>
      <c r="G46" t="n">
        <v/>
      </c>
      <c r="H46" t="n">
        <v/>
      </c>
      <c r="I46" t="n">
        <v/>
      </c>
      <c r="J46" t="n">
        <v/>
      </c>
      <c r="K46" t="n">
        <v/>
      </c>
      <c r="L46" t="n">
        <v/>
      </c>
      <c r="M46" t="n">
        <v/>
      </c>
      <c r="N46" t="n">
        <v/>
      </c>
      <c r="O46" t="n">
        <v/>
      </c>
      <c r="P46" t="n">
        <v/>
      </c>
      <c r="Q46" t="n">
        <v/>
      </c>
      <c r="R46" t="n">
        <v/>
      </c>
      <c r="S46" t="n">
        <v/>
      </c>
      <c r="T46" t="n">
        <v/>
      </c>
      <c r="U46" t="n">
        <v/>
      </c>
      <c r="V46" t="n">
        <v/>
      </c>
      <c r="W46" t="n">
        <v/>
      </c>
      <c r="X46" t="n">
        <v/>
      </c>
      <c r="Y46" t="n">
        <v/>
      </c>
      <c r="Z46" t="n">
        <v/>
      </c>
      <c r="AA46" t="n">
        <v/>
      </c>
      <c r="AB46" t="n">
        <v/>
      </c>
      <c r="AC46" t="n">
        <v/>
      </c>
      <c r="AD46" t="n">
        <v/>
      </c>
      <c r="AE46" t="n">
        <v/>
      </c>
      <c r="AF46" t="n">
        <v/>
      </c>
      <c r="AG46" t="n">
        <v/>
      </c>
      <c r="AH46" t="n">
        <v/>
      </c>
      <c r="AI46" t="n">
        <v/>
      </c>
      <c r="AJ46" t="n">
        <v/>
      </c>
      <c r="AK46" t="n">
        <v/>
      </c>
      <c r="AL46" t="n">
        <v/>
      </c>
      <c r="AM46" t="n">
        <v/>
      </c>
      <c r="AN46" t="n">
        <v/>
      </c>
      <c r="AO46" t="n">
        <v/>
      </c>
      <c r="AP46" t="n">
        <v/>
      </c>
      <c r="AQ46" t="n">
        <v/>
      </c>
      <c r="AR46" t="n">
        <v/>
      </c>
      <c r="AS46" t="n">
        <v/>
      </c>
      <c r="AT46" t="n">
        <v/>
      </c>
      <c r="AU46" t="n">
        <v/>
      </c>
      <c r="AV46" t="n">
        <v/>
      </c>
      <c r="AW46" t="n">
        <v/>
      </c>
      <c r="AX46" t="n">
        <v/>
      </c>
    </row>
    <row r="47">
      <c r="A47" s="92" t="n">
        <v>19268</v>
      </c>
      <c r="B47" t="n">
        <v/>
      </c>
      <c r="C47" t="n">
        <v/>
      </c>
      <c r="D47" t="n">
        <v/>
      </c>
      <c r="E47" t="n">
        <v/>
      </c>
      <c r="F47" t="n">
        <v/>
      </c>
      <c r="G47" t="n">
        <v/>
      </c>
      <c r="H47" t="n">
        <v/>
      </c>
      <c r="I47" t="n">
        <v/>
      </c>
      <c r="J47" t="n">
        <v/>
      </c>
      <c r="K47" t="n">
        <v/>
      </c>
      <c r="L47" t="n">
        <v/>
      </c>
      <c r="M47" t="n">
        <v/>
      </c>
      <c r="N47" t="n">
        <v/>
      </c>
      <c r="O47" t="n">
        <v/>
      </c>
      <c r="P47" t="n">
        <v/>
      </c>
      <c r="Q47" t="n">
        <v/>
      </c>
      <c r="R47" t="n">
        <v/>
      </c>
      <c r="S47" t="n">
        <v/>
      </c>
      <c r="T47" t="n">
        <v/>
      </c>
      <c r="U47" t="n">
        <v/>
      </c>
      <c r="V47" t="n">
        <v/>
      </c>
      <c r="W47" t="n">
        <v/>
      </c>
      <c r="X47" t="n">
        <v/>
      </c>
      <c r="Y47" t="n">
        <v/>
      </c>
      <c r="Z47" t="n">
        <v/>
      </c>
      <c r="AA47" t="n">
        <v/>
      </c>
      <c r="AB47" t="n">
        <v/>
      </c>
      <c r="AC47" t="n">
        <v/>
      </c>
      <c r="AD47" t="n">
        <v/>
      </c>
      <c r="AE47" t="n">
        <v/>
      </c>
      <c r="AF47" t="n">
        <v/>
      </c>
      <c r="AG47" t="n">
        <v/>
      </c>
      <c r="AH47" t="n">
        <v/>
      </c>
      <c r="AI47" t="n">
        <v/>
      </c>
      <c r="AJ47" t="n">
        <v/>
      </c>
      <c r="AK47" t="n">
        <v/>
      </c>
      <c r="AL47" t="n">
        <v/>
      </c>
      <c r="AM47" t="n">
        <v/>
      </c>
      <c r="AN47" t="n">
        <v/>
      </c>
      <c r="AO47" t="n">
        <v/>
      </c>
      <c r="AP47" t="n">
        <v/>
      </c>
      <c r="AQ47" t="n">
        <v/>
      </c>
      <c r="AR47" t="n">
        <v/>
      </c>
      <c r="AS47" t="n">
        <v/>
      </c>
      <c r="AT47" t="n">
        <v/>
      </c>
      <c r="AU47" t="n">
        <v/>
      </c>
      <c r="AV47" t="n">
        <v/>
      </c>
      <c r="AW47" t="n">
        <v/>
      </c>
      <c r="AX47" t="n">
        <v/>
      </c>
    </row>
    <row r="48">
      <c r="A48" s="92" t="n">
        <v>19299</v>
      </c>
      <c r="B48" t="n">
        <v/>
      </c>
      <c r="C48" t="n">
        <v/>
      </c>
      <c r="D48" t="n">
        <v/>
      </c>
      <c r="E48" t="n">
        <v/>
      </c>
      <c r="F48" t="n">
        <v/>
      </c>
      <c r="G48" t="n">
        <v/>
      </c>
      <c r="H48" t="n">
        <v/>
      </c>
      <c r="I48" t="n">
        <v/>
      </c>
      <c r="J48" t="n">
        <v/>
      </c>
      <c r="K48" t="n">
        <v/>
      </c>
      <c r="L48" t="n">
        <v/>
      </c>
      <c r="M48" t="n">
        <v/>
      </c>
      <c r="N48" t="n">
        <v/>
      </c>
      <c r="O48" t="n">
        <v/>
      </c>
      <c r="P48" t="n">
        <v/>
      </c>
      <c r="Q48" t="n">
        <v/>
      </c>
      <c r="R48" t="n">
        <v/>
      </c>
      <c r="S48" t="n">
        <v/>
      </c>
      <c r="T48" t="n">
        <v/>
      </c>
      <c r="U48" t="n">
        <v/>
      </c>
      <c r="V48" t="n">
        <v/>
      </c>
      <c r="W48" t="n">
        <v/>
      </c>
      <c r="X48" t="n">
        <v/>
      </c>
      <c r="Y48" t="n">
        <v/>
      </c>
      <c r="Z48" t="n">
        <v/>
      </c>
      <c r="AA48" t="n">
        <v/>
      </c>
      <c r="AB48" t="n">
        <v/>
      </c>
      <c r="AC48" t="n">
        <v/>
      </c>
      <c r="AD48" t="n">
        <v/>
      </c>
      <c r="AE48" t="n">
        <v/>
      </c>
      <c r="AF48" t="n">
        <v/>
      </c>
      <c r="AG48" t="n">
        <v/>
      </c>
      <c r="AH48" t="n">
        <v/>
      </c>
      <c r="AI48" t="n">
        <v/>
      </c>
      <c r="AJ48" t="n">
        <v/>
      </c>
      <c r="AK48" t="n">
        <v/>
      </c>
      <c r="AL48" t="n">
        <v/>
      </c>
      <c r="AM48" t="n">
        <v/>
      </c>
      <c r="AN48" t="n">
        <v/>
      </c>
      <c r="AO48" t="n">
        <v/>
      </c>
      <c r="AP48" t="n">
        <v/>
      </c>
      <c r="AQ48" t="n">
        <v/>
      </c>
      <c r="AR48" t="n">
        <v/>
      </c>
      <c r="AS48" t="n">
        <v/>
      </c>
      <c r="AT48" t="n">
        <v/>
      </c>
      <c r="AU48" t="n">
        <v/>
      </c>
      <c r="AV48" t="n">
        <v/>
      </c>
      <c r="AW48" t="n">
        <v/>
      </c>
      <c r="AX48" t="n">
        <v/>
      </c>
    </row>
    <row r="49">
      <c r="A49" s="92" t="n">
        <v>19329</v>
      </c>
      <c r="B49" t="n">
        <v/>
      </c>
      <c r="C49" t="n">
        <v/>
      </c>
      <c r="D49" t="n">
        <v/>
      </c>
      <c r="E49" t="n">
        <v/>
      </c>
      <c r="F49" t="n">
        <v/>
      </c>
      <c r="G49" t="n">
        <v/>
      </c>
      <c r="H49" t="n">
        <v/>
      </c>
      <c r="I49" t="n">
        <v/>
      </c>
      <c r="J49" t="n">
        <v/>
      </c>
      <c r="K49" t="n">
        <v/>
      </c>
      <c r="L49" t="n">
        <v/>
      </c>
      <c r="M49" t="n">
        <v/>
      </c>
      <c r="N49" t="n">
        <v/>
      </c>
      <c r="O49" t="n">
        <v/>
      </c>
      <c r="P49" t="n">
        <v/>
      </c>
      <c r="Q49" t="n">
        <v/>
      </c>
      <c r="R49" t="n">
        <v/>
      </c>
      <c r="S49" t="n">
        <v/>
      </c>
      <c r="T49" t="n">
        <v/>
      </c>
      <c r="U49" t="n">
        <v/>
      </c>
      <c r="V49" t="n">
        <v/>
      </c>
      <c r="W49" t="n">
        <v/>
      </c>
      <c r="X49" t="n">
        <v/>
      </c>
      <c r="Y49" t="n">
        <v/>
      </c>
      <c r="Z49" t="n">
        <v/>
      </c>
      <c r="AA49" t="n">
        <v/>
      </c>
      <c r="AB49" t="n">
        <v/>
      </c>
      <c r="AC49" t="n">
        <v/>
      </c>
      <c r="AD49" t="n">
        <v/>
      </c>
      <c r="AE49" t="n">
        <v/>
      </c>
      <c r="AF49" t="n">
        <v/>
      </c>
      <c r="AG49" t="n">
        <v/>
      </c>
      <c r="AH49" t="n">
        <v/>
      </c>
      <c r="AI49" t="n">
        <v/>
      </c>
      <c r="AJ49" t="n">
        <v/>
      </c>
      <c r="AK49" t="n">
        <v/>
      </c>
      <c r="AL49" t="n">
        <v/>
      </c>
      <c r="AM49" t="n">
        <v/>
      </c>
      <c r="AN49" t="n">
        <v/>
      </c>
      <c r="AO49" t="n">
        <v/>
      </c>
      <c r="AP49" t="n">
        <v/>
      </c>
      <c r="AQ49" t="n">
        <v/>
      </c>
      <c r="AR49" t="n">
        <v/>
      </c>
      <c r="AS49" t="n">
        <v/>
      </c>
      <c r="AT49" t="n">
        <v/>
      </c>
      <c r="AU49" t="n">
        <v/>
      </c>
      <c r="AV49" t="n">
        <v/>
      </c>
      <c r="AW49" t="n">
        <v/>
      </c>
      <c r="AX49" t="n">
        <v/>
      </c>
    </row>
    <row r="50">
      <c r="A50" s="92" t="n">
        <v>19360</v>
      </c>
      <c r="B50" t="n">
        <v/>
      </c>
      <c r="C50" t="n">
        <v/>
      </c>
      <c r="D50" t="n">
        <v/>
      </c>
      <c r="E50" t="n">
        <v/>
      </c>
      <c r="F50" t="n">
        <v/>
      </c>
      <c r="G50" t="n">
        <v/>
      </c>
      <c r="H50" t="n">
        <v/>
      </c>
      <c r="I50" t="n">
        <v/>
      </c>
      <c r="J50" t="n">
        <v/>
      </c>
      <c r="K50" t="n">
        <v/>
      </c>
      <c r="L50" t="n">
        <v/>
      </c>
      <c r="M50" t="n">
        <v/>
      </c>
      <c r="N50" t="n">
        <v/>
      </c>
      <c r="O50" t="n">
        <v/>
      </c>
      <c r="P50" t="n">
        <v/>
      </c>
      <c r="Q50" t="n">
        <v/>
      </c>
      <c r="R50" t="n">
        <v/>
      </c>
      <c r="S50" t="n">
        <v/>
      </c>
      <c r="T50" t="n">
        <v/>
      </c>
      <c r="U50" t="n">
        <v/>
      </c>
      <c r="V50" t="n">
        <v/>
      </c>
      <c r="W50" t="n">
        <v/>
      </c>
      <c r="X50" t="n">
        <v/>
      </c>
      <c r="Y50" t="n">
        <v/>
      </c>
      <c r="Z50" t="n">
        <v/>
      </c>
      <c r="AA50" t="n">
        <v/>
      </c>
      <c r="AB50" t="n">
        <v/>
      </c>
      <c r="AC50" t="n">
        <v/>
      </c>
      <c r="AD50" t="n">
        <v/>
      </c>
      <c r="AE50" t="n">
        <v/>
      </c>
      <c r="AF50" t="n">
        <v/>
      </c>
      <c r="AG50" t="n">
        <v/>
      </c>
      <c r="AH50" t="n">
        <v/>
      </c>
      <c r="AI50" t="n">
        <v/>
      </c>
      <c r="AJ50" t="n">
        <v/>
      </c>
      <c r="AK50" t="n">
        <v/>
      </c>
      <c r="AL50" t="n">
        <v/>
      </c>
      <c r="AM50" t="n">
        <v/>
      </c>
      <c r="AN50" t="n">
        <v/>
      </c>
      <c r="AO50" t="n">
        <v/>
      </c>
      <c r="AP50" t="n">
        <v/>
      </c>
      <c r="AQ50" t="n">
        <v/>
      </c>
      <c r="AR50" t="n">
        <v/>
      </c>
      <c r="AS50" t="n">
        <v/>
      </c>
      <c r="AT50" t="n">
        <v/>
      </c>
      <c r="AU50" t="n">
        <v/>
      </c>
      <c r="AV50" t="n">
        <v/>
      </c>
      <c r="AW50" t="n">
        <v/>
      </c>
      <c r="AX50" t="n">
        <v/>
      </c>
    </row>
    <row r="51">
      <c r="A51" s="92" t="n">
        <v>19391</v>
      </c>
      <c r="B51" t="n">
        <v/>
      </c>
      <c r="C51" t="n">
        <v/>
      </c>
      <c r="D51" t="n">
        <v/>
      </c>
      <c r="E51" t="n">
        <v/>
      </c>
      <c r="F51" t="n">
        <v/>
      </c>
      <c r="G51" t="n">
        <v/>
      </c>
      <c r="H51" t="n">
        <v/>
      </c>
      <c r="I51" t="n">
        <v/>
      </c>
      <c r="J51" t="n">
        <v/>
      </c>
      <c r="K51" t="n">
        <v/>
      </c>
      <c r="L51" t="n">
        <v/>
      </c>
      <c r="M51" t="n">
        <v/>
      </c>
      <c r="N51" t="n">
        <v/>
      </c>
      <c r="O51" t="n">
        <v/>
      </c>
      <c r="P51" t="n">
        <v/>
      </c>
      <c r="Q51" t="n">
        <v/>
      </c>
      <c r="R51" t="n">
        <v/>
      </c>
      <c r="S51" t="n">
        <v/>
      </c>
      <c r="T51" t="n">
        <v/>
      </c>
      <c r="U51" t="n">
        <v/>
      </c>
      <c r="V51" t="n">
        <v/>
      </c>
      <c r="W51" t="n">
        <v/>
      </c>
      <c r="X51" t="n">
        <v/>
      </c>
      <c r="Y51" t="n">
        <v/>
      </c>
      <c r="Z51" t="n">
        <v/>
      </c>
      <c r="AA51" t="n">
        <v/>
      </c>
      <c r="AB51" t="n">
        <v/>
      </c>
      <c r="AC51" t="n">
        <v/>
      </c>
      <c r="AD51" t="n">
        <v/>
      </c>
      <c r="AE51" t="n">
        <v/>
      </c>
      <c r="AF51" t="n">
        <v/>
      </c>
      <c r="AG51" t="n">
        <v/>
      </c>
      <c r="AH51" t="n">
        <v/>
      </c>
      <c r="AI51" t="n">
        <v/>
      </c>
      <c r="AJ51" t="n">
        <v/>
      </c>
      <c r="AK51" t="n">
        <v/>
      </c>
      <c r="AL51" t="n">
        <v/>
      </c>
      <c r="AM51" t="n">
        <v/>
      </c>
      <c r="AN51" t="n">
        <v/>
      </c>
      <c r="AO51" t="n">
        <v/>
      </c>
      <c r="AP51" t="n">
        <v/>
      </c>
      <c r="AQ51" t="n">
        <v/>
      </c>
      <c r="AR51" t="n">
        <v/>
      </c>
      <c r="AS51" t="n">
        <v/>
      </c>
      <c r="AT51" t="n">
        <v/>
      </c>
      <c r="AU51" t="n">
        <v/>
      </c>
      <c r="AV51" t="n">
        <v/>
      </c>
      <c r="AW51" t="n">
        <v/>
      </c>
      <c r="AX51" t="n">
        <v/>
      </c>
    </row>
    <row r="52">
      <c r="A52" s="92" t="n">
        <v>19419</v>
      </c>
      <c r="B52" t="n">
        <v/>
      </c>
      <c r="C52" t="n">
        <v/>
      </c>
      <c r="D52" t="n">
        <v/>
      </c>
      <c r="E52" t="n">
        <v/>
      </c>
      <c r="F52" t="n">
        <v/>
      </c>
      <c r="G52" t="n">
        <v/>
      </c>
      <c r="H52" t="n">
        <v/>
      </c>
      <c r="I52" t="n">
        <v/>
      </c>
      <c r="J52" t="n">
        <v/>
      </c>
      <c r="K52" t="n">
        <v/>
      </c>
      <c r="L52" t="n">
        <v/>
      </c>
      <c r="M52" t="n">
        <v/>
      </c>
      <c r="N52" t="n">
        <v/>
      </c>
      <c r="O52" t="n">
        <v/>
      </c>
      <c r="P52" t="n">
        <v/>
      </c>
      <c r="Q52" t="n">
        <v/>
      </c>
      <c r="R52" t="n">
        <v/>
      </c>
      <c r="S52" t="n">
        <v/>
      </c>
      <c r="T52" t="n">
        <v/>
      </c>
      <c r="U52" t="n">
        <v/>
      </c>
      <c r="V52" t="n">
        <v/>
      </c>
      <c r="W52" t="n">
        <v/>
      </c>
      <c r="X52" t="n">
        <v/>
      </c>
      <c r="Y52" t="n">
        <v/>
      </c>
      <c r="Z52" t="n">
        <v/>
      </c>
      <c r="AA52" t="n">
        <v/>
      </c>
      <c r="AB52" t="n">
        <v/>
      </c>
      <c r="AC52" t="n">
        <v/>
      </c>
      <c r="AD52" t="n">
        <v/>
      </c>
      <c r="AE52" t="n">
        <v/>
      </c>
      <c r="AF52" t="n">
        <v/>
      </c>
      <c r="AG52" t="n">
        <v/>
      </c>
      <c r="AH52" t="n">
        <v/>
      </c>
      <c r="AI52" t="n">
        <v/>
      </c>
      <c r="AJ52" t="n">
        <v/>
      </c>
      <c r="AK52" t="n">
        <v/>
      </c>
      <c r="AL52" t="n">
        <v/>
      </c>
      <c r="AM52" t="n">
        <v/>
      </c>
      <c r="AN52" t="n">
        <v/>
      </c>
      <c r="AO52" t="n">
        <v/>
      </c>
      <c r="AP52" t="n">
        <v/>
      </c>
      <c r="AQ52" t="n">
        <v/>
      </c>
      <c r="AR52" t="n">
        <v/>
      </c>
      <c r="AS52" t="n">
        <v/>
      </c>
      <c r="AT52" t="n">
        <v/>
      </c>
      <c r="AU52" t="n">
        <v/>
      </c>
      <c r="AV52" t="n">
        <v/>
      </c>
      <c r="AW52" t="n">
        <v/>
      </c>
      <c r="AX52" t="n">
        <v/>
      </c>
    </row>
    <row r="53">
      <c r="A53" s="92" t="n">
        <v>19450</v>
      </c>
      <c r="B53" t="n">
        <v/>
      </c>
      <c r="C53" t="n">
        <v/>
      </c>
      <c r="D53" t="n">
        <v/>
      </c>
      <c r="E53" t="n">
        <v/>
      </c>
      <c r="F53" t="n">
        <v/>
      </c>
      <c r="G53" t="n">
        <v/>
      </c>
      <c r="H53" t="n">
        <v/>
      </c>
      <c r="I53" t="n">
        <v/>
      </c>
      <c r="J53" t="n">
        <v/>
      </c>
      <c r="K53" t="n">
        <v/>
      </c>
      <c r="L53" t="n">
        <v/>
      </c>
      <c r="M53" t="n">
        <v/>
      </c>
      <c r="N53" t="n">
        <v/>
      </c>
      <c r="O53" t="n">
        <v/>
      </c>
      <c r="P53" t="n">
        <v/>
      </c>
      <c r="Q53" t="n">
        <v/>
      </c>
      <c r="R53" t="n">
        <v/>
      </c>
      <c r="S53" t="n">
        <v/>
      </c>
      <c r="T53" t="n">
        <v/>
      </c>
      <c r="U53" t="n">
        <v/>
      </c>
      <c r="V53" t="n">
        <v/>
      </c>
      <c r="W53" t="n">
        <v/>
      </c>
      <c r="X53" t="n">
        <v/>
      </c>
      <c r="Y53" t="n">
        <v/>
      </c>
      <c r="Z53" t="n">
        <v/>
      </c>
      <c r="AA53" t="n">
        <v/>
      </c>
      <c r="AB53" t="n">
        <v/>
      </c>
      <c r="AC53" t="n">
        <v/>
      </c>
      <c r="AD53" t="n">
        <v/>
      </c>
      <c r="AE53" t="n">
        <v/>
      </c>
      <c r="AF53" t="n">
        <v/>
      </c>
      <c r="AG53" t="n">
        <v/>
      </c>
      <c r="AH53" t="n">
        <v/>
      </c>
      <c r="AI53" t="n">
        <v/>
      </c>
      <c r="AJ53" t="n">
        <v/>
      </c>
      <c r="AK53" t="n">
        <v/>
      </c>
      <c r="AL53" t="n">
        <v/>
      </c>
      <c r="AM53" t="n">
        <v/>
      </c>
      <c r="AN53" t="n">
        <v/>
      </c>
      <c r="AO53" t="n">
        <v/>
      </c>
      <c r="AP53" t="n">
        <v/>
      </c>
      <c r="AQ53" t="n">
        <v/>
      </c>
      <c r="AR53" t="n">
        <v/>
      </c>
      <c r="AS53" t="n">
        <v/>
      </c>
      <c r="AT53" t="n">
        <v/>
      </c>
      <c r="AU53" t="n">
        <v/>
      </c>
      <c r="AV53" t="n">
        <v/>
      </c>
      <c r="AW53" t="n">
        <v/>
      </c>
      <c r="AX53" t="n">
        <v/>
      </c>
    </row>
    <row r="54">
      <c r="A54" s="92" t="n">
        <v>19480</v>
      </c>
      <c r="B54" t="n">
        <v/>
      </c>
      <c r="C54" t="n">
        <v/>
      </c>
      <c r="D54" t="n">
        <v/>
      </c>
      <c r="E54" t="n">
        <v/>
      </c>
      <c r="F54" t="n">
        <v/>
      </c>
      <c r="G54" t="n">
        <v/>
      </c>
      <c r="H54" t="n">
        <v/>
      </c>
      <c r="I54" t="n">
        <v/>
      </c>
      <c r="J54" t="n">
        <v/>
      </c>
      <c r="K54" t="n">
        <v/>
      </c>
      <c r="L54" t="n">
        <v/>
      </c>
      <c r="M54" t="n">
        <v/>
      </c>
      <c r="N54" t="n">
        <v/>
      </c>
      <c r="O54" t="n">
        <v/>
      </c>
      <c r="P54" t="n">
        <v/>
      </c>
      <c r="Q54" t="n">
        <v/>
      </c>
      <c r="R54" t="n">
        <v/>
      </c>
      <c r="S54" t="n">
        <v/>
      </c>
      <c r="T54" t="n">
        <v/>
      </c>
      <c r="U54" t="n">
        <v/>
      </c>
      <c r="V54" t="n">
        <v/>
      </c>
      <c r="W54" t="n">
        <v/>
      </c>
      <c r="X54" t="n">
        <v/>
      </c>
      <c r="Y54" t="n">
        <v/>
      </c>
      <c r="Z54" t="n">
        <v/>
      </c>
      <c r="AA54" t="n">
        <v/>
      </c>
      <c r="AB54" t="n">
        <v/>
      </c>
      <c r="AC54" t="n">
        <v/>
      </c>
      <c r="AD54" t="n">
        <v/>
      </c>
      <c r="AE54" t="n">
        <v/>
      </c>
      <c r="AF54" t="n">
        <v/>
      </c>
      <c r="AG54" t="n">
        <v/>
      </c>
      <c r="AH54" t="n">
        <v/>
      </c>
      <c r="AI54" t="n">
        <v/>
      </c>
      <c r="AJ54" t="n">
        <v/>
      </c>
      <c r="AK54" t="n">
        <v/>
      </c>
      <c r="AL54" t="n">
        <v/>
      </c>
      <c r="AM54" t="n">
        <v/>
      </c>
      <c r="AN54" t="n">
        <v/>
      </c>
      <c r="AO54" t="n">
        <v/>
      </c>
      <c r="AP54" t="n">
        <v/>
      </c>
      <c r="AQ54" t="n">
        <v/>
      </c>
      <c r="AR54" t="n">
        <v/>
      </c>
      <c r="AS54" t="n">
        <v/>
      </c>
      <c r="AT54" t="n">
        <v/>
      </c>
      <c r="AU54" t="n">
        <v/>
      </c>
      <c r="AV54" t="n">
        <v/>
      </c>
      <c r="AW54" t="n">
        <v/>
      </c>
      <c r="AX54" t="n">
        <v/>
      </c>
    </row>
    <row r="55">
      <c r="A55" s="92" t="n">
        <v>19511</v>
      </c>
      <c r="B55" t="n">
        <v/>
      </c>
      <c r="C55" t="n">
        <v/>
      </c>
      <c r="D55" t="n">
        <v/>
      </c>
      <c r="E55" t="n">
        <v/>
      </c>
      <c r="F55" t="n">
        <v/>
      </c>
      <c r="G55" t="n">
        <v/>
      </c>
      <c r="H55" t="n">
        <v/>
      </c>
      <c r="I55" t="n">
        <v/>
      </c>
      <c r="J55" t="n">
        <v/>
      </c>
      <c r="K55" t="n">
        <v/>
      </c>
      <c r="L55" t="n">
        <v/>
      </c>
      <c r="M55" t="n">
        <v/>
      </c>
      <c r="N55" t="n">
        <v/>
      </c>
      <c r="O55" t="n">
        <v/>
      </c>
      <c r="P55" t="n">
        <v/>
      </c>
      <c r="Q55" t="n">
        <v/>
      </c>
      <c r="R55" t="n">
        <v/>
      </c>
      <c r="S55" t="n">
        <v/>
      </c>
      <c r="T55" t="n">
        <v/>
      </c>
      <c r="U55" t="n">
        <v/>
      </c>
      <c r="V55" t="n">
        <v/>
      </c>
      <c r="W55" t="n">
        <v/>
      </c>
      <c r="X55" t="n">
        <v/>
      </c>
      <c r="Y55" t="n">
        <v/>
      </c>
      <c r="Z55" t="n">
        <v/>
      </c>
      <c r="AA55" t="n">
        <v/>
      </c>
      <c r="AB55" t="n">
        <v/>
      </c>
      <c r="AC55" t="n">
        <v/>
      </c>
      <c r="AD55" t="n">
        <v/>
      </c>
      <c r="AE55" t="n">
        <v/>
      </c>
      <c r="AF55" t="n">
        <v/>
      </c>
      <c r="AG55" t="n">
        <v/>
      </c>
      <c r="AH55" t="n">
        <v/>
      </c>
      <c r="AI55" t="n">
        <v/>
      </c>
      <c r="AJ55" t="n">
        <v/>
      </c>
      <c r="AK55" t="n">
        <v/>
      </c>
      <c r="AL55" t="n">
        <v/>
      </c>
      <c r="AM55" t="n">
        <v/>
      </c>
      <c r="AN55" t="n">
        <v/>
      </c>
      <c r="AO55" t="n">
        <v/>
      </c>
      <c r="AP55" t="n">
        <v/>
      </c>
      <c r="AQ55" t="n">
        <v/>
      </c>
      <c r="AR55" t="n">
        <v/>
      </c>
      <c r="AS55" t="n">
        <v/>
      </c>
      <c r="AT55" t="n">
        <v/>
      </c>
      <c r="AU55" t="n">
        <v/>
      </c>
      <c r="AV55" t="n">
        <v/>
      </c>
      <c r="AW55" t="n">
        <v/>
      </c>
      <c r="AX55" t="n">
        <v/>
      </c>
    </row>
    <row r="56">
      <c r="A56" s="92" t="n">
        <v>19541</v>
      </c>
      <c r="B56" t="n">
        <v/>
      </c>
      <c r="C56" t="n">
        <v/>
      </c>
      <c r="D56" t="n">
        <v/>
      </c>
      <c r="E56" t="n">
        <v/>
      </c>
      <c r="F56" t="n">
        <v/>
      </c>
      <c r="G56" t="n">
        <v/>
      </c>
      <c r="H56" t="n">
        <v/>
      </c>
      <c r="I56" t="n">
        <v/>
      </c>
      <c r="J56" t="n">
        <v/>
      </c>
      <c r="K56" t="n">
        <v/>
      </c>
      <c r="L56" t="n">
        <v/>
      </c>
      <c r="M56" t="n">
        <v/>
      </c>
      <c r="N56" t="n">
        <v/>
      </c>
      <c r="O56" t="n">
        <v/>
      </c>
      <c r="P56" t="n">
        <v/>
      </c>
      <c r="Q56" t="n">
        <v/>
      </c>
      <c r="R56" t="n">
        <v/>
      </c>
      <c r="S56" t="n">
        <v/>
      </c>
      <c r="T56" t="n">
        <v/>
      </c>
      <c r="U56" t="n">
        <v/>
      </c>
      <c r="V56" t="n">
        <v/>
      </c>
      <c r="W56" t="n">
        <v/>
      </c>
      <c r="X56" t="n">
        <v/>
      </c>
      <c r="Y56" t="n">
        <v/>
      </c>
      <c r="Z56" t="n">
        <v/>
      </c>
      <c r="AA56" t="n">
        <v/>
      </c>
      <c r="AB56" t="n">
        <v/>
      </c>
      <c r="AC56" t="n">
        <v/>
      </c>
      <c r="AD56" t="n">
        <v/>
      </c>
      <c r="AE56" t="n">
        <v/>
      </c>
      <c r="AF56" t="n">
        <v/>
      </c>
      <c r="AG56" t="n">
        <v/>
      </c>
      <c r="AH56" t="n">
        <v/>
      </c>
      <c r="AI56" t="n">
        <v/>
      </c>
      <c r="AJ56" t="n">
        <v/>
      </c>
      <c r="AK56" t="n">
        <v/>
      </c>
      <c r="AL56" t="n">
        <v/>
      </c>
      <c r="AM56" t="n">
        <v/>
      </c>
      <c r="AN56" t="n">
        <v/>
      </c>
      <c r="AO56" t="n">
        <v/>
      </c>
      <c r="AP56" t="n">
        <v/>
      </c>
      <c r="AQ56" t="n">
        <v/>
      </c>
      <c r="AR56" t="n">
        <v/>
      </c>
      <c r="AS56" t="n">
        <v/>
      </c>
      <c r="AT56" t="n">
        <v/>
      </c>
      <c r="AU56" t="n">
        <v/>
      </c>
      <c r="AV56" t="n">
        <v/>
      </c>
      <c r="AW56" t="n">
        <v/>
      </c>
      <c r="AX56" t="n">
        <v/>
      </c>
    </row>
    <row r="57">
      <c r="A57" s="92" t="n">
        <v>19572</v>
      </c>
      <c r="B57" t="n">
        <v/>
      </c>
      <c r="C57" t="n">
        <v/>
      </c>
      <c r="D57" t="n">
        <v/>
      </c>
      <c r="E57" t="n">
        <v/>
      </c>
      <c r="F57" t="n">
        <v/>
      </c>
      <c r="G57" t="n">
        <v/>
      </c>
      <c r="H57" t="n">
        <v/>
      </c>
      <c r="I57" t="n">
        <v/>
      </c>
      <c r="J57" t="n">
        <v/>
      </c>
      <c r="K57" t="n">
        <v/>
      </c>
      <c r="L57" t="n">
        <v/>
      </c>
      <c r="M57" t="n">
        <v/>
      </c>
      <c r="N57" t="n">
        <v/>
      </c>
      <c r="O57" t="n">
        <v/>
      </c>
      <c r="P57" t="n">
        <v/>
      </c>
      <c r="Q57" t="n">
        <v/>
      </c>
      <c r="R57" t="n">
        <v/>
      </c>
      <c r="S57" t="n">
        <v/>
      </c>
      <c r="T57" t="n">
        <v/>
      </c>
      <c r="U57" t="n">
        <v/>
      </c>
      <c r="V57" t="n">
        <v/>
      </c>
      <c r="W57" t="n">
        <v/>
      </c>
      <c r="X57" t="n">
        <v/>
      </c>
      <c r="Y57" t="n">
        <v/>
      </c>
      <c r="Z57" t="n">
        <v/>
      </c>
      <c r="AA57" t="n">
        <v/>
      </c>
      <c r="AB57" t="n">
        <v/>
      </c>
      <c r="AC57" t="n">
        <v/>
      </c>
      <c r="AD57" t="n">
        <v/>
      </c>
      <c r="AE57" t="n">
        <v/>
      </c>
      <c r="AF57" t="n">
        <v/>
      </c>
      <c r="AG57" t="n">
        <v/>
      </c>
      <c r="AH57" t="n">
        <v/>
      </c>
      <c r="AI57" t="n">
        <v/>
      </c>
      <c r="AJ57" t="n">
        <v/>
      </c>
      <c r="AK57" t="n">
        <v/>
      </c>
      <c r="AL57" t="n">
        <v/>
      </c>
      <c r="AM57" t="n">
        <v/>
      </c>
      <c r="AN57" t="n">
        <v/>
      </c>
      <c r="AO57" t="n">
        <v/>
      </c>
      <c r="AP57" t="n">
        <v/>
      </c>
      <c r="AQ57" t="n">
        <v/>
      </c>
      <c r="AR57" t="n">
        <v/>
      </c>
      <c r="AS57" t="n">
        <v/>
      </c>
      <c r="AT57" t="n">
        <v/>
      </c>
      <c r="AU57" t="n">
        <v/>
      </c>
      <c r="AV57" t="n">
        <v/>
      </c>
      <c r="AW57" t="n">
        <v/>
      </c>
      <c r="AX57" t="n">
        <v/>
      </c>
    </row>
    <row r="58">
      <c r="A58" s="92" t="n">
        <v>19603</v>
      </c>
      <c r="B58" t="n">
        <v/>
      </c>
      <c r="C58" t="n">
        <v/>
      </c>
      <c r="D58" t="n">
        <v/>
      </c>
      <c r="E58" t="n">
        <v/>
      </c>
      <c r="F58" t="n">
        <v/>
      </c>
      <c r="G58" t="n">
        <v/>
      </c>
      <c r="H58" t="n">
        <v/>
      </c>
      <c r="I58" t="n">
        <v/>
      </c>
      <c r="J58" t="n">
        <v/>
      </c>
      <c r="K58" t="n">
        <v/>
      </c>
      <c r="L58" t="n">
        <v/>
      </c>
      <c r="M58" t="n">
        <v/>
      </c>
      <c r="N58" t="n">
        <v/>
      </c>
      <c r="O58" t="n">
        <v/>
      </c>
      <c r="P58" t="n">
        <v/>
      </c>
      <c r="Q58" t="n">
        <v/>
      </c>
      <c r="R58" t="n">
        <v/>
      </c>
      <c r="S58" t="n">
        <v/>
      </c>
      <c r="T58" t="n">
        <v/>
      </c>
      <c r="U58" t="n">
        <v/>
      </c>
      <c r="V58" t="n">
        <v/>
      </c>
      <c r="W58" t="n">
        <v/>
      </c>
      <c r="X58" t="n">
        <v/>
      </c>
      <c r="Y58" t="n">
        <v/>
      </c>
      <c r="Z58" t="n">
        <v/>
      </c>
      <c r="AA58" t="n">
        <v/>
      </c>
      <c r="AB58" t="n">
        <v/>
      </c>
      <c r="AC58" t="n">
        <v/>
      </c>
      <c r="AD58" t="n">
        <v/>
      </c>
      <c r="AE58" t="n">
        <v/>
      </c>
      <c r="AF58" t="n">
        <v/>
      </c>
      <c r="AG58" t="n">
        <v/>
      </c>
      <c r="AH58" t="n">
        <v/>
      </c>
      <c r="AI58" t="n">
        <v/>
      </c>
      <c r="AJ58" t="n">
        <v/>
      </c>
      <c r="AK58" t="n">
        <v/>
      </c>
      <c r="AL58" t="n">
        <v/>
      </c>
      <c r="AM58" t="n">
        <v/>
      </c>
      <c r="AN58" t="n">
        <v/>
      </c>
      <c r="AO58" t="n">
        <v/>
      </c>
      <c r="AP58" t="n">
        <v/>
      </c>
      <c r="AQ58" t="n">
        <v/>
      </c>
      <c r="AR58" t="n">
        <v/>
      </c>
      <c r="AS58" t="n">
        <v/>
      </c>
      <c r="AT58" t="n">
        <v/>
      </c>
      <c r="AU58" t="n">
        <v/>
      </c>
      <c r="AV58" t="n">
        <v/>
      </c>
      <c r="AW58" t="n">
        <v/>
      </c>
      <c r="AX58" t="n">
        <v/>
      </c>
    </row>
    <row r="59">
      <c r="A59" s="92" t="n">
        <v>19633</v>
      </c>
      <c r="B59" t="n">
        <v/>
      </c>
      <c r="C59" t="n">
        <v/>
      </c>
      <c r="D59" t="n">
        <v/>
      </c>
      <c r="E59" t="n">
        <v/>
      </c>
      <c r="F59" t="n">
        <v/>
      </c>
      <c r="G59" t="n">
        <v/>
      </c>
      <c r="H59" t="n">
        <v/>
      </c>
      <c r="I59" t="n">
        <v/>
      </c>
      <c r="J59" t="n">
        <v/>
      </c>
      <c r="K59" t="n">
        <v/>
      </c>
      <c r="L59" t="n">
        <v/>
      </c>
      <c r="M59" t="n">
        <v/>
      </c>
      <c r="N59" t="n">
        <v/>
      </c>
      <c r="O59" t="n">
        <v/>
      </c>
      <c r="P59" t="n">
        <v/>
      </c>
      <c r="Q59" t="n">
        <v/>
      </c>
      <c r="R59" t="n">
        <v/>
      </c>
      <c r="S59" t="n">
        <v/>
      </c>
      <c r="T59" t="n">
        <v/>
      </c>
      <c r="U59" t="n">
        <v/>
      </c>
      <c r="V59" t="n">
        <v/>
      </c>
      <c r="W59" t="n">
        <v/>
      </c>
      <c r="X59" t="n">
        <v/>
      </c>
      <c r="Y59" t="n">
        <v/>
      </c>
      <c r="Z59" t="n">
        <v/>
      </c>
      <c r="AA59" t="n">
        <v/>
      </c>
      <c r="AB59" t="n">
        <v/>
      </c>
      <c r="AC59" t="n">
        <v/>
      </c>
      <c r="AD59" t="n">
        <v/>
      </c>
      <c r="AE59" t="n">
        <v/>
      </c>
      <c r="AF59" t="n">
        <v/>
      </c>
      <c r="AG59" t="n">
        <v/>
      </c>
      <c r="AH59" t="n">
        <v/>
      </c>
      <c r="AI59" t="n">
        <v/>
      </c>
      <c r="AJ59" t="n">
        <v/>
      </c>
      <c r="AK59" t="n">
        <v/>
      </c>
      <c r="AL59" t="n">
        <v/>
      </c>
      <c r="AM59" t="n">
        <v/>
      </c>
      <c r="AN59" t="n">
        <v/>
      </c>
      <c r="AO59" t="n">
        <v/>
      </c>
      <c r="AP59" t="n">
        <v/>
      </c>
      <c r="AQ59" t="n">
        <v/>
      </c>
      <c r="AR59" t="n">
        <v/>
      </c>
      <c r="AS59" t="n">
        <v/>
      </c>
      <c r="AT59" t="n">
        <v/>
      </c>
      <c r="AU59" t="n">
        <v/>
      </c>
      <c r="AV59" t="n">
        <v/>
      </c>
      <c r="AW59" t="n">
        <v/>
      </c>
      <c r="AX59" t="n">
        <v/>
      </c>
    </row>
    <row r="60">
      <c r="A60" s="92" t="n">
        <v>19664</v>
      </c>
      <c r="B60" t="n">
        <v/>
      </c>
      <c r="C60" t="n">
        <v/>
      </c>
      <c r="D60" t="n">
        <v/>
      </c>
      <c r="E60" t="n">
        <v/>
      </c>
      <c r="F60" t="n">
        <v/>
      </c>
      <c r="G60" t="n">
        <v/>
      </c>
      <c r="H60" t="n">
        <v/>
      </c>
      <c r="I60" t="n">
        <v/>
      </c>
      <c r="J60" t="n">
        <v/>
      </c>
      <c r="K60" t="n">
        <v/>
      </c>
      <c r="L60" t="n">
        <v/>
      </c>
      <c r="M60" t="n">
        <v/>
      </c>
      <c r="N60" t="n">
        <v/>
      </c>
      <c r="O60" t="n">
        <v/>
      </c>
      <c r="P60" t="n">
        <v/>
      </c>
      <c r="Q60" t="n">
        <v/>
      </c>
      <c r="R60" t="n">
        <v/>
      </c>
      <c r="S60" t="n">
        <v/>
      </c>
      <c r="T60" t="n">
        <v/>
      </c>
      <c r="U60" t="n">
        <v/>
      </c>
      <c r="V60" t="n">
        <v/>
      </c>
      <c r="W60" t="n">
        <v/>
      </c>
      <c r="X60" t="n">
        <v/>
      </c>
      <c r="Y60" t="n">
        <v/>
      </c>
      <c r="Z60" t="n">
        <v/>
      </c>
      <c r="AA60" t="n">
        <v/>
      </c>
      <c r="AB60" t="n">
        <v/>
      </c>
      <c r="AC60" t="n">
        <v/>
      </c>
      <c r="AD60" t="n">
        <v/>
      </c>
      <c r="AE60" t="n">
        <v/>
      </c>
      <c r="AF60" t="n">
        <v/>
      </c>
      <c r="AG60" t="n">
        <v/>
      </c>
      <c r="AH60" t="n">
        <v/>
      </c>
      <c r="AI60" t="n">
        <v/>
      </c>
      <c r="AJ60" t="n">
        <v/>
      </c>
      <c r="AK60" t="n">
        <v/>
      </c>
      <c r="AL60" t="n">
        <v/>
      </c>
      <c r="AM60" t="n">
        <v/>
      </c>
      <c r="AN60" t="n">
        <v/>
      </c>
      <c r="AO60" t="n">
        <v/>
      </c>
      <c r="AP60" t="n">
        <v/>
      </c>
      <c r="AQ60" t="n">
        <v/>
      </c>
      <c r="AR60" t="n">
        <v/>
      </c>
      <c r="AS60" t="n">
        <v/>
      </c>
      <c r="AT60" t="n">
        <v/>
      </c>
      <c r="AU60" t="n">
        <v/>
      </c>
      <c r="AV60" t="n">
        <v/>
      </c>
      <c r="AW60" t="n">
        <v/>
      </c>
      <c r="AX60" t="n">
        <v/>
      </c>
    </row>
    <row r="61">
      <c r="A61" s="92" t="n">
        <v>19694</v>
      </c>
      <c r="B61" t="n">
        <v/>
      </c>
      <c r="C61" t="n">
        <v/>
      </c>
      <c r="D61" t="n">
        <v/>
      </c>
      <c r="E61" t="n">
        <v/>
      </c>
      <c r="F61" t="n">
        <v/>
      </c>
      <c r="G61" t="n">
        <v/>
      </c>
      <c r="H61" t="n">
        <v/>
      </c>
      <c r="I61" t="n">
        <v/>
      </c>
      <c r="J61" t="n">
        <v/>
      </c>
      <c r="K61" t="n">
        <v/>
      </c>
      <c r="L61" t="n">
        <v/>
      </c>
      <c r="M61" t="n">
        <v/>
      </c>
      <c r="N61" t="n">
        <v/>
      </c>
      <c r="O61" t="n">
        <v/>
      </c>
      <c r="P61" t="n">
        <v/>
      </c>
      <c r="Q61" t="n">
        <v/>
      </c>
      <c r="R61" t="n">
        <v/>
      </c>
      <c r="S61" t="n">
        <v/>
      </c>
      <c r="T61" t="n">
        <v/>
      </c>
      <c r="U61" t="n">
        <v/>
      </c>
      <c r="V61" t="n">
        <v/>
      </c>
      <c r="W61" t="n">
        <v/>
      </c>
      <c r="X61" t="n">
        <v/>
      </c>
      <c r="Y61" t="n">
        <v/>
      </c>
      <c r="Z61" t="n">
        <v/>
      </c>
      <c r="AA61" t="n">
        <v/>
      </c>
      <c r="AB61" t="n">
        <v/>
      </c>
      <c r="AC61" t="n">
        <v/>
      </c>
      <c r="AD61" t="n">
        <v/>
      </c>
      <c r="AE61" t="n">
        <v/>
      </c>
      <c r="AF61" t="n">
        <v/>
      </c>
      <c r="AG61" t="n">
        <v/>
      </c>
      <c r="AH61" t="n">
        <v/>
      </c>
      <c r="AI61" t="n">
        <v/>
      </c>
      <c r="AJ61" t="n">
        <v/>
      </c>
      <c r="AK61" t="n">
        <v/>
      </c>
      <c r="AL61" t="n">
        <v/>
      </c>
      <c r="AM61" t="n">
        <v/>
      </c>
      <c r="AN61" t="n">
        <v/>
      </c>
      <c r="AO61" t="n">
        <v/>
      </c>
      <c r="AP61" t="n">
        <v/>
      </c>
      <c r="AQ61" t="n">
        <v/>
      </c>
      <c r="AR61" t="n">
        <v/>
      </c>
      <c r="AS61" t="n">
        <v/>
      </c>
      <c r="AT61" t="n">
        <v/>
      </c>
      <c r="AU61" t="n">
        <v/>
      </c>
      <c r="AV61" t="n">
        <v/>
      </c>
      <c r="AW61" t="n">
        <v/>
      </c>
      <c r="AX61" t="n">
        <v/>
      </c>
    </row>
    <row r="62">
      <c r="A62" s="92" t="n">
        <v>19725</v>
      </c>
      <c r="B62" t="n">
        <v/>
      </c>
      <c r="C62" t="n">
        <v/>
      </c>
      <c r="D62" t="n">
        <v/>
      </c>
      <c r="E62" t="n">
        <v/>
      </c>
      <c r="F62" t="n">
        <v/>
      </c>
      <c r="G62" t="n">
        <v/>
      </c>
      <c r="H62" t="n">
        <v/>
      </c>
      <c r="I62" t="n">
        <v/>
      </c>
      <c r="J62" t="n">
        <v/>
      </c>
      <c r="K62" t="n">
        <v/>
      </c>
      <c r="L62" t="n">
        <v/>
      </c>
      <c r="M62" t="n">
        <v/>
      </c>
      <c r="N62" t="n">
        <v/>
      </c>
      <c r="O62" t="n">
        <v/>
      </c>
      <c r="P62" t="n">
        <v/>
      </c>
      <c r="Q62" t="n">
        <v/>
      </c>
      <c r="R62" t="n">
        <v/>
      </c>
      <c r="S62" t="n">
        <v/>
      </c>
      <c r="T62" t="n">
        <v/>
      </c>
      <c r="U62" t="n">
        <v/>
      </c>
      <c r="V62" t="n">
        <v/>
      </c>
      <c r="W62" t="n">
        <v/>
      </c>
      <c r="X62" t="n">
        <v/>
      </c>
      <c r="Y62" t="n">
        <v/>
      </c>
      <c r="Z62" t="n">
        <v/>
      </c>
      <c r="AA62" t="n">
        <v/>
      </c>
      <c r="AB62" t="n">
        <v/>
      </c>
      <c r="AC62" t="n">
        <v/>
      </c>
      <c r="AD62" t="n">
        <v/>
      </c>
      <c r="AE62" t="n">
        <v/>
      </c>
      <c r="AF62" t="n">
        <v/>
      </c>
      <c r="AG62" t="n">
        <v/>
      </c>
      <c r="AH62" t="n">
        <v/>
      </c>
      <c r="AI62" t="n">
        <v/>
      </c>
      <c r="AJ62" t="n">
        <v/>
      </c>
      <c r="AK62" t="n">
        <v/>
      </c>
      <c r="AL62" t="n">
        <v/>
      </c>
      <c r="AM62" t="n">
        <v/>
      </c>
      <c r="AN62" t="n">
        <v/>
      </c>
      <c r="AO62" t="n">
        <v/>
      </c>
      <c r="AP62" t="n">
        <v/>
      </c>
      <c r="AQ62" t="n">
        <v/>
      </c>
      <c r="AR62" t="n">
        <v/>
      </c>
      <c r="AS62" t="n">
        <v/>
      </c>
      <c r="AT62" t="n">
        <v/>
      </c>
      <c r="AU62" t="n">
        <v/>
      </c>
      <c r="AV62" t="n">
        <v/>
      </c>
      <c r="AW62" t="n">
        <v/>
      </c>
      <c r="AX62" t="n">
        <v/>
      </c>
    </row>
    <row r="63">
      <c r="A63" s="92" t="n">
        <v>19756</v>
      </c>
      <c r="B63" t="n">
        <v/>
      </c>
      <c r="C63" t="n">
        <v/>
      </c>
      <c r="D63" t="n">
        <v/>
      </c>
      <c r="E63" t="n">
        <v/>
      </c>
      <c r="F63" t="n">
        <v/>
      </c>
      <c r="G63" t="n">
        <v/>
      </c>
      <c r="H63" t="n">
        <v/>
      </c>
      <c r="I63" t="n">
        <v/>
      </c>
      <c r="J63" t="n">
        <v/>
      </c>
      <c r="K63" t="n">
        <v/>
      </c>
      <c r="L63" t="n">
        <v/>
      </c>
      <c r="M63" t="n">
        <v/>
      </c>
      <c r="N63" t="n">
        <v/>
      </c>
      <c r="O63" t="n">
        <v/>
      </c>
      <c r="P63" t="n">
        <v/>
      </c>
      <c r="Q63" t="n">
        <v/>
      </c>
      <c r="R63" t="n">
        <v/>
      </c>
      <c r="S63" t="n">
        <v/>
      </c>
      <c r="T63" t="n">
        <v/>
      </c>
      <c r="U63" t="n">
        <v/>
      </c>
      <c r="V63" t="n">
        <v/>
      </c>
      <c r="W63" t="n">
        <v/>
      </c>
      <c r="X63" t="n">
        <v/>
      </c>
      <c r="Y63" t="n">
        <v/>
      </c>
      <c r="Z63" t="n">
        <v/>
      </c>
      <c r="AA63" t="n">
        <v/>
      </c>
      <c r="AB63" t="n">
        <v/>
      </c>
      <c r="AC63" t="n">
        <v/>
      </c>
      <c r="AD63" t="n">
        <v/>
      </c>
      <c r="AE63" t="n">
        <v/>
      </c>
      <c r="AF63" t="n">
        <v/>
      </c>
      <c r="AG63" t="n">
        <v/>
      </c>
      <c r="AH63" t="n">
        <v/>
      </c>
      <c r="AI63" t="n">
        <v/>
      </c>
      <c r="AJ63" t="n">
        <v/>
      </c>
      <c r="AK63" t="n">
        <v/>
      </c>
      <c r="AL63" t="n">
        <v/>
      </c>
      <c r="AM63" t="n">
        <v/>
      </c>
      <c r="AN63" t="n">
        <v/>
      </c>
      <c r="AO63" t="n">
        <v/>
      </c>
      <c r="AP63" t="n">
        <v/>
      </c>
      <c r="AQ63" t="n">
        <v/>
      </c>
      <c r="AR63" t="n">
        <v/>
      </c>
      <c r="AS63" t="n">
        <v/>
      </c>
      <c r="AT63" t="n">
        <v/>
      </c>
      <c r="AU63" t="n">
        <v/>
      </c>
      <c r="AV63" t="n">
        <v/>
      </c>
      <c r="AW63" t="n">
        <v/>
      </c>
      <c r="AX63" t="n">
        <v/>
      </c>
    </row>
    <row r="64">
      <c r="A64" s="92" t="n">
        <v>19784</v>
      </c>
      <c r="B64" t="n">
        <v/>
      </c>
      <c r="C64" t="n">
        <v/>
      </c>
      <c r="D64" t="n">
        <v/>
      </c>
      <c r="E64" t="n">
        <v/>
      </c>
      <c r="F64" t="n">
        <v/>
      </c>
      <c r="G64" t="n">
        <v/>
      </c>
      <c r="H64" t="n">
        <v/>
      </c>
      <c r="I64" t="n">
        <v/>
      </c>
      <c r="J64" t="n">
        <v/>
      </c>
      <c r="K64" t="n">
        <v/>
      </c>
      <c r="L64" t="n">
        <v/>
      </c>
      <c r="M64" t="n">
        <v/>
      </c>
      <c r="N64" t="n">
        <v/>
      </c>
      <c r="O64" t="n">
        <v/>
      </c>
      <c r="P64" t="n">
        <v/>
      </c>
      <c r="Q64" t="n">
        <v/>
      </c>
      <c r="R64" t="n">
        <v/>
      </c>
      <c r="S64" t="n">
        <v/>
      </c>
      <c r="T64" t="n">
        <v/>
      </c>
      <c r="U64" t="n">
        <v/>
      </c>
      <c r="V64" t="n">
        <v/>
      </c>
      <c r="W64" t="n">
        <v/>
      </c>
      <c r="X64" t="n">
        <v/>
      </c>
      <c r="Y64" t="n">
        <v/>
      </c>
      <c r="Z64" t="n">
        <v/>
      </c>
      <c r="AA64" t="n">
        <v/>
      </c>
      <c r="AB64" t="n">
        <v/>
      </c>
      <c r="AC64" t="n">
        <v/>
      </c>
      <c r="AD64" t="n">
        <v/>
      </c>
      <c r="AE64" t="n">
        <v/>
      </c>
      <c r="AF64" t="n">
        <v/>
      </c>
      <c r="AG64" t="n">
        <v/>
      </c>
      <c r="AH64" t="n">
        <v/>
      </c>
      <c r="AI64" t="n">
        <v/>
      </c>
      <c r="AJ64" t="n">
        <v/>
      </c>
      <c r="AK64" t="n">
        <v/>
      </c>
      <c r="AL64" t="n">
        <v/>
      </c>
      <c r="AM64" t="n">
        <v/>
      </c>
      <c r="AN64" t="n">
        <v/>
      </c>
      <c r="AO64" t="n">
        <v/>
      </c>
      <c r="AP64" t="n">
        <v/>
      </c>
      <c r="AQ64" t="n">
        <v/>
      </c>
      <c r="AR64" t="n">
        <v/>
      </c>
      <c r="AS64" t="n">
        <v/>
      </c>
      <c r="AT64" t="n">
        <v/>
      </c>
      <c r="AU64" t="n">
        <v/>
      </c>
      <c r="AV64" t="n">
        <v/>
      </c>
      <c r="AW64" t="n">
        <v/>
      </c>
      <c r="AX64" t="n">
        <v/>
      </c>
    </row>
    <row r="65">
      <c r="A65" s="92" t="n">
        <v>19815</v>
      </c>
      <c r="B65" t="n">
        <v/>
      </c>
      <c r="C65" t="n">
        <v/>
      </c>
      <c r="D65" t="n">
        <v/>
      </c>
      <c r="E65" t="n">
        <v/>
      </c>
      <c r="F65" t="n">
        <v/>
      </c>
      <c r="G65" t="n">
        <v/>
      </c>
      <c r="H65" t="n">
        <v/>
      </c>
      <c r="I65" t="n">
        <v/>
      </c>
      <c r="J65" t="n">
        <v/>
      </c>
      <c r="K65" t="n">
        <v/>
      </c>
      <c r="L65" t="n">
        <v/>
      </c>
      <c r="M65" t="n">
        <v/>
      </c>
      <c r="N65" t="n">
        <v/>
      </c>
      <c r="O65" t="n">
        <v/>
      </c>
      <c r="P65" t="n">
        <v/>
      </c>
      <c r="Q65" t="n">
        <v/>
      </c>
      <c r="R65" t="n">
        <v/>
      </c>
      <c r="S65" t="n">
        <v/>
      </c>
      <c r="T65" t="n">
        <v/>
      </c>
      <c r="U65" t="n">
        <v/>
      </c>
      <c r="V65" t="n">
        <v/>
      </c>
      <c r="W65" t="n">
        <v/>
      </c>
      <c r="X65" t="n">
        <v/>
      </c>
      <c r="Y65" t="n">
        <v/>
      </c>
      <c r="Z65" t="n">
        <v/>
      </c>
      <c r="AA65" t="n">
        <v/>
      </c>
      <c r="AB65" t="n">
        <v/>
      </c>
      <c r="AC65" t="n">
        <v/>
      </c>
      <c r="AD65" t="n">
        <v/>
      </c>
      <c r="AE65" t="n">
        <v/>
      </c>
      <c r="AF65" t="n">
        <v/>
      </c>
      <c r="AG65" t="n">
        <v/>
      </c>
      <c r="AH65" t="n">
        <v/>
      </c>
      <c r="AI65" t="n">
        <v/>
      </c>
      <c r="AJ65" t="n">
        <v/>
      </c>
      <c r="AK65" t="n">
        <v/>
      </c>
      <c r="AL65" t="n">
        <v/>
      </c>
      <c r="AM65" t="n">
        <v/>
      </c>
      <c r="AN65" t="n">
        <v/>
      </c>
      <c r="AO65" t="n">
        <v/>
      </c>
      <c r="AP65" t="n">
        <v/>
      </c>
      <c r="AQ65" t="n">
        <v/>
      </c>
      <c r="AR65" t="n">
        <v/>
      </c>
      <c r="AS65" t="n">
        <v/>
      </c>
      <c r="AT65" t="n">
        <v/>
      </c>
      <c r="AU65" t="n">
        <v/>
      </c>
      <c r="AV65" t="n">
        <v/>
      </c>
      <c r="AW65" t="n">
        <v/>
      </c>
      <c r="AX65" t="n">
        <v/>
      </c>
    </row>
    <row r="66">
      <c r="A66" s="92" t="n">
        <v>19845</v>
      </c>
      <c r="B66" t="n">
        <v/>
      </c>
      <c r="C66" t="n">
        <v/>
      </c>
      <c r="D66" t="n">
        <v/>
      </c>
      <c r="E66" t="n">
        <v/>
      </c>
      <c r="F66" t="n">
        <v/>
      </c>
      <c r="G66" t="n">
        <v/>
      </c>
      <c r="H66" t="n">
        <v/>
      </c>
      <c r="I66" t="n">
        <v/>
      </c>
      <c r="J66" t="n">
        <v/>
      </c>
      <c r="K66" t="n">
        <v/>
      </c>
      <c r="L66" t="n">
        <v/>
      </c>
      <c r="M66" t="n">
        <v/>
      </c>
      <c r="N66" t="n">
        <v/>
      </c>
      <c r="O66" t="n">
        <v/>
      </c>
      <c r="P66" t="n">
        <v/>
      </c>
      <c r="Q66" t="n">
        <v/>
      </c>
      <c r="R66" t="n">
        <v/>
      </c>
      <c r="S66" t="n">
        <v/>
      </c>
      <c r="T66" t="n">
        <v/>
      </c>
      <c r="U66" t="n">
        <v/>
      </c>
      <c r="V66" t="n">
        <v/>
      </c>
      <c r="W66" t="n">
        <v/>
      </c>
      <c r="X66" t="n">
        <v/>
      </c>
      <c r="Y66" t="n">
        <v/>
      </c>
      <c r="Z66" t="n">
        <v/>
      </c>
      <c r="AA66" t="n">
        <v/>
      </c>
      <c r="AB66" t="n">
        <v/>
      </c>
      <c r="AC66" t="n">
        <v/>
      </c>
      <c r="AD66" t="n">
        <v/>
      </c>
      <c r="AE66" t="n">
        <v/>
      </c>
      <c r="AF66" t="n">
        <v/>
      </c>
      <c r="AG66" t="n">
        <v/>
      </c>
      <c r="AH66" t="n">
        <v/>
      </c>
      <c r="AI66" t="n">
        <v/>
      </c>
      <c r="AJ66" t="n">
        <v/>
      </c>
      <c r="AK66" t="n">
        <v/>
      </c>
      <c r="AL66" t="n">
        <v/>
      </c>
      <c r="AM66" t="n">
        <v/>
      </c>
      <c r="AN66" t="n">
        <v/>
      </c>
      <c r="AO66" t="n">
        <v/>
      </c>
      <c r="AP66" t="n">
        <v/>
      </c>
      <c r="AQ66" t="n">
        <v/>
      </c>
      <c r="AR66" t="n">
        <v/>
      </c>
      <c r="AS66" t="n">
        <v/>
      </c>
      <c r="AT66" t="n">
        <v/>
      </c>
      <c r="AU66" t="n">
        <v/>
      </c>
      <c r="AV66" t="n">
        <v/>
      </c>
      <c r="AW66" t="n">
        <v/>
      </c>
      <c r="AX66" t="n">
        <v/>
      </c>
    </row>
    <row r="67">
      <c r="A67" s="92" t="n">
        <v>19876</v>
      </c>
      <c r="B67" t="n">
        <v/>
      </c>
      <c r="C67" t="n">
        <v/>
      </c>
      <c r="D67" t="n">
        <v/>
      </c>
      <c r="E67" t="n">
        <v/>
      </c>
      <c r="F67" t="n">
        <v/>
      </c>
      <c r="G67" t="n">
        <v/>
      </c>
      <c r="H67" t="n">
        <v/>
      </c>
      <c r="I67" t="n">
        <v/>
      </c>
      <c r="J67" t="n">
        <v/>
      </c>
      <c r="K67" t="n">
        <v/>
      </c>
      <c r="L67" t="n">
        <v/>
      </c>
      <c r="M67" t="n">
        <v/>
      </c>
      <c r="N67" t="n">
        <v/>
      </c>
      <c r="O67" t="n">
        <v/>
      </c>
      <c r="P67" t="n">
        <v/>
      </c>
      <c r="Q67" t="n">
        <v/>
      </c>
      <c r="R67" t="n">
        <v/>
      </c>
      <c r="S67" t="n">
        <v/>
      </c>
      <c r="T67" t="n">
        <v/>
      </c>
      <c r="U67" t="n">
        <v/>
      </c>
      <c r="V67" t="n">
        <v/>
      </c>
      <c r="W67" t="n">
        <v/>
      </c>
      <c r="X67" t="n">
        <v/>
      </c>
      <c r="Y67" t="n">
        <v/>
      </c>
      <c r="Z67" t="n">
        <v/>
      </c>
      <c r="AA67" t="n">
        <v/>
      </c>
      <c r="AB67" t="n">
        <v/>
      </c>
      <c r="AC67" t="n">
        <v/>
      </c>
      <c r="AD67" t="n">
        <v/>
      </c>
      <c r="AE67" t="n">
        <v/>
      </c>
      <c r="AF67" t="n">
        <v/>
      </c>
      <c r="AG67" t="n">
        <v/>
      </c>
      <c r="AH67" t="n">
        <v/>
      </c>
      <c r="AI67" t="n">
        <v/>
      </c>
      <c r="AJ67" t="n">
        <v/>
      </c>
      <c r="AK67" t="n">
        <v/>
      </c>
      <c r="AL67" t="n">
        <v/>
      </c>
      <c r="AM67" t="n">
        <v/>
      </c>
      <c r="AN67" t="n">
        <v/>
      </c>
      <c r="AO67" t="n">
        <v/>
      </c>
      <c r="AP67" t="n">
        <v/>
      </c>
      <c r="AQ67" t="n">
        <v/>
      </c>
      <c r="AR67" t="n">
        <v/>
      </c>
      <c r="AS67" t="n">
        <v/>
      </c>
      <c r="AT67" t="n">
        <v/>
      </c>
      <c r="AU67" t="n">
        <v/>
      </c>
      <c r="AV67" t="n">
        <v/>
      </c>
      <c r="AW67" t="n">
        <v/>
      </c>
      <c r="AX67" t="n">
        <v/>
      </c>
    </row>
    <row r="68">
      <c r="A68" s="92" t="n">
        <v>19906</v>
      </c>
      <c r="B68" t="n">
        <v/>
      </c>
      <c r="C68" t="n">
        <v/>
      </c>
      <c r="D68" t="n">
        <v/>
      </c>
      <c r="E68" t="n">
        <v/>
      </c>
      <c r="F68" t="n">
        <v/>
      </c>
      <c r="G68" t="n">
        <v/>
      </c>
      <c r="H68" t="n">
        <v/>
      </c>
      <c r="I68" t="n">
        <v/>
      </c>
      <c r="J68" t="n">
        <v/>
      </c>
      <c r="K68" t="n">
        <v/>
      </c>
      <c r="L68" t="n">
        <v/>
      </c>
      <c r="M68" t="n">
        <v/>
      </c>
      <c r="N68" t="n">
        <v/>
      </c>
      <c r="O68" t="n">
        <v/>
      </c>
      <c r="P68" t="n">
        <v/>
      </c>
      <c r="Q68" t="n">
        <v/>
      </c>
      <c r="R68" t="n">
        <v/>
      </c>
      <c r="S68" t="n">
        <v/>
      </c>
      <c r="T68" t="n">
        <v/>
      </c>
      <c r="U68" t="n">
        <v/>
      </c>
      <c r="V68" t="n">
        <v/>
      </c>
      <c r="W68" t="n">
        <v/>
      </c>
      <c r="X68" t="n">
        <v/>
      </c>
      <c r="Y68" t="n">
        <v/>
      </c>
      <c r="Z68" t="n">
        <v/>
      </c>
      <c r="AA68" t="n">
        <v/>
      </c>
      <c r="AB68" t="n">
        <v/>
      </c>
      <c r="AC68" t="n">
        <v/>
      </c>
      <c r="AD68" t="n">
        <v/>
      </c>
      <c r="AE68" t="n">
        <v/>
      </c>
      <c r="AF68" t="n">
        <v/>
      </c>
      <c r="AG68" t="n">
        <v/>
      </c>
      <c r="AH68" t="n">
        <v/>
      </c>
      <c r="AI68" t="n">
        <v/>
      </c>
      <c r="AJ68" t="n">
        <v/>
      </c>
      <c r="AK68" t="n">
        <v/>
      </c>
      <c r="AL68" t="n">
        <v/>
      </c>
      <c r="AM68" t="n">
        <v/>
      </c>
      <c r="AN68" t="n">
        <v/>
      </c>
      <c r="AO68" t="n">
        <v/>
      </c>
      <c r="AP68" t="n">
        <v/>
      </c>
      <c r="AQ68" t="n">
        <v/>
      </c>
      <c r="AR68" t="n">
        <v/>
      </c>
      <c r="AS68" t="n">
        <v/>
      </c>
      <c r="AT68" t="n">
        <v/>
      </c>
      <c r="AU68" t="n">
        <v/>
      </c>
      <c r="AV68" t="n">
        <v/>
      </c>
      <c r="AW68" t="n">
        <v/>
      </c>
      <c r="AX68" t="n">
        <v/>
      </c>
    </row>
    <row r="69">
      <c r="A69" s="92" t="n">
        <v>19937</v>
      </c>
      <c r="B69" t="n">
        <v/>
      </c>
      <c r="C69" t="n">
        <v/>
      </c>
      <c r="D69" t="n">
        <v/>
      </c>
      <c r="E69" t="n">
        <v/>
      </c>
      <c r="F69" t="n">
        <v/>
      </c>
      <c r="G69" t="n">
        <v/>
      </c>
      <c r="H69" t="n">
        <v/>
      </c>
      <c r="I69" t="n">
        <v/>
      </c>
      <c r="J69" t="n">
        <v/>
      </c>
      <c r="K69" t="n">
        <v/>
      </c>
      <c r="L69" t="n">
        <v/>
      </c>
      <c r="M69" t="n">
        <v/>
      </c>
      <c r="N69" t="n">
        <v/>
      </c>
      <c r="O69" t="n">
        <v/>
      </c>
      <c r="P69" t="n">
        <v/>
      </c>
      <c r="Q69" t="n">
        <v/>
      </c>
      <c r="R69" t="n">
        <v/>
      </c>
      <c r="S69" t="n">
        <v/>
      </c>
      <c r="T69" t="n">
        <v/>
      </c>
      <c r="U69" t="n">
        <v/>
      </c>
      <c r="V69" t="n">
        <v/>
      </c>
      <c r="W69" t="n">
        <v/>
      </c>
      <c r="X69" t="n">
        <v/>
      </c>
      <c r="Y69" t="n">
        <v/>
      </c>
      <c r="Z69" t="n">
        <v/>
      </c>
      <c r="AA69" t="n">
        <v/>
      </c>
      <c r="AB69" t="n">
        <v/>
      </c>
      <c r="AC69" t="n">
        <v/>
      </c>
      <c r="AD69" t="n">
        <v/>
      </c>
      <c r="AE69" t="n">
        <v/>
      </c>
      <c r="AF69" t="n">
        <v/>
      </c>
      <c r="AG69" t="n">
        <v/>
      </c>
      <c r="AH69" t="n">
        <v/>
      </c>
      <c r="AI69" t="n">
        <v/>
      </c>
      <c r="AJ69" t="n">
        <v/>
      </c>
      <c r="AK69" t="n">
        <v/>
      </c>
      <c r="AL69" t="n">
        <v/>
      </c>
      <c r="AM69" t="n">
        <v/>
      </c>
      <c r="AN69" t="n">
        <v/>
      </c>
      <c r="AO69" t="n">
        <v/>
      </c>
      <c r="AP69" t="n">
        <v/>
      </c>
      <c r="AQ69" t="n">
        <v/>
      </c>
      <c r="AR69" t="n">
        <v/>
      </c>
      <c r="AS69" t="n">
        <v/>
      </c>
      <c r="AT69" t="n">
        <v/>
      </c>
      <c r="AU69" t="n">
        <v/>
      </c>
      <c r="AV69" t="n">
        <v/>
      </c>
      <c r="AW69" t="n">
        <v/>
      </c>
      <c r="AX69" t="n">
        <v/>
      </c>
    </row>
    <row r="70">
      <c r="A70" s="92" t="n">
        <v>19968</v>
      </c>
      <c r="B70" t="n">
        <v/>
      </c>
      <c r="C70" t="n">
        <v/>
      </c>
      <c r="D70" t="n">
        <v/>
      </c>
      <c r="E70" t="n">
        <v/>
      </c>
      <c r="F70" t="n">
        <v/>
      </c>
      <c r="G70" t="n">
        <v/>
      </c>
      <c r="H70" t="n">
        <v/>
      </c>
      <c r="I70" t="n">
        <v/>
      </c>
      <c r="J70" t="n">
        <v/>
      </c>
      <c r="K70" t="n">
        <v/>
      </c>
      <c r="L70" t="n">
        <v/>
      </c>
      <c r="M70" t="n">
        <v/>
      </c>
      <c r="N70" t="n">
        <v/>
      </c>
      <c r="O70" t="n">
        <v/>
      </c>
      <c r="P70" t="n">
        <v/>
      </c>
      <c r="Q70" t="n">
        <v/>
      </c>
      <c r="R70" t="n">
        <v/>
      </c>
      <c r="S70" t="n">
        <v/>
      </c>
      <c r="T70" t="n">
        <v/>
      </c>
      <c r="U70" t="n">
        <v/>
      </c>
      <c r="V70" t="n">
        <v/>
      </c>
      <c r="W70" t="n">
        <v/>
      </c>
      <c r="X70" t="n">
        <v/>
      </c>
      <c r="Y70" t="n">
        <v/>
      </c>
      <c r="Z70" t="n">
        <v/>
      </c>
      <c r="AA70" t="n">
        <v/>
      </c>
      <c r="AB70" t="n">
        <v/>
      </c>
      <c r="AC70" t="n">
        <v/>
      </c>
      <c r="AD70" t="n">
        <v/>
      </c>
      <c r="AE70" t="n">
        <v/>
      </c>
      <c r="AF70" t="n">
        <v/>
      </c>
      <c r="AG70" t="n">
        <v/>
      </c>
      <c r="AH70" t="n">
        <v/>
      </c>
      <c r="AI70" t="n">
        <v/>
      </c>
      <c r="AJ70" t="n">
        <v/>
      </c>
      <c r="AK70" t="n">
        <v/>
      </c>
      <c r="AL70" t="n">
        <v/>
      </c>
      <c r="AM70" t="n">
        <v/>
      </c>
      <c r="AN70" t="n">
        <v/>
      </c>
      <c r="AO70" t="n">
        <v/>
      </c>
      <c r="AP70" t="n">
        <v/>
      </c>
      <c r="AQ70" t="n">
        <v/>
      </c>
      <c r="AR70" t="n">
        <v/>
      </c>
      <c r="AS70" t="n">
        <v/>
      </c>
      <c r="AT70" t="n">
        <v/>
      </c>
      <c r="AU70" t="n">
        <v/>
      </c>
      <c r="AV70" t="n">
        <v/>
      </c>
      <c r="AW70" t="n">
        <v/>
      </c>
      <c r="AX70" t="n">
        <v/>
      </c>
    </row>
    <row r="71">
      <c r="A71" s="92" t="n">
        <v>19998</v>
      </c>
      <c r="B71" t="n">
        <v/>
      </c>
      <c r="C71" t="n">
        <v/>
      </c>
      <c r="D71" t="n">
        <v/>
      </c>
      <c r="E71" t="n">
        <v/>
      </c>
      <c r="F71" t="n">
        <v/>
      </c>
      <c r="G71" t="n">
        <v/>
      </c>
      <c r="H71" t="n">
        <v/>
      </c>
      <c r="I71" t="n">
        <v/>
      </c>
      <c r="J71" t="n">
        <v/>
      </c>
      <c r="K71" t="n">
        <v/>
      </c>
      <c r="L71" t="n">
        <v/>
      </c>
      <c r="M71" t="n">
        <v/>
      </c>
      <c r="N71" t="n">
        <v/>
      </c>
      <c r="O71" t="n">
        <v/>
      </c>
      <c r="P71" t="n">
        <v/>
      </c>
      <c r="Q71" t="n">
        <v/>
      </c>
      <c r="R71" t="n">
        <v/>
      </c>
      <c r="S71" t="n">
        <v/>
      </c>
      <c r="T71" t="n">
        <v/>
      </c>
      <c r="U71" t="n">
        <v/>
      </c>
      <c r="V71" t="n">
        <v/>
      </c>
      <c r="W71" t="n">
        <v/>
      </c>
      <c r="X71" t="n">
        <v/>
      </c>
      <c r="Y71" t="n">
        <v/>
      </c>
      <c r="Z71" t="n">
        <v/>
      </c>
      <c r="AA71" t="n">
        <v/>
      </c>
      <c r="AB71" t="n">
        <v/>
      </c>
      <c r="AC71" t="n">
        <v/>
      </c>
      <c r="AD71" t="n">
        <v/>
      </c>
      <c r="AE71" t="n">
        <v/>
      </c>
      <c r="AF71" t="n">
        <v/>
      </c>
      <c r="AG71" t="n">
        <v/>
      </c>
      <c r="AH71" t="n">
        <v/>
      </c>
      <c r="AI71" t="n">
        <v/>
      </c>
      <c r="AJ71" t="n">
        <v/>
      </c>
      <c r="AK71" t="n">
        <v/>
      </c>
      <c r="AL71" t="n">
        <v/>
      </c>
      <c r="AM71" t="n">
        <v/>
      </c>
      <c r="AN71" t="n">
        <v/>
      </c>
      <c r="AO71" t="n">
        <v/>
      </c>
      <c r="AP71" t="n">
        <v/>
      </c>
      <c r="AQ71" t="n">
        <v/>
      </c>
      <c r="AR71" t="n">
        <v/>
      </c>
      <c r="AS71" t="n">
        <v/>
      </c>
      <c r="AT71" t="n">
        <v/>
      </c>
      <c r="AU71" t="n">
        <v/>
      </c>
      <c r="AV71" t="n">
        <v/>
      </c>
      <c r="AW71" t="n">
        <v/>
      </c>
      <c r="AX71" t="n">
        <v/>
      </c>
    </row>
    <row r="72">
      <c r="A72" s="92" t="n">
        <v>20029</v>
      </c>
      <c r="B72" t="n">
        <v/>
      </c>
      <c r="C72" t="n">
        <v/>
      </c>
      <c r="D72" t="n">
        <v/>
      </c>
      <c r="E72" t="n">
        <v/>
      </c>
      <c r="F72" t="n">
        <v/>
      </c>
      <c r="G72" t="n">
        <v/>
      </c>
      <c r="H72" t="n">
        <v/>
      </c>
      <c r="I72" t="n">
        <v/>
      </c>
      <c r="J72" t="n">
        <v/>
      </c>
      <c r="K72" t="n">
        <v/>
      </c>
      <c r="L72" t="n">
        <v/>
      </c>
      <c r="M72" t="n">
        <v/>
      </c>
      <c r="N72" t="n">
        <v/>
      </c>
      <c r="O72" t="n">
        <v/>
      </c>
      <c r="P72" t="n">
        <v/>
      </c>
      <c r="Q72" t="n">
        <v/>
      </c>
      <c r="R72" t="n">
        <v/>
      </c>
      <c r="S72" t="n">
        <v/>
      </c>
      <c r="T72" t="n">
        <v/>
      </c>
      <c r="U72" t="n">
        <v/>
      </c>
      <c r="V72" t="n">
        <v/>
      </c>
      <c r="W72" t="n">
        <v/>
      </c>
      <c r="X72" t="n">
        <v/>
      </c>
      <c r="Y72" t="n">
        <v/>
      </c>
      <c r="Z72" t="n">
        <v/>
      </c>
      <c r="AA72" t="n">
        <v/>
      </c>
      <c r="AB72" t="n">
        <v/>
      </c>
      <c r="AC72" t="n">
        <v/>
      </c>
      <c r="AD72" t="n">
        <v/>
      </c>
      <c r="AE72" t="n">
        <v/>
      </c>
      <c r="AF72" t="n">
        <v/>
      </c>
      <c r="AG72" t="n">
        <v/>
      </c>
      <c r="AH72" t="n">
        <v/>
      </c>
      <c r="AI72" t="n">
        <v/>
      </c>
      <c r="AJ72" t="n">
        <v/>
      </c>
      <c r="AK72" t="n">
        <v/>
      </c>
      <c r="AL72" t="n">
        <v/>
      </c>
      <c r="AM72" t="n">
        <v/>
      </c>
      <c r="AN72" t="n">
        <v/>
      </c>
      <c r="AO72" t="n">
        <v/>
      </c>
      <c r="AP72" t="n">
        <v/>
      </c>
      <c r="AQ72" t="n">
        <v/>
      </c>
      <c r="AR72" t="n">
        <v/>
      </c>
      <c r="AS72" t="n">
        <v/>
      </c>
      <c r="AT72" t="n">
        <v/>
      </c>
      <c r="AU72" t="n">
        <v/>
      </c>
      <c r="AV72" t="n">
        <v/>
      </c>
      <c r="AW72" t="n">
        <v/>
      </c>
      <c r="AX72" t="n">
        <v/>
      </c>
    </row>
    <row r="73">
      <c r="A73" s="92" t="n">
        <v>20059</v>
      </c>
      <c r="B73" t="n">
        <v/>
      </c>
      <c r="C73" t="n">
        <v/>
      </c>
      <c r="D73" t="n">
        <v/>
      </c>
      <c r="E73" t="n">
        <v/>
      </c>
      <c r="F73" t="n">
        <v/>
      </c>
      <c r="G73" t="n">
        <v/>
      </c>
      <c r="H73" t="n">
        <v/>
      </c>
      <c r="I73" t="n">
        <v/>
      </c>
      <c r="J73" t="n">
        <v/>
      </c>
      <c r="K73" t="n">
        <v/>
      </c>
      <c r="L73" t="n">
        <v/>
      </c>
      <c r="M73" t="n">
        <v/>
      </c>
      <c r="N73" t="n">
        <v/>
      </c>
      <c r="O73" t="n">
        <v/>
      </c>
      <c r="P73" t="n">
        <v/>
      </c>
      <c r="Q73" t="n">
        <v/>
      </c>
      <c r="R73" t="n">
        <v/>
      </c>
      <c r="S73" t="n">
        <v/>
      </c>
      <c r="T73" t="n">
        <v/>
      </c>
      <c r="U73" t="n">
        <v/>
      </c>
      <c r="V73" t="n">
        <v/>
      </c>
      <c r="W73" t="n">
        <v/>
      </c>
      <c r="X73" t="n">
        <v/>
      </c>
      <c r="Y73" t="n">
        <v/>
      </c>
      <c r="Z73" t="n">
        <v/>
      </c>
      <c r="AA73" t="n">
        <v/>
      </c>
      <c r="AB73" t="n">
        <v/>
      </c>
      <c r="AC73" t="n">
        <v/>
      </c>
      <c r="AD73" t="n">
        <v/>
      </c>
      <c r="AE73" t="n">
        <v/>
      </c>
      <c r="AF73" t="n">
        <v/>
      </c>
      <c r="AG73" t="n">
        <v/>
      </c>
      <c r="AH73" t="n">
        <v/>
      </c>
      <c r="AI73" t="n">
        <v/>
      </c>
      <c r="AJ73" t="n">
        <v/>
      </c>
      <c r="AK73" t="n">
        <v/>
      </c>
      <c r="AL73" t="n">
        <v/>
      </c>
      <c r="AM73" t="n">
        <v/>
      </c>
      <c r="AN73" t="n">
        <v/>
      </c>
      <c r="AO73" t="n">
        <v/>
      </c>
      <c r="AP73" t="n">
        <v/>
      </c>
      <c r="AQ73" t="n">
        <v/>
      </c>
      <c r="AR73" t="n">
        <v/>
      </c>
      <c r="AS73" t="n">
        <v/>
      </c>
      <c r="AT73" t="n">
        <v/>
      </c>
      <c r="AU73" t="n">
        <v/>
      </c>
      <c r="AV73" t="n">
        <v/>
      </c>
      <c r="AW73" t="n">
        <v/>
      </c>
      <c r="AX73" t="n">
        <v/>
      </c>
    </row>
    <row r="74">
      <c r="A74" s="92" t="n">
        <v>20090</v>
      </c>
      <c r="B74" t="n">
        <v/>
      </c>
      <c r="C74" t="n">
        <v/>
      </c>
      <c r="D74" t="n">
        <v/>
      </c>
      <c r="E74" t="n">
        <v/>
      </c>
      <c r="F74" t="n">
        <v>22.09497</v>
      </c>
      <c r="G74" t="n">
        <v/>
      </c>
      <c r="H74" t="n">
        <v/>
      </c>
      <c r="I74" t="n">
        <v/>
      </c>
      <c r="J74" t="n">
        <v/>
      </c>
      <c r="K74" t="n">
        <v/>
      </c>
      <c r="L74" t="n">
        <v/>
      </c>
      <c r="M74" t="n">
        <v/>
      </c>
      <c r="N74" t="n">
        <v/>
      </c>
      <c r="O74" t="n">
        <v/>
      </c>
      <c r="P74" t="n">
        <v/>
      </c>
      <c r="Q74" t="n">
        <v/>
      </c>
      <c r="R74" t="n">
        <v>5.421903</v>
      </c>
      <c r="S74" t="n">
        <v/>
      </c>
      <c r="T74" t="n">
        <v/>
      </c>
      <c r="U74" t="n">
        <v/>
      </c>
      <c r="V74" t="n">
        <v/>
      </c>
      <c r="W74" t="n">
        <v/>
      </c>
      <c r="X74" t="n">
        <v/>
      </c>
      <c r="Y74" t="n">
        <v/>
      </c>
      <c r="Z74" t="n">
        <v/>
      </c>
      <c r="AA74" t="n">
        <v/>
      </c>
      <c r="AB74" t="n">
        <v/>
      </c>
      <c r="AC74" t="n">
        <v/>
      </c>
      <c r="AD74" t="n">
        <v/>
      </c>
      <c r="AE74" t="n">
        <v>16.62384</v>
      </c>
      <c r="AF74" t="n">
        <v/>
      </c>
      <c r="AG74" t="n">
        <v/>
      </c>
      <c r="AH74" t="n">
        <v/>
      </c>
      <c r="AI74" t="n">
        <v/>
      </c>
      <c r="AJ74" t="n">
        <v/>
      </c>
      <c r="AK74" t="n">
        <v/>
      </c>
      <c r="AL74" t="n">
        <v/>
      </c>
      <c r="AM74" t="n">
        <v/>
      </c>
      <c r="AN74" t="n">
        <v/>
      </c>
      <c r="AO74" t="n">
        <v/>
      </c>
      <c r="AP74" t="n">
        <v/>
      </c>
      <c r="AQ74" t="n">
        <v/>
      </c>
      <c r="AR74" t="n">
        <v/>
      </c>
      <c r="AS74" t="n">
        <v/>
      </c>
      <c r="AT74" t="n">
        <v/>
      </c>
      <c r="AU74" t="n">
        <v/>
      </c>
      <c r="AV74" t="n">
        <v/>
      </c>
      <c r="AW74" t="n">
        <v/>
      </c>
      <c r="AX74" t="n">
        <v/>
      </c>
    </row>
    <row r="75">
      <c r="A75" s="92" t="n">
        <v>20121</v>
      </c>
      <c r="B75" t="n">
        <v/>
      </c>
      <c r="C75" t="n">
        <v/>
      </c>
      <c r="D75" t="n">
        <v/>
      </c>
      <c r="E75" t="n">
        <v/>
      </c>
      <c r="F75" t="n">
        <v>22.03282</v>
      </c>
      <c r="G75" t="n">
        <v/>
      </c>
      <c r="H75" t="n">
        <v/>
      </c>
      <c r="I75" t="n">
        <v/>
      </c>
      <c r="J75" t="n">
        <v/>
      </c>
      <c r="K75" t="n">
        <v/>
      </c>
      <c r="L75" t="n">
        <v/>
      </c>
      <c r="M75" t="n">
        <v/>
      </c>
      <c r="N75" t="n">
        <v/>
      </c>
      <c r="O75" t="n">
        <v/>
      </c>
      <c r="P75" t="n">
        <v/>
      </c>
      <c r="Q75" t="n">
        <v/>
      </c>
      <c r="R75" t="n">
        <v>5.421903</v>
      </c>
      <c r="S75" t="n">
        <v/>
      </c>
      <c r="T75" t="n">
        <v/>
      </c>
      <c r="U75" t="n">
        <v/>
      </c>
      <c r="V75" t="n">
        <v/>
      </c>
      <c r="W75" t="n">
        <v/>
      </c>
      <c r="X75" t="n">
        <v/>
      </c>
      <c r="Y75" t="n">
        <v/>
      </c>
      <c r="Z75" t="n">
        <v/>
      </c>
      <c r="AA75" t="n">
        <v/>
      </c>
      <c r="AB75" t="n">
        <v/>
      </c>
      <c r="AC75" t="n">
        <v/>
      </c>
      <c r="AD75" t="n">
        <v/>
      </c>
      <c r="AE75" t="n">
        <v>16.61139</v>
      </c>
      <c r="AF75" t="n">
        <v/>
      </c>
      <c r="AG75" t="n">
        <v/>
      </c>
      <c r="AH75" t="n">
        <v/>
      </c>
      <c r="AI75" t="n">
        <v/>
      </c>
      <c r="AJ75" t="n">
        <v/>
      </c>
      <c r="AK75" t="n">
        <v/>
      </c>
      <c r="AL75" t="n">
        <v/>
      </c>
      <c r="AM75" t="n">
        <v/>
      </c>
      <c r="AN75" t="n">
        <v/>
      </c>
      <c r="AO75" t="n">
        <v/>
      </c>
      <c r="AP75" t="n">
        <v/>
      </c>
      <c r="AQ75" t="n">
        <v/>
      </c>
      <c r="AR75" t="n">
        <v/>
      </c>
      <c r="AS75" t="n">
        <v/>
      </c>
      <c r="AT75" t="n">
        <v/>
      </c>
      <c r="AU75" t="n">
        <v/>
      </c>
      <c r="AV75" t="n">
        <v/>
      </c>
      <c r="AW75" t="n">
        <v/>
      </c>
      <c r="AX75" t="n">
        <v/>
      </c>
    </row>
    <row r="76">
      <c r="A76" s="92" t="n">
        <v>20149</v>
      </c>
      <c r="B76" t="n">
        <v/>
      </c>
      <c r="C76" t="n">
        <v/>
      </c>
      <c r="D76" t="n">
        <v/>
      </c>
      <c r="E76" t="n">
        <v/>
      </c>
      <c r="F76" t="n">
        <v>22.01331</v>
      </c>
      <c r="G76" t="n">
        <v/>
      </c>
      <c r="H76" t="n">
        <v/>
      </c>
      <c r="I76" t="n">
        <v/>
      </c>
      <c r="J76" t="n">
        <v/>
      </c>
      <c r="K76" t="n">
        <v/>
      </c>
      <c r="L76" t="n">
        <v/>
      </c>
      <c r="M76" t="n">
        <v/>
      </c>
      <c r="N76" t="n">
        <v/>
      </c>
      <c r="O76" t="n">
        <v/>
      </c>
      <c r="P76" t="n">
        <v/>
      </c>
      <c r="Q76" t="n">
        <v/>
      </c>
      <c r="R76" t="n">
        <v>5.410548</v>
      </c>
      <c r="S76" t="n">
        <v/>
      </c>
      <c r="T76" t="n">
        <v/>
      </c>
      <c r="U76" t="n">
        <v/>
      </c>
      <c r="V76" t="n">
        <v/>
      </c>
      <c r="W76" t="n">
        <v/>
      </c>
      <c r="X76" t="n">
        <v/>
      </c>
      <c r="Y76" t="n">
        <v/>
      </c>
      <c r="Z76" t="n">
        <v/>
      </c>
      <c r="AA76" t="n">
        <v/>
      </c>
      <c r="AB76" t="n">
        <v/>
      </c>
      <c r="AC76" t="n">
        <v/>
      </c>
      <c r="AD76" t="n">
        <v/>
      </c>
      <c r="AE76" t="n">
        <v>16.55025</v>
      </c>
      <c r="AF76" t="n">
        <v/>
      </c>
      <c r="AG76" t="n">
        <v/>
      </c>
      <c r="AH76" t="n">
        <v/>
      </c>
      <c r="AI76" t="n">
        <v/>
      </c>
      <c r="AJ76" t="n">
        <v/>
      </c>
      <c r="AK76" t="n">
        <v/>
      </c>
      <c r="AL76" t="n">
        <v/>
      </c>
      <c r="AM76" t="n">
        <v/>
      </c>
      <c r="AN76" t="n">
        <v/>
      </c>
      <c r="AO76" t="n">
        <v/>
      </c>
      <c r="AP76" t="n">
        <v/>
      </c>
      <c r="AQ76" t="n">
        <v/>
      </c>
      <c r="AR76" t="n">
        <v/>
      </c>
      <c r="AS76" t="n">
        <v/>
      </c>
      <c r="AT76" t="n">
        <v/>
      </c>
      <c r="AU76" t="n">
        <v/>
      </c>
      <c r="AV76" t="n">
        <v/>
      </c>
      <c r="AW76" t="n">
        <v/>
      </c>
      <c r="AX76" t="n">
        <v/>
      </c>
    </row>
    <row r="77">
      <c r="A77" s="92" t="n">
        <v>20180</v>
      </c>
      <c r="B77" t="n">
        <v/>
      </c>
      <c r="C77" t="n">
        <v/>
      </c>
      <c r="D77" t="n">
        <v/>
      </c>
      <c r="E77" t="n">
        <v/>
      </c>
      <c r="F77" t="n">
        <v>22.02386</v>
      </c>
      <c r="G77" t="n">
        <v/>
      </c>
      <c r="H77" t="n">
        <v/>
      </c>
      <c r="I77" t="n">
        <v/>
      </c>
      <c r="J77" t="n">
        <v/>
      </c>
      <c r="K77" t="n">
        <v/>
      </c>
      <c r="L77" t="n">
        <v/>
      </c>
      <c r="M77" t="n">
        <v/>
      </c>
      <c r="N77" t="n">
        <v/>
      </c>
      <c r="O77" t="n">
        <v/>
      </c>
      <c r="P77" t="n">
        <v/>
      </c>
      <c r="Q77" t="n">
        <v/>
      </c>
      <c r="R77" t="n">
        <v>5.470735</v>
      </c>
      <c r="S77" t="n">
        <v/>
      </c>
      <c r="T77" t="n">
        <v/>
      </c>
      <c r="U77" t="n">
        <v/>
      </c>
      <c r="V77" t="n">
        <v/>
      </c>
      <c r="W77" t="n">
        <v/>
      </c>
      <c r="X77" t="n">
        <v/>
      </c>
      <c r="Y77" t="n">
        <v/>
      </c>
      <c r="Z77" t="n">
        <v/>
      </c>
      <c r="AA77" t="n">
        <v/>
      </c>
      <c r="AB77" t="n">
        <v/>
      </c>
      <c r="AC77" t="n">
        <v/>
      </c>
      <c r="AD77" t="n">
        <v/>
      </c>
      <c r="AE77" t="n">
        <v>16.69086</v>
      </c>
      <c r="AF77" t="n">
        <v/>
      </c>
      <c r="AG77" t="n">
        <v/>
      </c>
      <c r="AH77" t="n">
        <v/>
      </c>
      <c r="AI77" t="n">
        <v/>
      </c>
      <c r="AJ77" t="n">
        <v/>
      </c>
      <c r="AK77" t="n">
        <v/>
      </c>
      <c r="AL77" t="n">
        <v/>
      </c>
      <c r="AM77" t="n">
        <v/>
      </c>
      <c r="AN77" t="n">
        <v/>
      </c>
      <c r="AO77" t="n">
        <v/>
      </c>
      <c r="AP77" t="n">
        <v/>
      </c>
      <c r="AQ77" t="n">
        <v/>
      </c>
      <c r="AR77" t="n">
        <v/>
      </c>
      <c r="AS77" t="n">
        <v/>
      </c>
      <c r="AT77" t="n">
        <v/>
      </c>
      <c r="AU77" t="n">
        <v/>
      </c>
      <c r="AV77" t="n">
        <v/>
      </c>
      <c r="AW77" t="n">
        <v/>
      </c>
      <c r="AX77" t="n">
        <v/>
      </c>
    </row>
    <row r="78">
      <c r="A78" s="92" t="n">
        <v>20210</v>
      </c>
      <c r="B78" t="n">
        <v/>
      </c>
      <c r="C78" t="n">
        <v/>
      </c>
      <c r="D78" t="n">
        <v/>
      </c>
      <c r="E78" t="n">
        <v/>
      </c>
      <c r="F78" t="n">
        <v>22.12472</v>
      </c>
      <c r="G78" t="n">
        <v/>
      </c>
      <c r="H78" t="n">
        <v/>
      </c>
      <c r="I78" t="n">
        <v/>
      </c>
      <c r="J78" t="n">
        <v/>
      </c>
      <c r="K78" t="n">
        <v/>
      </c>
      <c r="L78" t="n">
        <v/>
      </c>
      <c r="M78" t="n">
        <v/>
      </c>
      <c r="N78" t="n">
        <v/>
      </c>
      <c r="O78" t="n">
        <v/>
      </c>
      <c r="P78" t="n">
        <v/>
      </c>
      <c r="Q78" t="n">
        <v/>
      </c>
      <c r="R78" t="n">
        <v>5.457125</v>
      </c>
      <c r="S78" t="n">
        <v/>
      </c>
      <c r="T78" t="n">
        <v/>
      </c>
      <c r="U78" t="n">
        <v/>
      </c>
      <c r="V78" t="n">
        <v/>
      </c>
      <c r="W78" t="n">
        <v/>
      </c>
      <c r="X78" t="n">
        <v/>
      </c>
      <c r="Y78" t="n">
        <v/>
      </c>
      <c r="Z78" t="n">
        <v/>
      </c>
      <c r="AA78" t="n">
        <v/>
      </c>
      <c r="AB78" t="n">
        <v/>
      </c>
      <c r="AC78" t="n">
        <v/>
      </c>
      <c r="AD78" t="n">
        <v/>
      </c>
      <c r="AE78" t="n">
        <v>16.58168</v>
      </c>
      <c r="AF78" t="n">
        <v/>
      </c>
      <c r="AG78" t="n">
        <v/>
      </c>
      <c r="AH78" t="n">
        <v/>
      </c>
      <c r="AI78" t="n">
        <v/>
      </c>
      <c r="AJ78" t="n">
        <v/>
      </c>
      <c r="AK78" t="n">
        <v/>
      </c>
      <c r="AL78" t="n">
        <v/>
      </c>
      <c r="AM78" t="n">
        <v/>
      </c>
      <c r="AN78" t="n">
        <v/>
      </c>
      <c r="AO78" t="n">
        <v/>
      </c>
      <c r="AP78" t="n">
        <v/>
      </c>
      <c r="AQ78" t="n">
        <v/>
      </c>
      <c r="AR78" t="n">
        <v/>
      </c>
      <c r="AS78" t="n">
        <v/>
      </c>
      <c r="AT78" t="n">
        <v/>
      </c>
      <c r="AU78" t="n">
        <v/>
      </c>
      <c r="AV78" t="n">
        <v/>
      </c>
      <c r="AW78" t="n">
        <v/>
      </c>
      <c r="AX78" t="n">
        <v/>
      </c>
    </row>
    <row r="79">
      <c r="A79" s="92" t="n">
        <v>20241</v>
      </c>
      <c r="B79" t="n">
        <v/>
      </c>
      <c r="C79" t="n">
        <v/>
      </c>
      <c r="D79" t="n">
        <v/>
      </c>
      <c r="E79" t="n">
        <v/>
      </c>
      <c r="F79" t="n">
        <v>22.11942</v>
      </c>
      <c r="G79" t="n">
        <v/>
      </c>
      <c r="H79" t="n">
        <v/>
      </c>
      <c r="I79" t="n">
        <v/>
      </c>
      <c r="J79" t="n">
        <v/>
      </c>
      <c r="K79" t="n">
        <v/>
      </c>
      <c r="L79" t="n">
        <v/>
      </c>
      <c r="M79" t="n">
        <v/>
      </c>
      <c r="N79" t="n">
        <v/>
      </c>
      <c r="O79" t="n">
        <v/>
      </c>
      <c r="P79" t="n">
        <v/>
      </c>
      <c r="Q79" t="n">
        <v/>
      </c>
      <c r="R79" t="n">
        <v>5.462844</v>
      </c>
      <c r="S79" t="n">
        <v/>
      </c>
      <c r="T79" t="n">
        <v/>
      </c>
      <c r="U79" t="n">
        <v/>
      </c>
      <c r="V79" t="n">
        <v/>
      </c>
      <c r="W79" t="n">
        <v/>
      </c>
      <c r="X79" t="n">
        <v/>
      </c>
      <c r="Y79" t="n">
        <v/>
      </c>
      <c r="Z79" t="n">
        <v/>
      </c>
      <c r="AA79" t="n">
        <v/>
      </c>
      <c r="AB79" t="n">
        <v/>
      </c>
      <c r="AC79" t="n">
        <v/>
      </c>
      <c r="AD79" t="n">
        <v/>
      </c>
      <c r="AE79" t="n">
        <v>16.5969</v>
      </c>
      <c r="AF79" t="n">
        <v/>
      </c>
      <c r="AG79" t="n">
        <v/>
      </c>
      <c r="AH79" t="n">
        <v/>
      </c>
      <c r="AI79" t="n">
        <v/>
      </c>
      <c r="AJ79" t="n">
        <v/>
      </c>
      <c r="AK79" t="n">
        <v/>
      </c>
      <c r="AL79" t="n">
        <v/>
      </c>
      <c r="AM79" t="n">
        <v/>
      </c>
      <c r="AN79" t="n">
        <v/>
      </c>
      <c r="AO79" t="n">
        <v/>
      </c>
      <c r="AP79" t="n">
        <v/>
      </c>
      <c r="AQ79" t="n">
        <v/>
      </c>
      <c r="AR79" t="n">
        <v/>
      </c>
      <c r="AS79" t="n">
        <v/>
      </c>
      <c r="AT79" t="n">
        <v/>
      </c>
      <c r="AU79" t="n">
        <v/>
      </c>
      <c r="AV79" t="n">
        <v/>
      </c>
      <c r="AW79" t="n">
        <v/>
      </c>
      <c r="AX79" t="n">
        <v/>
      </c>
    </row>
    <row r="80">
      <c r="A80" s="92" t="n">
        <v>20271</v>
      </c>
      <c r="B80" t="n">
        <v/>
      </c>
      <c r="C80" t="n">
        <v/>
      </c>
      <c r="D80" t="n">
        <v/>
      </c>
      <c r="E80" t="n">
        <v/>
      </c>
      <c r="F80" t="n">
        <v>22.12468</v>
      </c>
      <c r="G80" t="n">
        <v/>
      </c>
      <c r="H80" t="n">
        <v/>
      </c>
      <c r="I80" t="n">
        <v/>
      </c>
      <c r="J80" t="n">
        <v/>
      </c>
      <c r="K80" t="n">
        <v/>
      </c>
      <c r="L80" t="n">
        <v/>
      </c>
      <c r="M80" t="n">
        <v/>
      </c>
      <c r="N80" t="n">
        <v/>
      </c>
      <c r="O80" t="n">
        <v/>
      </c>
      <c r="P80" t="n">
        <v/>
      </c>
      <c r="Q80" t="n">
        <v/>
      </c>
      <c r="R80" t="n">
        <v>5.457209</v>
      </c>
      <c r="S80" t="n">
        <v/>
      </c>
      <c r="T80" t="n">
        <v/>
      </c>
      <c r="U80" t="n">
        <v/>
      </c>
      <c r="V80" t="n">
        <v/>
      </c>
      <c r="W80" t="n">
        <v/>
      </c>
      <c r="X80" t="n">
        <v/>
      </c>
      <c r="Y80" t="n">
        <v/>
      </c>
      <c r="Z80" t="n">
        <v/>
      </c>
      <c r="AA80" t="n">
        <v/>
      </c>
      <c r="AB80" t="n">
        <v/>
      </c>
      <c r="AC80" t="n">
        <v/>
      </c>
      <c r="AD80" t="n">
        <v/>
      </c>
      <c r="AE80" t="n">
        <v>16.55895</v>
      </c>
      <c r="AF80" t="n">
        <v/>
      </c>
      <c r="AG80" t="n">
        <v/>
      </c>
      <c r="AH80" t="n">
        <v/>
      </c>
      <c r="AI80" t="n">
        <v/>
      </c>
      <c r="AJ80" t="n">
        <v/>
      </c>
      <c r="AK80" t="n">
        <v/>
      </c>
      <c r="AL80" t="n">
        <v/>
      </c>
      <c r="AM80" t="n">
        <v/>
      </c>
      <c r="AN80" t="n">
        <v/>
      </c>
      <c r="AO80" t="n">
        <v/>
      </c>
      <c r="AP80" t="n">
        <v/>
      </c>
      <c r="AQ80" t="n">
        <v/>
      </c>
      <c r="AR80" t="n">
        <v/>
      </c>
      <c r="AS80" t="n">
        <v/>
      </c>
      <c r="AT80" t="n">
        <v/>
      </c>
      <c r="AU80" t="n">
        <v/>
      </c>
      <c r="AV80" t="n">
        <v/>
      </c>
      <c r="AW80" t="n">
        <v/>
      </c>
      <c r="AX80" t="n">
        <v/>
      </c>
    </row>
    <row r="81">
      <c r="A81" s="92" t="n">
        <v>20302</v>
      </c>
      <c r="B81" t="n">
        <v/>
      </c>
      <c r="C81" t="n">
        <v/>
      </c>
      <c r="D81" t="n">
        <v/>
      </c>
      <c r="E81" t="n">
        <v/>
      </c>
      <c r="F81" t="n">
        <v>22.16847</v>
      </c>
      <c r="G81" t="n">
        <v/>
      </c>
      <c r="H81" t="n">
        <v/>
      </c>
      <c r="I81" t="n">
        <v/>
      </c>
      <c r="J81" t="n">
        <v/>
      </c>
      <c r="K81" t="n">
        <v/>
      </c>
      <c r="L81" t="n">
        <v/>
      </c>
      <c r="M81" t="n">
        <v/>
      </c>
      <c r="N81" t="n">
        <v/>
      </c>
      <c r="O81" t="n">
        <v/>
      </c>
      <c r="P81" t="n">
        <v/>
      </c>
      <c r="Q81" t="n">
        <v/>
      </c>
      <c r="R81" t="n">
        <v>5.511759</v>
      </c>
      <c r="S81" t="n">
        <v/>
      </c>
      <c r="T81" t="n">
        <v/>
      </c>
      <c r="U81" t="n">
        <v/>
      </c>
      <c r="V81" t="n">
        <v/>
      </c>
      <c r="W81" t="n">
        <v/>
      </c>
      <c r="X81" t="n">
        <v/>
      </c>
      <c r="Y81" t="n">
        <v/>
      </c>
      <c r="Z81" t="n">
        <v/>
      </c>
      <c r="AA81" t="n">
        <v/>
      </c>
      <c r="AB81" t="n">
        <v/>
      </c>
      <c r="AC81" t="n">
        <v/>
      </c>
      <c r="AD81" t="n">
        <v/>
      </c>
      <c r="AE81" t="n">
        <v>16.6426</v>
      </c>
      <c r="AF81" t="n">
        <v/>
      </c>
      <c r="AG81" t="n">
        <v/>
      </c>
      <c r="AH81" t="n">
        <v/>
      </c>
      <c r="AI81" t="n">
        <v/>
      </c>
      <c r="AJ81" t="n">
        <v/>
      </c>
      <c r="AK81" t="n">
        <v/>
      </c>
      <c r="AL81" t="n">
        <v/>
      </c>
      <c r="AM81" t="n">
        <v/>
      </c>
      <c r="AN81" t="n">
        <v/>
      </c>
      <c r="AO81" t="n">
        <v/>
      </c>
      <c r="AP81" t="n">
        <v/>
      </c>
      <c r="AQ81" t="n">
        <v/>
      </c>
      <c r="AR81" t="n">
        <v/>
      </c>
      <c r="AS81" t="n">
        <v/>
      </c>
      <c r="AT81" t="n">
        <v/>
      </c>
      <c r="AU81" t="n">
        <v/>
      </c>
      <c r="AV81" t="n">
        <v/>
      </c>
      <c r="AW81" t="n">
        <v/>
      </c>
      <c r="AX81" t="n">
        <v/>
      </c>
    </row>
    <row r="82">
      <c r="A82" s="92" t="n">
        <v>20333</v>
      </c>
      <c r="B82" t="n">
        <v/>
      </c>
      <c r="C82" t="n">
        <v/>
      </c>
      <c r="D82" t="n">
        <v/>
      </c>
      <c r="E82" t="n">
        <v/>
      </c>
      <c r="F82" t="n">
        <v>22.1916</v>
      </c>
      <c r="G82" t="n">
        <v/>
      </c>
      <c r="H82" t="n">
        <v/>
      </c>
      <c r="I82" t="n">
        <v/>
      </c>
      <c r="J82" t="n">
        <v/>
      </c>
      <c r="K82" t="n">
        <v/>
      </c>
      <c r="L82" t="n">
        <v/>
      </c>
      <c r="M82" t="n">
        <v/>
      </c>
      <c r="N82" t="n">
        <v/>
      </c>
      <c r="O82" t="n">
        <v/>
      </c>
      <c r="P82" t="n">
        <v/>
      </c>
      <c r="Q82" t="n">
        <v/>
      </c>
      <c r="R82" t="n">
        <v>5.506124</v>
      </c>
      <c r="S82" t="n">
        <v/>
      </c>
      <c r="T82" t="n">
        <v/>
      </c>
      <c r="U82" t="n">
        <v/>
      </c>
      <c r="V82" t="n">
        <v/>
      </c>
      <c r="W82" t="n">
        <v/>
      </c>
      <c r="X82" t="n">
        <v/>
      </c>
      <c r="Y82" t="n">
        <v/>
      </c>
      <c r="Z82" t="n">
        <v/>
      </c>
      <c r="AA82" t="n">
        <v/>
      </c>
      <c r="AB82" t="n">
        <v/>
      </c>
      <c r="AC82" t="n">
        <v/>
      </c>
      <c r="AD82" t="n">
        <v/>
      </c>
      <c r="AE82" t="n">
        <v>16.70988</v>
      </c>
      <c r="AF82" t="n">
        <v/>
      </c>
      <c r="AG82" t="n">
        <v/>
      </c>
      <c r="AH82" t="n">
        <v/>
      </c>
      <c r="AI82" t="n">
        <v/>
      </c>
      <c r="AJ82" t="n">
        <v/>
      </c>
      <c r="AK82" t="n">
        <v/>
      </c>
      <c r="AL82" t="n">
        <v/>
      </c>
      <c r="AM82" t="n">
        <v/>
      </c>
      <c r="AN82" t="n">
        <v/>
      </c>
      <c r="AO82" t="n">
        <v/>
      </c>
      <c r="AP82" t="n">
        <v/>
      </c>
      <c r="AQ82" t="n">
        <v/>
      </c>
      <c r="AR82" t="n">
        <v/>
      </c>
      <c r="AS82" t="n">
        <v/>
      </c>
      <c r="AT82" t="n">
        <v/>
      </c>
      <c r="AU82" t="n">
        <v/>
      </c>
      <c r="AV82" t="n">
        <v/>
      </c>
      <c r="AW82" t="n">
        <v/>
      </c>
      <c r="AX82" t="n">
        <v/>
      </c>
    </row>
    <row r="83">
      <c r="A83" s="92" t="n">
        <v>20363</v>
      </c>
      <c r="B83" t="n">
        <v/>
      </c>
      <c r="C83" t="n">
        <v/>
      </c>
      <c r="D83" t="n">
        <v/>
      </c>
      <c r="E83" t="n">
        <v/>
      </c>
      <c r="F83" t="n">
        <v>22.22327</v>
      </c>
      <c r="G83" t="n">
        <v/>
      </c>
      <c r="H83" t="n">
        <v/>
      </c>
      <c r="I83" t="n">
        <v/>
      </c>
      <c r="J83" t="n">
        <v/>
      </c>
      <c r="K83" t="n">
        <v/>
      </c>
      <c r="L83" t="n">
        <v/>
      </c>
      <c r="M83" t="n">
        <v/>
      </c>
      <c r="N83" t="n">
        <v/>
      </c>
      <c r="O83" t="n">
        <v/>
      </c>
      <c r="P83" t="n">
        <v/>
      </c>
      <c r="Q83" t="n">
        <v/>
      </c>
      <c r="R83" t="n">
        <v>5.572593</v>
      </c>
      <c r="S83" t="n">
        <v/>
      </c>
      <c r="T83" t="n">
        <v/>
      </c>
      <c r="U83" t="n">
        <v/>
      </c>
      <c r="V83" t="n">
        <v/>
      </c>
      <c r="W83" t="n">
        <v/>
      </c>
      <c r="X83" t="n">
        <v/>
      </c>
      <c r="Y83" t="n">
        <v/>
      </c>
      <c r="Z83" t="n">
        <v/>
      </c>
      <c r="AA83" t="n">
        <v/>
      </c>
      <c r="AB83" t="n">
        <v/>
      </c>
      <c r="AC83" t="n">
        <v/>
      </c>
      <c r="AD83" t="n">
        <v/>
      </c>
      <c r="AE83" t="n">
        <v>16.79191</v>
      </c>
      <c r="AF83" t="n">
        <v/>
      </c>
      <c r="AG83" t="n">
        <v/>
      </c>
      <c r="AH83" t="n">
        <v/>
      </c>
      <c r="AI83" t="n">
        <v/>
      </c>
      <c r="AJ83" t="n">
        <v/>
      </c>
      <c r="AK83" t="n">
        <v/>
      </c>
      <c r="AL83" t="n">
        <v/>
      </c>
      <c r="AM83" t="n">
        <v/>
      </c>
      <c r="AN83" t="n">
        <v/>
      </c>
      <c r="AO83" t="n">
        <v/>
      </c>
      <c r="AP83" t="n">
        <v/>
      </c>
      <c r="AQ83" t="n">
        <v/>
      </c>
      <c r="AR83" t="n">
        <v/>
      </c>
      <c r="AS83" t="n">
        <v/>
      </c>
      <c r="AT83" t="n">
        <v/>
      </c>
      <c r="AU83" t="n">
        <v/>
      </c>
      <c r="AV83" t="n">
        <v/>
      </c>
      <c r="AW83" t="n">
        <v/>
      </c>
      <c r="AX83" t="n">
        <v/>
      </c>
    </row>
    <row r="84">
      <c r="A84" s="92" t="n">
        <v>20394</v>
      </c>
      <c r="B84" t="n">
        <v/>
      </c>
      <c r="C84" t="n">
        <v/>
      </c>
      <c r="D84" t="n">
        <v/>
      </c>
      <c r="E84" t="n">
        <v/>
      </c>
      <c r="F84" t="n">
        <v>22.24169</v>
      </c>
      <c r="G84" t="n">
        <v/>
      </c>
      <c r="H84" t="n">
        <v/>
      </c>
      <c r="I84" t="n">
        <v/>
      </c>
      <c r="J84" t="n">
        <v/>
      </c>
      <c r="K84" t="n">
        <v/>
      </c>
      <c r="L84" t="n">
        <v/>
      </c>
      <c r="M84" t="n">
        <v/>
      </c>
      <c r="N84" t="n">
        <v/>
      </c>
      <c r="O84" t="n">
        <v/>
      </c>
      <c r="P84" t="n">
        <v/>
      </c>
      <c r="Q84" t="n">
        <v/>
      </c>
      <c r="R84" t="n">
        <v>5.553911</v>
      </c>
      <c r="S84" t="n">
        <v/>
      </c>
      <c r="T84" t="n">
        <v/>
      </c>
      <c r="U84" t="n">
        <v/>
      </c>
      <c r="V84" t="n">
        <v/>
      </c>
      <c r="W84" t="n">
        <v/>
      </c>
      <c r="X84" t="n">
        <v/>
      </c>
      <c r="Y84" t="n">
        <v/>
      </c>
      <c r="Z84" t="n">
        <v/>
      </c>
      <c r="AA84" t="n">
        <v/>
      </c>
      <c r="AB84" t="n">
        <v/>
      </c>
      <c r="AC84" t="n">
        <v/>
      </c>
      <c r="AD84" t="n">
        <v/>
      </c>
      <c r="AE84" t="n">
        <v>16.41903</v>
      </c>
      <c r="AF84" t="n">
        <v/>
      </c>
      <c r="AG84" t="n">
        <v/>
      </c>
      <c r="AH84" t="n">
        <v/>
      </c>
      <c r="AI84" t="n">
        <v/>
      </c>
      <c r="AJ84" t="n">
        <v/>
      </c>
      <c r="AK84" t="n">
        <v/>
      </c>
      <c r="AL84" t="n">
        <v/>
      </c>
      <c r="AM84" t="n">
        <v/>
      </c>
      <c r="AN84" t="n">
        <v/>
      </c>
      <c r="AO84" t="n">
        <v/>
      </c>
      <c r="AP84" t="n">
        <v/>
      </c>
      <c r="AQ84" t="n">
        <v/>
      </c>
      <c r="AR84" t="n">
        <v/>
      </c>
      <c r="AS84" t="n">
        <v/>
      </c>
      <c r="AT84" t="n">
        <v/>
      </c>
      <c r="AU84" t="n">
        <v/>
      </c>
      <c r="AV84" t="n">
        <v/>
      </c>
      <c r="AW84" t="n">
        <v/>
      </c>
      <c r="AX84" t="n">
        <v/>
      </c>
    </row>
    <row r="85">
      <c r="A85" s="92" t="n">
        <v>20424</v>
      </c>
      <c r="B85" t="n">
        <v/>
      </c>
      <c r="C85" t="n">
        <v/>
      </c>
      <c r="D85" t="n">
        <v/>
      </c>
      <c r="E85" t="n">
        <v/>
      </c>
      <c r="F85" t="n">
        <v>22.23694</v>
      </c>
      <c r="G85" t="n">
        <v/>
      </c>
      <c r="H85" t="n">
        <v/>
      </c>
      <c r="I85" t="n">
        <v/>
      </c>
      <c r="J85" t="n">
        <v/>
      </c>
      <c r="K85" t="n">
        <v/>
      </c>
      <c r="L85" t="n">
        <v/>
      </c>
      <c r="M85" t="n">
        <v/>
      </c>
      <c r="N85" t="n">
        <v/>
      </c>
      <c r="O85" t="n">
        <v/>
      </c>
      <c r="P85" t="n">
        <v/>
      </c>
      <c r="Q85" t="n">
        <v/>
      </c>
      <c r="R85" t="n">
        <v>5.551657</v>
      </c>
      <c r="S85" t="n">
        <v/>
      </c>
      <c r="T85" t="n">
        <v/>
      </c>
      <c r="U85" t="n">
        <v/>
      </c>
      <c r="V85" t="n">
        <v/>
      </c>
      <c r="W85" t="n">
        <v/>
      </c>
      <c r="X85" t="n">
        <v/>
      </c>
      <c r="Y85" t="n">
        <v/>
      </c>
      <c r="Z85" t="n">
        <v/>
      </c>
      <c r="AA85" t="n">
        <v/>
      </c>
      <c r="AB85" t="n">
        <v/>
      </c>
      <c r="AC85" t="n">
        <v/>
      </c>
      <c r="AD85" t="n">
        <v/>
      </c>
      <c r="AE85" t="n">
        <v>16.3445</v>
      </c>
      <c r="AF85" t="n">
        <v/>
      </c>
      <c r="AG85" t="n">
        <v/>
      </c>
      <c r="AH85" t="n">
        <v/>
      </c>
      <c r="AI85" t="n">
        <v/>
      </c>
      <c r="AJ85" t="n">
        <v/>
      </c>
      <c r="AK85" t="n">
        <v/>
      </c>
      <c r="AL85" t="n">
        <v/>
      </c>
      <c r="AM85" t="n">
        <v/>
      </c>
      <c r="AN85" t="n">
        <v/>
      </c>
      <c r="AO85" t="n">
        <v/>
      </c>
      <c r="AP85" t="n">
        <v/>
      </c>
      <c r="AQ85" t="n">
        <v/>
      </c>
      <c r="AR85" t="n">
        <v/>
      </c>
      <c r="AS85" t="n">
        <v/>
      </c>
      <c r="AT85" t="n">
        <v/>
      </c>
      <c r="AU85" t="n">
        <v/>
      </c>
      <c r="AV85" t="n">
        <v/>
      </c>
      <c r="AW85" t="n">
        <v/>
      </c>
      <c r="AX85" t="n">
        <v/>
      </c>
    </row>
    <row r="86">
      <c r="A86" s="92" t="n">
        <v>20455</v>
      </c>
      <c r="B86" t="n">
        <v/>
      </c>
      <c r="C86" t="n">
        <v/>
      </c>
      <c r="D86" t="n">
        <v/>
      </c>
      <c r="E86" t="n">
        <v/>
      </c>
      <c r="F86" t="n">
        <v>22.13427</v>
      </c>
      <c r="G86" t="n">
        <v/>
      </c>
      <c r="H86" t="n">
        <v/>
      </c>
      <c r="I86" t="n">
        <v/>
      </c>
      <c r="J86" t="n">
        <v/>
      </c>
      <c r="K86" t="n">
        <v/>
      </c>
      <c r="L86" t="n">
        <v/>
      </c>
      <c r="M86" t="n">
        <v/>
      </c>
      <c r="N86" t="n">
        <v/>
      </c>
      <c r="O86" t="n">
        <v/>
      </c>
      <c r="P86" t="n">
        <v/>
      </c>
      <c r="Q86" t="n">
        <v/>
      </c>
      <c r="R86" t="n">
        <v>5.730129</v>
      </c>
      <c r="S86" t="n">
        <v/>
      </c>
      <c r="T86" t="n">
        <v/>
      </c>
      <c r="U86" t="n">
        <v/>
      </c>
      <c r="V86" t="n">
        <v/>
      </c>
      <c r="W86" t="n">
        <v/>
      </c>
      <c r="X86" t="n">
        <v/>
      </c>
      <c r="Y86" t="n">
        <v/>
      </c>
      <c r="Z86" t="n">
        <v/>
      </c>
      <c r="AA86" t="n">
        <v/>
      </c>
      <c r="AB86" t="n">
        <v/>
      </c>
      <c r="AC86" t="n">
        <v/>
      </c>
      <c r="AD86" t="n">
        <v/>
      </c>
      <c r="AE86" t="n">
        <v>16.43663</v>
      </c>
      <c r="AF86" t="n">
        <v/>
      </c>
      <c r="AG86" t="n">
        <v/>
      </c>
      <c r="AH86" t="n">
        <v/>
      </c>
      <c r="AI86" t="n">
        <v/>
      </c>
      <c r="AJ86" t="n">
        <v/>
      </c>
      <c r="AK86" t="n">
        <v/>
      </c>
      <c r="AL86" t="n">
        <v/>
      </c>
      <c r="AM86" t="n">
        <v/>
      </c>
      <c r="AN86" t="n">
        <v/>
      </c>
      <c r="AO86" t="n">
        <v/>
      </c>
      <c r="AP86" t="n">
        <v/>
      </c>
      <c r="AQ86" t="n">
        <v/>
      </c>
      <c r="AR86" t="n">
        <v/>
      </c>
      <c r="AS86" t="n">
        <v/>
      </c>
      <c r="AT86" t="n">
        <v/>
      </c>
      <c r="AU86" t="n">
        <v/>
      </c>
      <c r="AV86" t="n">
        <v/>
      </c>
      <c r="AW86" t="n">
        <v/>
      </c>
      <c r="AX86" t="n">
        <v/>
      </c>
    </row>
    <row r="87">
      <c r="A87" s="92" t="n">
        <v>20486</v>
      </c>
      <c r="B87" t="n">
        <v/>
      </c>
      <c r="C87" t="n">
        <v/>
      </c>
      <c r="D87" t="n">
        <v/>
      </c>
      <c r="E87" t="n">
        <v/>
      </c>
      <c r="F87" t="n">
        <v>22.18865</v>
      </c>
      <c r="G87" t="n">
        <v/>
      </c>
      <c r="H87" t="n">
        <v/>
      </c>
      <c r="I87" t="n">
        <v/>
      </c>
      <c r="J87" t="n">
        <v/>
      </c>
      <c r="K87" t="n">
        <v/>
      </c>
      <c r="L87" t="n">
        <v/>
      </c>
      <c r="M87" t="n">
        <v/>
      </c>
      <c r="N87" t="n">
        <v/>
      </c>
      <c r="O87" t="n">
        <v/>
      </c>
      <c r="P87" t="n">
        <v/>
      </c>
      <c r="Q87" t="n">
        <v/>
      </c>
      <c r="R87" t="n">
        <v>5.858506</v>
      </c>
      <c r="S87" t="n">
        <v/>
      </c>
      <c r="T87" t="n">
        <v/>
      </c>
      <c r="U87" t="n">
        <v/>
      </c>
      <c r="V87" t="n">
        <v/>
      </c>
      <c r="W87" t="n">
        <v/>
      </c>
      <c r="X87" t="n">
        <v/>
      </c>
      <c r="Y87" t="n">
        <v/>
      </c>
      <c r="Z87" t="n">
        <v/>
      </c>
      <c r="AA87" t="n">
        <v/>
      </c>
      <c r="AB87" t="n">
        <v/>
      </c>
      <c r="AC87" t="n">
        <v/>
      </c>
      <c r="AD87" t="n">
        <v/>
      </c>
      <c r="AE87" t="n">
        <v>16.53785</v>
      </c>
      <c r="AF87" t="n">
        <v/>
      </c>
      <c r="AG87" t="n">
        <v/>
      </c>
      <c r="AH87" t="n">
        <v/>
      </c>
      <c r="AI87" t="n">
        <v/>
      </c>
      <c r="AJ87" t="n">
        <v/>
      </c>
      <c r="AK87" t="n">
        <v/>
      </c>
      <c r="AL87" t="n">
        <v/>
      </c>
      <c r="AM87" t="n">
        <v/>
      </c>
      <c r="AN87" t="n">
        <v/>
      </c>
      <c r="AO87" t="n">
        <v/>
      </c>
      <c r="AP87" t="n">
        <v/>
      </c>
      <c r="AQ87" t="n">
        <v/>
      </c>
      <c r="AR87" t="n">
        <v/>
      </c>
      <c r="AS87" t="n">
        <v/>
      </c>
      <c r="AT87" t="n">
        <v/>
      </c>
      <c r="AU87" t="n">
        <v/>
      </c>
      <c r="AV87" t="n">
        <v/>
      </c>
      <c r="AW87" t="n">
        <v/>
      </c>
      <c r="AX87" t="n">
        <v/>
      </c>
    </row>
    <row r="88">
      <c r="A88" s="92" t="n">
        <v>20515</v>
      </c>
      <c r="B88" t="n">
        <v/>
      </c>
      <c r="C88" t="n">
        <v/>
      </c>
      <c r="D88" t="n">
        <v/>
      </c>
      <c r="E88" t="n">
        <v/>
      </c>
      <c r="F88" t="n">
        <v>22.23234</v>
      </c>
      <c r="G88" t="n">
        <v/>
      </c>
      <c r="H88" t="n">
        <v/>
      </c>
      <c r="I88" t="n">
        <v/>
      </c>
      <c r="J88" t="n">
        <v/>
      </c>
      <c r="K88" t="n">
        <v/>
      </c>
      <c r="L88" t="n">
        <v/>
      </c>
      <c r="M88" t="n">
        <v/>
      </c>
      <c r="N88" t="n">
        <v/>
      </c>
      <c r="O88" t="n">
        <v/>
      </c>
      <c r="P88" t="n">
        <v/>
      </c>
      <c r="Q88" t="n">
        <v/>
      </c>
      <c r="R88" t="n">
        <v>5.915875</v>
      </c>
      <c r="S88" t="n">
        <v/>
      </c>
      <c r="T88" t="n">
        <v/>
      </c>
      <c r="U88" t="n">
        <v/>
      </c>
      <c r="V88" t="n">
        <v/>
      </c>
      <c r="W88" t="n">
        <v/>
      </c>
      <c r="X88" t="n">
        <v/>
      </c>
      <c r="Y88" t="n">
        <v/>
      </c>
      <c r="Z88" t="n">
        <v/>
      </c>
      <c r="AA88" t="n">
        <v/>
      </c>
      <c r="AB88" t="n">
        <v/>
      </c>
      <c r="AC88" t="n">
        <v/>
      </c>
      <c r="AD88" t="n">
        <v/>
      </c>
      <c r="AE88" t="n">
        <v>16.59319</v>
      </c>
      <c r="AF88" t="n">
        <v/>
      </c>
      <c r="AG88" t="n">
        <v/>
      </c>
      <c r="AH88" t="n">
        <v/>
      </c>
      <c r="AI88" t="n">
        <v/>
      </c>
      <c r="AJ88" t="n">
        <v/>
      </c>
      <c r="AK88" t="n">
        <v/>
      </c>
      <c r="AL88" t="n">
        <v/>
      </c>
      <c r="AM88" t="n">
        <v/>
      </c>
      <c r="AN88" t="n">
        <v/>
      </c>
      <c r="AO88" t="n">
        <v/>
      </c>
      <c r="AP88" t="n">
        <v/>
      </c>
      <c r="AQ88" t="n">
        <v/>
      </c>
      <c r="AR88" t="n">
        <v/>
      </c>
      <c r="AS88" t="n">
        <v/>
      </c>
      <c r="AT88" t="n">
        <v/>
      </c>
      <c r="AU88" t="n">
        <v/>
      </c>
      <c r="AV88" t="n">
        <v/>
      </c>
      <c r="AW88" t="n">
        <v/>
      </c>
      <c r="AX88" t="n">
        <v/>
      </c>
    </row>
    <row r="89">
      <c r="A89" s="92" t="n">
        <v>20546</v>
      </c>
      <c r="B89" t="n">
        <v/>
      </c>
      <c r="C89" t="n">
        <v/>
      </c>
      <c r="D89" t="n">
        <v/>
      </c>
      <c r="E89" t="n">
        <v/>
      </c>
      <c r="F89" t="n">
        <v>22.20286</v>
      </c>
      <c r="G89" t="n">
        <v/>
      </c>
      <c r="H89" t="n">
        <v/>
      </c>
      <c r="I89" t="n">
        <v/>
      </c>
      <c r="J89" t="n">
        <v/>
      </c>
      <c r="K89" t="n">
        <v/>
      </c>
      <c r="L89" t="n">
        <v/>
      </c>
      <c r="M89" t="n">
        <v/>
      </c>
      <c r="N89" t="n">
        <v/>
      </c>
      <c r="O89" t="n">
        <v/>
      </c>
      <c r="P89" t="n">
        <v/>
      </c>
      <c r="Q89" t="n">
        <v/>
      </c>
      <c r="R89" t="n">
        <v>5.91362</v>
      </c>
      <c r="S89" t="n">
        <v/>
      </c>
      <c r="T89" t="n">
        <v/>
      </c>
      <c r="U89" t="n">
        <v/>
      </c>
      <c r="V89" t="n">
        <v/>
      </c>
      <c r="W89" t="n">
        <v/>
      </c>
      <c r="X89" t="n">
        <v/>
      </c>
      <c r="Y89" t="n">
        <v/>
      </c>
      <c r="Z89" t="n">
        <v/>
      </c>
      <c r="AA89" t="n">
        <v/>
      </c>
      <c r="AB89" t="n">
        <v/>
      </c>
      <c r="AC89" t="n">
        <v/>
      </c>
      <c r="AD89" t="n">
        <v/>
      </c>
      <c r="AE89" t="n">
        <v>16.66541</v>
      </c>
      <c r="AF89" t="n">
        <v/>
      </c>
      <c r="AG89" t="n">
        <v/>
      </c>
      <c r="AH89" t="n">
        <v/>
      </c>
      <c r="AI89" t="n">
        <v/>
      </c>
      <c r="AJ89" t="n">
        <v/>
      </c>
      <c r="AK89" t="n">
        <v/>
      </c>
      <c r="AL89" t="n">
        <v/>
      </c>
      <c r="AM89" t="n">
        <v/>
      </c>
      <c r="AN89" t="n">
        <v/>
      </c>
      <c r="AO89" t="n">
        <v/>
      </c>
      <c r="AP89" t="n">
        <v/>
      </c>
      <c r="AQ89" t="n">
        <v/>
      </c>
      <c r="AR89" t="n">
        <v/>
      </c>
      <c r="AS89" t="n">
        <v/>
      </c>
      <c r="AT89" t="n">
        <v/>
      </c>
      <c r="AU89" t="n">
        <v/>
      </c>
      <c r="AV89" t="n">
        <v/>
      </c>
      <c r="AW89" t="n">
        <v/>
      </c>
      <c r="AX89" t="n">
        <v/>
      </c>
    </row>
    <row r="90">
      <c r="A90" s="92" t="n">
        <v>20576</v>
      </c>
      <c r="B90" t="n">
        <v/>
      </c>
      <c r="C90" t="n">
        <v/>
      </c>
      <c r="D90" t="n">
        <v/>
      </c>
      <c r="E90" t="n">
        <v/>
      </c>
      <c r="F90" t="n">
        <v>22.41133</v>
      </c>
      <c r="G90" t="n">
        <v/>
      </c>
      <c r="H90" t="n">
        <v/>
      </c>
      <c r="I90" t="n">
        <v/>
      </c>
      <c r="J90" t="n">
        <v/>
      </c>
      <c r="K90" t="n">
        <v/>
      </c>
      <c r="L90" t="n">
        <v/>
      </c>
      <c r="M90" t="n">
        <v/>
      </c>
      <c r="N90" t="n">
        <v/>
      </c>
      <c r="O90" t="n">
        <v/>
      </c>
      <c r="P90" t="n">
        <v/>
      </c>
      <c r="Q90" t="n">
        <v/>
      </c>
      <c r="R90" t="n">
        <v>6.019258</v>
      </c>
      <c r="S90" t="n">
        <v/>
      </c>
      <c r="T90" t="n">
        <v/>
      </c>
      <c r="U90" t="n">
        <v/>
      </c>
      <c r="V90" t="n">
        <v/>
      </c>
      <c r="W90" t="n">
        <v/>
      </c>
      <c r="X90" t="n">
        <v/>
      </c>
      <c r="Y90" t="n">
        <v/>
      </c>
      <c r="Z90" t="n">
        <v/>
      </c>
      <c r="AA90" t="n">
        <v/>
      </c>
      <c r="AB90" t="n">
        <v/>
      </c>
      <c r="AC90" t="n">
        <v/>
      </c>
      <c r="AD90" t="n">
        <v/>
      </c>
      <c r="AE90" t="n">
        <v>16.61339</v>
      </c>
      <c r="AF90" t="n">
        <v/>
      </c>
      <c r="AG90" t="n">
        <v/>
      </c>
      <c r="AH90" t="n">
        <v/>
      </c>
      <c r="AI90" t="n">
        <v/>
      </c>
      <c r="AJ90" t="n">
        <v/>
      </c>
      <c r="AK90" t="n">
        <v/>
      </c>
      <c r="AL90" t="n">
        <v/>
      </c>
      <c r="AM90" t="n">
        <v/>
      </c>
      <c r="AN90" t="n">
        <v/>
      </c>
      <c r="AO90" t="n">
        <v/>
      </c>
      <c r="AP90" t="n">
        <v/>
      </c>
      <c r="AQ90" t="n">
        <v/>
      </c>
      <c r="AR90" t="n">
        <v/>
      </c>
      <c r="AS90" t="n">
        <v/>
      </c>
      <c r="AT90" t="n">
        <v/>
      </c>
      <c r="AU90" t="n">
        <v/>
      </c>
      <c r="AV90" t="n">
        <v/>
      </c>
      <c r="AW90" t="n">
        <v/>
      </c>
      <c r="AX90" t="n">
        <v/>
      </c>
    </row>
    <row r="91">
      <c r="A91" s="92" t="n">
        <v>20607</v>
      </c>
      <c r="B91" t="n">
        <v/>
      </c>
      <c r="C91" t="n">
        <v/>
      </c>
      <c r="D91" t="n">
        <v/>
      </c>
      <c r="E91" t="n">
        <v/>
      </c>
      <c r="F91" t="n">
        <v>22.45132</v>
      </c>
      <c r="G91" t="n">
        <v/>
      </c>
      <c r="H91" t="n">
        <v/>
      </c>
      <c r="I91" t="n">
        <v/>
      </c>
      <c r="J91" t="n">
        <v/>
      </c>
      <c r="K91" t="n">
        <v/>
      </c>
      <c r="L91" t="n">
        <v/>
      </c>
      <c r="M91" t="n">
        <v/>
      </c>
      <c r="N91" t="n">
        <v/>
      </c>
      <c r="O91" t="n">
        <v/>
      </c>
      <c r="P91" t="n">
        <v/>
      </c>
      <c r="Q91" t="n">
        <v/>
      </c>
      <c r="R91" t="n">
        <v>6.013621</v>
      </c>
      <c r="S91" t="n">
        <v/>
      </c>
      <c r="T91" t="n">
        <v/>
      </c>
      <c r="U91" t="n">
        <v/>
      </c>
      <c r="V91" t="n">
        <v/>
      </c>
      <c r="W91" t="n">
        <v/>
      </c>
      <c r="X91" t="n">
        <v/>
      </c>
      <c r="Y91" t="n">
        <v/>
      </c>
      <c r="Z91" t="n">
        <v/>
      </c>
      <c r="AA91" t="n">
        <v/>
      </c>
      <c r="AB91" t="n">
        <v/>
      </c>
      <c r="AC91" t="n">
        <v/>
      </c>
      <c r="AD91" t="n">
        <v/>
      </c>
      <c r="AE91" t="n">
        <v>16.9049</v>
      </c>
      <c r="AF91" t="n">
        <v/>
      </c>
      <c r="AG91" t="n">
        <v/>
      </c>
      <c r="AH91" t="n">
        <v/>
      </c>
      <c r="AI91" t="n">
        <v/>
      </c>
      <c r="AJ91" t="n">
        <v/>
      </c>
      <c r="AK91" t="n">
        <v/>
      </c>
      <c r="AL91" t="n">
        <v/>
      </c>
      <c r="AM91" t="n">
        <v/>
      </c>
      <c r="AN91" t="n">
        <v/>
      </c>
      <c r="AO91" t="n">
        <v/>
      </c>
      <c r="AP91" t="n">
        <v/>
      </c>
      <c r="AQ91" t="n">
        <v/>
      </c>
      <c r="AR91" t="n">
        <v/>
      </c>
      <c r="AS91" t="n">
        <v/>
      </c>
      <c r="AT91" t="n">
        <v/>
      </c>
      <c r="AU91" t="n">
        <v/>
      </c>
      <c r="AV91" t="n">
        <v/>
      </c>
      <c r="AW91" t="n">
        <v/>
      </c>
      <c r="AX91" t="n">
        <v/>
      </c>
    </row>
    <row r="92">
      <c r="A92" s="92" t="n">
        <v>20637</v>
      </c>
      <c r="B92" t="n">
        <v/>
      </c>
      <c r="C92" t="n">
        <v/>
      </c>
      <c r="D92" t="n">
        <v/>
      </c>
      <c r="E92" t="n">
        <v/>
      </c>
      <c r="F92" t="n">
        <v>22.47083</v>
      </c>
      <c r="G92" t="n">
        <v/>
      </c>
      <c r="H92" t="n">
        <v/>
      </c>
      <c r="I92" t="n">
        <v/>
      </c>
      <c r="J92" t="n">
        <v/>
      </c>
      <c r="K92" t="n">
        <v/>
      </c>
      <c r="L92" t="n">
        <v/>
      </c>
      <c r="M92" t="n">
        <v/>
      </c>
      <c r="N92" t="n">
        <v/>
      </c>
      <c r="O92" t="n">
        <v/>
      </c>
      <c r="P92" t="n">
        <v/>
      </c>
      <c r="Q92" t="n">
        <v/>
      </c>
      <c r="R92" t="n">
        <v>6.084599</v>
      </c>
      <c r="S92" t="n">
        <v/>
      </c>
      <c r="T92" t="n">
        <v/>
      </c>
      <c r="U92" t="n">
        <v/>
      </c>
      <c r="V92" t="n">
        <v/>
      </c>
      <c r="W92" t="n">
        <v/>
      </c>
      <c r="X92" t="n">
        <v/>
      </c>
      <c r="Y92" t="n">
        <v/>
      </c>
      <c r="Z92" t="n">
        <v/>
      </c>
      <c r="AA92" t="n">
        <v/>
      </c>
      <c r="AB92" t="n">
        <v/>
      </c>
      <c r="AC92" t="n">
        <v/>
      </c>
      <c r="AD92" t="n">
        <v/>
      </c>
      <c r="AE92" t="n">
        <v>16.63916</v>
      </c>
      <c r="AF92" t="n">
        <v/>
      </c>
      <c r="AG92" t="n">
        <v/>
      </c>
      <c r="AH92" t="n">
        <v/>
      </c>
      <c r="AI92" t="n">
        <v/>
      </c>
      <c r="AJ92" t="n">
        <v/>
      </c>
      <c r="AK92" t="n">
        <v/>
      </c>
      <c r="AL92" t="n">
        <v/>
      </c>
      <c r="AM92" t="n">
        <v/>
      </c>
      <c r="AN92" t="n">
        <v/>
      </c>
      <c r="AO92" t="n">
        <v/>
      </c>
      <c r="AP92" t="n">
        <v/>
      </c>
      <c r="AQ92" t="n">
        <v/>
      </c>
      <c r="AR92" t="n">
        <v/>
      </c>
      <c r="AS92" t="n">
        <v/>
      </c>
      <c r="AT92" t="n">
        <v/>
      </c>
      <c r="AU92" t="n">
        <v/>
      </c>
      <c r="AV92" t="n">
        <v/>
      </c>
      <c r="AW92" t="n">
        <v/>
      </c>
      <c r="AX92" t="n">
        <v/>
      </c>
    </row>
    <row r="93">
      <c r="A93" s="92" t="n">
        <v>20668</v>
      </c>
      <c r="B93" t="n">
        <v/>
      </c>
      <c r="C93" t="n">
        <v/>
      </c>
      <c r="D93" t="n">
        <v/>
      </c>
      <c r="E93" t="n">
        <v/>
      </c>
      <c r="F93" t="n">
        <v>22.54519</v>
      </c>
      <c r="G93" t="n">
        <v/>
      </c>
      <c r="H93" t="n">
        <v/>
      </c>
      <c r="I93" t="n">
        <v/>
      </c>
      <c r="J93" t="n">
        <v/>
      </c>
      <c r="K93" t="n">
        <v/>
      </c>
      <c r="L93" t="n">
        <v/>
      </c>
      <c r="M93" t="n">
        <v/>
      </c>
      <c r="N93" t="n">
        <v/>
      </c>
      <c r="O93" t="n">
        <v/>
      </c>
      <c r="P93" t="n">
        <v/>
      </c>
      <c r="Q93" t="n">
        <v/>
      </c>
      <c r="R93" t="n">
        <v>6.140841</v>
      </c>
      <c r="S93" t="n">
        <v/>
      </c>
      <c r="T93" t="n">
        <v/>
      </c>
      <c r="U93" t="n">
        <v/>
      </c>
      <c r="V93" t="n">
        <v/>
      </c>
      <c r="W93" t="n">
        <v/>
      </c>
      <c r="X93" t="n">
        <v/>
      </c>
      <c r="Y93" t="n">
        <v/>
      </c>
      <c r="Z93" t="n">
        <v/>
      </c>
      <c r="AA93" t="n">
        <v/>
      </c>
      <c r="AB93" t="n">
        <v/>
      </c>
      <c r="AC93" t="n">
        <v/>
      </c>
      <c r="AD93" t="n">
        <v/>
      </c>
      <c r="AE93" t="n">
        <v>16.71321</v>
      </c>
      <c r="AF93" t="n">
        <v/>
      </c>
      <c r="AG93" t="n">
        <v/>
      </c>
      <c r="AH93" t="n">
        <v/>
      </c>
      <c r="AI93" t="n">
        <v/>
      </c>
      <c r="AJ93" t="n">
        <v/>
      </c>
      <c r="AK93" t="n">
        <v/>
      </c>
      <c r="AL93" t="n">
        <v/>
      </c>
      <c r="AM93" t="n">
        <v/>
      </c>
      <c r="AN93" t="n">
        <v/>
      </c>
      <c r="AO93" t="n">
        <v/>
      </c>
      <c r="AP93" t="n">
        <v/>
      </c>
      <c r="AQ93" t="n">
        <v/>
      </c>
      <c r="AR93" t="n">
        <v/>
      </c>
      <c r="AS93" t="n">
        <v/>
      </c>
      <c r="AT93" t="n">
        <v/>
      </c>
      <c r="AU93" t="n">
        <v/>
      </c>
      <c r="AV93" t="n">
        <v/>
      </c>
      <c r="AW93" t="n">
        <v/>
      </c>
      <c r="AX93" t="n">
        <v/>
      </c>
    </row>
    <row r="94">
      <c r="A94" s="92" t="n">
        <v>20699</v>
      </c>
      <c r="B94" t="n">
        <v/>
      </c>
      <c r="C94" t="n">
        <v/>
      </c>
      <c r="D94" t="n">
        <v/>
      </c>
      <c r="E94" t="n">
        <v/>
      </c>
      <c r="F94" t="n">
        <v>22.56996</v>
      </c>
      <c r="G94" t="n">
        <v/>
      </c>
      <c r="H94" t="n">
        <v/>
      </c>
      <c r="I94" t="n">
        <v/>
      </c>
      <c r="J94" t="n">
        <v/>
      </c>
      <c r="K94" t="n">
        <v/>
      </c>
      <c r="L94" t="n">
        <v/>
      </c>
      <c r="M94" t="n">
        <v/>
      </c>
      <c r="N94" t="n">
        <v/>
      </c>
      <c r="O94" t="n">
        <v/>
      </c>
      <c r="P94" t="n">
        <v/>
      </c>
      <c r="Q94" t="n">
        <v/>
      </c>
      <c r="R94" t="n">
        <v>6.18291</v>
      </c>
      <c r="S94" t="n">
        <v/>
      </c>
      <c r="T94" t="n">
        <v/>
      </c>
      <c r="U94" t="n">
        <v/>
      </c>
      <c r="V94" t="n">
        <v/>
      </c>
      <c r="W94" t="n">
        <v/>
      </c>
      <c r="X94" t="n">
        <v/>
      </c>
      <c r="Y94" t="n">
        <v/>
      </c>
      <c r="Z94" t="n">
        <v/>
      </c>
      <c r="AA94" t="n">
        <v/>
      </c>
      <c r="AB94" t="n">
        <v/>
      </c>
      <c r="AC94" t="n">
        <v/>
      </c>
      <c r="AD94" t="n">
        <v/>
      </c>
      <c r="AE94" t="n">
        <v>16.86584</v>
      </c>
      <c r="AF94" t="n">
        <v/>
      </c>
      <c r="AG94" t="n">
        <v/>
      </c>
      <c r="AH94" t="n">
        <v/>
      </c>
      <c r="AI94" t="n">
        <v/>
      </c>
      <c r="AJ94" t="n">
        <v/>
      </c>
      <c r="AK94" t="n">
        <v/>
      </c>
      <c r="AL94" t="n">
        <v/>
      </c>
      <c r="AM94" t="n">
        <v/>
      </c>
      <c r="AN94" t="n">
        <v/>
      </c>
      <c r="AO94" t="n">
        <v/>
      </c>
      <c r="AP94" t="n">
        <v/>
      </c>
      <c r="AQ94" t="n">
        <v/>
      </c>
      <c r="AR94" t="n">
        <v/>
      </c>
      <c r="AS94" t="n">
        <v/>
      </c>
      <c r="AT94" t="n">
        <v/>
      </c>
      <c r="AU94" t="n">
        <v/>
      </c>
      <c r="AV94" t="n">
        <v/>
      </c>
      <c r="AW94" t="n">
        <v/>
      </c>
      <c r="AX94" t="n">
        <v/>
      </c>
    </row>
    <row r="95">
      <c r="A95" s="92" t="n">
        <v>20729</v>
      </c>
      <c r="B95" t="n">
        <v/>
      </c>
      <c r="C95" t="n">
        <v/>
      </c>
      <c r="D95" t="n">
        <v/>
      </c>
      <c r="E95" t="n">
        <v/>
      </c>
      <c r="F95" t="n">
        <v>22.59103</v>
      </c>
      <c r="G95" t="n">
        <v/>
      </c>
      <c r="H95" t="n">
        <v/>
      </c>
      <c r="I95" t="n">
        <v/>
      </c>
      <c r="J95" t="n">
        <v/>
      </c>
      <c r="K95" t="n">
        <v/>
      </c>
      <c r="L95" t="n">
        <v/>
      </c>
      <c r="M95" t="n">
        <v/>
      </c>
      <c r="N95" t="n">
        <v/>
      </c>
      <c r="O95" t="n">
        <v/>
      </c>
      <c r="P95" t="n">
        <v/>
      </c>
      <c r="Q95" t="n">
        <v/>
      </c>
      <c r="R95" t="n">
        <v>6.194829</v>
      </c>
      <c r="S95" t="n">
        <v/>
      </c>
      <c r="T95" t="n">
        <v/>
      </c>
      <c r="U95" t="n">
        <v/>
      </c>
      <c r="V95" t="n">
        <v/>
      </c>
      <c r="W95" t="n">
        <v/>
      </c>
      <c r="X95" t="n">
        <v/>
      </c>
      <c r="Y95" t="n">
        <v/>
      </c>
      <c r="Z95" t="n">
        <v/>
      </c>
      <c r="AA95" t="n">
        <v/>
      </c>
      <c r="AB95" t="n">
        <v/>
      </c>
      <c r="AC95" t="n">
        <v/>
      </c>
      <c r="AD95" t="n">
        <v/>
      </c>
      <c r="AE95" t="n">
        <v>16.89487</v>
      </c>
      <c r="AF95" t="n">
        <v/>
      </c>
      <c r="AG95" t="n">
        <v/>
      </c>
      <c r="AH95" t="n">
        <v/>
      </c>
      <c r="AI95" t="n">
        <v/>
      </c>
      <c r="AJ95" t="n">
        <v/>
      </c>
      <c r="AK95" t="n">
        <v/>
      </c>
      <c r="AL95" t="n">
        <v/>
      </c>
      <c r="AM95" t="n">
        <v/>
      </c>
      <c r="AN95" t="n">
        <v/>
      </c>
      <c r="AO95" t="n">
        <v/>
      </c>
      <c r="AP95" t="n">
        <v/>
      </c>
      <c r="AQ95" t="n">
        <v/>
      </c>
      <c r="AR95" t="n">
        <v/>
      </c>
      <c r="AS95" t="n">
        <v/>
      </c>
      <c r="AT95" t="n">
        <v/>
      </c>
      <c r="AU95" t="n">
        <v/>
      </c>
      <c r="AV95" t="n">
        <v/>
      </c>
      <c r="AW95" t="n">
        <v/>
      </c>
      <c r="AX95" t="n">
        <v/>
      </c>
    </row>
    <row r="96">
      <c r="A96" s="92" t="n">
        <v>20760</v>
      </c>
      <c r="B96" t="n">
        <v/>
      </c>
      <c r="C96" t="n">
        <v/>
      </c>
      <c r="D96" t="n">
        <v/>
      </c>
      <c r="E96" t="n">
        <v/>
      </c>
      <c r="F96" t="n">
        <v>22.62964</v>
      </c>
      <c r="G96" t="n">
        <v/>
      </c>
      <c r="H96" t="n">
        <v/>
      </c>
      <c r="I96" t="n">
        <v/>
      </c>
      <c r="J96" t="n">
        <v/>
      </c>
      <c r="K96" t="n">
        <v/>
      </c>
      <c r="L96" t="n">
        <v/>
      </c>
      <c r="M96" t="n">
        <v/>
      </c>
      <c r="N96" t="n">
        <v/>
      </c>
      <c r="O96" t="n">
        <v/>
      </c>
      <c r="P96" t="n">
        <v/>
      </c>
      <c r="Q96" t="n">
        <v/>
      </c>
      <c r="R96" t="n">
        <v>6.435606</v>
      </c>
      <c r="S96" t="n">
        <v/>
      </c>
      <c r="T96" t="n">
        <v/>
      </c>
      <c r="U96" t="n">
        <v/>
      </c>
      <c r="V96" t="n">
        <v/>
      </c>
      <c r="W96" t="n">
        <v/>
      </c>
      <c r="X96" t="n">
        <v/>
      </c>
      <c r="Y96" t="n">
        <v/>
      </c>
      <c r="Z96" t="n">
        <v/>
      </c>
      <c r="AA96" t="n">
        <v/>
      </c>
      <c r="AB96" t="n">
        <v/>
      </c>
      <c r="AC96" t="n">
        <v/>
      </c>
      <c r="AD96" t="n">
        <v/>
      </c>
      <c r="AE96" t="n">
        <v>16.61127</v>
      </c>
      <c r="AF96" t="n">
        <v/>
      </c>
      <c r="AG96" t="n">
        <v/>
      </c>
      <c r="AH96" t="n">
        <v/>
      </c>
      <c r="AI96" t="n">
        <v/>
      </c>
      <c r="AJ96" t="n">
        <v/>
      </c>
      <c r="AK96" t="n">
        <v/>
      </c>
      <c r="AL96" t="n">
        <v/>
      </c>
      <c r="AM96" t="n">
        <v/>
      </c>
      <c r="AN96" t="n">
        <v/>
      </c>
      <c r="AO96" t="n">
        <v/>
      </c>
      <c r="AP96" t="n">
        <v/>
      </c>
      <c r="AQ96" t="n">
        <v/>
      </c>
      <c r="AR96" t="n">
        <v/>
      </c>
      <c r="AS96" t="n">
        <v/>
      </c>
      <c r="AT96" t="n">
        <v/>
      </c>
      <c r="AU96" t="n">
        <v/>
      </c>
      <c r="AV96" t="n">
        <v/>
      </c>
      <c r="AW96" t="n">
        <v/>
      </c>
      <c r="AX96" t="n">
        <v/>
      </c>
    </row>
    <row r="97">
      <c r="A97" s="92" t="n">
        <v>20790</v>
      </c>
      <c r="B97" t="n">
        <v/>
      </c>
      <c r="C97" t="n">
        <v/>
      </c>
      <c r="D97" t="n">
        <v/>
      </c>
      <c r="E97" t="n">
        <v/>
      </c>
      <c r="F97" t="n">
        <v>22.63718</v>
      </c>
      <c r="G97" t="n">
        <v/>
      </c>
      <c r="H97" t="n">
        <v/>
      </c>
      <c r="I97" t="n">
        <v/>
      </c>
      <c r="J97" t="n">
        <v/>
      </c>
      <c r="K97" t="n">
        <v/>
      </c>
      <c r="L97" t="n">
        <v/>
      </c>
      <c r="M97" t="n">
        <v/>
      </c>
      <c r="N97" t="n">
        <v/>
      </c>
      <c r="O97" t="n">
        <v/>
      </c>
      <c r="P97" t="n">
        <v/>
      </c>
      <c r="Q97" t="n">
        <v/>
      </c>
      <c r="R97" t="n">
        <v>6.435606</v>
      </c>
      <c r="S97" t="n">
        <v/>
      </c>
      <c r="T97" t="n">
        <v/>
      </c>
      <c r="U97" t="n">
        <v/>
      </c>
      <c r="V97" t="n">
        <v/>
      </c>
      <c r="W97" t="n">
        <v/>
      </c>
      <c r="X97" t="n">
        <v/>
      </c>
      <c r="Y97" t="n">
        <v/>
      </c>
      <c r="Z97" t="n">
        <v/>
      </c>
      <c r="AA97" t="n">
        <v/>
      </c>
      <c r="AB97" t="n">
        <v/>
      </c>
      <c r="AC97" t="n">
        <v/>
      </c>
      <c r="AD97" t="n">
        <v/>
      </c>
      <c r="AE97" t="n">
        <v>16.724</v>
      </c>
      <c r="AF97" t="n">
        <v/>
      </c>
      <c r="AG97" t="n">
        <v/>
      </c>
      <c r="AH97" t="n">
        <v/>
      </c>
      <c r="AI97" t="n">
        <v/>
      </c>
      <c r="AJ97" t="n">
        <v/>
      </c>
      <c r="AK97" t="n">
        <v/>
      </c>
      <c r="AL97" t="n">
        <v/>
      </c>
      <c r="AM97" t="n">
        <v/>
      </c>
      <c r="AN97" t="n">
        <v/>
      </c>
      <c r="AO97" t="n">
        <v/>
      </c>
      <c r="AP97" t="n">
        <v/>
      </c>
      <c r="AQ97" t="n">
        <v/>
      </c>
      <c r="AR97" t="n">
        <v/>
      </c>
      <c r="AS97" t="n">
        <v/>
      </c>
      <c r="AT97" t="n">
        <v/>
      </c>
      <c r="AU97" t="n">
        <v/>
      </c>
      <c r="AV97" t="n">
        <v/>
      </c>
      <c r="AW97" t="n">
        <v/>
      </c>
      <c r="AX97" t="n">
        <v/>
      </c>
    </row>
    <row r="98">
      <c r="A98" s="92" t="n">
        <v>20821</v>
      </c>
      <c r="B98" t="n">
        <v/>
      </c>
      <c r="C98" t="n">
        <v/>
      </c>
      <c r="D98" t="n">
        <v/>
      </c>
      <c r="E98" t="n">
        <v/>
      </c>
      <c r="F98" t="n">
        <v>22.63095</v>
      </c>
      <c r="G98" t="n">
        <v/>
      </c>
      <c r="H98" t="n">
        <v/>
      </c>
      <c r="I98" t="n">
        <v/>
      </c>
      <c r="J98" t="n">
        <v/>
      </c>
      <c r="K98" t="n">
        <v/>
      </c>
      <c r="L98" t="n">
        <v/>
      </c>
      <c r="M98" t="n">
        <v/>
      </c>
      <c r="N98" t="n">
        <v/>
      </c>
      <c r="O98" t="n">
        <v/>
      </c>
      <c r="P98" t="n">
        <v/>
      </c>
      <c r="Q98" t="n">
        <v/>
      </c>
      <c r="R98" t="n">
        <v>6.577562</v>
      </c>
      <c r="S98" t="n">
        <v/>
      </c>
      <c r="T98" t="n">
        <v/>
      </c>
      <c r="U98" t="n">
        <v/>
      </c>
      <c r="V98" t="n">
        <v/>
      </c>
      <c r="W98" t="n">
        <v/>
      </c>
      <c r="X98" t="n">
        <v/>
      </c>
      <c r="Y98" t="n">
        <v/>
      </c>
      <c r="Z98" t="n">
        <v/>
      </c>
      <c r="AA98" t="n">
        <v/>
      </c>
      <c r="AB98" t="n">
        <v/>
      </c>
      <c r="AC98" t="n">
        <v/>
      </c>
      <c r="AD98" t="n">
        <v/>
      </c>
      <c r="AE98" t="n">
        <v>16.80977</v>
      </c>
      <c r="AF98" t="n">
        <v/>
      </c>
      <c r="AG98" t="n">
        <v/>
      </c>
      <c r="AH98" t="n">
        <v/>
      </c>
      <c r="AI98" t="n">
        <v/>
      </c>
      <c r="AJ98" t="n">
        <v/>
      </c>
      <c r="AK98" t="n">
        <v/>
      </c>
      <c r="AL98" t="n">
        <v/>
      </c>
      <c r="AM98" t="n">
        <v/>
      </c>
      <c r="AN98" t="n">
        <v/>
      </c>
      <c r="AO98" t="n">
        <v/>
      </c>
      <c r="AP98" t="n">
        <v/>
      </c>
      <c r="AQ98" t="n">
        <v/>
      </c>
      <c r="AR98" t="n">
        <v/>
      </c>
      <c r="AS98" t="n">
        <v/>
      </c>
      <c r="AT98" t="n">
        <v/>
      </c>
      <c r="AU98" t="n">
        <v/>
      </c>
      <c r="AV98" t="n">
        <v/>
      </c>
      <c r="AW98" t="n">
        <v>11.76488</v>
      </c>
      <c r="AX98" t="n">
        <v/>
      </c>
    </row>
    <row r="99">
      <c r="A99" s="92" t="n">
        <v>20852</v>
      </c>
      <c r="B99" t="n">
        <v/>
      </c>
      <c r="C99" t="n">
        <v/>
      </c>
      <c r="D99" t="n">
        <v/>
      </c>
      <c r="E99" t="n">
        <v/>
      </c>
      <c r="F99" t="n">
        <v>22.62848</v>
      </c>
      <c r="G99" t="n">
        <v/>
      </c>
      <c r="H99" t="n">
        <v/>
      </c>
      <c r="I99" t="n">
        <v/>
      </c>
      <c r="J99" t="n">
        <v/>
      </c>
      <c r="K99" t="n">
        <v/>
      </c>
      <c r="L99" t="n">
        <v/>
      </c>
      <c r="M99" t="n">
        <v/>
      </c>
      <c r="N99" t="n">
        <v/>
      </c>
      <c r="O99" t="n">
        <v/>
      </c>
      <c r="P99" t="n">
        <v/>
      </c>
      <c r="Q99" t="n">
        <v/>
      </c>
      <c r="R99" t="n">
        <v>6.578126</v>
      </c>
      <c r="S99" t="n">
        <v/>
      </c>
      <c r="T99" t="n">
        <v/>
      </c>
      <c r="U99" t="n">
        <v/>
      </c>
      <c r="V99" t="n">
        <v/>
      </c>
      <c r="W99" t="n">
        <v/>
      </c>
      <c r="X99" t="n">
        <v/>
      </c>
      <c r="Y99" t="n">
        <v/>
      </c>
      <c r="Z99" t="n">
        <v/>
      </c>
      <c r="AA99" t="n">
        <v/>
      </c>
      <c r="AB99" t="n">
        <v/>
      </c>
      <c r="AC99" t="n">
        <v/>
      </c>
      <c r="AD99" t="n">
        <v/>
      </c>
      <c r="AE99" t="n">
        <v>16.7448</v>
      </c>
      <c r="AF99" t="n">
        <v/>
      </c>
      <c r="AG99" t="n">
        <v/>
      </c>
      <c r="AH99" t="n">
        <v/>
      </c>
      <c r="AI99" t="n">
        <v/>
      </c>
      <c r="AJ99" t="n">
        <v/>
      </c>
      <c r="AK99" t="n">
        <v/>
      </c>
      <c r="AL99" t="n">
        <v/>
      </c>
      <c r="AM99" t="n">
        <v/>
      </c>
      <c r="AN99" t="n">
        <v/>
      </c>
      <c r="AO99" t="n">
        <v/>
      </c>
      <c r="AP99" t="n">
        <v/>
      </c>
      <c r="AQ99" t="n">
        <v/>
      </c>
      <c r="AR99" t="n">
        <v/>
      </c>
      <c r="AS99" t="n">
        <v/>
      </c>
      <c r="AT99" t="n">
        <v/>
      </c>
      <c r="AU99" t="n">
        <v/>
      </c>
      <c r="AV99" t="n">
        <v/>
      </c>
      <c r="AW99" t="n">
        <v>11.76488</v>
      </c>
      <c r="AX99" t="n">
        <v/>
      </c>
    </row>
    <row r="100">
      <c r="A100" s="92" t="n">
        <v>20880</v>
      </c>
      <c r="B100" t="n">
        <v/>
      </c>
      <c r="C100" t="n">
        <v/>
      </c>
      <c r="D100" t="n">
        <v/>
      </c>
      <c r="E100" t="n">
        <v/>
      </c>
      <c r="F100" t="n">
        <v>22.58159</v>
      </c>
      <c r="G100" t="n">
        <v/>
      </c>
      <c r="H100" t="n">
        <v/>
      </c>
      <c r="I100" t="n">
        <v/>
      </c>
      <c r="J100" t="n">
        <v/>
      </c>
      <c r="K100" t="n">
        <v/>
      </c>
      <c r="L100" t="n">
        <v/>
      </c>
      <c r="M100" t="n">
        <v/>
      </c>
      <c r="N100" t="n">
        <v/>
      </c>
      <c r="O100" t="n">
        <v/>
      </c>
      <c r="P100" t="n">
        <v/>
      </c>
      <c r="Q100" t="n">
        <v/>
      </c>
      <c r="R100" t="n">
        <v>6.57869</v>
      </c>
      <c r="S100" t="n">
        <v/>
      </c>
      <c r="T100" t="n">
        <v/>
      </c>
      <c r="U100" t="n">
        <v/>
      </c>
      <c r="V100" t="n">
        <v/>
      </c>
      <c r="W100" t="n">
        <v/>
      </c>
      <c r="X100" t="n">
        <v/>
      </c>
      <c r="Y100" t="n">
        <v/>
      </c>
      <c r="Z100" t="n">
        <v/>
      </c>
      <c r="AA100" t="n">
        <v/>
      </c>
      <c r="AB100" t="n">
        <v/>
      </c>
      <c r="AC100" t="n">
        <v/>
      </c>
      <c r="AD100" t="n">
        <v/>
      </c>
      <c r="AE100" t="n">
        <v>16.8238</v>
      </c>
      <c r="AF100" t="n">
        <v/>
      </c>
      <c r="AG100" t="n">
        <v/>
      </c>
      <c r="AH100" t="n">
        <v/>
      </c>
      <c r="AI100" t="n">
        <v/>
      </c>
      <c r="AJ100" t="n">
        <v/>
      </c>
      <c r="AK100" t="n">
        <v/>
      </c>
      <c r="AL100" t="n">
        <v/>
      </c>
      <c r="AM100" t="n">
        <v/>
      </c>
      <c r="AN100" t="n">
        <v/>
      </c>
      <c r="AO100" t="n">
        <v/>
      </c>
      <c r="AP100" t="n">
        <v/>
      </c>
      <c r="AQ100" t="n">
        <v/>
      </c>
      <c r="AR100" t="n">
        <v/>
      </c>
      <c r="AS100" t="n">
        <v/>
      </c>
      <c r="AT100" t="n">
        <v/>
      </c>
      <c r="AU100" t="n">
        <v/>
      </c>
      <c r="AV100" t="n">
        <v/>
      </c>
      <c r="AW100" t="n">
        <v>11.84744</v>
      </c>
      <c r="AX100" t="n">
        <v/>
      </c>
    </row>
    <row r="101">
      <c r="A101" s="92" t="n">
        <v>20911</v>
      </c>
      <c r="B101" t="n">
        <v/>
      </c>
      <c r="C101" t="n">
        <v/>
      </c>
      <c r="D101" t="n">
        <v/>
      </c>
      <c r="E101" t="n">
        <v/>
      </c>
      <c r="F101" t="n">
        <v>22.6697</v>
      </c>
      <c r="G101" t="n">
        <v/>
      </c>
      <c r="H101" t="n">
        <v/>
      </c>
      <c r="I101" t="n">
        <v/>
      </c>
      <c r="J101" t="n">
        <v/>
      </c>
      <c r="K101" t="n">
        <v/>
      </c>
      <c r="L101" t="n">
        <v/>
      </c>
      <c r="M101" t="n">
        <v/>
      </c>
      <c r="N101" t="n">
        <v/>
      </c>
      <c r="O101" t="n">
        <v/>
      </c>
      <c r="P101" t="n">
        <v/>
      </c>
      <c r="Q101" t="n">
        <v/>
      </c>
      <c r="R101" t="n">
        <v>6.637186</v>
      </c>
      <c r="S101" t="n">
        <v/>
      </c>
      <c r="T101" t="n">
        <v/>
      </c>
      <c r="U101" t="n">
        <v/>
      </c>
      <c r="V101" t="n">
        <v/>
      </c>
      <c r="W101" t="n">
        <v/>
      </c>
      <c r="X101" t="n">
        <v/>
      </c>
      <c r="Y101" t="n">
        <v/>
      </c>
      <c r="Z101" t="n">
        <v/>
      </c>
      <c r="AA101" t="n">
        <v/>
      </c>
      <c r="AB101" t="n">
        <v/>
      </c>
      <c r="AC101" t="n">
        <v/>
      </c>
      <c r="AD101" t="n">
        <v/>
      </c>
      <c r="AE101" t="n">
        <v>16.97174</v>
      </c>
      <c r="AF101" t="n">
        <v/>
      </c>
      <c r="AG101" t="n">
        <v/>
      </c>
      <c r="AH101" t="n">
        <v/>
      </c>
      <c r="AI101" t="n">
        <v/>
      </c>
      <c r="AJ101" t="n">
        <v/>
      </c>
      <c r="AK101" t="n">
        <v/>
      </c>
      <c r="AL101" t="n">
        <v/>
      </c>
      <c r="AM101" t="n">
        <v/>
      </c>
      <c r="AN101" t="n">
        <v/>
      </c>
      <c r="AO101" t="n">
        <v/>
      </c>
      <c r="AP101" t="n">
        <v/>
      </c>
      <c r="AQ101" t="n">
        <v/>
      </c>
      <c r="AR101" t="n">
        <v/>
      </c>
      <c r="AS101" t="n">
        <v/>
      </c>
      <c r="AT101" t="n">
        <v/>
      </c>
      <c r="AU101" t="n">
        <v/>
      </c>
      <c r="AV101" t="n">
        <v/>
      </c>
      <c r="AW101" t="n">
        <v>11.88872</v>
      </c>
      <c r="AX101" t="n">
        <v/>
      </c>
    </row>
    <row r="102">
      <c r="A102" s="92" t="n">
        <v>20941</v>
      </c>
      <c r="B102" t="n">
        <v/>
      </c>
      <c r="C102" t="n">
        <v/>
      </c>
      <c r="D102" t="n">
        <v/>
      </c>
      <c r="E102" t="n">
        <v/>
      </c>
      <c r="F102" t="n">
        <v>22.817</v>
      </c>
      <c r="G102" t="n">
        <v/>
      </c>
      <c r="H102" t="n">
        <v/>
      </c>
      <c r="I102" t="n">
        <v/>
      </c>
      <c r="J102" t="n">
        <v/>
      </c>
      <c r="K102" t="n">
        <v/>
      </c>
      <c r="L102" t="n">
        <v/>
      </c>
      <c r="M102" t="n">
        <v/>
      </c>
      <c r="N102" t="n">
        <v/>
      </c>
      <c r="O102" t="n">
        <v/>
      </c>
      <c r="P102" t="n">
        <v/>
      </c>
      <c r="Q102" t="n">
        <v/>
      </c>
      <c r="R102" t="n">
        <v>6.710418</v>
      </c>
      <c r="S102" t="n">
        <v/>
      </c>
      <c r="T102" t="n">
        <v/>
      </c>
      <c r="U102" t="n">
        <v/>
      </c>
      <c r="V102" t="n">
        <v/>
      </c>
      <c r="W102" t="n">
        <v/>
      </c>
      <c r="X102" t="n">
        <v/>
      </c>
      <c r="Y102" t="n">
        <v/>
      </c>
      <c r="Z102" t="n">
        <v/>
      </c>
      <c r="AA102" t="n">
        <v/>
      </c>
      <c r="AB102" t="n">
        <v/>
      </c>
      <c r="AC102" t="n">
        <v/>
      </c>
      <c r="AD102" t="n">
        <v/>
      </c>
      <c r="AE102" t="n">
        <v>17.13161</v>
      </c>
      <c r="AF102" t="n">
        <v/>
      </c>
      <c r="AG102" t="n">
        <v/>
      </c>
      <c r="AH102" t="n">
        <v/>
      </c>
      <c r="AI102" t="n">
        <v/>
      </c>
      <c r="AJ102" t="n">
        <v/>
      </c>
      <c r="AK102" t="n">
        <v/>
      </c>
      <c r="AL102" t="n">
        <v/>
      </c>
      <c r="AM102" t="n">
        <v/>
      </c>
      <c r="AN102" t="n">
        <v/>
      </c>
      <c r="AO102" t="n">
        <v/>
      </c>
      <c r="AP102" t="n">
        <v/>
      </c>
      <c r="AQ102" t="n">
        <v/>
      </c>
      <c r="AR102" t="n">
        <v/>
      </c>
      <c r="AS102" t="n">
        <v/>
      </c>
      <c r="AT102" t="n">
        <v/>
      </c>
      <c r="AU102" t="n">
        <v/>
      </c>
      <c r="AV102" t="n">
        <v/>
      </c>
      <c r="AW102" t="n">
        <v>11.88872</v>
      </c>
      <c r="AX102" t="n">
        <v/>
      </c>
    </row>
    <row r="103">
      <c r="A103" s="92" t="n">
        <v>20972</v>
      </c>
      <c r="B103" t="n">
        <v/>
      </c>
      <c r="C103" t="n">
        <v/>
      </c>
      <c r="D103" t="n">
        <v/>
      </c>
      <c r="E103" t="n">
        <v/>
      </c>
      <c r="F103" t="n">
        <v>22.82381</v>
      </c>
      <c r="G103" t="n">
        <v/>
      </c>
      <c r="H103" t="n">
        <v/>
      </c>
      <c r="I103" t="n">
        <v/>
      </c>
      <c r="J103" t="n">
        <v/>
      </c>
      <c r="K103" t="n">
        <v/>
      </c>
      <c r="L103" t="n">
        <v/>
      </c>
      <c r="M103" t="n">
        <v/>
      </c>
      <c r="N103" t="n">
        <v/>
      </c>
      <c r="O103" t="n">
        <v/>
      </c>
      <c r="P103" t="n">
        <v/>
      </c>
      <c r="Q103" t="n">
        <v/>
      </c>
      <c r="R103" t="n">
        <v>6.698499</v>
      </c>
      <c r="S103" t="n">
        <v/>
      </c>
      <c r="T103" t="n">
        <v/>
      </c>
      <c r="U103" t="n">
        <v/>
      </c>
      <c r="V103" t="n">
        <v/>
      </c>
      <c r="W103" t="n">
        <v/>
      </c>
      <c r="X103" t="n">
        <v/>
      </c>
      <c r="Y103" t="n">
        <v/>
      </c>
      <c r="Z103" t="n">
        <v/>
      </c>
      <c r="AA103" t="n">
        <v/>
      </c>
      <c r="AB103" t="n">
        <v/>
      </c>
      <c r="AC103" t="n">
        <v/>
      </c>
      <c r="AD103" t="n">
        <v/>
      </c>
      <c r="AE103" t="n">
        <v>17.05424</v>
      </c>
      <c r="AF103" t="n">
        <v/>
      </c>
      <c r="AG103" t="n">
        <v/>
      </c>
      <c r="AH103" t="n">
        <v/>
      </c>
      <c r="AI103" t="n">
        <v/>
      </c>
      <c r="AJ103" t="n">
        <v/>
      </c>
      <c r="AK103" t="n">
        <v/>
      </c>
      <c r="AL103" t="n">
        <v/>
      </c>
      <c r="AM103" t="n">
        <v/>
      </c>
      <c r="AN103" t="n">
        <v/>
      </c>
      <c r="AO103" t="n">
        <v/>
      </c>
      <c r="AP103" t="n">
        <v/>
      </c>
      <c r="AQ103" t="n">
        <v/>
      </c>
      <c r="AR103" t="n">
        <v/>
      </c>
      <c r="AS103" t="n">
        <v/>
      </c>
      <c r="AT103" t="n">
        <v/>
      </c>
      <c r="AU103" t="n">
        <v/>
      </c>
      <c r="AV103" t="n">
        <v/>
      </c>
      <c r="AW103" t="n">
        <v>11.93</v>
      </c>
      <c r="AX103" t="n">
        <v/>
      </c>
    </row>
    <row r="104">
      <c r="A104" s="92" t="n">
        <v>21002</v>
      </c>
      <c r="B104" t="n">
        <v/>
      </c>
      <c r="C104" t="n">
        <v/>
      </c>
      <c r="D104" t="n">
        <v/>
      </c>
      <c r="E104" t="n">
        <v/>
      </c>
      <c r="F104" t="n">
        <v>22.87604</v>
      </c>
      <c r="G104" t="n">
        <v/>
      </c>
      <c r="H104" t="n">
        <v/>
      </c>
      <c r="I104" t="n">
        <v/>
      </c>
      <c r="J104" t="n">
        <v/>
      </c>
      <c r="K104" t="n">
        <v/>
      </c>
      <c r="L104" t="n">
        <v/>
      </c>
      <c r="M104" t="n">
        <v/>
      </c>
      <c r="N104" t="n">
        <v/>
      </c>
      <c r="O104" t="n">
        <v/>
      </c>
      <c r="P104" t="n">
        <v/>
      </c>
      <c r="Q104" t="n">
        <v/>
      </c>
      <c r="R104" t="n">
        <v>6.795035</v>
      </c>
      <c r="S104" t="n">
        <v/>
      </c>
      <c r="T104" t="n">
        <v/>
      </c>
      <c r="U104" t="n">
        <v/>
      </c>
      <c r="V104" t="n">
        <v/>
      </c>
      <c r="W104" t="n">
        <v/>
      </c>
      <c r="X104" t="n">
        <v/>
      </c>
      <c r="Y104" t="n">
        <v/>
      </c>
      <c r="Z104" t="n">
        <v/>
      </c>
      <c r="AA104" t="n">
        <v/>
      </c>
      <c r="AB104" t="n">
        <v/>
      </c>
      <c r="AC104" t="n">
        <v/>
      </c>
      <c r="AD104" t="n">
        <v/>
      </c>
      <c r="AE104" t="n">
        <v>17.2075</v>
      </c>
      <c r="AF104" t="n">
        <v/>
      </c>
      <c r="AG104" t="n">
        <v/>
      </c>
      <c r="AH104" t="n">
        <v/>
      </c>
      <c r="AI104" t="n">
        <v/>
      </c>
      <c r="AJ104" t="n">
        <v/>
      </c>
      <c r="AK104" t="n">
        <v/>
      </c>
      <c r="AL104" t="n">
        <v/>
      </c>
      <c r="AM104" t="n">
        <v/>
      </c>
      <c r="AN104" t="n">
        <v/>
      </c>
      <c r="AO104" t="n">
        <v/>
      </c>
      <c r="AP104" t="n">
        <v/>
      </c>
      <c r="AQ104" t="n">
        <v/>
      </c>
      <c r="AR104" t="n">
        <v/>
      </c>
      <c r="AS104" t="n">
        <v/>
      </c>
      <c r="AT104" t="n">
        <v/>
      </c>
      <c r="AU104" t="n">
        <v/>
      </c>
      <c r="AV104" t="n">
        <v/>
      </c>
      <c r="AW104" t="n">
        <v>11.93</v>
      </c>
      <c r="AX104" t="n">
        <v/>
      </c>
    </row>
    <row r="105">
      <c r="A105" s="92" t="n">
        <v>21033</v>
      </c>
      <c r="B105" t="n">
        <v/>
      </c>
      <c r="C105" t="n">
        <v/>
      </c>
      <c r="D105" t="n">
        <v/>
      </c>
      <c r="E105" t="n">
        <v/>
      </c>
      <c r="F105" t="n">
        <v>23.00368</v>
      </c>
      <c r="G105" t="n">
        <v/>
      </c>
      <c r="H105" t="n">
        <v/>
      </c>
      <c r="I105" t="n">
        <v/>
      </c>
      <c r="J105" t="n">
        <v/>
      </c>
      <c r="K105" t="n">
        <v/>
      </c>
      <c r="L105" t="n">
        <v/>
      </c>
      <c r="M105" t="n">
        <v/>
      </c>
      <c r="N105" t="n">
        <v/>
      </c>
      <c r="O105" t="n">
        <v/>
      </c>
      <c r="P105" t="n">
        <v/>
      </c>
      <c r="Q105" t="n">
        <v/>
      </c>
      <c r="R105" t="n">
        <v>6.83606</v>
      </c>
      <c r="S105" t="n">
        <v/>
      </c>
      <c r="T105" t="n">
        <v/>
      </c>
      <c r="U105" t="n">
        <v/>
      </c>
      <c r="V105" t="n">
        <v/>
      </c>
      <c r="W105" t="n">
        <v/>
      </c>
      <c r="X105" t="n">
        <v/>
      </c>
      <c r="Y105" t="n">
        <v/>
      </c>
      <c r="Z105" t="n">
        <v/>
      </c>
      <c r="AA105" t="n">
        <v/>
      </c>
      <c r="AB105" t="n">
        <v/>
      </c>
      <c r="AC105" t="n">
        <v/>
      </c>
      <c r="AD105" t="n">
        <v/>
      </c>
      <c r="AE105" t="n">
        <v>17.32283</v>
      </c>
      <c r="AF105" t="n">
        <v/>
      </c>
      <c r="AG105" t="n">
        <v/>
      </c>
      <c r="AH105" t="n">
        <v/>
      </c>
      <c r="AI105" t="n">
        <v/>
      </c>
      <c r="AJ105" t="n">
        <v/>
      </c>
      <c r="AK105" t="n">
        <v/>
      </c>
      <c r="AL105" t="n">
        <v/>
      </c>
      <c r="AM105" t="n">
        <v/>
      </c>
      <c r="AN105" t="n">
        <v/>
      </c>
      <c r="AO105" t="n">
        <v/>
      </c>
      <c r="AP105" t="n">
        <v/>
      </c>
      <c r="AQ105" t="n">
        <v/>
      </c>
      <c r="AR105" t="n">
        <v/>
      </c>
      <c r="AS105" t="n">
        <v/>
      </c>
      <c r="AT105" t="n">
        <v/>
      </c>
      <c r="AU105" t="n">
        <v/>
      </c>
      <c r="AV105" t="n">
        <v/>
      </c>
      <c r="AW105" t="n">
        <v>11.97128</v>
      </c>
      <c r="AX105" t="n">
        <v/>
      </c>
    </row>
    <row r="106">
      <c r="A106" s="92" t="n">
        <v>21064</v>
      </c>
      <c r="B106" t="n">
        <v/>
      </c>
      <c r="C106" t="n">
        <v/>
      </c>
      <c r="D106" t="n">
        <v/>
      </c>
      <c r="E106" t="n">
        <v/>
      </c>
      <c r="F106" t="n">
        <v>23.04321</v>
      </c>
      <c r="G106" t="n">
        <v/>
      </c>
      <c r="H106" t="n">
        <v/>
      </c>
      <c r="I106" t="n">
        <v/>
      </c>
      <c r="J106" t="n">
        <v/>
      </c>
      <c r="K106" t="n">
        <v/>
      </c>
      <c r="L106" t="n">
        <v/>
      </c>
      <c r="M106" t="n">
        <v/>
      </c>
      <c r="N106" t="n">
        <v/>
      </c>
      <c r="O106" t="n">
        <v/>
      </c>
      <c r="P106" t="n">
        <v/>
      </c>
      <c r="Q106" t="n">
        <v/>
      </c>
      <c r="R106" t="n">
        <v>6.904137</v>
      </c>
      <c r="S106" t="n">
        <v/>
      </c>
      <c r="T106" t="n">
        <v/>
      </c>
      <c r="U106" t="n">
        <v/>
      </c>
      <c r="V106" t="n">
        <v/>
      </c>
      <c r="W106" t="n">
        <v/>
      </c>
      <c r="X106" t="n">
        <v/>
      </c>
      <c r="Y106" t="n">
        <v/>
      </c>
      <c r="Z106" t="n">
        <v/>
      </c>
      <c r="AA106" t="n">
        <v/>
      </c>
      <c r="AB106" t="n">
        <v/>
      </c>
      <c r="AC106" t="n">
        <v/>
      </c>
      <c r="AD106" t="n">
        <v/>
      </c>
      <c r="AE106" t="n">
        <v>17.21501</v>
      </c>
      <c r="AF106" t="n">
        <v/>
      </c>
      <c r="AG106" t="n">
        <v/>
      </c>
      <c r="AH106" t="n">
        <v/>
      </c>
      <c r="AI106" t="n">
        <v/>
      </c>
      <c r="AJ106" t="n">
        <v/>
      </c>
      <c r="AK106" t="n">
        <v/>
      </c>
      <c r="AL106" t="n">
        <v/>
      </c>
      <c r="AM106" t="n">
        <v/>
      </c>
      <c r="AN106" t="n">
        <v/>
      </c>
      <c r="AO106" t="n">
        <v/>
      </c>
      <c r="AP106" t="n">
        <v/>
      </c>
      <c r="AQ106" t="n">
        <v/>
      </c>
      <c r="AR106" t="n">
        <v/>
      </c>
      <c r="AS106" t="n">
        <v/>
      </c>
      <c r="AT106" t="n">
        <v/>
      </c>
      <c r="AU106" t="n">
        <v/>
      </c>
      <c r="AV106" t="n">
        <v/>
      </c>
      <c r="AW106" t="n">
        <v>12.01256</v>
      </c>
      <c r="AX106" t="n">
        <v/>
      </c>
    </row>
    <row r="107">
      <c r="A107" s="92" t="n">
        <v>21094</v>
      </c>
      <c r="B107" t="n">
        <v/>
      </c>
      <c r="C107" t="n">
        <v/>
      </c>
      <c r="D107" t="n">
        <v/>
      </c>
      <c r="E107" t="n">
        <v/>
      </c>
      <c r="F107" t="n">
        <v>23.12873</v>
      </c>
      <c r="G107" t="n">
        <v/>
      </c>
      <c r="H107" t="n">
        <v/>
      </c>
      <c r="I107" t="n">
        <v/>
      </c>
      <c r="J107" t="n">
        <v/>
      </c>
      <c r="K107" t="n">
        <v/>
      </c>
      <c r="L107" t="n">
        <v/>
      </c>
      <c r="M107" t="n">
        <v/>
      </c>
      <c r="N107" t="n">
        <v/>
      </c>
      <c r="O107" t="n">
        <v/>
      </c>
      <c r="P107" t="n">
        <v/>
      </c>
      <c r="Q107" t="n">
        <v/>
      </c>
      <c r="R107" t="n">
        <v>6.938962</v>
      </c>
      <c r="S107" t="n">
        <v/>
      </c>
      <c r="T107" t="n">
        <v/>
      </c>
      <c r="U107" t="n">
        <v/>
      </c>
      <c r="V107" t="n">
        <v/>
      </c>
      <c r="W107" t="n">
        <v/>
      </c>
      <c r="X107" t="n">
        <v/>
      </c>
      <c r="Y107" t="n">
        <v/>
      </c>
      <c r="Z107" t="n">
        <v/>
      </c>
      <c r="AA107" t="n">
        <v/>
      </c>
      <c r="AB107" t="n">
        <v/>
      </c>
      <c r="AC107" t="n">
        <v/>
      </c>
      <c r="AD107" t="n">
        <v/>
      </c>
      <c r="AE107" t="n">
        <v>17.14283</v>
      </c>
      <c r="AF107" t="n">
        <v/>
      </c>
      <c r="AG107" t="n">
        <v/>
      </c>
      <c r="AH107" t="n">
        <v/>
      </c>
      <c r="AI107" t="n">
        <v/>
      </c>
      <c r="AJ107" t="n">
        <v/>
      </c>
      <c r="AK107" t="n">
        <v/>
      </c>
      <c r="AL107" t="n">
        <v/>
      </c>
      <c r="AM107" t="n">
        <v/>
      </c>
      <c r="AN107" t="n">
        <v/>
      </c>
      <c r="AO107" t="n">
        <v/>
      </c>
      <c r="AP107" t="n">
        <v/>
      </c>
      <c r="AQ107" t="n">
        <v/>
      </c>
      <c r="AR107" t="n">
        <v/>
      </c>
      <c r="AS107" t="n">
        <v/>
      </c>
      <c r="AT107" t="n">
        <v/>
      </c>
      <c r="AU107" t="n">
        <v/>
      </c>
      <c r="AV107" t="n">
        <v/>
      </c>
      <c r="AW107" t="n">
        <v>12.05384</v>
      </c>
      <c r="AX107" t="n">
        <v/>
      </c>
    </row>
    <row r="108">
      <c r="A108" s="92" t="n">
        <v>21125</v>
      </c>
      <c r="B108" t="n">
        <v/>
      </c>
      <c r="C108" t="n">
        <v/>
      </c>
      <c r="D108" t="n">
        <v/>
      </c>
      <c r="E108" t="n">
        <v/>
      </c>
      <c r="F108" t="n">
        <v>23.17722</v>
      </c>
      <c r="G108" t="n">
        <v/>
      </c>
      <c r="H108" t="n">
        <v/>
      </c>
      <c r="I108" t="n">
        <v/>
      </c>
      <c r="J108" t="n">
        <v/>
      </c>
      <c r="K108" t="n">
        <v/>
      </c>
      <c r="L108" t="n">
        <v/>
      </c>
      <c r="M108" t="n">
        <v/>
      </c>
      <c r="N108" t="n">
        <v/>
      </c>
      <c r="O108" t="n">
        <v/>
      </c>
      <c r="P108" t="n">
        <v/>
      </c>
      <c r="Q108" t="n">
        <v/>
      </c>
      <c r="R108" t="n">
        <v>6.950881</v>
      </c>
      <c r="S108" t="n">
        <v/>
      </c>
      <c r="T108" t="n">
        <v/>
      </c>
      <c r="U108" t="n">
        <v/>
      </c>
      <c r="V108" t="n">
        <v/>
      </c>
      <c r="W108" t="n">
        <v/>
      </c>
      <c r="X108" t="n">
        <v/>
      </c>
      <c r="Y108" t="n">
        <v/>
      </c>
      <c r="Z108" t="n">
        <v/>
      </c>
      <c r="AA108" t="n">
        <v/>
      </c>
      <c r="AB108" t="n">
        <v/>
      </c>
      <c r="AC108" t="n">
        <v/>
      </c>
      <c r="AD108" t="n">
        <v/>
      </c>
      <c r="AE108" t="n">
        <v>16.92253</v>
      </c>
      <c r="AF108" t="n">
        <v/>
      </c>
      <c r="AG108" t="n">
        <v/>
      </c>
      <c r="AH108" t="n">
        <v/>
      </c>
      <c r="AI108" t="n">
        <v/>
      </c>
      <c r="AJ108" t="n">
        <v/>
      </c>
      <c r="AK108" t="n">
        <v/>
      </c>
      <c r="AL108" t="n">
        <v/>
      </c>
      <c r="AM108" t="n">
        <v/>
      </c>
      <c r="AN108" t="n">
        <v/>
      </c>
      <c r="AO108" t="n">
        <v/>
      </c>
      <c r="AP108" t="n">
        <v/>
      </c>
      <c r="AQ108" t="n">
        <v/>
      </c>
      <c r="AR108" t="n">
        <v/>
      </c>
      <c r="AS108" t="n">
        <v/>
      </c>
      <c r="AT108" t="n">
        <v/>
      </c>
      <c r="AU108" t="n">
        <v/>
      </c>
      <c r="AV108" t="n">
        <v/>
      </c>
      <c r="AW108" t="n">
        <v>12.1364</v>
      </c>
      <c r="AX108" t="n">
        <v/>
      </c>
    </row>
    <row r="109">
      <c r="A109" s="92" t="n">
        <v>21155</v>
      </c>
      <c r="B109" t="n">
        <v/>
      </c>
      <c r="C109" t="n">
        <v/>
      </c>
      <c r="D109" t="n">
        <v/>
      </c>
      <c r="E109" t="n">
        <v/>
      </c>
      <c r="F109" t="n">
        <v>23.17827</v>
      </c>
      <c r="G109" t="n">
        <v/>
      </c>
      <c r="H109" t="n">
        <v/>
      </c>
      <c r="I109" t="n">
        <v/>
      </c>
      <c r="J109" t="n">
        <v/>
      </c>
      <c r="K109" t="n">
        <v/>
      </c>
      <c r="L109" t="n">
        <v/>
      </c>
      <c r="M109" t="n">
        <v/>
      </c>
      <c r="N109" t="n">
        <v/>
      </c>
      <c r="O109" t="n">
        <v/>
      </c>
      <c r="P109" t="n">
        <v/>
      </c>
      <c r="Q109" t="n">
        <v/>
      </c>
      <c r="R109" t="n">
        <v>7.022986</v>
      </c>
      <c r="S109" t="n">
        <v/>
      </c>
      <c r="T109" t="n">
        <v/>
      </c>
      <c r="U109" t="n">
        <v/>
      </c>
      <c r="V109" t="n">
        <v/>
      </c>
      <c r="W109" t="n">
        <v/>
      </c>
      <c r="X109" t="n">
        <v/>
      </c>
      <c r="Y109" t="n">
        <v/>
      </c>
      <c r="Z109" t="n">
        <v/>
      </c>
      <c r="AA109" t="n">
        <v/>
      </c>
      <c r="AB109" t="n">
        <v/>
      </c>
      <c r="AC109" t="n">
        <v/>
      </c>
      <c r="AD109" t="n">
        <v/>
      </c>
      <c r="AE109" t="n">
        <v>16.89371</v>
      </c>
      <c r="AF109" t="n">
        <v/>
      </c>
      <c r="AG109" t="n">
        <v/>
      </c>
      <c r="AH109" t="n">
        <v/>
      </c>
      <c r="AI109" t="n">
        <v/>
      </c>
      <c r="AJ109" t="n">
        <v/>
      </c>
      <c r="AK109" t="n">
        <v/>
      </c>
      <c r="AL109" t="n">
        <v/>
      </c>
      <c r="AM109" t="n">
        <v/>
      </c>
      <c r="AN109" t="n">
        <v/>
      </c>
      <c r="AO109" t="n">
        <v/>
      </c>
      <c r="AP109" t="n">
        <v/>
      </c>
      <c r="AQ109" t="n">
        <v/>
      </c>
      <c r="AR109" t="n">
        <v/>
      </c>
      <c r="AS109" t="n">
        <v/>
      </c>
      <c r="AT109" t="n">
        <v/>
      </c>
      <c r="AU109" t="n">
        <v/>
      </c>
      <c r="AV109" t="n">
        <v/>
      </c>
      <c r="AW109" t="n">
        <v>12.1364</v>
      </c>
      <c r="AX109" t="n">
        <v/>
      </c>
    </row>
    <row r="110">
      <c r="A110" s="92" t="n">
        <v>21186</v>
      </c>
      <c r="B110" t="n">
        <v/>
      </c>
      <c r="C110" t="n">
        <v/>
      </c>
      <c r="D110" t="n">
        <v/>
      </c>
      <c r="E110" t="n">
        <v/>
      </c>
      <c r="F110" t="n">
        <v>23.13353</v>
      </c>
      <c r="G110" t="n">
        <v/>
      </c>
      <c r="H110" t="n">
        <v/>
      </c>
      <c r="I110" t="n">
        <v/>
      </c>
      <c r="J110" t="n">
        <v/>
      </c>
      <c r="K110" t="n">
        <v/>
      </c>
      <c r="L110" t="n">
        <v/>
      </c>
      <c r="M110" t="n">
        <v/>
      </c>
      <c r="N110" t="n">
        <v/>
      </c>
      <c r="O110" t="n">
        <v/>
      </c>
      <c r="P110" t="n">
        <v/>
      </c>
      <c r="Q110" t="n">
        <v/>
      </c>
      <c r="R110" t="n">
        <v>7.083381</v>
      </c>
      <c r="S110" t="n">
        <v/>
      </c>
      <c r="T110" t="n">
        <v/>
      </c>
      <c r="U110" t="n">
        <v/>
      </c>
      <c r="V110" t="n">
        <v/>
      </c>
      <c r="W110" t="n">
        <v/>
      </c>
      <c r="X110" t="n">
        <v/>
      </c>
      <c r="Y110" t="n">
        <v/>
      </c>
      <c r="Z110" t="n">
        <v/>
      </c>
      <c r="AA110" t="n">
        <v/>
      </c>
      <c r="AB110" t="n">
        <v/>
      </c>
      <c r="AC110" t="n">
        <v/>
      </c>
      <c r="AD110" t="n">
        <v/>
      </c>
      <c r="AE110" t="n">
        <v>16.99126</v>
      </c>
      <c r="AF110" t="n">
        <v/>
      </c>
      <c r="AG110" t="n">
        <v/>
      </c>
      <c r="AH110" t="n">
        <v/>
      </c>
      <c r="AI110" t="n">
        <v/>
      </c>
      <c r="AJ110" t="n">
        <v/>
      </c>
      <c r="AK110" t="n">
        <v/>
      </c>
      <c r="AL110" t="n">
        <v/>
      </c>
      <c r="AM110" t="n">
        <v/>
      </c>
      <c r="AN110" t="n">
        <v/>
      </c>
      <c r="AO110" t="n">
        <v/>
      </c>
      <c r="AP110" t="n">
        <v/>
      </c>
      <c r="AQ110" t="n">
        <v/>
      </c>
      <c r="AR110" t="n">
        <v/>
      </c>
      <c r="AS110" t="n">
        <v/>
      </c>
      <c r="AT110" t="n">
        <v/>
      </c>
      <c r="AU110" t="n">
        <v/>
      </c>
      <c r="AV110" t="n">
        <v/>
      </c>
      <c r="AW110" t="n">
        <v>12.1364</v>
      </c>
      <c r="AX110" t="n">
        <v/>
      </c>
    </row>
    <row r="111">
      <c r="A111" s="92" t="n">
        <v>21217</v>
      </c>
      <c r="B111" t="n">
        <v/>
      </c>
      <c r="C111" t="n">
        <v/>
      </c>
      <c r="D111" t="n">
        <v/>
      </c>
      <c r="E111" t="n">
        <v/>
      </c>
      <c r="F111" t="n">
        <v>23.17169</v>
      </c>
      <c r="G111" t="n">
        <v/>
      </c>
      <c r="H111" t="n">
        <v/>
      </c>
      <c r="I111" t="n">
        <v/>
      </c>
      <c r="J111" t="n">
        <v/>
      </c>
      <c r="K111" t="n">
        <v/>
      </c>
      <c r="L111" t="n">
        <v/>
      </c>
      <c r="M111" t="n">
        <v/>
      </c>
      <c r="N111" t="n">
        <v/>
      </c>
      <c r="O111" t="n">
        <v/>
      </c>
      <c r="P111" t="n">
        <v/>
      </c>
      <c r="Q111" t="n">
        <v/>
      </c>
      <c r="R111" t="n">
        <v>7.077525</v>
      </c>
      <c r="S111" t="n">
        <v/>
      </c>
      <c r="T111" t="n">
        <v/>
      </c>
      <c r="U111" t="n">
        <v/>
      </c>
      <c r="V111" t="n">
        <v/>
      </c>
      <c r="W111" t="n">
        <v/>
      </c>
      <c r="X111" t="n">
        <v/>
      </c>
      <c r="Y111" t="n">
        <v/>
      </c>
      <c r="Z111" t="n">
        <v/>
      </c>
      <c r="AA111" t="n">
        <v/>
      </c>
      <c r="AB111" t="n">
        <v/>
      </c>
      <c r="AC111" t="n">
        <v/>
      </c>
      <c r="AD111" t="n">
        <v/>
      </c>
      <c r="AE111" t="n">
        <v>16.83744</v>
      </c>
      <c r="AF111" t="n">
        <v/>
      </c>
      <c r="AG111" t="n">
        <v/>
      </c>
      <c r="AH111" t="n">
        <v/>
      </c>
      <c r="AI111" t="n">
        <v/>
      </c>
      <c r="AJ111" t="n">
        <v/>
      </c>
      <c r="AK111" t="n">
        <v/>
      </c>
      <c r="AL111" t="n">
        <v/>
      </c>
      <c r="AM111" t="n">
        <v/>
      </c>
      <c r="AN111" t="n">
        <v/>
      </c>
      <c r="AO111" t="n">
        <v/>
      </c>
      <c r="AP111" t="n">
        <v/>
      </c>
      <c r="AQ111" t="n">
        <v/>
      </c>
      <c r="AR111" t="n">
        <v/>
      </c>
      <c r="AS111" t="n">
        <v/>
      </c>
      <c r="AT111" t="n">
        <v/>
      </c>
      <c r="AU111" t="n">
        <v/>
      </c>
      <c r="AV111" t="n">
        <v/>
      </c>
      <c r="AW111" t="n">
        <v>12.1364</v>
      </c>
      <c r="AX111" t="n">
        <v/>
      </c>
    </row>
    <row r="112">
      <c r="A112" s="92" t="n">
        <v>21245</v>
      </c>
      <c r="B112" t="n">
        <v/>
      </c>
      <c r="C112" t="n">
        <v/>
      </c>
      <c r="D112" t="n">
        <v/>
      </c>
      <c r="E112" t="n">
        <v/>
      </c>
      <c r="F112" t="n">
        <v>23.17114</v>
      </c>
      <c r="G112" t="n">
        <v/>
      </c>
      <c r="H112" t="n">
        <v/>
      </c>
      <c r="I112" t="n">
        <v/>
      </c>
      <c r="J112" t="n">
        <v/>
      </c>
      <c r="K112" t="n">
        <v/>
      </c>
      <c r="L112" t="n">
        <v/>
      </c>
      <c r="M112" t="n">
        <v/>
      </c>
      <c r="N112" t="n">
        <v/>
      </c>
      <c r="O112" t="n">
        <v/>
      </c>
      <c r="P112" t="n">
        <v/>
      </c>
      <c r="Q112" t="n">
        <v/>
      </c>
      <c r="R112" t="n">
        <v>7.061316</v>
      </c>
      <c r="S112" t="n">
        <v/>
      </c>
      <c r="T112" t="n">
        <v/>
      </c>
      <c r="U112" t="n">
        <v/>
      </c>
      <c r="V112" t="n">
        <v/>
      </c>
      <c r="W112" t="n">
        <v/>
      </c>
      <c r="X112" t="n">
        <v/>
      </c>
      <c r="Y112" t="n">
        <v/>
      </c>
      <c r="Z112" t="n">
        <v/>
      </c>
      <c r="AA112" t="n">
        <v/>
      </c>
      <c r="AB112" t="n">
        <v/>
      </c>
      <c r="AC112" t="n">
        <v/>
      </c>
      <c r="AD112" t="n">
        <v/>
      </c>
      <c r="AE112" t="n">
        <v>16.79549</v>
      </c>
      <c r="AF112" t="n">
        <v/>
      </c>
      <c r="AG112" t="n">
        <v/>
      </c>
      <c r="AH112" t="n">
        <v/>
      </c>
      <c r="AI112" t="n">
        <v/>
      </c>
      <c r="AJ112" t="n">
        <v/>
      </c>
      <c r="AK112" t="n">
        <v/>
      </c>
      <c r="AL112" t="n">
        <v/>
      </c>
      <c r="AM112" t="n">
        <v/>
      </c>
      <c r="AN112" t="n">
        <v/>
      </c>
      <c r="AO112" t="n">
        <v/>
      </c>
      <c r="AP112" t="n">
        <v/>
      </c>
      <c r="AQ112" t="n">
        <v/>
      </c>
      <c r="AR112" t="n">
        <v/>
      </c>
      <c r="AS112" t="n">
        <v/>
      </c>
      <c r="AT112" t="n">
        <v/>
      </c>
      <c r="AU112" t="n">
        <v/>
      </c>
      <c r="AV112" t="n">
        <v/>
      </c>
      <c r="AW112" t="n">
        <v>12.17768</v>
      </c>
      <c r="AX112" t="n">
        <v/>
      </c>
    </row>
    <row r="113">
      <c r="A113" s="92" t="n">
        <v>21276</v>
      </c>
      <c r="B113" t="n">
        <v/>
      </c>
      <c r="C113" t="n">
        <v/>
      </c>
      <c r="D113" t="n">
        <v/>
      </c>
      <c r="E113" t="n">
        <v/>
      </c>
      <c r="F113" t="n">
        <v>23.19325</v>
      </c>
      <c r="G113" t="n">
        <v/>
      </c>
      <c r="H113" t="n">
        <v/>
      </c>
      <c r="I113" t="n">
        <v/>
      </c>
      <c r="J113" t="n">
        <v/>
      </c>
      <c r="K113" t="n">
        <v/>
      </c>
      <c r="L113" t="n">
        <v/>
      </c>
      <c r="M113" t="n">
        <v/>
      </c>
      <c r="N113" t="n">
        <v/>
      </c>
      <c r="O113" t="n">
        <v/>
      </c>
      <c r="P113" t="n">
        <v/>
      </c>
      <c r="Q113" t="n">
        <v/>
      </c>
      <c r="R113" t="n">
        <v>7.125945</v>
      </c>
      <c r="S113" t="n">
        <v/>
      </c>
      <c r="T113" t="n">
        <v/>
      </c>
      <c r="U113" t="n">
        <v/>
      </c>
      <c r="V113" t="n">
        <v/>
      </c>
      <c r="W113" t="n">
        <v/>
      </c>
      <c r="X113" t="n">
        <v/>
      </c>
      <c r="Y113" t="n">
        <v/>
      </c>
      <c r="Z113" t="n">
        <v/>
      </c>
      <c r="AA113" t="n">
        <v/>
      </c>
      <c r="AB113" t="n">
        <v/>
      </c>
      <c r="AC113" t="n">
        <v/>
      </c>
      <c r="AD113" t="n">
        <v/>
      </c>
      <c r="AE113" t="n">
        <v>16.91324</v>
      </c>
      <c r="AF113" t="n">
        <v/>
      </c>
      <c r="AG113" t="n">
        <v/>
      </c>
      <c r="AH113" t="n">
        <v/>
      </c>
      <c r="AI113" t="n">
        <v/>
      </c>
      <c r="AJ113" t="n">
        <v/>
      </c>
      <c r="AK113" t="n">
        <v/>
      </c>
      <c r="AL113" t="n">
        <v/>
      </c>
      <c r="AM113" t="n">
        <v/>
      </c>
      <c r="AN113" t="n">
        <v/>
      </c>
      <c r="AO113" t="n">
        <v/>
      </c>
      <c r="AP113" t="n">
        <v/>
      </c>
      <c r="AQ113" t="n">
        <v/>
      </c>
      <c r="AR113" t="n">
        <v/>
      </c>
      <c r="AS113" t="n">
        <v/>
      </c>
      <c r="AT113" t="n">
        <v/>
      </c>
      <c r="AU113" t="n">
        <v/>
      </c>
      <c r="AV113" t="n">
        <v/>
      </c>
      <c r="AW113" t="n">
        <v>12.17768</v>
      </c>
      <c r="AX113" t="n">
        <v/>
      </c>
    </row>
    <row r="114">
      <c r="A114" s="92" t="n">
        <v>21306</v>
      </c>
      <c r="B114" t="n">
        <v/>
      </c>
      <c r="C114" t="n">
        <v/>
      </c>
      <c r="D114" t="n">
        <v/>
      </c>
      <c r="E114" t="n">
        <v/>
      </c>
      <c r="F114" t="n">
        <v>23.45485</v>
      </c>
      <c r="G114" t="n">
        <v/>
      </c>
      <c r="H114" t="n">
        <v/>
      </c>
      <c r="I114" t="n">
        <v/>
      </c>
      <c r="J114" t="n">
        <v/>
      </c>
      <c r="K114" t="n">
        <v/>
      </c>
      <c r="L114" t="n">
        <v/>
      </c>
      <c r="M114" t="n">
        <v/>
      </c>
      <c r="N114" t="n">
        <v/>
      </c>
      <c r="O114" t="n">
        <v/>
      </c>
      <c r="P114" t="n">
        <v/>
      </c>
      <c r="Q114" t="n">
        <v/>
      </c>
      <c r="R114" t="n">
        <v>7.200927</v>
      </c>
      <c r="S114" t="n">
        <v/>
      </c>
      <c r="T114" t="n">
        <v/>
      </c>
      <c r="U114" t="n">
        <v/>
      </c>
      <c r="V114" t="n">
        <v/>
      </c>
      <c r="W114" t="n">
        <v/>
      </c>
      <c r="X114" t="n">
        <v/>
      </c>
      <c r="Y114" t="n">
        <v/>
      </c>
      <c r="Z114" t="n">
        <v/>
      </c>
      <c r="AA114" t="n">
        <v/>
      </c>
      <c r="AB114" t="n">
        <v/>
      </c>
      <c r="AC114" t="n">
        <v/>
      </c>
      <c r="AD114" t="n">
        <v/>
      </c>
      <c r="AE114" t="n">
        <v>16.9346</v>
      </c>
      <c r="AF114" t="n">
        <v/>
      </c>
      <c r="AG114" t="n">
        <v/>
      </c>
      <c r="AH114" t="n">
        <v/>
      </c>
      <c r="AI114" t="n">
        <v/>
      </c>
      <c r="AJ114" t="n">
        <v/>
      </c>
      <c r="AK114" t="n">
        <v/>
      </c>
      <c r="AL114" t="n">
        <v/>
      </c>
      <c r="AM114" t="n">
        <v/>
      </c>
      <c r="AN114" t="n">
        <v/>
      </c>
      <c r="AO114" t="n">
        <v/>
      </c>
      <c r="AP114" t="n">
        <v/>
      </c>
      <c r="AQ114" t="n">
        <v/>
      </c>
      <c r="AR114" t="n">
        <v/>
      </c>
      <c r="AS114" t="n">
        <v/>
      </c>
      <c r="AT114" t="n">
        <v/>
      </c>
      <c r="AU114" t="n">
        <v/>
      </c>
      <c r="AV114" t="n">
        <v/>
      </c>
      <c r="AW114" t="n">
        <v>12.17768</v>
      </c>
      <c r="AX114" t="n">
        <v/>
      </c>
    </row>
    <row r="115">
      <c r="A115" s="92" t="n">
        <v>21337</v>
      </c>
      <c r="B115" t="n">
        <v/>
      </c>
      <c r="C115" t="n">
        <v/>
      </c>
      <c r="D115" t="n">
        <v/>
      </c>
      <c r="E115" t="n">
        <v/>
      </c>
      <c r="F115" t="n">
        <v>23.46236</v>
      </c>
      <c r="G115" t="n">
        <v/>
      </c>
      <c r="H115" t="n">
        <v/>
      </c>
      <c r="I115" t="n">
        <v/>
      </c>
      <c r="J115" t="n">
        <v/>
      </c>
      <c r="K115" t="n">
        <v/>
      </c>
      <c r="L115" t="n">
        <v/>
      </c>
      <c r="M115" t="n">
        <v/>
      </c>
      <c r="N115" t="n">
        <v/>
      </c>
      <c r="O115" t="n">
        <v/>
      </c>
      <c r="P115" t="n">
        <v/>
      </c>
      <c r="Q115" t="n">
        <v/>
      </c>
      <c r="R115" t="n">
        <v>7.217137</v>
      </c>
      <c r="S115" t="n">
        <v/>
      </c>
      <c r="T115" t="n">
        <v/>
      </c>
      <c r="U115" t="n">
        <v/>
      </c>
      <c r="V115" t="n">
        <v/>
      </c>
      <c r="W115" t="n">
        <v/>
      </c>
      <c r="X115" t="n">
        <v/>
      </c>
      <c r="Y115" t="n">
        <v/>
      </c>
      <c r="Z115" t="n">
        <v/>
      </c>
      <c r="AA115" t="n">
        <v/>
      </c>
      <c r="AB115" t="n">
        <v/>
      </c>
      <c r="AC115" t="n">
        <v/>
      </c>
      <c r="AD115" t="n">
        <v/>
      </c>
      <c r="AE115" t="n">
        <v>17.0846</v>
      </c>
      <c r="AF115" t="n">
        <v/>
      </c>
      <c r="AG115" t="n">
        <v/>
      </c>
      <c r="AH115" t="n">
        <v/>
      </c>
      <c r="AI115" t="n">
        <v/>
      </c>
      <c r="AJ115" t="n">
        <v/>
      </c>
      <c r="AK115" t="n">
        <v/>
      </c>
      <c r="AL115" t="n">
        <v/>
      </c>
      <c r="AM115" t="n">
        <v/>
      </c>
      <c r="AN115" t="n">
        <v/>
      </c>
      <c r="AO115" t="n">
        <v/>
      </c>
      <c r="AP115" t="n">
        <v/>
      </c>
      <c r="AQ115" t="n">
        <v/>
      </c>
      <c r="AR115" t="n">
        <v/>
      </c>
      <c r="AS115" t="n">
        <v/>
      </c>
      <c r="AT115" t="n">
        <v/>
      </c>
      <c r="AU115" t="n">
        <v/>
      </c>
      <c r="AV115" t="n">
        <v/>
      </c>
      <c r="AW115" t="n">
        <v>12.17768</v>
      </c>
      <c r="AX115" t="n">
        <v/>
      </c>
    </row>
    <row r="116">
      <c r="A116" s="92" t="n">
        <v>21367</v>
      </c>
      <c r="B116" t="n">
        <v/>
      </c>
      <c r="C116" t="n">
        <v/>
      </c>
      <c r="D116" t="n">
        <v/>
      </c>
      <c r="E116" t="n">
        <v/>
      </c>
      <c r="F116" t="n">
        <v>23.45866</v>
      </c>
      <c r="G116" t="n">
        <v/>
      </c>
      <c r="H116" t="n">
        <v/>
      </c>
      <c r="I116" t="n">
        <v/>
      </c>
      <c r="J116" t="n">
        <v/>
      </c>
      <c r="K116" t="n">
        <v/>
      </c>
      <c r="L116" t="n">
        <v/>
      </c>
      <c r="M116" t="n">
        <v/>
      </c>
      <c r="N116" t="n">
        <v/>
      </c>
      <c r="O116" t="n">
        <v/>
      </c>
      <c r="P116" t="n">
        <v/>
      </c>
      <c r="Q116" t="n">
        <v/>
      </c>
      <c r="R116" t="n">
        <v>7.155223</v>
      </c>
      <c r="S116" t="n">
        <v/>
      </c>
      <c r="T116" t="n">
        <v/>
      </c>
      <c r="U116" t="n">
        <v/>
      </c>
      <c r="V116" t="n">
        <v/>
      </c>
      <c r="W116" t="n">
        <v/>
      </c>
      <c r="X116" t="n">
        <v/>
      </c>
      <c r="Y116" t="n">
        <v/>
      </c>
      <c r="Z116" t="n">
        <v/>
      </c>
      <c r="AA116" t="n">
        <v/>
      </c>
      <c r="AB116" t="n">
        <v/>
      </c>
      <c r="AC116" t="n">
        <v/>
      </c>
      <c r="AD116" t="n">
        <v/>
      </c>
      <c r="AE116" t="n">
        <v>17.04103</v>
      </c>
      <c r="AF116" t="n">
        <v/>
      </c>
      <c r="AG116" t="n">
        <v/>
      </c>
      <c r="AH116" t="n">
        <v/>
      </c>
      <c r="AI116" t="n">
        <v/>
      </c>
      <c r="AJ116" t="n">
        <v/>
      </c>
      <c r="AK116" t="n">
        <v/>
      </c>
      <c r="AL116" t="n">
        <v/>
      </c>
      <c r="AM116" t="n">
        <v/>
      </c>
      <c r="AN116" t="n">
        <v/>
      </c>
      <c r="AO116" t="n">
        <v/>
      </c>
      <c r="AP116" t="n">
        <v/>
      </c>
      <c r="AQ116" t="n">
        <v/>
      </c>
      <c r="AR116" t="n">
        <v/>
      </c>
      <c r="AS116" t="n">
        <v/>
      </c>
      <c r="AT116" t="n">
        <v/>
      </c>
      <c r="AU116" t="n">
        <v/>
      </c>
      <c r="AV116" t="n">
        <v/>
      </c>
      <c r="AW116" t="n">
        <v>12.21896</v>
      </c>
      <c r="AX116" t="n">
        <v/>
      </c>
    </row>
    <row r="117">
      <c r="A117" s="92" t="n">
        <v>21398</v>
      </c>
      <c r="B117" t="n">
        <v/>
      </c>
      <c r="C117" t="n">
        <v/>
      </c>
      <c r="D117" t="n">
        <v/>
      </c>
      <c r="E117" t="n">
        <v/>
      </c>
      <c r="F117" t="n">
        <v>23.47822</v>
      </c>
      <c r="G117" t="n">
        <v/>
      </c>
      <c r="H117" t="n">
        <v/>
      </c>
      <c r="I117" t="n">
        <v/>
      </c>
      <c r="J117" t="n">
        <v/>
      </c>
      <c r="K117" t="n">
        <v/>
      </c>
      <c r="L117" t="n">
        <v/>
      </c>
      <c r="M117" t="n">
        <v/>
      </c>
      <c r="N117" t="n">
        <v/>
      </c>
      <c r="O117" t="n">
        <v/>
      </c>
      <c r="P117" t="n">
        <v/>
      </c>
      <c r="Q117" t="n">
        <v/>
      </c>
      <c r="R117" t="n">
        <v>7.246416</v>
      </c>
      <c r="S117" t="n">
        <v/>
      </c>
      <c r="T117" t="n">
        <v/>
      </c>
      <c r="U117" t="n">
        <v/>
      </c>
      <c r="V117" t="n">
        <v/>
      </c>
      <c r="W117" t="n">
        <v/>
      </c>
      <c r="X117" t="n">
        <v/>
      </c>
      <c r="Y117" t="n">
        <v/>
      </c>
      <c r="Z117" t="n">
        <v/>
      </c>
      <c r="AA117" t="n">
        <v/>
      </c>
      <c r="AB117" t="n">
        <v/>
      </c>
      <c r="AC117" t="n">
        <v/>
      </c>
      <c r="AD117" t="n">
        <v/>
      </c>
      <c r="AE117" t="n">
        <v>17.2241</v>
      </c>
      <c r="AF117" t="n">
        <v/>
      </c>
      <c r="AG117" t="n">
        <v/>
      </c>
      <c r="AH117" t="n">
        <v/>
      </c>
      <c r="AI117" t="n">
        <v/>
      </c>
      <c r="AJ117" t="n">
        <v/>
      </c>
      <c r="AK117" t="n">
        <v/>
      </c>
      <c r="AL117" t="n">
        <v/>
      </c>
      <c r="AM117" t="n">
        <v/>
      </c>
      <c r="AN117" t="n">
        <v/>
      </c>
      <c r="AO117" t="n">
        <v/>
      </c>
      <c r="AP117" t="n">
        <v/>
      </c>
      <c r="AQ117" t="n">
        <v/>
      </c>
      <c r="AR117" t="n">
        <v/>
      </c>
      <c r="AS117" t="n">
        <v/>
      </c>
      <c r="AT117" t="n">
        <v/>
      </c>
      <c r="AU117" t="n">
        <v/>
      </c>
      <c r="AV117" t="n">
        <v/>
      </c>
      <c r="AW117" t="n">
        <v>12.21896</v>
      </c>
      <c r="AX117" t="n">
        <v/>
      </c>
    </row>
    <row r="118">
      <c r="A118" s="92" t="n">
        <v>21429</v>
      </c>
      <c r="B118" t="n">
        <v/>
      </c>
      <c r="C118" t="n">
        <v/>
      </c>
      <c r="D118" t="n">
        <v/>
      </c>
      <c r="E118" t="n">
        <v/>
      </c>
      <c r="F118" t="n">
        <v>23.50721</v>
      </c>
      <c r="G118" t="n">
        <v/>
      </c>
      <c r="H118" t="n">
        <v/>
      </c>
      <c r="I118" t="n">
        <v/>
      </c>
      <c r="J118" t="n">
        <v/>
      </c>
      <c r="K118" t="n">
        <v/>
      </c>
      <c r="L118" t="n">
        <v/>
      </c>
      <c r="M118" t="n">
        <v/>
      </c>
      <c r="N118" t="n">
        <v/>
      </c>
      <c r="O118" t="n">
        <v/>
      </c>
      <c r="P118" t="n">
        <v/>
      </c>
      <c r="Q118" t="n">
        <v/>
      </c>
      <c r="R118" t="n">
        <v>7.252271</v>
      </c>
      <c r="S118" t="n">
        <v/>
      </c>
      <c r="T118" t="n">
        <v/>
      </c>
      <c r="U118" t="n">
        <v/>
      </c>
      <c r="V118" t="n">
        <v/>
      </c>
      <c r="W118" t="n">
        <v/>
      </c>
      <c r="X118" t="n">
        <v/>
      </c>
      <c r="Y118" t="n">
        <v/>
      </c>
      <c r="Z118" t="n">
        <v/>
      </c>
      <c r="AA118" t="n">
        <v/>
      </c>
      <c r="AB118" t="n">
        <v/>
      </c>
      <c r="AC118" t="n">
        <v/>
      </c>
      <c r="AD118" t="n">
        <v/>
      </c>
      <c r="AE118" t="n">
        <v>17.09982</v>
      </c>
      <c r="AF118" t="n">
        <v/>
      </c>
      <c r="AG118" t="n">
        <v/>
      </c>
      <c r="AH118" t="n">
        <v/>
      </c>
      <c r="AI118" t="n">
        <v/>
      </c>
      <c r="AJ118" t="n">
        <v/>
      </c>
      <c r="AK118" t="n">
        <v/>
      </c>
      <c r="AL118" t="n">
        <v/>
      </c>
      <c r="AM118" t="n">
        <v/>
      </c>
      <c r="AN118" t="n">
        <v/>
      </c>
      <c r="AO118" t="n">
        <v/>
      </c>
      <c r="AP118" t="n">
        <v/>
      </c>
      <c r="AQ118" t="n">
        <v/>
      </c>
      <c r="AR118" t="n">
        <v/>
      </c>
      <c r="AS118" t="n">
        <v/>
      </c>
      <c r="AT118" t="n">
        <v/>
      </c>
      <c r="AU118" t="n">
        <v/>
      </c>
      <c r="AV118" t="n">
        <v/>
      </c>
      <c r="AW118" t="n">
        <v>12.21896</v>
      </c>
      <c r="AX118" t="n">
        <v/>
      </c>
    </row>
    <row r="119">
      <c r="A119" s="92" t="n">
        <v>21459</v>
      </c>
      <c r="B119" t="n">
        <v/>
      </c>
      <c r="C119" t="n">
        <v/>
      </c>
      <c r="D119" t="n">
        <v/>
      </c>
      <c r="E119" t="n">
        <v/>
      </c>
      <c r="F119" t="n">
        <v>23.493</v>
      </c>
      <c r="G119" t="n">
        <v/>
      </c>
      <c r="H119" t="n">
        <v/>
      </c>
      <c r="I119" t="n">
        <v/>
      </c>
      <c r="J119" t="n">
        <v/>
      </c>
      <c r="K119" t="n">
        <v/>
      </c>
      <c r="L119" t="n">
        <v/>
      </c>
      <c r="M119" t="n">
        <v/>
      </c>
      <c r="N119" t="n">
        <v/>
      </c>
      <c r="O119" t="n">
        <v/>
      </c>
      <c r="P119" t="n">
        <v/>
      </c>
      <c r="Q119" t="n">
        <v/>
      </c>
      <c r="R119" t="n">
        <v>7.268481</v>
      </c>
      <c r="S119" t="n">
        <v/>
      </c>
      <c r="T119" t="n">
        <v/>
      </c>
      <c r="U119" t="n">
        <v/>
      </c>
      <c r="V119" t="n">
        <v/>
      </c>
      <c r="W119" t="n">
        <v/>
      </c>
      <c r="X119" t="n">
        <v/>
      </c>
      <c r="Y119" t="n">
        <v/>
      </c>
      <c r="Z119" t="n">
        <v/>
      </c>
      <c r="AA119" t="n">
        <v/>
      </c>
      <c r="AB119" t="n">
        <v/>
      </c>
      <c r="AC119" t="n">
        <v/>
      </c>
      <c r="AD119" t="n">
        <v/>
      </c>
      <c r="AE119" t="n">
        <v>17.24</v>
      </c>
      <c r="AF119" t="n">
        <v/>
      </c>
      <c r="AG119" t="n">
        <v/>
      </c>
      <c r="AH119" t="n">
        <v/>
      </c>
      <c r="AI119" t="n">
        <v/>
      </c>
      <c r="AJ119" t="n">
        <v/>
      </c>
      <c r="AK119" t="n">
        <v/>
      </c>
      <c r="AL119" t="n">
        <v/>
      </c>
      <c r="AM119" t="n">
        <v/>
      </c>
      <c r="AN119" t="n">
        <v/>
      </c>
      <c r="AO119" t="n">
        <v/>
      </c>
      <c r="AP119" t="n">
        <v/>
      </c>
      <c r="AQ119" t="n">
        <v/>
      </c>
      <c r="AR119" t="n">
        <v/>
      </c>
      <c r="AS119" t="n">
        <v/>
      </c>
      <c r="AT119" t="n">
        <v/>
      </c>
      <c r="AU119" t="n">
        <v/>
      </c>
      <c r="AV119" t="n">
        <v/>
      </c>
      <c r="AW119" t="n">
        <v>12.26024</v>
      </c>
      <c r="AX119" t="n">
        <v/>
      </c>
    </row>
    <row r="120">
      <c r="A120" s="92" t="n">
        <v>21490</v>
      </c>
      <c r="B120" t="n">
        <v/>
      </c>
      <c r="C120" t="n">
        <v/>
      </c>
      <c r="D120" t="n">
        <v/>
      </c>
      <c r="E120" t="n">
        <v/>
      </c>
      <c r="F120" t="n">
        <v>23.50406</v>
      </c>
      <c r="G120" t="n">
        <v/>
      </c>
      <c r="H120" t="n">
        <v/>
      </c>
      <c r="I120" t="n">
        <v/>
      </c>
      <c r="J120" t="n">
        <v/>
      </c>
      <c r="K120" t="n">
        <v/>
      </c>
      <c r="L120" t="n">
        <v/>
      </c>
      <c r="M120" t="n">
        <v/>
      </c>
      <c r="N120" t="n">
        <v/>
      </c>
      <c r="O120" t="n">
        <v/>
      </c>
      <c r="P120" t="n">
        <v/>
      </c>
      <c r="Q120" t="n">
        <v/>
      </c>
      <c r="R120" t="n">
        <v>7.236062</v>
      </c>
      <c r="S120" t="n">
        <v/>
      </c>
      <c r="T120" t="n">
        <v/>
      </c>
      <c r="U120" t="n">
        <v/>
      </c>
      <c r="V120" t="n">
        <v/>
      </c>
      <c r="W120" t="n">
        <v/>
      </c>
      <c r="X120" t="n">
        <v/>
      </c>
      <c r="Y120" t="n">
        <v/>
      </c>
      <c r="Z120" t="n">
        <v/>
      </c>
      <c r="AA120" t="n">
        <v/>
      </c>
      <c r="AB120" t="n">
        <v/>
      </c>
      <c r="AC120" t="n">
        <v/>
      </c>
      <c r="AD120" t="n">
        <v/>
      </c>
      <c r="AE120" t="n">
        <v>17.04568</v>
      </c>
      <c r="AF120" t="n">
        <v/>
      </c>
      <c r="AG120" t="n">
        <v/>
      </c>
      <c r="AH120" t="n">
        <v/>
      </c>
      <c r="AI120" t="n">
        <v/>
      </c>
      <c r="AJ120" t="n">
        <v/>
      </c>
      <c r="AK120" t="n">
        <v/>
      </c>
      <c r="AL120" t="n">
        <v/>
      </c>
      <c r="AM120" t="n">
        <v/>
      </c>
      <c r="AN120" t="n">
        <v/>
      </c>
      <c r="AO120" t="n">
        <v/>
      </c>
      <c r="AP120" t="n">
        <v/>
      </c>
      <c r="AQ120" t="n">
        <v/>
      </c>
      <c r="AR120" t="n">
        <v/>
      </c>
      <c r="AS120" t="n">
        <v/>
      </c>
      <c r="AT120" t="n">
        <v/>
      </c>
      <c r="AU120" t="n">
        <v/>
      </c>
      <c r="AV120" t="n">
        <v/>
      </c>
      <c r="AW120" t="n">
        <v>12.3428</v>
      </c>
      <c r="AX120" t="n">
        <v/>
      </c>
    </row>
    <row r="121">
      <c r="A121" s="92" t="n">
        <v>21520</v>
      </c>
      <c r="B121" t="n">
        <v/>
      </c>
      <c r="C121" t="n">
        <v/>
      </c>
      <c r="D121" t="n">
        <v/>
      </c>
      <c r="E121" t="n">
        <v/>
      </c>
      <c r="F121" t="n">
        <v>23.47038</v>
      </c>
      <c r="G121" t="n">
        <v/>
      </c>
      <c r="H121" t="n">
        <v/>
      </c>
      <c r="I121" t="n">
        <v/>
      </c>
      <c r="J121" t="n">
        <v/>
      </c>
      <c r="K121" t="n">
        <v/>
      </c>
      <c r="L121" t="n">
        <v/>
      </c>
      <c r="M121" t="n">
        <v/>
      </c>
      <c r="N121" t="n">
        <v/>
      </c>
      <c r="O121" t="n">
        <v/>
      </c>
      <c r="P121" t="n">
        <v/>
      </c>
      <c r="Q121" t="n">
        <v/>
      </c>
      <c r="R121" t="n">
        <v>7.252271</v>
      </c>
      <c r="S121" t="n">
        <v/>
      </c>
      <c r="T121" t="n">
        <v/>
      </c>
      <c r="U121" t="n">
        <v/>
      </c>
      <c r="V121" t="n">
        <v/>
      </c>
      <c r="W121" t="n">
        <v/>
      </c>
      <c r="X121" t="n">
        <v/>
      </c>
      <c r="Y121" t="n">
        <v/>
      </c>
      <c r="Z121" t="n">
        <v/>
      </c>
      <c r="AA121" t="n">
        <v/>
      </c>
      <c r="AB121" t="n">
        <v/>
      </c>
      <c r="AC121" t="n">
        <v/>
      </c>
      <c r="AD121" t="n">
        <v/>
      </c>
      <c r="AE121" t="n">
        <v>17.0626</v>
      </c>
      <c r="AF121" t="n">
        <v/>
      </c>
      <c r="AG121" t="n">
        <v/>
      </c>
      <c r="AH121" t="n">
        <v/>
      </c>
      <c r="AI121" t="n">
        <v/>
      </c>
      <c r="AJ121" t="n">
        <v/>
      </c>
      <c r="AK121" t="n">
        <v/>
      </c>
      <c r="AL121" t="n">
        <v/>
      </c>
      <c r="AM121" t="n">
        <v/>
      </c>
      <c r="AN121" t="n">
        <v/>
      </c>
      <c r="AO121" t="n">
        <v/>
      </c>
      <c r="AP121" t="n">
        <v/>
      </c>
      <c r="AQ121" t="n">
        <v/>
      </c>
      <c r="AR121" t="n">
        <v/>
      </c>
      <c r="AS121" t="n">
        <v/>
      </c>
      <c r="AT121" t="n">
        <v/>
      </c>
      <c r="AU121" t="n">
        <v/>
      </c>
      <c r="AV121" t="n">
        <v/>
      </c>
      <c r="AW121" t="n">
        <v>12.3428</v>
      </c>
      <c r="AX121" t="n">
        <v/>
      </c>
    </row>
    <row r="122">
      <c r="A122" s="92" t="n">
        <v>21551</v>
      </c>
      <c r="B122" t="n">
        <v/>
      </c>
      <c r="C122" t="n">
        <v/>
      </c>
      <c r="D122" t="n">
        <v/>
      </c>
      <c r="E122" t="n">
        <v/>
      </c>
      <c r="F122" t="n">
        <v>23.35748</v>
      </c>
      <c r="G122" t="n">
        <v/>
      </c>
      <c r="H122" t="n">
        <v/>
      </c>
      <c r="I122" t="n">
        <v/>
      </c>
      <c r="J122" t="n">
        <v/>
      </c>
      <c r="K122" t="n">
        <v/>
      </c>
      <c r="L122" t="n">
        <v/>
      </c>
      <c r="M122" t="n">
        <v/>
      </c>
      <c r="N122" t="n">
        <v/>
      </c>
      <c r="O122" t="n">
        <v/>
      </c>
      <c r="P122" t="n">
        <v/>
      </c>
      <c r="Q122" t="n">
        <v/>
      </c>
      <c r="R122" t="n">
        <v>7.252271</v>
      </c>
      <c r="S122" t="n">
        <v/>
      </c>
      <c r="T122" t="n">
        <v/>
      </c>
      <c r="U122" t="n">
        <v/>
      </c>
      <c r="V122" t="n">
        <v/>
      </c>
      <c r="W122" t="n">
        <v/>
      </c>
      <c r="X122" t="n">
        <v/>
      </c>
      <c r="Y122" t="n">
        <v/>
      </c>
      <c r="Z122" t="n">
        <v/>
      </c>
      <c r="AA122" t="n">
        <v/>
      </c>
      <c r="AB122" t="n">
        <v/>
      </c>
      <c r="AC122" t="n">
        <v/>
      </c>
      <c r="AD122" t="n">
        <v/>
      </c>
      <c r="AE122" t="n">
        <v>17.08183</v>
      </c>
      <c r="AF122" t="n">
        <v/>
      </c>
      <c r="AG122" t="n">
        <v/>
      </c>
      <c r="AH122" t="n">
        <v/>
      </c>
      <c r="AI122" t="n">
        <v/>
      </c>
      <c r="AJ122" t="n">
        <v/>
      </c>
      <c r="AK122" t="n">
        <v/>
      </c>
      <c r="AL122" t="n">
        <v/>
      </c>
      <c r="AM122" t="n">
        <v/>
      </c>
      <c r="AN122" t="n">
        <v/>
      </c>
      <c r="AO122" t="n">
        <v/>
      </c>
      <c r="AP122" t="n">
        <v/>
      </c>
      <c r="AQ122" t="n">
        <v/>
      </c>
      <c r="AR122" t="n">
        <v/>
      </c>
      <c r="AS122" t="n">
        <v/>
      </c>
      <c r="AT122" t="n">
        <v/>
      </c>
      <c r="AU122" t="n">
        <v/>
      </c>
      <c r="AV122" t="n">
        <v/>
      </c>
      <c r="AW122" t="n">
        <v>12.3428</v>
      </c>
      <c r="AX122" t="n">
        <v/>
      </c>
    </row>
    <row r="123">
      <c r="A123" s="92" t="n">
        <v>21582</v>
      </c>
      <c r="B123" t="n">
        <v/>
      </c>
      <c r="C123" t="n">
        <v/>
      </c>
      <c r="D123" t="n">
        <v/>
      </c>
      <c r="E123" t="n">
        <v/>
      </c>
      <c r="F123" t="n">
        <v>23.29375</v>
      </c>
      <c r="G123" t="n">
        <v/>
      </c>
      <c r="H123" t="n">
        <v/>
      </c>
      <c r="I123" t="n">
        <v/>
      </c>
      <c r="J123" t="n">
        <v/>
      </c>
      <c r="K123" t="n">
        <v/>
      </c>
      <c r="L123" t="n">
        <v/>
      </c>
      <c r="M123" t="n">
        <v/>
      </c>
      <c r="N123" t="n">
        <v/>
      </c>
      <c r="O123" t="n">
        <v/>
      </c>
      <c r="P123" t="n">
        <v/>
      </c>
      <c r="Q123" t="n">
        <v/>
      </c>
      <c r="R123" t="n">
        <v>7.268481</v>
      </c>
      <c r="S123" t="n">
        <v/>
      </c>
      <c r="T123" t="n">
        <v/>
      </c>
      <c r="U123" t="n">
        <v/>
      </c>
      <c r="V123" t="n">
        <v/>
      </c>
      <c r="W123" t="n">
        <v/>
      </c>
      <c r="X123" t="n">
        <v/>
      </c>
      <c r="Y123" t="n">
        <v/>
      </c>
      <c r="Z123" t="n">
        <v/>
      </c>
      <c r="AA123" t="n">
        <v/>
      </c>
      <c r="AB123" t="n">
        <v/>
      </c>
      <c r="AC123" t="n">
        <v/>
      </c>
      <c r="AD123" t="n">
        <v/>
      </c>
      <c r="AE123" t="n">
        <v>16.98522</v>
      </c>
      <c r="AF123" t="n">
        <v/>
      </c>
      <c r="AG123" t="n">
        <v/>
      </c>
      <c r="AH123" t="n">
        <v/>
      </c>
      <c r="AI123" t="n">
        <v/>
      </c>
      <c r="AJ123" t="n">
        <v/>
      </c>
      <c r="AK123" t="n">
        <v/>
      </c>
      <c r="AL123" t="n">
        <v/>
      </c>
      <c r="AM123" t="n">
        <v/>
      </c>
      <c r="AN123" t="n">
        <v/>
      </c>
      <c r="AO123" t="n">
        <v/>
      </c>
      <c r="AP123" t="n">
        <v/>
      </c>
      <c r="AQ123" t="n">
        <v/>
      </c>
      <c r="AR123" t="n">
        <v/>
      </c>
      <c r="AS123" t="n">
        <v/>
      </c>
      <c r="AT123" t="n">
        <v/>
      </c>
      <c r="AU123" t="n">
        <v/>
      </c>
      <c r="AV123" t="n">
        <v/>
      </c>
      <c r="AW123" t="n">
        <v>12.3428</v>
      </c>
      <c r="AX123" t="n">
        <v/>
      </c>
    </row>
    <row r="124">
      <c r="A124" s="92" t="n">
        <v>21610</v>
      </c>
      <c r="B124" t="n">
        <v/>
      </c>
      <c r="C124" t="n">
        <v/>
      </c>
      <c r="D124" t="n">
        <v/>
      </c>
      <c r="E124" t="n">
        <v/>
      </c>
      <c r="F124" t="n">
        <v>23.26217</v>
      </c>
      <c r="G124" t="n">
        <v/>
      </c>
      <c r="H124" t="n">
        <v/>
      </c>
      <c r="I124" t="n">
        <v/>
      </c>
      <c r="J124" t="n">
        <v/>
      </c>
      <c r="K124" t="n">
        <v/>
      </c>
      <c r="L124" t="n">
        <v/>
      </c>
      <c r="M124" t="n">
        <v/>
      </c>
      <c r="N124" t="n">
        <v/>
      </c>
      <c r="O124" t="n">
        <v/>
      </c>
      <c r="P124" t="n">
        <v/>
      </c>
      <c r="Q124" t="n">
        <v/>
      </c>
      <c r="R124" t="n">
        <v>7.252271</v>
      </c>
      <c r="S124" t="n">
        <v/>
      </c>
      <c r="T124" t="n">
        <v/>
      </c>
      <c r="U124" t="n">
        <v/>
      </c>
      <c r="V124" t="n">
        <v/>
      </c>
      <c r="W124" t="n">
        <v/>
      </c>
      <c r="X124" t="n">
        <v/>
      </c>
      <c r="Y124" t="n">
        <v/>
      </c>
      <c r="Z124" t="n">
        <v/>
      </c>
      <c r="AA124" t="n">
        <v/>
      </c>
      <c r="AB124" t="n">
        <v/>
      </c>
      <c r="AC124" t="n">
        <v/>
      </c>
      <c r="AD124" t="n">
        <v/>
      </c>
      <c r="AE124" t="n">
        <v>17.06823</v>
      </c>
      <c r="AF124" t="n">
        <v/>
      </c>
      <c r="AG124" t="n">
        <v/>
      </c>
      <c r="AH124" t="n">
        <v/>
      </c>
      <c r="AI124" t="n">
        <v/>
      </c>
      <c r="AJ124" t="n">
        <v/>
      </c>
      <c r="AK124" t="n">
        <v/>
      </c>
      <c r="AL124" t="n">
        <v/>
      </c>
      <c r="AM124" t="n">
        <v/>
      </c>
      <c r="AN124" t="n">
        <v/>
      </c>
      <c r="AO124" t="n">
        <v/>
      </c>
      <c r="AP124" t="n">
        <v/>
      </c>
      <c r="AQ124" t="n">
        <v/>
      </c>
      <c r="AR124" t="n">
        <v/>
      </c>
      <c r="AS124" t="n">
        <v/>
      </c>
      <c r="AT124" t="n">
        <v/>
      </c>
      <c r="AU124" t="n">
        <v/>
      </c>
      <c r="AV124" t="n">
        <v/>
      </c>
      <c r="AW124" t="n">
        <v>12.38408</v>
      </c>
      <c r="AX124" t="n">
        <v/>
      </c>
    </row>
    <row r="125">
      <c r="A125" s="92" t="n">
        <v>21641</v>
      </c>
      <c r="B125" t="n">
        <v/>
      </c>
      <c r="C125" t="n">
        <v/>
      </c>
      <c r="D125" t="n">
        <v/>
      </c>
      <c r="E125" t="n">
        <v/>
      </c>
      <c r="F125" t="n">
        <v>23.18829</v>
      </c>
      <c r="G125" t="n">
        <v/>
      </c>
      <c r="H125" t="n">
        <v/>
      </c>
      <c r="I125" t="n">
        <v/>
      </c>
      <c r="J125" t="n">
        <v/>
      </c>
      <c r="K125" t="n">
        <v/>
      </c>
      <c r="L125" t="n">
        <v/>
      </c>
      <c r="M125" t="n">
        <v/>
      </c>
      <c r="N125" t="n">
        <v/>
      </c>
      <c r="O125" t="n">
        <v/>
      </c>
      <c r="P125" t="n">
        <v/>
      </c>
      <c r="Q125" t="n">
        <v/>
      </c>
      <c r="R125" t="n">
        <v>7.256769</v>
      </c>
      <c r="S125" t="n">
        <v/>
      </c>
      <c r="T125" t="n">
        <v/>
      </c>
      <c r="U125" t="n">
        <v/>
      </c>
      <c r="V125" t="n">
        <v/>
      </c>
      <c r="W125" t="n">
        <v/>
      </c>
      <c r="X125" t="n">
        <v/>
      </c>
      <c r="Y125" t="n">
        <v/>
      </c>
      <c r="Z125" t="n">
        <v/>
      </c>
      <c r="AA125" t="n">
        <v/>
      </c>
      <c r="AB125" t="n">
        <v/>
      </c>
      <c r="AC125" t="n">
        <v/>
      </c>
      <c r="AD125" t="n">
        <v/>
      </c>
      <c r="AE125" t="n">
        <v>17.19131</v>
      </c>
      <c r="AF125" t="n">
        <v/>
      </c>
      <c r="AG125" t="n">
        <v/>
      </c>
      <c r="AH125" t="n">
        <v/>
      </c>
      <c r="AI125" t="n">
        <v/>
      </c>
      <c r="AJ125" t="n">
        <v/>
      </c>
      <c r="AK125" t="n">
        <v/>
      </c>
      <c r="AL125" t="n">
        <v/>
      </c>
      <c r="AM125" t="n">
        <v/>
      </c>
      <c r="AN125" t="n">
        <v/>
      </c>
      <c r="AO125" t="n">
        <v/>
      </c>
      <c r="AP125" t="n">
        <v/>
      </c>
      <c r="AQ125" t="n">
        <v/>
      </c>
      <c r="AR125" t="n">
        <v/>
      </c>
      <c r="AS125" t="n">
        <v/>
      </c>
      <c r="AT125" t="n">
        <v/>
      </c>
      <c r="AU125" t="n">
        <v/>
      </c>
      <c r="AV125" t="n">
        <v/>
      </c>
      <c r="AW125" t="n">
        <v>12.38408</v>
      </c>
      <c r="AX125" t="n">
        <v/>
      </c>
    </row>
    <row r="126">
      <c r="A126" s="92" t="n">
        <v>21671</v>
      </c>
      <c r="B126" t="n">
        <v/>
      </c>
      <c r="C126" t="n">
        <v/>
      </c>
      <c r="D126" t="n">
        <v/>
      </c>
      <c r="E126" t="n">
        <v/>
      </c>
      <c r="F126" t="n">
        <v>23.27647</v>
      </c>
      <c r="G126" t="n">
        <v/>
      </c>
      <c r="H126" t="n">
        <v/>
      </c>
      <c r="I126" t="n">
        <v/>
      </c>
      <c r="J126" t="n">
        <v/>
      </c>
      <c r="K126" t="n">
        <v/>
      </c>
      <c r="L126" t="n">
        <v/>
      </c>
      <c r="M126" t="n">
        <v/>
      </c>
      <c r="N126" t="n">
        <v/>
      </c>
      <c r="O126" t="n">
        <v/>
      </c>
      <c r="P126" t="n">
        <v/>
      </c>
      <c r="Q126" t="n">
        <v/>
      </c>
      <c r="R126" t="n">
        <v>7.256769</v>
      </c>
      <c r="S126" t="n">
        <v/>
      </c>
      <c r="T126" t="n">
        <v/>
      </c>
      <c r="U126" t="n">
        <v/>
      </c>
      <c r="V126" t="n">
        <v/>
      </c>
      <c r="W126" t="n">
        <v/>
      </c>
      <c r="X126" t="n">
        <v/>
      </c>
      <c r="Y126" t="n">
        <v/>
      </c>
      <c r="Z126" t="n">
        <v/>
      </c>
      <c r="AA126" t="n">
        <v/>
      </c>
      <c r="AB126" t="n">
        <v/>
      </c>
      <c r="AC126" t="n">
        <v/>
      </c>
      <c r="AD126" t="n">
        <v/>
      </c>
      <c r="AE126" t="n">
        <v>17.14429</v>
      </c>
      <c r="AF126" t="n">
        <v/>
      </c>
      <c r="AG126" t="n">
        <v/>
      </c>
      <c r="AH126" t="n">
        <v/>
      </c>
      <c r="AI126" t="n">
        <v/>
      </c>
      <c r="AJ126" t="n">
        <v/>
      </c>
      <c r="AK126" t="n">
        <v/>
      </c>
      <c r="AL126" t="n">
        <v/>
      </c>
      <c r="AM126" t="n">
        <v/>
      </c>
      <c r="AN126" t="n">
        <v/>
      </c>
      <c r="AO126" t="n">
        <v/>
      </c>
      <c r="AP126" t="n">
        <v/>
      </c>
      <c r="AQ126" t="n">
        <v/>
      </c>
      <c r="AR126" t="n">
        <v/>
      </c>
      <c r="AS126" t="n">
        <v/>
      </c>
      <c r="AT126" t="n">
        <v/>
      </c>
      <c r="AU126" t="n">
        <v/>
      </c>
      <c r="AV126" t="n">
        <v/>
      </c>
      <c r="AW126" t="n">
        <v>12.42536</v>
      </c>
      <c r="AX126" t="n">
        <v/>
      </c>
    </row>
    <row r="127">
      <c r="A127" s="92" t="n">
        <v>21702</v>
      </c>
      <c r="B127" t="n">
        <v/>
      </c>
      <c r="C127" t="n">
        <v/>
      </c>
      <c r="D127" t="n">
        <v/>
      </c>
      <c r="E127" t="n">
        <v/>
      </c>
      <c r="F127" t="n">
        <v>23.25805</v>
      </c>
      <c r="G127" t="n">
        <v/>
      </c>
      <c r="H127" t="n">
        <v/>
      </c>
      <c r="I127" t="n">
        <v/>
      </c>
      <c r="J127" t="n">
        <v/>
      </c>
      <c r="K127" t="n">
        <v/>
      </c>
      <c r="L127" t="n">
        <v/>
      </c>
      <c r="M127" t="n">
        <v/>
      </c>
      <c r="N127" t="n">
        <v/>
      </c>
      <c r="O127" t="n">
        <v/>
      </c>
      <c r="P127" t="n">
        <v/>
      </c>
      <c r="Q127" t="n">
        <v/>
      </c>
      <c r="R127" t="n">
        <v>7.262625</v>
      </c>
      <c r="S127" t="n">
        <v/>
      </c>
      <c r="T127" t="n">
        <v/>
      </c>
      <c r="U127" t="n">
        <v/>
      </c>
      <c r="V127" t="n">
        <v/>
      </c>
      <c r="W127" t="n">
        <v/>
      </c>
      <c r="X127" t="n">
        <v/>
      </c>
      <c r="Y127" t="n">
        <v/>
      </c>
      <c r="Z127" t="n">
        <v/>
      </c>
      <c r="AA127" t="n">
        <v/>
      </c>
      <c r="AB127" t="n">
        <v/>
      </c>
      <c r="AC127" t="n">
        <v/>
      </c>
      <c r="AD127" t="n">
        <v/>
      </c>
      <c r="AE127" t="n">
        <v>17.24878</v>
      </c>
      <c r="AF127" t="n">
        <v/>
      </c>
      <c r="AG127" t="n">
        <v/>
      </c>
      <c r="AH127" t="n">
        <v/>
      </c>
      <c r="AI127" t="n">
        <v/>
      </c>
      <c r="AJ127" t="n">
        <v/>
      </c>
      <c r="AK127" t="n">
        <v/>
      </c>
      <c r="AL127" t="n">
        <v/>
      </c>
      <c r="AM127" t="n">
        <v/>
      </c>
      <c r="AN127" t="n">
        <v/>
      </c>
      <c r="AO127" t="n">
        <v/>
      </c>
      <c r="AP127" t="n">
        <v/>
      </c>
      <c r="AQ127" t="n">
        <v/>
      </c>
      <c r="AR127" t="n">
        <v/>
      </c>
      <c r="AS127" t="n">
        <v/>
      </c>
      <c r="AT127" t="n">
        <v/>
      </c>
      <c r="AU127" t="n">
        <v/>
      </c>
      <c r="AV127" t="n">
        <v/>
      </c>
      <c r="AW127" t="n">
        <v>12.42536</v>
      </c>
      <c r="AX127" t="n">
        <v/>
      </c>
    </row>
    <row r="128">
      <c r="A128" s="92" t="n">
        <v>21732</v>
      </c>
      <c r="B128" t="n">
        <v/>
      </c>
      <c r="C128" t="n">
        <v/>
      </c>
      <c r="D128" t="n">
        <v/>
      </c>
      <c r="E128" t="n">
        <v/>
      </c>
      <c r="F128" t="n">
        <v>23.257</v>
      </c>
      <c r="G128" t="n">
        <v/>
      </c>
      <c r="H128" t="n">
        <v/>
      </c>
      <c r="I128" t="n">
        <v/>
      </c>
      <c r="J128" t="n">
        <v/>
      </c>
      <c r="K128" t="n">
        <v/>
      </c>
      <c r="L128" t="n">
        <v/>
      </c>
      <c r="M128" t="n">
        <v/>
      </c>
      <c r="N128" t="n">
        <v/>
      </c>
      <c r="O128" t="n">
        <v/>
      </c>
      <c r="P128" t="n">
        <v/>
      </c>
      <c r="Q128" t="n">
        <v/>
      </c>
      <c r="R128" t="n">
        <v>7.263983</v>
      </c>
      <c r="S128" t="n">
        <v/>
      </c>
      <c r="T128" t="n">
        <v/>
      </c>
      <c r="U128" t="n">
        <v/>
      </c>
      <c r="V128" t="n">
        <v/>
      </c>
      <c r="W128" t="n">
        <v/>
      </c>
      <c r="X128" t="n">
        <v/>
      </c>
      <c r="Y128" t="n">
        <v/>
      </c>
      <c r="Z128" t="n">
        <v/>
      </c>
      <c r="AA128" t="n">
        <v/>
      </c>
      <c r="AB128" t="n">
        <v/>
      </c>
      <c r="AC128" t="n">
        <v/>
      </c>
      <c r="AD128" t="n">
        <v/>
      </c>
      <c r="AE128" t="n">
        <v>17.28208</v>
      </c>
      <c r="AF128" t="n">
        <v/>
      </c>
      <c r="AG128" t="n">
        <v/>
      </c>
      <c r="AH128" t="n">
        <v/>
      </c>
      <c r="AI128" t="n">
        <v/>
      </c>
      <c r="AJ128" t="n">
        <v/>
      </c>
      <c r="AK128" t="n">
        <v/>
      </c>
      <c r="AL128" t="n">
        <v/>
      </c>
      <c r="AM128" t="n">
        <v/>
      </c>
      <c r="AN128" t="n">
        <v/>
      </c>
      <c r="AO128" t="n">
        <v/>
      </c>
      <c r="AP128" t="n">
        <v/>
      </c>
      <c r="AQ128" t="n">
        <v/>
      </c>
      <c r="AR128" t="n">
        <v/>
      </c>
      <c r="AS128" t="n">
        <v/>
      </c>
      <c r="AT128" t="n">
        <v/>
      </c>
      <c r="AU128" t="n">
        <v/>
      </c>
      <c r="AV128" t="n">
        <v/>
      </c>
      <c r="AW128" t="n">
        <v>12.46664</v>
      </c>
      <c r="AX128" t="n">
        <v/>
      </c>
    </row>
    <row r="129">
      <c r="A129" s="92" t="n">
        <v>21763</v>
      </c>
      <c r="B129" t="n">
        <v/>
      </c>
      <c r="C129" t="n">
        <v/>
      </c>
      <c r="D129" t="n">
        <v/>
      </c>
      <c r="E129" t="n">
        <v/>
      </c>
      <c r="F129" t="n">
        <v>23.3128</v>
      </c>
      <c r="G129" t="n">
        <v/>
      </c>
      <c r="H129" t="n">
        <v/>
      </c>
      <c r="I129" t="n">
        <v/>
      </c>
      <c r="J129" t="n">
        <v/>
      </c>
      <c r="K129" t="n">
        <v/>
      </c>
      <c r="L129" t="n">
        <v/>
      </c>
      <c r="M129" t="n">
        <v/>
      </c>
      <c r="N129" t="n">
        <v/>
      </c>
      <c r="O129" t="n">
        <v/>
      </c>
      <c r="P129" t="n">
        <v/>
      </c>
      <c r="Q129" t="n">
        <v/>
      </c>
      <c r="R129" t="n">
        <v>7.263983</v>
      </c>
      <c r="S129" t="n">
        <v/>
      </c>
      <c r="T129" t="n">
        <v/>
      </c>
      <c r="U129" t="n">
        <v/>
      </c>
      <c r="V129" t="n">
        <v/>
      </c>
      <c r="W129" t="n">
        <v/>
      </c>
      <c r="X129" t="n">
        <v/>
      </c>
      <c r="Y129" t="n">
        <v/>
      </c>
      <c r="Z129" t="n">
        <v/>
      </c>
      <c r="AA129" t="n">
        <v/>
      </c>
      <c r="AB129" t="n">
        <v/>
      </c>
      <c r="AC129" t="n">
        <v/>
      </c>
      <c r="AD129" t="n">
        <v/>
      </c>
      <c r="AE129" t="n">
        <v>17.53639</v>
      </c>
      <c r="AF129" t="n">
        <v/>
      </c>
      <c r="AG129" t="n">
        <v/>
      </c>
      <c r="AH129" t="n">
        <v/>
      </c>
      <c r="AI129" t="n">
        <v/>
      </c>
      <c r="AJ129" t="n">
        <v/>
      </c>
      <c r="AK129" t="n">
        <v/>
      </c>
      <c r="AL129" t="n">
        <v/>
      </c>
      <c r="AM129" t="n">
        <v/>
      </c>
      <c r="AN129" t="n">
        <v/>
      </c>
      <c r="AO129" t="n">
        <v/>
      </c>
      <c r="AP129" t="n">
        <v/>
      </c>
      <c r="AQ129" t="n">
        <v/>
      </c>
      <c r="AR129" t="n">
        <v/>
      </c>
      <c r="AS129" t="n">
        <v/>
      </c>
      <c r="AT129" t="n">
        <v/>
      </c>
      <c r="AU129" t="n">
        <v/>
      </c>
      <c r="AV129" t="n">
        <v/>
      </c>
      <c r="AW129" t="n">
        <v>12.46664</v>
      </c>
      <c r="AX129" t="n">
        <v/>
      </c>
    </row>
    <row r="130">
      <c r="A130" s="92" t="n">
        <v>21794</v>
      </c>
      <c r="B130" t="n">
        <v/>
      </c>
      <c r="C130" t="n">
        <v/>
      </c>
      <c r="D130" t="n">
        <v/>
      </c>
      <c r="E130" t="n">
        <v/>
      </c>
      <c r="F130" t="n">
        <v>23.37554</v>
      </c>
      <c r="G130" t="n">
        <v/>
      </c>
      <c r="H130" t="n">
        <v/>
      </c>
      <c r="I130" t="n">
        <v/>
      </c>
      <c r="J130" t="n">
        <v/>
      </c>
      <c r="K130" t="n">
        <v/>
      </c>
      <c r="L130" t="n">
        <v/>
      </c>
      <c r="M130" t="n">
        <v/>
      </c>
      <c r="N130" t="n">
        <v/>
      </c>
      <c r="O130" t="n">
        <v/>
      </c>
      <c r="P130" t="n">
        <v/>
      </c>
      <c r="Q130" t="n">
        <v/>
      </c>
      <c r="R130" t="n">
        <v>7.328612</v>
      </c>
      <c r="S130" t="n">
        <v/>
      </c>
      <c r="T130" t="n">
        <v/>
      </c>
      <c r="U130" t="n">
        <v/>
      </c>
      <c r="V130" t="n">
        <v/>
      </c>
      <c r="W130" t="n">
        <v/>
      </c>
      <c r="X130" t="n">
        <v/>
      </c>
      <c r="Y130" t="n">
        <v/>
      </c>
      <c r="Z130" t="n">
        <v/>
      </c>
      <c r="AA130" t="n">
        <v/>
      </c>
      <c r="AB130" t="n">
        <v/>
      </c>
      <c r="AC130" t="n">
        <v/>
      </c>
      <c r="AD130" t="n">
        <v/>
      </c>
      <c r="AE130" t="n">
        <v>17.36411</v>
      </c>
      <c r="AF130" t="n">
        <v/>
      </c>
      <c r="AG130" t="n">
        <v/>
      </c>
      <c r="AH130" t="n">
        <v/>
      </c>
      <c r="AI130" t="n">
        <v/>
      </c>
      <c r="AJ130" t="n">
        <v/>
      </c>
      <c r="AK130" t="n">
        <v/>
      </c>
      <c r="AL130" t="n">
        <v/>
      </c>
      <c r="AM130" t="n">
        <v/>
      </c>
      <c r="AN130" t="n">
        <v/>
      </c>
      <c r="AO130" t="n">
        <v/>
      </c>
      <c r="AP130" t="n">
        <v/>
      </c>
      <c r="AQ130" t="n">
        <v/>
      </c>
      <c r="AR130" t="n">
        <v/>
      </c>
      <c r="AS130" t="n">
        <v/>
      </c>
      <c r="AT130" t="n">
        <v/>
      </c>
      <c r="AU130" t="n">
        <v/>
      </c>
      <c r="AV130" t="n">
        <v/>
      </c>
      <c r="AW130" t="n">
        <v>12.50792</v>
      </c>
      <c r="AX130" t="n">
        <v/>
      </c>
    </row>
    <row r="131">
      <c r="A131" s="92" t="n">
        <v>21824</v>
      </c>
      <c r="B131" t="n">
        <v/>
      </c>
      <c r="C131" t="n">
        <v/>
      </c>
      <c r="D131" t="n">
        <v/>
      </c>
      <c r="E131" t="n">
        <v/>
      </c>
      <c r="F131" t="n">
        <v>23.41562</v>
      </c>
      <c r="G131" t="n">
        <v/>
      </c>
      <c r="H131" t="n">
        <v/>
      </c>
      <c r="I131" t="n">
        <v/>
      </c>
      <c r="J131" t="n">
        <v/>
      </c>
      <c r="K131" t="n">
        <v/>
      </c>
      <c r="L131" t="n">
        <v/>
      </c>
      <c r="M131" t="n">
        <v/>
      </c>
      <c r="N131" t="n">
        <v/>
      </c>
      <c r="O131" t="n">
        <v/>
      </c>
      <c r="P131" t="n">
        <v/>
      </c>
      <c r="Q131" t="n">
        <v/>
      </c>
      <c r="R131" t="n">
        <v>7.494787</v>
      </c>
      <c r="S131" t="n">
        <v/>
      </c>
      <c r="T131" t="n">
        <v/>
      </c>
      <c r="U131" t="n">
        <v/>
      </c>
      <c r="V131" t="n">
        <v/>
      </c>
      <c r="W131" t="n">
        <v/>
      </c>
      <c r="X131" t="n">
        <v/>
      </c>
      <c r="Y131" t="n">
        <v/>
      </c>
      <c r="Z131" t="n">
        <v/>
      </c>
      <c r="AA131" t="n">
        <v/>
      </c>
      <c r="AB131" t="n">
        <v/>
      </c>
      <c r="AC131" t="n">
        <v/>
      </c>
      <c r="AD131" t="n">
        <v/>
      </c>
      <c r="AE131" t="n">
        <v>17.59079</v>
      </c>
      <c r="AF131" t="n">
        <v/>
      </c>
      <c r="AG131" t="n">
        <v/>
      </c>
      <c r="AH131" t="n">
        <v/>
      </c>
      <c r="AI131" t="n">
        <v/>
      </c>
      <c r="AJ131" t="n">
        <v/>
      </c>
      <c r="AK131" t="n">
        <v/>
      </c>
      <c r="AL131" t="n">
        <v/>
      </c>
      <c r="AM131" t="n">
        <v/>
      </c>
      <c r="AN131" t="n">
        <v/>
      </c>
      <c r="AO131" t="n">
        <v/>
      </c>
      <c r="AP131" t="n">
        <v/>
      </c>
      <c r="AQ131" t="n">
        <v/>
      </c>
      <c r="AR131" t="n">
        <v/>
      </c>
      <c r="AS131" t="n">
        <v/>
      </c>
      <c r="AT131" t="n">
        <v/>
      </c>
      <c r="AU131" t="n">
        <v/>
      </c>
      <c r="AV131" t="n">
        <v/>
      </c>
      <c r="AW131" t="n">
        <v>12.59048</v>
      </c>
      <c r="AX131" t="n">
        <v/>
      </c>
    </row>
    <row r="132">
      <c r="A132" s="92" t="n">
        <v>21855</v>
      </c>
      <c r="B132" t="n">
        <v/>
      </c>
      <c r="C132" t="n">
        <v/>
      </c>
      <c r="D132" t="n">
        <v/>
      </c>
      <c r="E132" t="n">
        <v/>
      </c>
      <c r="F132" t="n">
        <v>23.43774</v>
      </c>
      <c r="G132" t="n">
        <v/>
      </c>
      <c r="H132" t="n">
        <v/>
      </c>
      <c r="I132" t="n">
        <v/>
      </c>
      <c r="J132" t="n">
        <v/>
      </c>
      <c r="K132" t="n">
        <v/>
      </c>
      <c r="L132" t="n">
        <v/>
      </c>
      <c r="M132" t="n">
        <v/>
      </c>
      <c r="N132" t="n">
        <v/>
      </c>
      <c r="O132" t="n">
        <v/>
      </c>
      <c r="P132" t="n">
        <v/>
      </c>
      <c r="Q132" t="n">
        <v/>
      </c>
      <c r="R132" t="n">
        <v>7.494787</v>
      </c>
      <c r="S132" t="n">
        <v/>
      </c>
      <c r="T132" t="n">
        <v/>
      </c>
      <c r="U132" t="n">
        <v/>
      </c>
      <c r="V132" t="n">
        <v/>
      </c>
      <c r="W132" t="n">
        <v/>
      </c>
      <c r="X132" t="n">
        <v/>
      </c>
      <c r="Y132" t="n">
        <v/>
      </c>
      <c r="Z132" t="n">
        <v/>
      </c>
      <c r="AA132" t="n">
        <v/>
      </c>
      <c r="AB132" t="n">
        <v/>
      </c>
      <c r="AC132" t="n">
        <v/>
      </c>
      <c r="AD132" t="n">
        <v/>
      </c>
      <c r="AE132" t="n">
        <v>17.46609</v>
      </c>
      <c r="AF132" t="n">
        <v/>
      </c>
      <c r="AG132" t="n">
        <v/>
      </c>
      <c r="AH132" t="n">
        <v/>
      </c>
      <c r="AI132" t="n">
        <v/>
      </c>
      <c r="AJ132" t="n">
        <v/>
      </c>
      <c r="AK132" t="n">
        <v/>
      </c>
      <c r="AL132" t="n">
        <v/>
      </c>
      <c r="AM132" t="n">
        <v/>
      </c>
      <c r="AN132" t="n">
        <v/>
      </c>
      <c r="AO132" t="n">
        <v/>
      </c>
      <c r="AP132" t="n">
        <v/>
      </c>
      <c r="AQ132" t="n">
        <v/>
      </c>
      <c r="AR132" t="n">
        <v/>
      </c>
      <c r="AS132" t="n">
        <v/>
      </c>
      <c r="AT132" t="n">
        <v/>
      </c>
      <c r="AU132" t="n">
        <v/>
      </c>
      <c r="AV132" t="n">
        <v/>
      </c>
      <c r="AW132" t="n">
        <v>12.59048</v>
      </c>
      <c r="AX132" t="n">
        <v/>
      </c>
    </row>
    <row r="133">
      <c r="A133" s="92" t="n">
        <v>21885</v>
      </c>
      <c r="B133" t="n">
        <v/>
      </c>
      <c r="C133" t="n">
        <v/>
      </c>
      <c r="D133" t="n">
        <v/>
      </c>
      <c r="E133" t="n">
        <v/>
      </c>
      <c r="F133" t="n">
        <v>23.42039</v>
      </c>
      <c r="G133" t="n">
        <v/>
      </c>
      <c r="H133" t="n">
        <v/>
      </c>
      <c r="I133" t="n">
        <v/>
      </c>
      <c r="J133" t="n">
        <v/>
      </c>
      <c r="K133" t="n">
        <v/>
      </c>
      <c r="L133" t="n">
        <v/>
      </c>
      <c r="M133" t="n">
        <v/>
      </c>
      <c r="N133" t="n">
        <v/>
      </c>
      <c r="O133" t="n">
        <v/>
      </c>
      <c r="P133" t="n">
        <v/>
      </c>
      <c r="Q133" t="n">
        <v/>
      </c>
      <c r="R133" t="n">
        <v>7.510996</v>
      </c>
      <c r="S133" t="n">
        <v/>
      </c>
      <c r="T133" t="n">
        <v/>
      </c>
      <c r="U133" t="n">
        <v/>
      </c>
      <c r="V133" t="n">
        <v/>
      </c>
      <c r="W133" t="n">
        <v/>
      </c>
      <c r="X133" t="n">
        <v/>
      </c>
      <c r="Y133" t="n">
        <v/>
      </c>
      <c r="Z133" t="n">
        <v/>
      </c>
      <c r="AA133" t="n">
        <v/>
      </c>
      <c r="AB133" t="n">
        <v/>
      </c>
      <c r="AC133" t="n">
        <v/>
      </c>
      <c r="AD133" t="n">
        <v/>
      </c>
      <c r="AE133" t="n">
        <v>17.46165</v>
      </c>
      <c r="AF133" t="n">
        <v/>
      </c>
      <c r="AG133" t="n">
        <v/>
      </c>
      <c r="AH133" t="n">
        <v/>
      </c>
      <c r="AI133" t="n">
        <v/>
      </c>
      <c r="AJ133" t="n">
        <v/>
      </c>
      <c r="AK133" t="n">
        <v/>
      </c>
      <c r="AL133" t="n">
        <v/>
      </c>
      <c r="AM133" t="n">
        <v/>
      </c>
      <c r="AN133" t="n">
        <v/>
      </c>
      <c r="AO133" t="n">
        <v/>
      </c>
      <c r="AP133" t="n">
        <v/>
      </c>
      <c r="AQ133" t="n">
        <v/>
      </c>
      <c r="AR133" t="n">
        <v/>
      </c>
      <c r="AS133" t="n">
        <v/>
      </c>
      <c r="AT133" t="n">
        <v/>
      </c>
      <c r="AU133" t="n">
        <v/>
      </c>
      <c r="AV133" t="n">
        <v/>
      </c>
      <c r="AW133" t="n">
        <v>12.59048</v>
      </c>
      <c r="AX133" t="n">
        <v/>
      </c>
    </row>
    <row r="134">
      <c r="A134" s="92" t="n">
        <v>21916</v>
      </c>
      <c r="B134" t="n">
        <v/>
      </c>
      <c r="C134" t="n">
        <v/>
      </c>
      <c r="D134" t="n">
        <v/>
      </c>
      <c r="E134" t="n">
        <v/>
      </c>
      <c r="F134" t="n">
        <v>23.38515</v>
      </c>
      <c r="G134" t="n">
        <v/>
      </c>
      <c r="H134" t="n">
        <v/>
      </c>
      <c r="I134" t="n">
        <v/>
      </c>
      <c r="J134" t="n">
        <v/>
      </c>
      <c r="K134" t="n">
        <v/>
      </c>
      <c r="L134" t="n">
        <v/>
      </c>
      <c r="M134" t="n">
        <v/>
      </c>
      <c r="N134" t="n">
        <v/>
      </c>
      <c r="O134" t="n">
        <v/>
      </c>
      <c r="P134" t="n">
        <v/>
      </c>
      <c r="Q134" t="n">
        <v/>
      </c>
      <c r="R134" t="n">
        <v>7.483076</v>
      </c>
      <c r="S134" t="n">
        <v/>
      </c>
      <c r="T134" t="n">
        <v/>
      </c>
      <c r="U134" t="n">
        <v/>
      </c>
      <c r="V134" t="n">
        <v/>
      </c>
      <c r="W134" t="n">
        <v/>
      </c>
      <c r="X134" t="n">
        <v/>
      </c>
      <c r="Y134" t="n">
        <v/>
      </c>
      <c r="Z134" t="n">
        <v/>
      </c>
      <c r="AA134" t="n">
        <v/>
      </c>
      <c r="AB134" t="n">
        <v/>
      </c>
      <c r="AC134" t="n">
        <v/>
      </c>
      <c r="AD134" t="n">
        <v>3.683429</v>
      </c>
      <c r="AE134" t="n">
        <v>17.62408</v>
      </c>
      <c r="AF134" t="n">
        <v/>
      </c>
      <c r="AG134" t="n">
        <v/>
      </c>
      <c r="AH134" t="n">
        <v/>
      </c>
      <c r="AI134" t="n">
        <v/>
      </c>
      <c r="AJ134" t="n">
        <v/>
      </c>
      <c r="AK134" t="n">
        <v/>
      </c>
      <c r="AL134" t="n">
        <v/>
      </c>
      <c r="AM134" t="n">
        <v/>
      </c>
      <c r="AN134" t="n">
        <v/>
      </c>
      <c r="AO134" t="n">
        <v/>
      </c>
      <c r="AP134" t="n">
        <v/>
      </c>
      <c r="AQ134" t="n">
        <v/>
      </c>
      <c r="AR134" t="n">
        <v/>
      </c>
      <c r="AS134" t="n">
        <v/>
      </c>
      <c r="AT134" t="n">
        <v/>
      </c>
      <c r="AU134" t="n">
        <v/>
      </c>
      <c r="AV134" t="n">
        <v/>
      </c>
      <c r="AW134" t="n">
        <v>12.59048</v>
      </c>
      <c r="AX134" t="n">
        <v/>
      </c>
    </row>
    <row r="135">
      <c r="A135" s="92" t="n">
        <v>21947</v>
      </c>
      <c r="B135" t="n">
        <v/>
      </c>
      <c r="C135" t="n">
        <v/>
      </c>
      <c r="D135" t="n">
        <v/>
      </c>
      <c r="E135" t="n">
        <v/>
      </c>
      <c r="F135" t="n">
        <v>23.50913</v>
      </c>
      <c r="G135" t="n">
        <v/>
      </c>
      <c r="H135" t="n">
        <v/>
      </c>
      <c r="I135" t="n">
        <v/>
      </c>
      <c r="J135" t="n">
        <v/>
      </c>
      <c r="K135" t="n">
        <v/>
      </c>
      <c r="L135" t="n">
        <v/>
      </c>
      <c r="M135" t="n">
        <v/>
      </c>
      <c r="N135" t="n">
        <v/>
      </c>
      <c r="O135" t="n">
        <v/>
      </c>
      <c r="P135" t="n">
        <v/>
      </c>
      <c r="Q135" t="n">
        <v/>
      </c>
      <c r="R135" t="n">
        <v>7.499285</v>
      </c>
      <c r="S135" t="n">
        <v/>
      </c>
      <c r="T135" t="n">
        <v/>
      </c>
      <c r="U135" t="n">
        <v/>
      </c>
      <c r="V135" t="n">
        <v/>
      </c>
      <c r="W135" t="n">
        <v/>
      </c>
      <c r="X135" t="n">
        <v/>
      </c>
      <c r="Y135" t="n">
        <v/>
      </c>
      <c r="Z135" t="n">
        <v/>
      </c>
      <c r="AA135" t="n">
        <v/>
      </c>
      <c r="AB135" t="n">
        <v/>
      </c>
      <c r="AC135" t="n">
        <v/>
      </c>
      <c r="AD135" t="n">
        <v>3.681524</v>
      </c>
      <c r="AE135" t="n">
        <v>17.64331</v>
      </c>
      <c r="AF135" t="n">
        <v/>
      </c>
      <c r="AG135" t="n">
        <v/>
      </c>
      <c r="AH135" t="n">
        <v/>
      </c>
      <c r="AI135" t="n">
        <v/>
      </c>
      <c r="AJ135" t="n">
        <v/>
      </c>
      <c r="AK135" t="n">
        <v/>
      </c>
      <c r="AL135" t="n">
        <v/>
      </c>
      <c r="AM135" t="n">
        <v/>
      </c>
      <c r="AN135" t="n">
        <v/>
      </c>
      <c r="AO135" t="n">
        <v/>
      </c>
      <c r="AP135" t="n">
        <v/>
      </c>
      <c r="AQ135" t="n">
        <v/>
      </c>
      <c r="AR135" t="n">
        <v/>
      </c>
      <c r="AS135" t="n">
        <v/>
      </c>
      <c r="AT135" t="n">
        <v/>
      </c>
      <c r="AU135" t="n">
        <v/>
      </c>
      <c r="AV135" t="n">
        <v/>
      </c>
      <c r="AW135" t="n">
        <v>12.63176</v>
      </c>
      <c r="AX135" t="n">
        <v/>
      </c>
    </row>
    <row r="136">
      <c r="A136" s="92" t="n">
        <v>21976</v>
      </c>
      <c r="B136" t="n">
        <v/>
      </c>
      <c r="C136" t="n">
        <v/>
      </c>
      <c r="D136" t="n">
        <v/>
      </c>
      <c r="E136" t="n">
        <v/>
      </c>
      <c r="F136" t="n">
        <v>23.50913</v>
      </c>
      <c r="G136" t="n">
        <v/>
      </c>
      <c r="H136" t="n">
        <v/>
      </c>
      <c r="I136" t="n">
        <v/>
      </c>
      <c r="J136" t="n">
        <v/>
      </c>
      <c r="K136" t="n">
        <v/>
      </c>
      <c r="L136" t="n">
        <v/>
      </c>
      <c r="M136" t="n">
        <v/>
      </c>
      <c r="N136" t="n">
        <v/>
      </c>
      <c r="O136" t="n">
        <v/>
      </c>
      <c r="P136" t="n">
        <v/>
      </c>
      <c r="Q136" t="n">
        <v/>
      </c>
      <c r="R136" t="n">
        <v>7.574268</v>
      </c>
      <c r="S136" t="n">
        <v/>
      </c>
      <c r="T136" t="n">
        <v/>
      </c>
      <c r="U136" t="n">
        <v/>
      </c>
      <c r="V136" t="n">
        <v/>
      </c>
      <c r="W136" t="n">
        <v/>
      </c>
      <c r="X136" t="n">
        <v/>
      </c>
      <c r="Y136" t="n">
        <v/>
      </c>
      <c r="Z136" t="n">
        <v/>
      </c>
      <c r="AA136" t="n">
        <v/>
      </c>
      <c r="AB136" t="n">
        <v/>
      </c>
      <c r="AC136" t="n">
        <v/>
      </c>
      <c r="AD136" t="n">
        <v>3.677355</v>
      </c>
      <c r="AE136" t="n">
        <v>17.59526</v>
      </c>
      <c r="AF136" t="n">
        <v/>
      </c>
      <c r="AG136" t="n">
        <v/>
      </c>
      <c r="AH136" t="n">
        <v/>
      </c>
      <c r="AI136" t="n">
        <v/>
      </c>
      <c r="AJ136" t="n">
        <v/>
      </c>
      <c r="AK136" t="n">
        <v/>
      </c>
      <c r="AL136" t="n">
        <v/>
      </c>
      <c r="AM136" t="n">
        <v/>
      </c>
      <c r="AN136" t="n">
        <v/>
      </c>
      <c r="AO136" t="n">
        <v/>
      </c>
      <c r="AP136" t="n">
        <v/>
      </c>
      <c r="AQ136" t="n">
        <v/>
      </c>
      <c r="AR136" t="n">
        <v/>
      </c>
      <c r="AS136" t="n">
        <v/>
      </c>
      <c r="AT136" t="n">
        <v/>
      </c>
      <c r="AU136" t="n">
        <v/>
      </c>
      <c r="AV136" t="n">
        <v/>
      </c>
      <c r="AW136" t="n">
        <v>12.63176</v>
      </c>
      <c r="AX136" t="n">
        <v/>
      </c>
    </row>
    <row r="137">
      <c r="A137" s="92" t="n">
        <v>22007</v>
      </c>
      <c r="B137" t="n">
        <v/>
      </c>
      <c r="C137" t="n">
        <v/>
      </c>
      <c r="D137" t="n">
        <v/>
      </c>
      <c r="E137" t="n">
        <v/>
      </c>
      <c r="F137" t="n">
        <v>23.5561</v>
      </c>
      <c r="G137" t="n">
        <v/>
      </c>
      <c r="H137" t="n">
        <v/>
      </c>
      <c r="I137" t="n">
        <v/>
      </c>
      <c r="J137" t="n">
        <v/>
      </c>
      <c r="K137" t="n">
        <v/>
      </c>
      <c r="L137" t="n">
        <v/>
      </c>
      <c r="M137" t="n">
        <v/>
      </c>
      <c r="N137" t="n">
        <v/>
      </c>
      <c r="O137" t="n">
        <v/>
      </c>
      <c r="P137" t="n">
        <v/>
      </c>
      <c r="Q137" t="n">
        <v/>
      </c>
      <c r="R137" t="n">
        <v>7.558058</v>
      </c>
      <c r="S137" t="n">
        <v/>
      </c>
      <c r="T137" t="n">
        <v/>
      </c>
      <c r="U137" t="n">
        <v/>
      </c>
      <c r="V137" t="n">
        <v/>
      </c>
      <c r="W137" t="n">
        <v/>
      </c>
      <c r="X137" t="n">
        <v/>
      </c>
      <c r="Y137" t="n">
        <v/>
      </c>
      <c r="Z137" t="n">
        <v/>
      </c>
      <c r="AA137" t="n">
        <v/>
      </c>
      <c r="AB137" t="n">
        <v/>
      </c>
      <c r="AC137" t="n">
        <v/>
      </c>
      <c r="AD137" t="n">
        <v>3.675936</v>
      </c>
      <c r="AE137" t="n">
        <v>17.73476</v>
      </c>
      <c r="AF137" t="n">
        <v/>
      </c>
      <c r="AG137" t="n">
        <v/>
      </c>
      <c r="AH137" t="n">
        <v/>
      </c>
      <c r="AI137" t="n">
        <v/>
      </c>
      <c r="AJ137" t="n">
        <v/>
      </c>
      <c r="AK137" t="n">
        <v>14.61406</v>
      </c>
      <c r="AL137" t="n">
        <v/>
      </c>
      <c r="AM137" t="n">
        <v/>
      </c>
      <c r="AN137" t="n">
        <v/>
      </c>
      <c r="AO137" t="n">
        <v/>
      </c>
      <c r="AP137" t="n">
        <v/>
      </c>
      <c r="AQ137" t="n">
        <v/>
      </c>
      <c r="AR137" t="n">
        <v/>
      </c>
      <c r="AS137" t="n">
        <v/>
      </c>
      <c r="AT137" t="n">
        <v/>
      </c>
      <c r="AU137" t="n">
        <v/>
      </c>
      <c r="AV137" t="n">
        <v/>
      </c>
      <c r="AW137" t="n">
        <v>12.63176</v>
      </c>
      <c r="AX137" t="n">
        <v/>
      </c>
    </row>
    <row r="138">
      <c r="A138" s="92" t="n">
        <v>22037</v>
      </c>
      <c r="B138" t="n">
        <v/>
      </c>
      <c r="C138" t="n">
        <v/>
      </c>
      <c r="D138" t="n">
        <v/>
      </c>
      <c r="E138" t="n">
        <v/>
      </c>
      <c r="F138" t="n">
        <v>23.68583</v>
      </c>
      <c r="G138" t="n">
        <v/>
      </c>
      <c r="H138" t="n">
        <v/>
      </c>
      <c r="I138" t="n">
        <v/>
      </c>
      <c r="J138" t="n">
        <v/>
      </c>
      <c r="K138" t="n">
        <v/>
      </c>
      <c r="L138" t="n">
        <v/>
      </c>
      <c r="M138" t="n">
        <v/>
      </c>
      <c r="N138" t="n">
        <v/>
      </c>
      <c r="O138" t="n">
        <v/>
      </c>
      <c r="P138" t="n">
        <v/>
      </c>
      <c r="Q138" t="n">
        <v/>
      </c>
      <c r="R138" t="n">
        <v>7.547705</v>
      </c>
      <c r="S138" t="n">
        <v/>
      </c>
      <c r="T138" t="n">
        <v/>
      </c>
      <c r="U138" t="n">
        <v/>
      </c>
      <c r="V138" t="n">
        <v/>
      </c>
      <c r="W138" t="n">
        <v/>
      </c>
      <c r="X138" t="n">
        <v/>
      </c>
      <c r="Y138" t="n">
        <v/>
      </c>
      <c r="Z138" t="n">
        <v/>
      </c>
      <c r="AA138" t="n">
        <v/>
      </c>
      <c r="AB138" t="n">
        <v/>
      </c>
      <c r="AC138" t="n">
        <v/>
      </c>
      <c r="AD138" t="n">
        <v>3.679967</v>
      </c>
      <c r="AE138" t="n">
        <v>17.87208</v>
      </c>
      <c r="AF138" t="n">
        <v/>
      </c>
      <c r="AG138" t="n">
        <v/>
      </c>
      <c r="AH138" t="n">
        <v/>
      </c>
      <c r="AI138" t="n">
        <v/>
      </c>
      <c r="AJ138" t="n">
        <v/>
      </c>
      <c r="AK138" t="n">
        <v>14.48339</v>
      </c>
      <c r="AL138" t="n">
        <v/>
      </c>
      <c r="AM138" t="n">
        <v/>
      </c>
      <c r="AN138" t="n">
        <v/>
      </c>
      <c r="AO138" t="n">
        <v/>
      </c>
      <c r="AP138" t="n">
        <v/>
      </c>
      <c r="AQ138" t="n">
        <v/>
      </c>
      <c r="AR138" t="n">
        <v/>
      </c>
      <c r="AS138" t="n">
        <v/>
      </c>
      <c r="AT138" t="n">
        <v/>
      </c>
      <c r="AU138" t="n">
        <v/>
      </c>
      <c r="AV138" t="n">
        <v/>
      </c>
      <c r="AW138" t="n">
        <v>12.63176</v>
      </c>
      <c r="AX138" t="n">
        <v/>
      </c>
    </row>
    <row r="139">
      <c r="A139" s="92" t="n">
        <v>22068</v>
      </c>
      <c r="B139" t="n">
        <v/>
      </c>
      <c r="C139" t="n">
        <v/>
      </c>
      <c r="D139" t="n">
        <v/>
      </c>
      <c r="E139" t="n">
        <v/>
      </c>
      <c r="F139" t="n">
        <v>23.70478</v>
      </c>
      <c r="G139" t="n">
        <v/>
      </c>
      <c r="H139" t="n">
        <v/>
      </c>
      <c r="I139" t="n">
        <v/>
      </c>
      <c r="J139" t="n">
        <v/>
      </c>
      <c r="K139" t="n">
        <v/>
      </c>
      <c r="L139" t="n">
        <v/>
      </c>
      <c r="M139" t="n">
        <v/>
      </c>
      <c r="N139" t="n">
        <v/>
      </c>
      <c r="O139" t="n">
        <v/>
      </c>
      <c r="P139" t="n">
        <v/>
      </c>
      <c r="Q139" t="n">
        <v/>
      </c>
      <c r="R139" t="n">
        <v>7.531495</v>
      </c>
      <c r="S139" t="n">
        <v/>
      </c>
      <c r="T139" t="n">
        <v/>
      </c>
      <c r="U139" t="n">
        <v/>
      </c>
      <c r="V139" t="n">
        <v/>
      </c>
      <c r="W139" t="n">
        <v/>
      </c>
      <c r="X139" t="n">
        <v/>
      </c>
      <c r="Y139" t="n">
        <v/>
      </c>
      <c r="Z139" t="n">
        <v/>
      </c>
      <c r="AA139" t="n">
        <v/>
      </c>
      <c r="AB139" t="n">
        <v/>
      </c>
      <c r="AC139" t="n">
        <v/>
      </c>
      <c r="AD139" t="n">
        <v>3.675436</v>
      </c>
      <c r="AE139" t="n">
        <v>17.77829</v>
      </c>
      <c r="AF139" t="n">
        <v/>
      </c>
      <c r="AG139" t="n">
        <v/>
      </c>
      <c r="AH139" t="n">
        <v/>
      </c>
      <c r="AI139" t="n">
        <v/>
      </c>
      <c r="AJ139" t="n">
        <v/>
      </c>
      <c r="AK139" t="n">
        <v>14.37376</v>
      </c>
      <c r="AL139" t="n">
        <v/>
      </c>
      <c r="AM139" t="n">
        <v/>
      </c>
      <c r="AN139" t="n">
        <v/>
      </c>
      <c r="AO139" t="n">
        <v/>
      </c>
      <c r="AP139" t="n">
        <v/>
      </c>
      <c r="AQ139" t="n">
        <v/>
      </c>
      <c r="AR139" t="n">
        <v/>
      </c>
      <c r="AS139" t="n">
        <v/>
      </c>
      <c r="AT139" t="n">
        <v/>
      </c>
      <c r="AU139" t="n">
        <v/>
      </c>
      <c r="AV139" t="n">
        <v/>
      </c>
      <c r="AW139" t="n">
        <v>12.63176</v>
      </c>
      <c r="AX139" t="n">
        <v/>
      </c>
    </row>
    <row r="140">
      <c r="A140" s="92" t="n">
        <v>22098</v>
      </c>
      <c r="B140" t="n">
        <v/>
      </c>
      <c r="C140" t="n">
        <v/>
      </c>
      <c r="D140" t="n">
        <v/>
      </c>
      <c r="E140" t="n">
        <v/>
      </c>
      <c r="F140" t="n">
        <v>23.76068</v>
      </c>
      <c r="G140" t="n">
        <v/>
      </c>
      <c r="H140" t="n">
        <v/>
      </c>
      <c r="I140" t="n">
        <v/>
      </c>
      <c r="J140" t="n">
        <v/>
      </c>
      <c r="K140" t="n">
        <v/>
      </c>
      <c r="L140" t="n">
        <v/>
      </c>
      <c r="M140" t="n">
        <v/>
      </c>
      <c r="N140" t="n">
        <v/>
      </c>
      <c r="O140" t="n">
        <v/>
      </c>
      <c r="P140" t="n">
        <v/>
      </c>
      <c r="Q140" t="n">
        <v/>
      </c>
      <c r="R140" t="n">
        <v>7.606478</v>
      </c>
      <c r="S140" t="n">
        <v/>
      </c>
      <c r="T140" t="n">
        <v/>
      </c>
      <c r="U140" t="n">
        <v/>
      </c>
      <c r="V140" t="n">
        <v/>
      </c>
      <c r="W140" t="n">
        <v/>
      </c>
      <c r="X140" t="n">
        <v/>
      </c>
      <c r="Y140" t="n">
        <v/>
      </c>
      <c r="Z140" t="n">
        <v/>
      </c>
      <c r="AA140" t="n">
        <v/>
      </c>
      <c r="AB140" t="n">
        <v/>
      </c>
      <c r="AC140" t="n">
        <v/>
      </c>
      <c r="AD140" t="n">
        <v>3.692112</v>
      </c>
      <c r="AE140" t="n">
        <v>17.7687</v>
      </c>
      <c r="AF140" t="n">
        <v/>
      </c>
      <c r="AG140" t="n">
        <v/>
      </c>
      <c r="AH140" t="n">
        <v/>
      </c>
      <c r="AI140" t="n">
        <v/>
      </c>
      <c r="AJ140" t="n">
        <v/>
      </c>
      <c r="AK140" t="n">
        <v>14.3642</v>
      </c>
      <c r="AL140" t="n">
        <v/>
      </c>
      <c r="AM140" t="n">
        <v/>
      </c>
      <c r="AN140" t="n">
        <v/>
      </c>
      <c r="AO140" t="n">
        <v/>
      </c>
      <c r="AP140" t="n">
        <v/>
      </c>
      <c r="AQ140" t="n">
        <v/>
      </c>
      <c r="AR140" t="n">
        <v/>
      </c>
      <c r="AS140" t="n">
        <v/>
      </c>
      <c r="AT140" t="n">
        <v/>
      </c>
      <c r="AU140" t="n">
        <v/>
      </c>
      <c r="AV140" t="n">
        <v/>
      </c>
      <c r="AW140" t="n">
        <v>12.63176</v>
      </c>
      <c r="AX140" t="n">
        <v/>
      </c>
    </row>
    <row r="141">
      <c r="A141" s="92" t="n">
        <v>22129</v>
      </c>
      <c r="B141" t="n">
        <v/>
      </c>
      <c r="C141" t="n">
        <v/>
      </c>
      <c r="D141" t="n">
        <v/>
      </c>
      <c r="E141" t="n">
        <v/>
      </c>
      <c r="F141" t="n">
        <v>23.80336</v>
      </c>
      <c r="G141" t="n">
        <v/>
      </c>
      <c r="H141" t="n">
        <v/>
      </c>
      <c r="I141" t="n">
        <v/>
      </c>
      <c r="J141" t="n">
        <v/>
      </c>
      <c r="K141" t="n">
        <v/>
      </c>
      <c r="L141" t="n">
        <v/>
      </c>
      <c r="M141" t="n">
        <v/>
      </c>
      <c r="N141" t="n">
        <v/>
      </c>
      <c r="O141" t="n">
        <v/>
      </c>
      <c r="P141" t="n">
        <v/>
      </c>
      <c r="Q141" t="n">
        <v/>
      </c>
      <c r="R141" t="n">
        <v>7.622687</v>
      </c>
      <c r="S141" t="n">
        <v/>
      </c>
      <c r="T141" t="n">
        <v/>
      </c>
      <c r="U141" t="n">
        <v/>
      </c>
      <c r="V141" t="n">
        <v/>
      </c>
      <c r="W141" t="n">
        <v/>
      </c>
      <c r="X141" t="n">
        <v/>
      </c>
      <c r="Y141" t="n">
        <v/>
      </c>
      <c r="Z141" t="n">
        <v/>
      </c>
      <c r="AA141" t="n">
        <v/>
      </c>
      <c r="AB141" t="n">
        <v/>
      </c>
      <c r="AC141" t="n">
        <v/>
      </c>
      <c r="AD141" t="n">
        <v>3.706</v>
      </c>
      <c r="AE141" t="n">
        <v>17.91451</v>
      </c>
      <c r="AF141" t="n">
        <v/>
      </c>
      <c r="AG141" t="n">
        <v/>
      </c>
      <c r="AH141" t="n">
        <v/>
      </c>
      <c r="AI141" t="n">
        <v/>
      </c>
      <c r="AJ141" t="n">
        <v/>
      </c>
      <c r="AK141" t="n">
        <v>14.29476</v>
      </c>
      <c r="AL141" t="n">
        <v/>
      </c>
      <c r="AM141" t="n">
        <v/>
      </c>
      <c r="AN141" t="n">
        <v/>
      </c>
      <c r="AO141" t="n">
        <v/>
      </c>
      <c r="AP141" t="n">
        <v/>
      </c>
      <c r="AQ141" t="n">
        <v/>
      </c>
      <c r="AR141" t="n">
        <v/>
      </c>
      <c r="AS141" t="n">
        <v/>
      </c>
      <c r="AT141" t="n">
        <v/>
      </c>
      <c r="AU141" t="n">
        <v/>
      </c>
      <c r="AV141" t="n">
        <v/>
      </c>
      <c r="AW141" t="n">
        <v>12.63176</v>
      </c>
      <c r="AX141" t="n">
        <v/>
      </c>
    </row>
    <row r="142">
      <c r="A142" s="92" t="n">
        <v>22160</v>
      </c>
      <c r="B142" t="n">
        <v/>
      </c>
      <c r="C142" t="n">
        <v/>
      </c>
      <c r="D142" t="n">
        <v/>
      </c>
      <c r="E142" t="n">
        <v/>
      </c>
      <c r="F142" t="n">
        <v>23.85185</v>
      </c>
      <c r="G142" t="n">
        <v/>
      </c>
      <c r="H142" t="n">
        <v/>
      </c>
      <c r="I142" t="n">
        <v/>
      </c>
      <c r="J142" t="n">
        <v/>
      </c>
      <c r="K142" t="n">
        <v/>
      </c>
      <c r="L142" t="n">
        <v/>
      </c>
      <c r="M142" t="n">
        <v/>
      </c>
      <c r="N142" t="n">
        <v/>
      </c>
      <c r="O142" t="n">
        <v/>
      </c>
      <c r="P142" t="n">
        <v/>
      </c>
      <c r="Q142" t="n">
        <v/>
      </c>
      <c r="R142" t="n">
        <v>7.616832</v>
      </c>
      <c r="S142" t="n">
        <v/>
      </c>
      <c r="T142" t="n">
        <v/>
      </c>
      <c r="U142" t="n">
        <v/>
      </c>
      <c r="V142" t="n">
        <v/>
      </c>
      <c r="W142" t="n">
        <v/>
      </c>
      <c r="X142" t="n">
        <v/>
      </c>
      <c r="Y142" t="n">
        <v/>
      </c>
      <c r="Z142" t="n">
        <v/>
      </c>
      <c r="AA142" t="n">
        <v/>
      </c>
      <c r="AB142" t="n">
        <v/>
      </c>
      <c r="AC142" t="n">
        <v/>
      </c>
      <c r="AD142" t="n">
        <v>3.707106</v>
      </c>
      <c r="AE142" t="n">
        <v>18.00728</v>
      </c>
      <c r="AF142" t="n">
        <v/>
      </c>
      <c r="AG142" t="n">
        <v/>
      </c>
      <c r="AH142" t="n">
        <v/>
      </c>
      <c r="AI142" t="n">
        <v/>
      </c>
      <c r="AJ142" t="n">
        <v/>
      </c>
      <c r="AK142" t="n">
        <v>14.39482</v>
      </c>
      <c r="AL142" t="n">
        <v/>
      </c>
      <c r="AM142" t="n">
        <v/>
      </c>
      <c r="AN142" t="n">
        <v/>
      </c>
      <c r="AO142" t="n">
        <v/>
      </c>
      <c r="AP142" t="n">
        <v/>
      </c>
      <c r="AQ142" t="n">
        <v/>
      </c>
      <c r="AR142" t="n">
        <v/>
      </c>
      <c r="AS142" t="n">
        <v/>
      </c>
      <c r="AT142" t="n">
        <v/>
      </c>
      <c r="AU142" t="n">
        <v/>
      </c>
      <c r="AV142" t="n">
        <v/>
      </c>
      <c r="AW142" t="n">
        <v>12.63176</v>
      </c>
      <c r="AX142" t="n">
        <v/>
      </c>
    </row>
    <row r="143">
      <c r="A143" s="92" t="n">
        <v>22190</v>
      </c>
      <c r="B143" t="n">
        <v/>
      </c>
      <c r="C143" t="n">
        <v/>
      </c>
      <c r="D143" t="n">
        <v/>
      </c>
      <c r="E143" t="n">
        <v/>
      </c>
      <c r="F143" t="n">
        <v>23.89359</v>
      </c>
      <c r="G143" t="n">
        <v/>
      </c>
      <c r="H143" t="n">
        <v/>
      </c>
      <c r="I143" t="n">
        <v/>
      </c>
      <c r="J143" t="n">
        <v/>
      </c>
      <c r="K143" t="n">
        <v/>
      </c>
      <c r="L143" t="n">
        <v/>
      </c>
      <c r="M143" t="n">
        <v/>
      </c>
      <c r="N143" t="n">
        <v/>
      </c>
      <c r="O143" t="n">
        <v/>
      </c>
      <c r="P143" t="n">
        <v/>
      </c>
      <c r="Q143" t="n">
        <v/>
      </c>
      <c r="R143" t="n">
        <v>7.649251</v>
      </c>
      <c r="S143" t="n">
        <v/>
      </c>
      <c r="T143" t="n">
        <v/>
      </c>
      <c r="U143" t="n">
        <v/>
      </c>
      <c r="V143" t="n">
        <v/>
      </c>
      <c r="W143" t="n">
        <v/>
      </c>
      <c r="X143" t="n">
        <v/>
      </c>
      <c r="Y143" t="n">
        <v/>
      </c>
      <c r="Z143" t="n">
        <v/>
      </c>
      <c r="AA143" t="n">
        <v/>
      </c>
      <c r="AB143" t="n">
        <v/>
      </c>
      <c r="AC143" t="n">
        <v/>
      </c>
      <c r="AD143" t="n">
        <v>3.708437</v>
      </c>
      <c r="AE143" t="n">
        <v>18.11498</v>
      </c>
      <c r="AF143" t="n">
        <v/>
      </c>
      <c r="AG143" t="n">
        <v/>
      </c>
      <c r="AH143" t="n">
        <v/>
      </c>
      <c r="AI143" t="n">
        <v/>
      </c>
      <c r="AJ143" t="n">
        <v/>
      </c>
      <c r="AK143" t="n">
        <v>14.29476</v>
      </c>
      <c r="AL143" t="n">
        <v/>
      </c>
      <c r="AM143" t="n">
        <v/>
      </c>
      <c r="AN143" t="n">
        <v/>
      </c>
      <c r="AO143" t="n">
        <v/>
      </c>
      <c r="AP143" t="n">
        <v/>
      </c>
      <c r="AQ143" t="n">
        <v/>
      </c>
      <c r="AR143" t="n">
        <v/>
      </c>
      <c r="AS143" t="n">
        <v/>
      </c>
      <c r="AT143" t="n">
        <v/>
      </c>
      <c r="AU143" t="n">
        <v/>
      </c>
      <c r="AV143" t="n">
        <v/>
      </c>
      <c r="AW143" t="n">
        <v>12.71432</v>
      </c>
      <c r="AX143" t="n">
        <v/>
      </c>
    </row>
    <row r="144">
      <c r="A144" s="92" t="n">
        <v>22221</v>
      </c>
      <c r="B144" t="n">
        <v/>
      </c>
      <c r="C144" t="n">
        <v/>
      </c>
      <c r="D144" t="n">
        <v/>
      </c>
      <c r="E144" t="n">
        <v/>
      </c>
      <c r="F144" t="n">
        <v>23.8952</v>
      </c>
      <c r="G144" t="n">
        <v/>
      </c>
      <c r="H144" t="n">
        <v/>
      </c>
      <c r="I144" t="n">
        <v/>
      </c>
      <c r="J144" t="n">
        <v/>
      </c>
      <c r="K144" t="n">
        <v/>
      </c>
      <c r="L144" t="n">
        <v/>
      </c>
      <c r="M144" t="n">
        <v/>
      </c>
      <c r="N144" t="n">
        <v/>
      </c>
      <c r="O144" t="n">
        <v/>
      </c>
      <c r="P144" t="n">
        <v/>
      </c>
      <c r="Q144" t="n">
        <v/>
      </c>
      <c r="R144" t="n">
        <v>7.616832</v>
      </c>
      <c r="S144" t="n">
        <v/>
      </c>
      <c r="T144" t="n">
        <v/>
      </c>
      <c r="U144" t="n">
        <v/>
      </c>
      <c r="V144" t="n">
        <v/>
      </c>
      <c r="W144" t="n">
        <v/>
      </c>
      <c r="X144" t="n">
        <v/>
      </c>
      <c r="Y144" t="n">
        <v/>
      </c>
      <c r="Z144" t="n">
        <v/>
      </c>
      <c r="AA144" t="n">
        <v/>
      </c>
      <c r="AB144" t="n">
        <v/>
      </c>
      <c r="AC144" t="n">
        <v/>
      </c>
      <c r="AD144" t="n">
        <v>3.720721</v>
      </c>
      <c r="AE144" t="n">
        <v>17.85739</v>
      </c>
      <c r="AF144" t="n">
        <v/>
      </c>
      <c r="AG144" t="n">
        <v/>
      </c>
      <c r="AH144" t="n">
        <v/>
      </c>
      <c r="AI144" t="n">
        <v/>
      </c>
      <c r="AJ144" t="n">
        <v/>
      </c>
      <c r="AK144" t="n">
        <v>14.32539</v>
      </c>
      <c r="AL144" t="n">
        <v/>
      </c>
      <c r="AM144" t="n">
        <v/>
      </c>
      <c r="AN144" t="n">
        <v/>
      </c>
      <c r="AO144" t="n">
        <v/>
      </c>
      <c r="AP144" t="n">
        <v/>
      </c>
      <c r="AQ144" t="n">
        <v/>
      </c>
      <c r="AR144" t="n">
        <v/>
      </c>
      <c r="AS144" t="n">
        <v/>
      </c>
      <c r="AT144" t="n">
        <v/>
      </c>
      <c r="AU144" t="n">
        <v/>
      </c>
      <c r="AV144" t="n">
        <v/>
      </c>
      <c r="AW144" t="n">
        <v>12.71432</v>
      </c>
      <c r="AX144" t="n">
        <v/>
      </c>
    </row>
    <row r="145">
      <c r="A145" s="92" t="n">
        <v>22251</v>
      </c>
      <c r="B145" t="n">
        <v/>
      </c>
      <c r="C145" t="n">
        <v/>
      </c>
      <c r="D145" t="n">
        <v/>
      </c>
      <c r="E145" t="n">
        <v/>
      </c>
      <c r="F145" t="n">
        <v>23.87468</v>
      </c>
      <c r="G145" t="n">
        <v/>
      </c>
      <c r="H145" t="n">
        <v/>
      </c>
      <c r="I145" t="n">
        <v/>
      </c>
      <c r="J145" t="n">
        <v/>
      </c>
      <c r="K145" t="n">
        <v/>
      </c>
      <c r="L145" t="n">
        <v/>
      </c>
      <c r="M145" t="n">
        <v/>
      </c>
      <c r="N145" t="n">
        <v/>
      </c>
      <c r="O145" t="n">
        <v/>
      </c>
      <c r="P145" t="n">
        <v/>
      </c>
      <c r="Q145" t="n">
        <v/>
      </c>
      <c r="R145" t="n">
        <v>7.685959</v>
      </c>
      <c r="S145" t="n">
        <v/>
      </c>
      <c r="T145" t="n">
        <v/>
      </c>
      <c r="U145" t="n">
        <v/>
      </c>
      <c r="V145" t="n">
        <v/>
      </c>
      <c r="W145" t="n">
        <v/>
      </c>
      <c r="X145" t="n">
        <v/>
      </c>
      <c r="Y145" t="n">
        <v/>
      </c>
      <c r="Z145" t="n">
        <v/>
      </c>
      <c r="AA145" t="n">
        <v/>
      </c>
      <c r="AB145" t="n">
        <v/>
      </c>
      <c r="AC145" t="n">
        <v/>
      </c>
      <c r="AD145" t="n">
        <v>3.728747</v>
      </c>
      <c r="AE145" t="n">
        <v>18.0112</v>
      </c>
      <c r="AF145" t="n">
        <v/>
      </c>
      <c r="AG145" t="n">
        <v/>
      </c>
      <c r="AH145" t="n">
        <v/>
      </c>
      <c r="AI145" t="n">
        <v/>
      </c>
      <c r="AJ145" t="n">
        <v/>
      </c>
      <c r="AK145" t="n">
        <v>14.32539</v>
      </c>
      <c r="AL145" t="n">
        <v/>
      </c>
      <c r="AM145" t="n">
        <v/>
      </c>
      <c r="AN145" t="n">
        <v/>
      </c>
      <c r="AO145" t="n">
        <v/>
      </c>
      <c r="AP145" t="n">
        <v/>
      </c>
      <c r="AQ145" t="n">
        <v/>
      </c>
      <c r="AR145" t="n">
        <v/>
      </c>
      <c r="AS145" t="n">
        <v/>
      </c>
      <c r="AT145" t="n">
        <v/>
      </c>
      <c r="AU145" t="n">
        <v/>
      </c>
      <c r="AV145" t="n">
        <v/>
      </c>
      <c r="AW145" t="n">
        <v>12.71432</v>
      </c>
      <c r="AX145" t="n">
        <v/>
      </c>
    </row>
    <row r="146">
      <c r="A146" s="92" t="n">
        <v>22282</v>
      </c>
      <c r="B146" t="n">
        <v/>
      </c>
      <c r="C146" t="n">
        <v/>
      </c>
      <c r="D146" t="n">
        <v/>
      </c>
      <c r="E146" t="n">
        <v>13.20813</v>
      </c>
      <c r="F146" t="n">
        <v>23.83154</v>
      </c>
      <c r="G146" t="n">
        <v/>
      </c>
      <c r="H146" t="n">
        <v/>
      </c>
      <c r="I146" t="n">
        <v/>
      </c>
      <c r="J146" t="n">
        <v/>
      </c>
      <c r="K146" t="n">
        <v/>
      </c>
      <c r="L146" t="n">
        <v/>
      </c>
      <c r="M146" t="n">
        <v/>
      </c>
      <c r="N146" t="n">
        <v/>
      </c>
      <c r="O146" t="n">
        <v/>
      </c>
      <c r="P146" t="n">
        <v/>
      </c>
      <c r="Q146" t="n">
        <v/>
      </c>
      <c r="R146" t="n">
        <v>7.685959</v>
      </c>
      <c r="S146" t="n">
        <v/>
      </c>
      <c r="T146" t="n">
        <v/>
      </c>
      <c r="U146" t="n">
        <v/>
      </c>
      <c r="V146" t="n">
        <v/>
      </c>
      <c r="W146" t="n">
        <v/>
      </c>
      <c r="X146" t="n">
        <v/>
      </c>
      <c r="Y146" t="n">
        <v/>
      </c>
      <c r="Z146" t="n">
        <v/>
      </c>
      <c r="AA146" t="n">
        <v/>
      </c>
      <c r="AB146" t="n">
        <v/>
      </c>
      <c r="AC146" t="n">
        <v/>
      </c>
      <c r="AD146" t="n">
        <v>3.752478</v>
      </c>
      <c r="AE146" t="n">
        <v>18.2057</v>
      </c>
      <c r="AF146" t="n">
        <v/>
      </c>
      <c r="AG146" t="n">
        <v/>
      </c>
      <c r="AH146" t="n">
        <v/>
      </c>
      <c r="AI146" t="n">
        <v/>
      </c>
      <c r="AJ146" t="n">
        <v/>
      </c>
      <c r="AK146" t="n">
        <v>14.39482</v>
      </c>
      <c r="AL146" t="n">
        <v/>
      </c>
      <c r="AM146" t="n">
        <v/>
      </c>
      <c r="AN146" t="n">
        <v/>
      </c>
      <c r="AO146" t="n">
        <v/>
      </c>
      <c r="AP146" t="n">
        <v/>
      </c>
      <c r="AQ146" t="n">
        <v/>
      </c>
      <c r="AR146" t="n">
        <v/>
      </c>
      <c r="AS146" t="n">
        <v/>
      </c>
      <c r="AT146" t="n">
        <v/>
      </c>
      <c r="AU146" t="n">
        <v/>
      </c>
      <c r="AV146" t="n">
        <v/>
      </c>
      <c r="AW146" t="n">
        <v>12.71432</v>
      </c>
      <c r="AX146" t="n">
        <v/>
      </c>
    </row>
    <row r="147">
      <c r="A147" s="92" t="n">
        <v>22313</v>
      </c>
      <c r="B147" t="n">
        <v/>
      </c>
      <c r="C147" t="n">
        <v/>
      </c>
      <c r="D147" t="n">
        <v/>
      </c>
      <c r="E147" t="n">
        <v>13.20813</v>
      </c>
      <c r="F147" t="n">
        <v>23.86646</v>
      </c>
      <c r="G147" t="n">
        <v/>
      </c>
      <c r="H147" t="n">
        <v/>
      </c>
      <c r="I147" t="n">
        <v/>
      </c>
      <c r="J147" t="n">
        <v/>
      </c>
      <c r="K147" t="n">
        <v/>
      </c>
      <c r="L147" t="n">
        <v/>
      </c>
      <c r="M147" t="n">
        <v/>
      </c>
      <c r="N147" t="n">
        <v/>
      </c>
      <c r="O147" t="n">
        <v/>
      </c>
      <c r="P147" t="n">
        <v/>
      </c>
      <c r="Q147" t="n">
        <v/>
      </c>
      <c r="R147" t="n">
        <v>7.663894</v>
      </c>
      <c r="S147" t="n">
        <v/>
      </c>
      <c r="T147" t="n">
        <v/>
      </c>
      <c r="U147" t="n">
        <v/>
      </c>
      <c r="V147" t="n">
        <v/>
      </c>
      <c r="W147" t="n">
        <v/>
      </c>
      <c r="X147" t="n">
        <v/>
      </c>
      <c r="Y147" t="n">
        <v/>
      </c>
      <c r="Z147" t="n">
        <v/>
      </c>
      <c r="AA147" t="n">
        <v/>
      </c>
      <c r="AB147" t="n">
        <v/>
      </c>
      <c r="AC147" t="n">
        <v/>
      </c>
      <c r="AD147" t="n">
        <v>3.754345</v>
      </c>
      <c r="AE147" t="n">
        <v>18.29502</v>
      </c>
      <c r="AF147" t="n">
        <v/>
      </c>
      <c r="AG147" t="n">
        <v/>
      </c>
      <c r="AH147" t="n">
        <v/>
      </c>
      <c r="AI147" t="n">
        <v/>
      </c>
      <c r="AJ147" t="n">
        <v/>
      </c>
      <c r="AK147" t="n">
        <v>14.39482</v>
      </c>
      <c r="AL147" t="n">
        <v/>
      </c>
      <c r="AM147" t="n">
        <v/>
      </c>
      <c r="AN147" t="n">
        <v/>
      </c>
      <c r="AO147" t="n">
        <v/>
      </c>
      <c r="AP147" t="n">
        <v/>
      </c>
      <c r="AQ147" t="n">
        <v/>
      </c>
      <c r="AR147" t="n">
        <v/>
      </c>
      <c r="AS147" t="n">
        <v/>
      </c>
      <c r="AT147" t="n">
        <v/>
      </c>
      <c r="AU147" t="n">
        <v/>
      </c>
      <c r="AV147" t="n">
        <v/>
      </c>
      <c r="AW147" t="n">
        <v>12.71432</v>
      </c>
      <c r="AX147" t="n">
        <v/>
      </c>
    </row>
    <row r="148">
      <c r="A148" s="92" t="n">
        <v>22341</v>
      </c>
      <c r="B148" t="n">
        <v/>
      </c>
      <c r="C148" t="n">
        <v/>
      </c>
      <c r="D148" t="n">
        <v/>
      </c>
      <c r="E148" t="n">
        <v>13.20813</v>
      </c>
      <c r="F148" t="n">
        <v>23.86911</v>
      </c>
      <c r="G148" t="n">
        <v/>
      </c>
      <c r="H148" t="n">
        <v/>
      </c>
      <c r="I148" t="n">
        <v/>
      </c>
      <c r="J148" t="n">
        <v/>
      </c>
      <c r="K148" t="n">
        <v/>
      </c>
      <c r="L148" t="n">
        <v/>
      </c>
      <c r="M148" t="n">
        <v/>
      </c>
      <c r="N148" t="n">
        <v/>
      </c>
      <c r="O148" t="n">
        <v/>
      </c>
      <c r="P148" t="n">
        <v/>
      </c>
      <c r="Q148" t="n">
        <v/>
      </c>
      <c r="R148" t="n">
        <v>7.680103</v>
      </c>
      <c r="S148" t="n">
        <v/>
      </c>
      <c r="T148" t="n">
        <v/>
      </c>
      <c r="U148" t="n">
        <v/>
      </c>
      <c r="V148" t="n">
        <v/>
      </c>
      <c r="W148" t="n">
        <v/>
      </c>
      <c r="X148" t="n">
        <v/>
      </c>
      <c r="Y148" t="n">
        <v/>
      </c>
      <c r="Z148" t="n">
        <v/>
      </c>
      <c r="AA148" t="n">
        <v/>
      </c>
      <c r="AB148" t="n">
        <v/>
      </c>
      <c r="AC148" t="n">
        <v/>
      </c>
      <c r="AD148" t="n">
        <v>3.757096</v>
      </c>
      <c r="AE148" t="n">
        <v>18.25093</v>
      </c>
      <c r="AF148" t="n">
        <v/>
      </c>
      <c r="AG148" t="n">
        <v/>
      </c>
      <c r="AH148" t="n">
        <v/>
      </c>
      <c r="AI148" t="n">
        <v/>
      </c>
      <c r="AJ148" t="n">
        <v/>
      </c>
      <c r="AK148" t="n">
        <v>14.24501</v>
      </c>
      <c r="AL148" t="n">
        <v/>
      </c>
      <c r="AM148" t="n">
        <v/>
      </c>
      <c r="AN148" t="n">
        <v/>
      </c>
      <c r="AO148" t="n">
        <v/>
      </c>
      <c r="AP148" t="n">
        <v/>
      </c>
      <c r="AQ148" t="n">
        <v/>
      </c>
      <c r="AR148" t="n">
        <v/>
      </c>
      <c r="AS148" t="n">
        <v/>
      </c>
      <c r="AT148" t="n">
        <v/>
      </c>
      <c r="AU148" t="n">
        <v/>
      </c>
      <c r="AV148" t="n">
        <v/>
      </c>
      <c r="AW148" t="n">
        <v>12.71432</v>
      </c>
      <c r="AX148" t="n">
        <v/>
      </c>
    </row>
    <row r="149">
      <c r="A149" s="92" t="n">
        <v>22372</v>
      </c>
      <c r="B149" t="n">
        <v/>
      </c>
      <c r="C149" t="n">
        <v/>
      </c>
      <c r="D149" t="n">
        <v/>
      </c>
      <c r="E149" t="n">
        <v>13.20813</v>
      </c>
      <c r="F149" t="n">
        <v>23.87441</v>
      </c>
      <c r="G149" t="n">
        <v/>
      </c>
      <c r="H149" t="n">
        <v/>
      </c>
      <c r="I149" t="n">
        <v/>
      </c>
      <c r="J149" t="n">
        <v/>
      </c>
      <c r="K149" t="n">
        <v/>
      </c>
      <c r="L149" t="n">
        <v/>
      </c>
      <c r="M149" t="n">
        <v/>
      </c>
      <c r="N149" t="n">
        <v/>
      </c>
      <c r="O149" t="n">
        <v/>
      </c>
      <c r="P149" t="n">
        <v/>
      </c>
      <c r="Q149" t="n">
        <v/>
      </c>
      <c r="R149" t="n">
        <v>7.663894</v>
      </c>
      <c r="S149" t="n">
        <v/>
      </c>
      <c r="T149" t="n">
        <v/>
      </c>
      <c r="U149" t="n">
        <v/>
      </c>
      <c r="V149" t="n">
        <v/>
      </c>
      <c r="W149" t="n">
        <v/>
      </c>
      <c r="X149" t="n">
        <v/>
      </c>
      <c r="Y149" t="n">
        <v/>
      </c>
      <c r="Z149" t="n">
        <v/>
      </c>
      <c r="AA149" t="n">
        <v/>
      </c>
      <c r="AB149" t="n">
        <v/>
      </c>
      <c r="AC149" t="n">
        <v/>
      </c>
      <c r="AD149" t="n">
        <v>3.764188</v>
      </c>
      <c r="AE149" t="n">
        <v>18.49949</v>
      </c>
      <c r="AF149" t="n">
        <v/>
      </c>
      <c r="AG149" t="n">
        <v/>
      </c>
      <c r="AH149" t="n">
        <v/>
      </c>
      <c r="AI149" t="n">
        <v/>
      </c>
      <c r="AJ149" t="n">
        <v/>
      </c>
      <c r="AK149" t="n">
        <v>14.46425</v>
      </c>
      <c r="AL149" t="n">
        <v/>
      </c>
      <c r="AM149" t="n">
        <v/>
      </c>
      <c r="AN149" t="n">
        <v/>
      </c>
      <c r="AO149" t="n">
        <v/>
      </c>
      <c r="AP149" t="n">
        <v/>
      </c>
      <c r="AQ149" t="n">
        <v/>
      </c>
      <c r="AR149" t="n">
        <v/>
      </c>
      <c r="AS149" t="n">
        <v/>
      </c>
      <c r="AT149" t="n">
        <v/>
      </c>
      <c r="AU149" t="n">
        <v/>
      </c>
      <c r="AV149" t="n">
        <v/>
      </c>
      <c r="AW149" t="n">
        <v>12.7556</v>
      </c>
      <c r="AX149" t="n">
        <v/>
      </c>
    </row>
    <row r="150">
      <c r="A150" s="92" t="n">
        <v>22402</v>
      </c>
      <c r="B150" t="n">
        <v/>
      </c>
      <c r="C150" t="n">
        <v/>
      </c>
      <c r="D150" t="n">
        <v/>
      </c>
      <c r="E150" t="n">
        <v>13.24116</v>
      </c>
      <c r="F150" t="n">
        <v>24.07543</v>
      </c>
      <c r="G150" t="n">
        <v/>
      </c>
      <c r="H150" t="n">
        <v/>
      </c>
      <c r="I150" t="n">
        <v/>
      </c>
      <c r="J150" t="n">
        <v/>
      </c>
      <c r="K150" t="n">
        <v/>
      </c>
      <c r="L150" t="n">
        <v/>
      </c>
      <c r="M150" t="n">
        <v/>
      </c>
      <c r="N150" t="n">
        <v/>
      </c>
      <c r="O150" t="n">
        <v/>
      </c>
      <c r="P150" t="n">
        <v/>
      </c>
      <c r="Q150" t="n">
        <v/>
      </c>
      <c r="R150" t="n">
        <v>7.663894</v>
      </c>
      <c r="S150" t="n">
        <v/>
      </c>
      <c r="T150" t="n">
        <v/>
      </c>
      <c r="U150" t="n">
        <v/>
      </c>
      <c r="V150" t="n">
        <v/>
      </c>
      <c r="W150" t="n">
        <v/>
      </c>
      <c r="X150" t="n">
        <v/>
      </c>
      <c r="Y150" t="n">
        <v/>
      </c>
      <c r="Z150" t="n">
        <v/>
      </c>
      <c r="AA150" t="n">
        <v/>
      </c>
      <c r="AB150" t="n">
        <v/>
      </c>
      <c r="AC150" t="n">
        <v/>
      </c>
      <c r="AD150" t="n">
        <v>3.775362</v>
      </c>
      <c r="AE150" t="n">
        <v>18.45476</v>
      </c>
      <c r="AF150" t="n">
        <v/>
      </c>
      <c r="AG150" t="n">
        <v/>
      </c>
      <c r="AH150" t="n">
        <v/>
      </c>
      <c r="AI150" t="n">
        <v/>
      </c>
      <c r="AJ150" t="n">
        <v/>
      </c>
      <c r="AK150" t="n">
        <v>14.67339</v>
      </c>
      <c r="AL150" t="n">
        <v/>
      </c>
      <c r="AM150" t="n">
        <v/>
      </c>
      <c r="AN150" t="n">
        <v/>
      </c>
      <c r="AO150" t="n">
        <v/>
      </c>
      <c r="AP150" t="n">
        <v/>
      </c>
      <c r="AQ150" t="n">
        <v/>
      </c>
      <c r="AR150" t="n">
        <v/>
      </c>
      <c r="AS150" t="n">
        <v/>
      </c>
      <c r="AT150" t="n">
        <v/>
      </c>
      <c r="AU150" t="n">
        <v/>
      </c>
      <c r="AV150" t="n">
        <v/>
      </c>
      <c r="AW150" t="n">
        <v>12.7556</v>
      </c>
      <c r="AX150" t="n">
        <v/>
      </c>
    </row>
    <row r="151">
      <c r="A151" s="92" t="n">
        <v>22433</v>
      </c>
      <c r="B151" t="n">
        <v/>
      </c>
      <c r="C151" t="n">
        <v/>
      </c>
      <c r="D151" t="n">
        <v/>
      </c>
      <c r="E151" t="n">
        <v>13.23691</v>
      </c>
      <c r="F151" t="n">
        <v>24.10601</v>
      </c>
      <c r="G151" t="n">
        <v/>
      </c>
      <c r="H151" t="n">
        <v/>
      </c>
      <c r="I151" t="n">
        <v/>
      </c>
      <c r="J151" t="n">
        <v/>
      </c>
      <c r="K151" t="n">
        <v/>
      </c>
      <c r="L151" t="n">
        <v/>
      </c>
      <c r="M151" t="n">
        <v/>
      </c>
      <c r="N151" t="n">
        <v/>
      </c>
      <c r="O151" t="n">
        <v/>
      </c>
      <c r="P151" t="n">
        <v/>
      </c>
      <c r="Q151" t="n">
        <v/>
      </c>
      <c r="R151" t="n">
        <v>7.696312</v>
      </c>
      <c r="S151" t="n">
        <v/>
      </c>
      <c r="T151" t="n">
        <v/>
      </c>
      <c r="U151" t="n">
        <v/>
      </c>
      <c r="V151" t="n">
        <v/>
      </c>
      <c r="W151" t="n">
        <v/>
      </c>
      <c r="X151" t="n">
        <v/>
      </c>
      <c r="Y151" t="n">
        <v/>
      </c>
      <c r="Z151" t="n">
        <v/>
      </c>
      <c r="AA151" t="n">
        <v/>
      </c>
      <c r="AB151" t="n">
        <v/>
      </c>
      <c r="AC151" t="n">
        <v/>
      </c>
      <c r="AD151" t="n">
        <v>3.772302</v>
      </c>
      <c r="AE151" t="n">
        <v>18.48128</v>
      </c>
      <c r="AF151" t="n">
        <v/>
      </c>
      <c r="AG151" t="n">
        <v/>
      </c>
      <c r="AH151" t="n">
        <v/>
      </c>
      <c r="AI151" t="n">
        <v/>
      </c>
      <c r="AJ151" t="n">
        <v/>
      </c>
      <c r="AK151" t="n">
        <v>14.6332</v>
      </c>
      <c r="AL151" t="n">
        <v/>
      </c>
      <c r="AM151" t="n">
        <v/>
      </c>
      <c r="AN151" t="n">
        <v/>
      </c>
      <c r="AO151" t="n">
        <v/>
      </c>
      <c r="AP151" t="n">
        <v/>
      </c>
      <c r="AQ151" t="n">
        <v/>
      </c>
      <c r="AR151" t="n">
        <v/>
      </c>
      <c r="AS151" t="n">
        <v/>
      </c>
      <c r="AT151" t="n">
        <v/>
      </c>
      <c r="AU151" t="n">
        <v/>
      </c>
      <c r="AV151" t="n">
        <v/>
      </c>
      <c r="AW151" t="n">
        <v>12.7556</v>
      </c>
      <c r="AX151" t="n">
        <v/>
      </c>
    </row>
    <row r="152">
      <c r="A152" s="92" t="n">
        <v>22463</v>
      </c>
      <c r="B152" t="n">
        <v/>
      </c>
      <c r="C152" t="n">
        <v/>
      </c>
      <c r="D152" t="n">
        <v/>
      </c>
      <c r="E152" t="n">
        <v>13.20388</v>
      </c>
      <c r="F152" t="n">
        <v>24.15029</v>
      </c>
      <c r="G152" t="n">
        <v/>
      </c>
      <c r="H152" t="n">
        <v/>
      </c>
      <c r="I152" t="n">
        <v/>
      </c>
      <c r="J152" t="n">
        <v/>
      </c>
      <c r="K152" t="n">
        <v/>
      </c>
      <c r="L152" t="n">
        <v/>
      </c>
      <c r="M152" t="n">
        <v/>
      </c>
      <c r="N152" t="n">
        <v/>
      </c>
      <c r="O152" t="n">
        <v/>
      </c>
      <c r="P152" t="n">
        <v/>
      </c>
      <c r="Q152" t="n">
        <v/>
      </c>
      <c r="R152" t="n">
        <v>7.680103</v>
      </c>
      <c r="S152" t="n">
        <v/>
      </c>
      <c r="T152" t="n">
        <v/>
      </c>
      <c r="U152" t="n">
        <v/>
      </c>
      <c r="V152" t="n">
        <v/>
      </c>
      <c r="W152" t="n">
        <v/>
      </c>
      <c r="X152" t="n">
        <v/>
      </c>
      <c r="Y152" t="n">
        <v/>
      </c>
      <c r="Z152" t="n">
        <v/>
      </c>
      <c r="AA152" t="n">
        <v/>
      </c>
      <c r="AB152" t="n">
        <v/>
      </c>
      <c r="AC152" t="n">
        <v/>
      </c>
      <c r="AD152" t="n">
        <v>3.792797</v>
      </c>
      <c r="AE152" t="n">
        <v>18.77967</v>
      </c>
      <c r="AF152" t="n">
        <v/>
      </c>
      <c r="AG152" t="n">
        <v/>
      </c>
      <c r="AH152" t="n">
        <v/>
      </c>
      <c r="AI152" t="n">
        <v/>
      </c>
      <c r="AJ152" t="n">
        <v/>
      </c>
      <c r="AK152" t="n">
        <v>14.48339</v>
      </c>
      <c r="AL152" t="n">
        <v/>
      </c>
      <c r="AM152" t="n">
        <v/>
      </c>
      <c r="AN152" t="n">
        <v/>
      </c>
      <c r="AO152" t="n">
        <v/>
      </c>
      <c r="AP152" t="n">
        <v/>
      </c>
      <c r="AQ152" t="n">
        <v/>
      </c>
      <c r="AR152" t="n">
        <v/>
      </c>
      <c r="AS152" t="n">
        <v/>
      </c>
      <c r="AT152" t="n">
        <v/>
      </c>
      <c r="AU152" t="n">
        <v/>
      </c>
      <c r="AV152" t="n">
        <v/>
      </c>
      <c r="AW152" t="n">
        <v>12.79688</v>
      </c>
      <c r="AX152" t="n">
        <v/>
      </c>
    </row>
    <row r="153">
      <c r="A153" s="92" t="n">
        <v>22494</v>
      </c>
      <c r="B153" t="n">
        <v/>
      </c>
      <c r="C153" t="n">
        <v/>
      </c>
      <c r="D153" t="n">
        <v/>
      </c>
      <c r="E153" t="n">
        <v>13.1957</v>
      </c>
      <c r="F153" t="n">
        <v>24.26313</v>
      </c>
      <c r="G153" t="n">
        <v/>
      </c>
      <c r="H153" t="n">
        <v/>
      </c>
      <c r="I153" t="n">
        <v/>
      </c>
      <c r="J153" t="n">
        <v/>
      </c>
      <c r="K153" t="n">
        <v/>
      </c>
      <c r="L153" t="n">
        <v/>
      </c>
      <c r="M153" t="n">
        <v/>
      </c>
      <c r="N153" t="n">
        <v/>
      </c>
      <c r="O153" t="n">
        <v/>
      </c>
      <c r="P153" t="n">
        <v/>
      </c>
      <c r="Q153" t="n">
        <v/>
      </c>
      <c r="R153" t="n">
        <v>7.680103</v>
      </c>
      <c r="S153" t="n">
        <v/>
      </c>
      <c r="T153" t="n">
        <v/>
      </c>
      <c r="U153" t="n">
        <v/>
      </c>
      <c r="V153" t="n">
        <v/>
      </c>
      <c r="W153" t="n">
        <v/>
      </c>
      <c r="X153" t="n">
        <v/>
      </c>
      <c r="Y153" t="n">
        <v/>
      </c>
      <c r="Z153" t="n">
        <v/>
      </c>
      <c r="AA153" t="n">
        <v/>
      </c>
      <c r="AB153" t="n">
        <v/>
      </c>
      <c r="AC153" t="n">
        <v/>
      </c>
      <c r="AD153" t="n">
        <v>3.797762</v>
      </c>
      <c r="AE153" t="n">
        <v>18.88771</v>
      </c>
      <c r="AF153" t="n">
        <v/>
      </c>
      <c r="AG153" t="n">
        <v/>
      </c>
      <c r="AH153" t="n">
        <v/>
      </c>
      <c r="AI153" t="n">
        <v/>
      </c>
      <c r="AJ153" t="n">
        <v/>
      </c>
      <c r="AK153" t="n">
        <v>14.56376</v>
      </c>
      <c r="AL153" t="n">
        <v/>
      </c>
      <c r="AM153" t="n">
        <v/>
      </c>
      <c r="AN153" t="n">
        <v/>
      </c>
      <c r="AO153" t="n">
        <v/>
      </c>
      <c r="AP153" t="n">
        <v/>
      </c>
      <c r="AQ153" t="n">
        <v/>
      </c>
      <c r="AR153" t="n">
        <v/>
      </c>
      <c r="AS153" t="n">
        <v/>
      </c>
      <c r="AT153" t="n">
        <v/>
      </c>
      <c r="AU153" t="n">
        <v/>
      </c>
      <c r="AV153" t="n">
        <v/>
      </c>
      <c r="AW153" t="n">
        <v>12.79688</v>
      </c>
      <c r="AX153" t="n">
        <v/>
      </c>
    </row>
    <row r="154">
      <c r="A154" s="92" t="n">
        <v>22525</v>
      </c>
      <c r="B154" t="n">
        <v/>
      </c>
      <c r="C154" t="n">
        <v/>
      </c>
      <c r="D154" t="n">
        <v/>
      </c>
      <c r="E154" t="n">
        <v>13.23298</v>
      </c>
      <c r="F154" t="n">
        <v>24.28685</v>
      </c>
      <c r="G154" t="n">
        <v/>
      </c>
      <c r="H154" t="n">
        <v/>
      </c>
      <c r="I154" t="n">
        <v/>
      </c>
      <c r="J154" t="n">
        <v/>
      </c>
      <c r="K154" t="n">
        <v/>
      </c>
      <c r="L154" t="n">
        <v/>
      </c>
      <c r="M154" t="n">
        <v/>
      </c>
      <c r="N154" t="n">
        <v/>
      </c>
      <c r="O154" t="n">
        <v/>
      </c>
      <c r="P154" t="n">
        <v/>
      </c>
      <c r="Q154" t="n">
        <v/>
      </c>
      <c r="R154" t="n">
        <v>7.696312</v>
      </c>
      <c r="S154" t="n">
        <v/>
      </c>
      <c r="T154" t="n">
        <v/>
      </c>
      <c r="U154" t="n">
        <v/>
      </c>
      <c r="V154" t="n">
        <v/>
      </c>
      <c r="W154" t="n">
        <v/>
      </c>
      <c r="X154" t="n">
        <v/>
      </c>
      <c r="Y154" t="n">
        <v/>
      </c>
      <c r="Z154" t="n">
        <v/>
      </c>
      <c r="AA154" t="n">
        <v/>
      </c>
      <c r="AB154" t="n">
        <v/>
      </c>
      <c r="AC154" t="n">
        <v/>
      </c>
      <c r="AD154" t="n">
        <v>3.804456</v>
      </c>
      <c r="AE154" t="n">
        <v>19.00694</v>
      </c>
      <c r="AF154" t="n">
        <v/>
      </c>
      <c r="AG154" t="n">
        <v/>
      </c>
      <c r="AH154" t="n">
        <v/>
      </c>
      <c r="AI154" t="n">
        <v/>
      </c>
      <c r="AJ154" t="n">
        <v/>
      </c>
      <c r="AK154" t="n">
        <v>14.50444</v>
      </c>
      <c r="AL154" t="n">
        <v/>
      </c>
      <c r="AM154" t="n">
        <v/>
      </c>
      <c r="AN154" t="n">
        <v/>
      </c>
      <c r="AO154" t="n">
        <v/>
      </c>
      <c r="AP154" t="n">
        <v/>
      </c>
      <c r="AQ154" t="n">
        <v/>
      </c>
      <c r="AR154" t="n">
        <v/>
      </c>
      <c r="AS154" t="n">
        <v/>
      </c>
      <c r="AT154" t="n">
        <v/>
      </c>
      <c r="AU154" t="n">
        <v/>
      </c>
      <c r="AV154" t="n">
        <v/>
      </c>
      <c r="AW154" t="n">
        <v>12.83816</v>
      </c>
      <c r="AX154" t="n">
        <v/>
      </c>
    </row>
    <row r="155">
      <c r="A155" s="92" t="n">
        <v>22555</v>
      </c>
      <c r="B155" t="n">
        <v/>
      </c>
      <c r="C155" t="n">
        <v/>
      </c>
      <c r="D155" t="n">
        <v/>
      </c>
      <c r="E155" t="n">
        <v>13.22056</v>
      </c>
      <c r="F155" t="n">
        <v>24.38497</v>
      </c>
      <c r="G155" t="n">
        <v/>
      </c>
      <c r="H155" t="n">
        <v/>
      </c>
      <c r="I155" t="n">
        <v/>
      </c>
      <c r="J155" t="n">
        <v/>
      </c>
      <c r="K155" t="n">
        <v/>
      </c>
      <c r="L155" t="n">
        <v/>
      </c>
      <c r="M155" t="n">
        <v/>
      </c>
      <c r="N155" t="n">
        <v/>
      </c>
      <c r="O155" t="n">
        <v/>
      </c>
      <c r="P155" t="n">
        <v/>
      </c>
      <c r="Q155" t="n">
        <v/>
      </c>
      <c r="R155" t="n">
        <v>7.787505</v>
      </c>
      <c r="S155" t="n">
        <v/>
      </c>
      <c r="T155" t="n">
        <v/>
      </c>
      <c r="U155" t="n">
        <v/>
      </c>
      <c r="V155" t="n">
        <v/>
      </c>
      <c r="W155" t="n">
        <v/>
      </c>
      <c r="X155" t="n">
        <v/>
      </c>
      <c r="Y155" t="n">
        <v/>
      </c>
      <c r="Z155" t="n">
        <v/>
      </c>
      <c r="AA155" t="n">
        <v/>
      </c>
      <c r="AB155" t="n">
        <v/>
      </c>
      <c r="AC155" t="n">
        <v/>
      </c>
      <c r="AD155" t="n">
        <v>3.815769</v>
      </c>
      <c r="AE155" t="n">
        <v>19.35922</v>
      </c>
      <c r="AF155" t="n">
        <v/>
      </c>
      <c r="AG155" t="n">
        <v/>
      </c>
      <c r="AH155" t="n">
        <v/>
      </c>
      <c r="AI155" t="n">
        <v/>
      </c>
      <c r="AJ155" t="n">
        <v/>
      </c>
      <c r="AK155" t="n">
        <v>14.54463</v>
      </c>
      <c r="AL155" t="n">
        <v/>
      </c>
      <c r="AM155" t="n">
        <v/>
      </c>
      <c r="AN155" t="n">
        <v/>
      </c>
      <c r="AO155" t="n">
        <v/>
      </c>
      <c r="AP155" t="n">
        <v/>
      </c>
      <c r="AQ155" t="n">
        <v/>
      </c>
      <c r="AR155" t="n">
        <v/>
      </c>
      <c r="AS155" t="n">
        <v/>
      </c>
      <c r="AT155" t="n">
        <v/>
      </c>
      <c r="AU155" t="n">
        <v/>
      </c>
      <c r="AV155" t="n">
        <v/>
      </c>
      <c r="AW155" t="n">
        <v>12.87944</v>
      </c>
      <c r="AX155" t="n">
        <v/>
      </c>
    </row>
    <row r="156">
      <c r="A156" s="92" t="n">
        <v>22586</v>
      </c>
      <c r="B156" t="n">
        <v/>
      </c>
      <c r="C156" t="n">
        <v/>
      </c>
      <c r="D156" t="n">
        <v/>
      </c>
      <c r="E156" t="n">
        <v>13.22056</v>
      </c>
      <c r="F156" t="n">
        <v>24.69185</v>
      </c>
      <c r="G156" t="n">
        <v/>
      </c>
      <c r="H156" t="n">
        <v/>
      </c>
      <c r="I156" t="n">
        <v/>
      </c>
      <c r="J156" t="n">
        <v/>
      </c>
      <c r="K156" t="n">
        <v/>
      </c>
      <c r="L156" t="n">
        <v/>
      </c>
      <c r="M156" t="n">
        <v/>
      </c>
      <c r="N156" t="n">
        <v/>
      </c>
      <c r="O156" t="n">
        <v/>
      </c>
      <c r="P156" t="n">
        <v/>
      </c>
      <c r="Q156" t="n">
        <v/>
      </c>
      <c r="R156" t="n">
        <v>7.76544</v>
      </c>
      <c r="S156" t="n">
        <v/>
      </c>
      <c r="T156" t="n">
        <v/>
      </c>
      <c r="U156" t="n">
        <v/>
      </c>
      <c r="V156" t="n">
        <v/>
      </c>
      <c r="W156" t="n">
        <v/>
      </c>
      <c r="X156" t="n">
        <v/>
      </c>
      <c r="Y156" t="n">
        <v/>
      </c>
      <c r="Z156" t="n">
        <v/>
      </c>
      <c r="AA156" t="n">
        <v/>
      </c>
      <c r="AB156" t="n">
        <v/>
      </c>
      <c r="AC156" t="n">
        <v/>
      </c>
      <c r="AD156" t="n">
        <v>3.836166</v>
      </c>
      <c r="AE156" t="n">
        <v>19.41477</v>
      </c>
      <c r="AF156" t="n">
        <v/>
      </c>
      <c r="AG156" t="n">
        <v/>
      </c>
      <c r="AH156" t="n">
        <v/>
      </c>
      <c r="AI156" t="n">
        <v/>
      </c>
      <c r="AJ156" t="n">
        <v/>
      </c>
      <c r="AK156" t="n">
        <v>14.54463</v>
      </c>
      <c r="AL156" t="n">
        <v/>
      </c>
      <c r="AM156" t="n">
        <v/>
      </c>
      <c r="AN156" t="n">
        <v/>
      </c>
      <c r="AO156" t="n">
        <v/>
      </c>
      <c r="AP156" t="n">
        <v/>
      </c>
      <c r="AQ156" t="n">
        <v/>
      </c>
      <c r="AR156" t="n">
        <v/>
      </c>
      <c r="AS156" t="n">
        <v/>
      </c>
      <c r="AT156" t="n">
        <v/>
      </c>
      <c r="AU156" t="n">
        <v/>
      </c>
      <c r="AV156" t="n">
        <v/>
      </c>
      <c r="AW156" t="n">
        <v>12.87944</v>
      </c>
      <c r="AX156" t="n">
        <v/>
      </c>
    </row>
    <row r="157">
      <c r="A157" s="92" t="n">
        <v>22616</v>
      </c>
      <c r="B157" t="n">
        <v/>
      </c>
      <c r="C157" t="n">
        <v/>
      </c>
      <c r="D157" t="n">
        <v/>
      </c>
      <c r="E157" t="n">
        <v>13.22448</v>
      </c>
      <c r="F157" t="n">
        <v>24.71457</v>
      </c>
      <c r="G157" t="n">
        <v/>
      </c>
      <c r="H157" t="n">
        <v/>
      </c>
      <c r="I157" t="n">
        <v/>
      </c>
      <c r="J157" t="n">
        <v/>
      </c>
      <c r="K157" t="n">
        <v/>
      </c>
      <c r="L157" t="n">
        <v/>
      </c>
      <c r="M157" t="n">
        <v/>
      </c>
      <c r="N157" t="n">
        <v/>
      </c>
      <c r="O157" t="n">
        <v/>
      </c>
      <c r="P157" t="n">
        <v/>
      </c>
      <c r="Q157" t="n">
        <v/>
      </c>
      <c r="R157" t="n">
        <v>7.76544</v>
      </c>
      <c r="S157" t="n">
        <v/>
      </c>
      <c r="T157" t="n">
        <v/>
      </c>
      <c r="U157" t="n">
        <v/>
      </c>
      <c r="V157" t="n">
        <v/>
      </c>
      <c r="W157" t="n">
        <v/>
      </c>
      <c r="X157" t="n">
        <v/>
      </c>
      <c r="Y157" t="n">
        <v/>
      </c>
      <c r="Z157" t="n">
        <v/>
      </c>
      <c r="AA157" t="n">
        <v/>
      </c>
      <c r="AB157" t="n">
        <v/>
      </c>
      <c r="AC157" t="n">
        <v/>
      </c>
      <c r="AD157" t="n">
        <v>3.844367</v>
      </c>
      <c r="AE157" t="n">
        <v>19.62511</v>
      </c>
      <c r="AF157" t="n">
        <v/>
      </c>
      <c r="AG157" t="n">
        <v/>
      </c>
      <c r="AH157" t="n">
        <v/>
      </c>
      <c r="AI157" t="n">
        <v/>
      </c>
      <c r="AJ157" t="n">
        <v/>
      </c>
      <c r="AK157" t="n">
        <v>14.49487</v>
      </c>
      <c r="AL157" t="n">
        <v/>
      </c>
      <c r="AM157" t="n">
        <v/>
      </c>
      <c r="AN157" t="n">
        <v/>
      </c>
      <c r="AO157" t="n">
        <v/>
      </c>
      <c r="AP157" t="n">
        <v/>
      </c>
      <c r="AQ157" t="n">
        <v/>
      </c>
      <c r="AR157" t="n">
        <v/>
      </c>
      <c r="AS157" t="n">
        <v/>
      </c>
      <c r="AT157" t="n">
        <v/>
      </c>
      <c r="AU157" t="n">
        <v/>
      </c>
      <c r="AV157" t="n">
        <v/>
      </c>
      <c r="AW157" t="n">
        <v>12.87944</v>
      </c>
      <c r="AX157" t="n">
        <v/>
      </c>
    </row>
    <row r="158">
      <c r="A158" s="92" t="n">
        <v>22647</v>
      </c>
      <c r="B158" t="n">
        <v/>
      </c>
      <c r="C158" t="n">
        <v/>
      </c>
      <c r="D158" t="n">
        <v/>
      </c>
      <c r="E158" t="n">
        <v>13.1957</v>
      </c>
      <c r="F158" t="n">
        <v>24.74149</v>
      </c>
      <c r="G158" t="n">
        <v/>
      </c>
      <c r="H158" t="n">
        <v/>
      </c>
      <c r="I158" t="n">
        <v/>
      </c>
      <c r="J158" t="n">
        <v/>
      </c>
      <c r="K158" t="n">
        <v/>
      </c>
      <c r="L158" t="n">
        <v>24.07641</v>
      </c>
      <c r="M158" t="n">
        <v/>
      </c>
      <c r="N158" t="n">
        <v/>
      </c>
      <c r="O158" t="n">
        <v/>
      </c>
      <c r="P158" t="n">
        <v/>
      </c>
      <c r="Q158" t="n">
        <v/>
      </c>
      <c r="R158" t="n">
        <v>7.824213</v>
      </c>
      <c r="S158" t="n">
        <v/>
      </c>
      <c r="T158" t="n">
        <v/>
      </c>
      <c r="U158" t="n">
        <v/>
      </c>
      <c r="V158" t="n">
        <v/>
      </c>
      <c r="W158" t="n">
        <v/>
      </c>
      <c r="X158" t="n">
        <v/>
      </c>
      <c r="Y158" t="n">
        <v/>
      </c>
      <c r="Z158" t="n">
        <v/>
      </c>
      <c r="AA158" t="n">
        <v/>
      </c>
      <c r="AB158" t="n">
        <v/>
      </c>
      <c r="AC158" t="n">
        <v/>
      </c>
      <c r="AD158" t="n">
        <v>3.868098</v>
      </c>
      <c r="AE158" t="n">
        <v>19.72117</v>
      </c>
      <c r="AF158" t="n">
        <v/>
      </c>
      <c r="AG158" t="n">
        <v/>
      </c>
      <c r="AH158" t="n">
        <v/>
      </c>
      <c r="AI158" t="n">
        <v/>
      </c>
      <c r="AJ158" t="n">
        <v/>
      </c>
      <c r="AK158" t="n">
        <v>14.49487</v>
      </c>
      <c r="AL158" t="n">
        <v/>
      </c>
      <c r="AM158" t="n">
        <v/>
      </c>
      <c r="AN158" t="n">
        <v/>
      </c>
      <c r="AO158" t="n">
        <v/>
      </c>
      <c r="AP158" t="n">
        <v/>
      </c>
      <c r="AQ158" t="n">
        <v/>
      </c>
      <c r="AR158" t="n">
        <v/>
      </c>
      <c r="AS158" t="n">
        <v/>
      </c>
      <c r="AT158" t="n">
        <v/>
      </c>
      <c r="AU158" t="n">
        <v/>
      </c>
      <c r="AV158" t="n">
        <v/>
      </c>
      <c r="AW158" t="n">
        <v>12.87944</v>
      </c>
      <c r="AX158" t="n">
        <v/>
      </c>
    </row>
    <row r="159">
      <c r="A159" s="92" t="n">
        <v>22678</v>
      </c>
      <c r="B159" t="n">
        <v/>
      </c>
      <c r="C159" t="n">
        <v/>
      </c>
      <c r="D159" t="n">
        <v/>
      </c>
      <c r="E159" t="n">
        <v>13.1957</v>
      </c>
      <c r="F159" t="n">
        <v>24.83133</v>
      </c>
      <c r="G159" t="n">
        <v/>
      </c>
      <c r="H159" t="n">
        <v/>
      </c>
      <c r="I159" t="n">
        <v/>
      </c>
      <c r="J159" t="n">
        <v/>
      </c>
      <c r="K159" t="n">
        <v/>
      </c>
      <c r="L159" t="n">
        <v>24.14803</v>
      </c>
      <c r="M159" t="n">
        <v/>
      </c>
      <c r="N159" t="n">
        <v/>
      </c>
      <c r="O159" t="n">
        <v/>
      </c>
      <c r="P159" t="n">
        <v/>
      </c>
      <c r="Q159" t="n">
        <v/>
      </c>
      <c r="R159" t="n">
        <v>7.818357</v>
      </c>
      <c r="S159" t="n">
        <v/>
      </c>
      <c r="T159" t="n">
        <v/>
      </c>
      <c r="U159" t="n">
        <v/>
      </c>
      <c r="V159" t="n">
        <v/>
      </c>
      <c r="W159" t="n">
        <v/>
      </c>
      <c r="X159" t="n">
        <v/>
      </c>
      <c r="Y159" t="n">
        <v/>
      </c>
      <c r="Z159" t="n">
        <v/>
      </c>
      <c r="AA159" t="n">
        <v/>
      </c>
      <c r="AB159" t="n">
        <v/>
      </c>
      <c r="AC159" t="n">
        <v/>
      </c>
      <c r="AD159" t="n">
        <v>3.897469</v>
      </c>
      <c r="AE159" t="n">
        <v>19.63864</v>
      </c>
      <c r="AF159" t="n">
        <v/>
      </c>
      <c r="AG159" t="n">
        <v/>
      </c>
      <c r="AH159" t="n">
        <v/>
      </c>
      <c r="AI159" t="n">
        <v/>
      </c>
      <c r="AJ159" t="n">
        <v/>
      </c>
      <c r="AK159" t="n">
        <v>14.49487</v>
      </c>
      <c r="AL159" t="n">
        <v/>
      </c>
      <c r="AM159" t="n">
        <v/>
      </c>
      <c r="AN159" t="n">
        <v/>
      </c>
      <c r="AO159" t="n">
        <v/>
      </c>
      <c r="AP159" t="n">
        <v/>
      </c>
      <c r="AQ159" t="n">
        <v/>
      </c>
      <c r="AR159" t="n">
        <v/>
      </c>
      <c r="AS159" t="n">
        <v/>
      </c>
      <c r="AT159" t="n">
        <v/>
      </c>
      <c r="AU159" t="n">
        <v/>
      </c>
      <c r="AV159" t="n">
        <v/>
      </c>
      <c r="AW159" t="n">
        <v>12.87944</v>
      </c>
      <c r="AX159" t="n">
        <v/>
      </c>
    </row>
    <row r="160">
      <c r="A160" s="92" t="n">
        <v>22706</v>
      </c>
      <c r="B160" t="n">
        <v/>
      </c>
      <c r="C160" t="n">
        <v/>
      </c>
      <c r="D160" t="n">
        <v/>
      </c>
      <c r="E160" t="n">
        <v>13.20813</v>
      </c>
      <c r="F160" t="n">
        <v>24.85921</v>
      </c>
      <c r="G160" t="n">
        <v/>
      </c>
      <c r="H160" t="n">
        <v/>
      </c>
      <c r="I160" t="n">
        <v/>
      </c>
      <c r="J160" t="n">
        <v/>
      </c>
      <c r="K160" t="n">
        <v/>
      </c>
      <c r="L160" t="n">
        <v>24.19572</v>
      </c>
      <c r="M160" t="n">
        <v/>
      </c>
      <c r="N160" t="n">
        <v/>
      </c>
      <c r="O160" t="n">
        <v/>
      </c>
      <c r="P160" t="n">
        <v/>
      </c>
      <c r="Q160" t="n">
        <v/>
      </c>
      <c r="R160" t="n">
        <v>7.89334</v>
      </c>
      <c r="S160" t="n">
        <v/>
      </c>
      <c r="T160" t="n">
        <v/>
      </c>
      <c r="U160" t="n">
        <v/>
      </c>
      <c r="V160" t="n">
        <v/>
      </c>
      <c r="W160" t="n">
        <v/>
      </c>
      <c r="X160" t="n">
        <v/>
      </c>
      <c r="Y160" t="n">
        <v/>
      </c>
      <c r="Z160" t="n">
        <v/>
      </c>
      <c r="AA160" t="n">
        <v/>
      </c>
      <c r="AB160" t="n">
        <v/>
      </c>
      <c r="AC160" t="n">
        <v/>
      </c>
      <c r="AD160" t="n">
        <v>3.920441</v>
      </c>
      <c r="AE160" t="n">
        <v>19.70242</v>
      </c>
      <c r="AF160" t="n">
        <v/>
      </c>
      <c r="AG160" t="n">
        <v/>
      </c>
      <c r="AH160" t="n">
        <v/>
      </c>
      <c r="AI160" t="n">
        <v/>
      </c>
      <c r="AJ160" t="n">
        <v/>
      </c>
      <c r="AK160" t="n">
        <v>14.64468</v>
      </c>
      <c r="AL160" t="n">
        <v/>
      </c>
      <c r="AM160" t="n">
        <v/>
      </c>
      <c r="AN160" t="n">
        <v/>
      </c>
      <c r="AO160" t="n">
        <v/>
      </c>
      <c r="AP160" t="n">
        <v/>
      </c>
      <c r="AQ160" t="n">
        <v/>
      </c>
      <c r="AR160" t="n">
        <v/>
      </c>
      <c r="AS160" t="n">
        <v/>
      </c>
      <c r="AT160" t="n">
        <v/>
      </c>
      <c r="AU160" t="n">
        <v/>
      </c>
      <c r="AV160" t="n">
        <v/>
      </c>
      <c r="AW160" t="n">
        <v>12.92072</v>
      </c>
      <c r="AX160" t="n">
        <v/>
      </c>
    </row>
    <row r="161">
      <c r="A161" s="92" t="n">
        <v>22737</v>
      </c>
      <c r="B161" t="n">
        <v/>
      </c>
      <c r="C161" t="n">
        <v/>
      </c>
      <c r="D161" t="n">
        <v/>
      </c>
      <c r="E161" t="n">
        <v>13.29376</v>
      </c>
      <c r="F161" t="n">
        <v>24.96889</v>
      </c>
      <c r="G161" t="n">
        <v/>
      </c>
      <c r="H161" t="n">
        <v/>
      </c>
      <c r="I161" t="n">
        <v/>
      </c>
      <c r="J161" t="n">
        <v/>
      </c>
      <c r="K161" t="n">
        <v/>
      </c>
      <c r="L161" t="n">
        <v>24.24676</v>
      </c>
      <c r="M161" t="n">
        <v/>
      </c>
      <c r="N161" t="n">
        <v/>
      </c>
      <c r="O161" t="n">
        <v/>
      </c>
      <c r="P161" t="n">
        <v/>
      </c>
      <c r="Q161" t="n">
        <v/>
      </c>
      <c r="R161" t="n">
        <v>7.968323</v>
      </c>
      <c r="S161" t="n">
        <v/>
      </c>
      <c r="T161" t="n">
        <v/>
      </c>
      <c r="U161" t="n">
        <v/>
      </c>
      <c r="V161" t="n">
        <v/>
      </c>
      <c r="W161" t="n">
        <v/>
      </c>
      <c r="X161" t="n">
        <v/>
      </c>
      <c r="Y161" t="n">
        <v/>
      </c>
      <c r="Z161" t="n">
        <v/>
      </c>
      <c r="AA161" t="n">
        <v/>
      </c>
      <c r="AB161" t="n">
        <v/>
      </c>
      <c r="AC161" t="n">
        <v/>
      </c>
      <c r="AD161" t="n">
        <v>3.948864</v>
      </c>
      <c r="AE161" t="n">
        <v>19.90251</v>
      </c>
      <c r="AF161" t="n">
        <v/>
      </c>
      <c r="AG161" t="n">
        <v/>
      </c>
      <c r="AH161" t="n">
        <v/>
      </c>
      <c r="AI161" t="n">
        <v/>
      </c>
      <c r="AJ161" t="n">
        <v/>
      </c>
      <c r="AK161" t="n">
        <v>15.04298</v>
      </c>
      <c r="AL161" t="n">
        <v/>
      </c>
      <c r="AM161" t="n">
        <v/>
      </c>
      <c r="AN161" t="n">
        <v/>
      </c>
      <c r="AO161" t="n">
        <v/>
      </c>
      <c r="AP161" t="n">
        <v/>
      </c>
      <c r="AQ161" t="n">
        <v/>
      </c>
      <c r="AR161" t="n">
        <v/>
      </c>
      <c r="AS161" t="n">
        <v/>
      </c>
      <c r="AT161" t="n">
        <v/>
      </c>
      <c r="AU161" t="n">
        <v/>
      </c>
      <c r="AV161" t="n">
        <v/>
      </c>
      <c r="AW161" t="n">
        <v>12.92072</v>
      </c>
      <c r="AX161" t="n">
        <v/>
      </c>
    </row>
    <row r="162">
      <c r="A162" s="92" t="n">
        <v>22767</v>
      </c>
      <c r="B162" t="n">
        <v/>
      </c>
      <c r="C162" t="n">
        <v/>
      </c>
      <c r="D162" t="n">
        <v/>
      </c>
      <c r="E162" t="n">
        <v>13.31861</v>
      </c>
      <c r="F162" t="n">
        <v>25.17518</v>
      </c>
      <c r="G162" t="n">
        <v/>
      </c>
      <c r="H162" t="n">
        <v/>
      </c>
      <c r="I162" t="n">
        <v/>
      </c>
      <c r="J162" t="n">
        <v/>
      </c>
      <c r="K162" t="n">
        <v/>
      </c>
      <c r="L162" t="n">
        <v>24.25187</v>
      </c>
      <c r="M162" t="n">
        <v/>
      </c>
      <c r="N162" t="n">
        <v/>
      </c>
      <c r="O162" t="n">
        <v/>
      </c>
      <c r="P162" t="n">
        <v/>
      </c>
      <c r="Q162" t="n">
        <v/>
      </c>
      <c r="R162" t="n">
        <v>7.968323</v>
      </c>
      <c r="S162" t="n">
        <v/>
      </c>
      <c r="T162" t="n">
        <v/>
      </c>
      <c r="U162" t="n">
        <v/>
      </c>
      <c r="V162" t="n">
        <v/>
      </c>
      <c r="W162" t="n">
        <v/>
      </c>
      <c r="X162" t="n">
        <v/>
      </c>
      <c r="Y162" t="n">
        <v/>
      </c>
      <c r="Z162" t="n">
        <v/>
      </c>
      <c r="AA162" t="n">
        <v/>
      </c>
      <c r="AB162" t="n">
        <v/>
      </c>
      <c r="AC162" t="n">
        <v/>
      </c>
      <c r="AD162" t="n">
        <v>3.952461</v>
      </c>
      <c r="AE162" t="n">
        <v>20.05607</v>
      </c>
      <c r="AF162" t="n">
        <v/>
      </c>
      <c r="AG162" t="n">
        <v/>
      </c>
      <c r="AH162" t="n">
        <v/>
      </c>
      <c r="AI162" t="n">
        <v/>
      </c>
      <c r="AJ162" t="n">
        <v/>
      </c>
      <c r="AK162" t="n">
        <v>14.88306</v>
      </c>
      <c r="AL162" t="n">
        <v/>
      </c>
      <c r="AM162" t="n">
        <v/>
      </c>
      <c r="AN162" t="n">
        <v/>
      </c>
      <c r="AO162" t="n">
        <v/>
      </c>
      <c r="AP162" t="n">
        <v/>
      </c>
      <c r="AQ162" t="n">
        <v/>
      </c>
      <c r="AR162" t="n">
        <v/>
      </c>
      <c r="AS162" t="n">
        <v/>
      </c>
      <c r="AT162" t="n">
        <v/>
      </c>
      <c r="AU162" t="n">
        <v/>
      </c>
      <c r="AV162" t="n">
        <v/>
      </c>
      <c r="AW162" t="n">
        <v>12.962</v>
      </c>
      <c r="AX162" t="n">
        <v/>
      </c>
    </row>
    <row r="163">
      <c r="A163" s="92" t="n">
        <v>22798</v>
      </c>
      <c r="B163" t="n">
        <v/>
      </c>
      <c r="C163" t="n">
        <v/>
      </c>
      <c r="D163" t="n">
        <v/>
      </c>
      <c r="E163" t="n">
        <v>13.39606</v>
      </c>
      <c r="F163" t="n">
        <v>25.22097</v>
      </c>
      <c r="G163" t="n">
        <v/>
      </c>
      <c r="H163" t="n">
        <v/>
      </c>
      <c r="I163" t="n">
        <v/>
      </c>
      <c r="J163" t="n">
        <v/>
      </c>
      <c r="K163" t="n">
        <v/>
      </c>
      <c r="L163" t="n">
        <v>24.22284</v>
      </c>
      <c r="M163" t="n">
        <v/>
      </c>
      <c r="N163" t="n">
        <v/>
      </c>
      <c r="O163" t="n">
        <v/>
      </c>
      <c r="P163" t="n">
        <v/>
      </c>
      <c r="Q163" t="n">
        <v/>
      </c>
      <c r="R163" t="n">
        <v>8.053659</v>
      </c>
      <c r="S163" t="n">
        <v/>
      </c>
      <c r="T163" t="n">
        <v/>
      </c>
      <c r="U163" t="n">
        <v/>
      </c>
      <c r="V163" t="n">
        <v/>
      </c>
      <c r="W163" t="n">
        <v/>
      </c>
      <c r="X163" t="n">
        <v/>
      </c>
      <c r="Y163" t="n">
        <v/>
      </c>
      <c r="Z163" t="n">
        <v/>
      </c>
      <c r="AA163" t="n">
        <v/>
      </c>
      <c r="AB163" t="n">
        <v/>
      </c>
      <c r="AC163" t="n">
        <v/>
      </c>
      <c r="AD163" t="n">
        <v>3.962392</v>
      </c>
      <c r="AE163" t="n">
        <v>19.99443</v>
      </c>
      <c r="AF163" t="n">
        <v/>
      </c>
      <c r="AG163" t="n">
        <v/>
      </c>
      <c r="AH163" t="n">
        <v/>
      </c>
      <c r="AI163" t="n">
        <v/>
      </c>
      <c r="AJ163" t="n">
        <v/>
      </c>
      <c r="AK163" t="n">
        <v>15.02193</v>
      </c>
      <c r="AL163" t="n">
        <v/>
      </c>
      <c r="AM163" t="n">
        <v/>
      </c>
      <c r="AN163" t="n">
        <v/>
      </c>
      <c r="AO163" t="n">
        <v/>
      </c>
      <c r="AP163" t="n">
        <v/>
      </c>
      <c r="AQ163" t="n">
        <v/>
      </c>
      <c r="AR163" t="n">
        <v/>
      </c>
      <c r="AS163" t="n">
        <v/>
      </c>
      <c r="AT163" t="n">
        <v/>
      </c>
      <c r="AU163" t="n">
        <v/>
      </c>
      <c r="AV163" t="n">
        <v/>
      </c>
      <c r="AW163" t="n">
        <v>12.962</v>
      </c>
      <c r="AX163" t="n">
        <v/>
      </c>
    </row>
    <row r="164">
      <c r="A164" s="92" t="n">
        <v>22828</v>
      </c>
      <c r="B164" t="n">
        <v/>
      </c>
      <c r="C164" t="n">
        <v/>
      </c>
      <c r="D164" t="n">
        <v/>
      </c>
      <c r="E164" t="n">
        <v>13.37121</v>
      </c>
      <c r="F164" t="n">
        <v>25.29217</v>
      </c>
      <c r="G164" t="n">
        <v/>
      </c>
      <c r="H164" t="n">
        <v/>
      </c>
      <c r="I164" t="n">
        <v/>
      </c>
      <c r="J164" t="n">
        <v/>
      </c>
      <c r="K164" t="n">
        <v/>
      </c>
      <c r="L164" t="n">
        <v>24.28935</v>
      </c>
      <c r="M164" t="n">
        <v/>
      </c>
      <c r="N164" t="n">
        <v/>
      </c>
      <c r="O164" t="n">
        <v/>
      </c>
      <c r="P164" t="n">
        <v/>
      </c>
      <c r="Q164" t="n">
        <v/>
      </c>
      <c r="R164" t="n">
        <v>8.112432</v>
      </c>
      <c r="S164" t="n">
        <v/>
      </c>
      <c r="T164" t="n">
        <v/>
      </c>
      <c r="U164" t="n">
        <v/>
      </c>
      <c r="V164" t="n">
        <v/>
      </c>
      <c r="W164" t="n">
        <v/>
      </c>
      <c r="X164" t="n">
        <v/>
      </c>
      <c r="Y164" t="n">
        <v/>
      </c>
      <c r="Z164" t="n">
        <v/>
      </c>
      <c r="AA164" t="n">
        <v/>
      </c>
      <c r="AB164" t="n">
        <v/>
      </c>
      <c r="AC164" t="n">
        <v/>
      </c>
      <c r="AD164" t="n">
        <v>3.986783</v>
      </c>
      <c r="AE164" t="n">
        <v>20.19672</v>
      </c>
      <c r="AF164" t="n">
        <v/>
      </c>
      <c r="AG164" t="n">
        <v/>
      </c>
      <c r="AH164" t="n">
        <v/>
      </c>
      <c r="AI164" t="n">
        <v/>
      </c>
      <c r="AJ164" t="n">
        <v/>
      </c>
      <c r="AK164" t="n">
        <v>14.6835</v>
      </c>
      <c r="AL164" t="n">
        <v/>
      </c>
      <c r="AM164" t="n">
        <v/>
      </c>
      <c r="AN164" t="n">
        <v/>
      </c>
      <c r="AO164" t="n">
        <v/>
      </c>
      <c r="AP164" t="n">
        <v/>
      </c>
      <c r="AQ164" t="n">
        <v/>
      </c>
      <c r="AR164" t="n">
        <v/>
      </c>
      <c r="AS164" t="n">
        <v/>
      </c>
      <c r="AT164" t="n">
        <v/>
      </c>
      <c r="AU164" t="n">
        <v/>
      </c>
      <c r="AV164" t="n">
        <v/>
      </c>
      <c r="AW164" t="n">
        <v>12.962</v>
      </c>
      <c r="AX164" t="n">
        <v/>
      </c>
    </row>
    <row r="165">
      <c r="A165" s="92" t="n">
        <v>22859</v>
      </c>
      <c r="B165" t="n">
        <v/>
      </c>
      <c r="C165" t="n">
        <v/>
      </c>
      <c r="D165" t="n">
        <v/>
      </c>
      <c r="E165" t="n">
        <v>13.46109</v>
      </c>
      <c r="F165" t="n">
        <v>25.4062</v>
      </c>
      <c r="G165" t="n">
        <v/>
      </c>
      <c r="H165" t="n">
        <v/>
      </c>
      <c r="I165" t="n">
        <v/>
      </c>
      <c r="J165" t="n">
        <v/>
      </c>
      <c r="K165" t="n">
        <v/>
      </c>
      <c r="L165" t="n">
        <v>24.22474</v>
      </c>
      <c r="M165" t="n">
        <v/>
      </c>
      <c r="N165" t="n">
        <v/>
      </c>
      <c r="O165" t="n">
        <v/>
      </c>
      <c r="P165" t="n">
        <v/>
      </c>
      <c r="Q165" t="n">
        <v/>
      </c>
      <c r="R165" t="n">
        <v>8.112432</v>
      </c>
      <c r="S165" t="n">
        <v/>
      </c>
      <c r="T165" t="n">
        <v/>
      </c>
      <c r="U165" t="n">
        <v/>
      </c>
      <c r="V165" t="n">
        <v/>
      </c>
      <c r="W165" t="n">
        <v/>
      </c>
      <c r="X165" t="n">
        <v/>
      </c>
      <c r="Y165" t="n">
        <v/>
      </c>
      <c r="Z165" t="n">
        <v/>
      </c>
      <c r="AA165" t="n">
        <v/>
      </c>
      <c r="AB165" t="n">
        <v/>
      </c>
      <c r="AC165" t="n">
        <v/>
      </c>
      <c r="AD165" t="n">
        <v>3.992197</v>
      </c>
      <c r="AE165" t="n">
        <v>20.2345</v>
      </c>
      <c r="AF165" t="n">
        <v/>
      </c>
      <c r="AG165" t="n">
        <v/>
      </c>
      <c r="AH165" t="n">
        <v/>
      </c>
      <c r="AI165" t="n">
        <v/>
      </c>
      <c r="AJ165" t="n">
        <v/>
      </c>
      <c r="AK165" t="n">
        <v>14.76387</v>
      </c>
      <c r="AL165" t="n">
        <v/>
      </c>
      <c r="AM165" t="n">
        <v/>
      </c>
      <c r="AN165" t="n">
        <v/>
      </c>
      <c r="AO165" t="n">
        <v/>
      </c>
      <c r="AP165" t="n">
        <v/>
      </c>
      <c r="AQ165" t="n">
        <v/>
      </c>
      <c r="AR165" t="n">
        <v/>
      </c>
      <c r="AS165" t="n">
        <v/>
      </c>
      <c r="AT165" t="n">
        <v/>
      </c>
      <c r="AU165" t="n">
        <v/>
      </c>
      <c r="AV165" t="n">
        <v/>
      </c>
      <c r="AW165" t="n">
        <v>12.962</v>
      </c>
      <c r="AX165" t="n">
        <v/>
      </c>
    </row>
    <row r="166">
      <c r="A166" s="92" t="n">
        <v>22890</v>
      </c>
      <c r="B166" t="n">
        <v/>
      </c>
      <c r="C166" t="n">
        <v/>
      </c>
      <c r="D166" t="n">
        <v/>
      </c>
      <c r="E166" t="n">
        <v>13.38364</v>
      </c>
      <c r="F166" t="n">
        <v>25.38775</v>
      </c>
      <c r="G166" t="n">
        <v/>
      </c>
      <c r="H166" t="n">
        <v/>
      </c>
      <c r="I166" t="n">
        <v/>
      </c>
      <c r="J166" t="n">
        <v/>
      </c>
      <c r="K166" t="n">
        <v/>
      </c>
      <c r="L166" t="n">
        <v>24.22139</v>
      </c>
      <c r="M166" t="n">
        <v/>
      </c>
      <c r="N166" t="n">
        <v/>
      </c>
      <c r="O166" t="n">
        <v/>
      </c>
      <c r="P166" t="n">
        <v/>
      </c>
      <c r="Q166" t="n">
        <v/>
      </c>
      <c r="R166" t="n">
        <v>8.106577</v>
      </c>
      <c r="S166" t="n">
        <v/>
      </c>
      <c r="T166" t="n">
        <v/>
      </c>
      <c r="U166" t="n">
        <v/>
      </c>
      <c r="V166" t="n">
        <v/>
      </c>
      <c r="W166" t="n">
        <v/>
      </c>
      <c r="X166" t="n">
        <v/>
      </c>
      <c r="Y166" t="n">
        <v/>
      </c>
      <c r="Z166" t="n">
        <v/>
      </c>
      <c r="AA166" t="n">
        <v/>
      </c>
      <c r="AB166" t="n">
        <v/>
      </c>
      <c r="AC166" t="n">
        <v/>
      </c>
      <c r="AD166" t="n">
        <v>4.003597</v>
      </c>
      <c r="AE166" t="n">
        <v>20.17967</v>
      </c>
      <c r="AF166" t="n">
        <v/>
      </c>
      <c r="AG166" t="n">
        <v/>
      </c>
      <c r="AH166" t="n">
        <v/>
      </c>
      <c r="AI166" t="n">
        <v/>
      </c>
      <c r="AJ166" t="n">
        <v/>
      </c>
      <c r="AK166" t="n">
        <v>14.93474</v>
      </c>
      <c r="AL166" t="n">
        <v/>
      </c>
      <c r="AM166" t="n">
        <v/>
      </c>
      <c r="AN166" t="n">
        <v/>
      </c>
      <c r="AO166" t="n">
        <v/>
      </c>
      <c r="AP166" t="n">
        <v/>
      </c>
      <c r="AQ166" t="n">
        <v/>
      </c>
      <c r="AR166" t="n">
        <v/>
      </c>
      <c r="AS166" t="n">
        <v/>
      </c>
      <c r="AT166" t="n">
        <v/>
      </c>
      <c r="AU166" t="n">
        <v/>
      </c>
      <c r="AV166" t="n">
        <v/>
      </c>
      <c r="AW166" t="n">
        <v>13.00328</v>
      </c>
      <c r="AX166" t="n">
        <v/>
      </c>
    </row>
    <row r="167">
      <c r="A167" s="92" t="n">
        <v>22920</v>
      </c>
      <c r="B167" t="n">
        <v/>
      </c>
      <c r="C167" t="n">
        <v/>
      </c>
      <c r="D167" t="n">
        <v/>
      </c>
      <c r="E167" t="n">
        <v>13.48169</v>
      </c>
      <c r="F167" t="n">
        <v>25.36687</v>
      </c>
      <c r="G167" t="n">
        <v/>
      </c>
      <c r="H167" t="n">
        <v/>
      </c>
      <c r="I167" t="n">
        <v/>
      </c>
      <c r="J167" t="n">
        <v/>
      </c>
      <c r="K167" t="n">
        <v/>
      </c>
      <c r="L167" t="n">
        <v>24.28965</v>
      </c>
      <c r="M167" t="n">
        <v/>
      </c>
      <c r="N167" t="n">
        <v/>
      </c>
      <c r="O167" t="n">
        <v/>
      </c>
      <c r="P167" t="n">
        <v/>
      </c>
      <c r="Q167" t="n">
        <v/>
      </c>
      <c r="R167" t="n">
        <v>8.197768999999999</v>
      </c>
      <c r="S167" t="n">
        <v/>
      </c>
      <c r="T167" t="n">
        <v/>
      </c>
      <c r="U167" t="n">
        <v/>
      </c>
      <c r="V167" t="n">
        <v/>
      </c>
      <c r="W167" t="n">
        <v/>
      </c>
      <c r="X167" t="n">
        <v/>
      </c>
      <c r="Y167" t="n">
        <v/>
      </c>
      <c r="Z167" t="n">
        <v/>
      </c>
      <c r="AA167" t="n">
        <v/>
      </c>
      <c r="AB167" t="n">
        <v/>
      </c>
      <c r="AC167" t="n">
        <v/>
      </c>
      <c r="AD167" t="n">
        <v>4.021345</v>
      </c>
      <c r="AE167" t="n">
        <v>20.325</v>
      </c>
      <c r="AF167" t="n">
        <v/>
      </c>
      <c r="AG167" t="n">
        <v/>
      </c>
      <c r="AH167" t="n">
        <v/>
      </c>
      <c r="AI167" t="n">
        <v/>
      </c>
      <c r="AJ167" t="n">
        <v/>
      </c>
      <c r="AK167" t="n">
        <v>14.86531</v>
      </c>
      <c r="AL167" t="n">
        <v/>
      </c>
      <c r="AM167" t="n">
        <v/>
      </c>
      <c r="AN167" t="n">
        <v/>
      </c>
      <c r="AO167" t="n">
        <v/>
      </c>
      <c r="AP167" t="n">
        <v/>
      </c>
      <c r="AQ167" t="n">
        <v/>
      </c>
      <c r="AR167" t="n">
        <v/>
      </c>
      <c r="AS167" t="n">
        <v/>
      </c>
      <c r="AT167" t="n">
        <v/>
      </c>
      <c r="AU167" t="n">
        <v/>
      </c>
      <c r="AV167" t="n">
        <v/>
      </c>
      <c r="AW167" t="n">
        <v>13.04456</v>
      </c>
      <c r="AX167" t="n">
        <v/>
      </c>
    </row>
    <row r="168">
      <c r="A168" s="92" t="n">
        <v>22951</v>
      </c>
      <c r="B168" t="n">
        <v/>
      </c>
      <c r="C168" t="n">
        <v/>
      </c>
      <c r="D168" t="n">
        <v/>
      </c>
      <c r="E168" t="n">
        <v>13.48169</v>
      </c>
      <c r="F168" t="n">
        <v>25.45745</v>
      </c>
      <c r="G168" t="n">
        <v/>
      </c>
      <c r="H168" t="n">
        <v/>
      </c>
      <c r="I168" t="n">
        <v/>
      </c>
      <c r="J168" t="n">
        <v/>
      </c>
      <c r="K168" t="n">
        <v/>
      </c>
      <c r="L168" t="n">
        <v>24.34419</v>
      </c>
      <c r="M168" t="n">
        <v/>
      </c>
      <c r="N168" t="n">
        <v/>
      </c>
      <c r="O168" t="n">
        <v/>
      </c>
      <c r="P168" t="n">
        <v/>
      </c>
      <c r="Q168" t="n">
        <v/>
      </c>
      <c r="R168" t="n">
        <v>8.272752000000001</v>
      </c>
      <c r="S168" t="n">
        <v/>
      </c>
      <c r="T168" t="n">
        <v/>
      </c>
      <c r="U168" t="n">
        <v/>
      </c>
      <c r="V168" t="n">
        <v/>
      </c>
      <c r="W168" t="n">
        <v/>
      </c>
      <c r="X168" t="n">
        <v/>
      </c>
      <c r="Y168" t="n">
        <v/>
      </c>
      <c r="Z168" t="n">
        <v/>
      </c>
      <c r="AA168" t="n">
        <v/>
      </c>
      <c r="AB168" t="n">
        <v/>
      </c>
      <c r="AC168" t="n">
        <v/>
      </c>
      <c r="AD168" t="n">
        <v>4.043609</v>
      </c>
      <c r="AE168" t="n">
        <v>20.30188</v>
      </c>
      <c r="AF168" t="n">
        <v/>
      </c>
      <c r="AG168" t="n">
        <v/>
      </c>
      <c r="AH168" t="n">
        <v/>
      </c>
      <c r="AI168" t="n">
        <v/>
      </c>
      <c r="AJ168" t="n">
        <v/>
      </c>
      <c r="AK168" t="n">
        <v>14.81555</v>
      </c>
      <c r="AL168" t="n">
        <v/>
      </c>
      <c r="AM168" t="n">
        <v/>
      </c>
      <c r="AN168" t="n">
        <v/>
      </c>
      <c r="AO168" t="n">
        <v/>
      </c>
      <c r="AP168" t="n">
        <v/>
      </c>
      <c r="AQ168" t="n">
        <v/>
      </c>
      <c r="AR168" t="n">
        <v/>
      </c>
      <c r="AS168" t="n">
        <v/>
      </c>
      <c r="AT168" t="n">
        <v/>
      </c>
      <c r="AU168" t="n">
        <v/>
      </c>
      <c r="AV168" t="n">
        <v/>
      </c>
      <c r="AW168" t="n">
        <v>13.04456</v>
      </c>
      <c r="AX168" t="n">
        <v/>
      </c>
    </row>
    <row r="169">
      <c r="A169" s="92" t="n">
        <v>22981</v>
      </c>
      <c r="B169" t="n">
        <v/>
      </c>
      <c r="C169" t="n">
        <v/>
      </c>
      <c r="D169" t="n">
        <v/>
      </c>
      <c r="E169" t="n">
        <v>13.48169</v>
      </c>
      <c r="F169" t="n">
        <v>25.49908</v>
      </c>
      <c r="G169" t="n">
        <v/>
      </c>
      <c r="H169" t="n">
        <v/>
      </c>
      <c r="I169" t="n">
        <v/>
      </c>
      <c r="J169" t="n">
        <v/>
      </c>
      <c r="K169" t="n">
        <v/>
      </c>
      <c r="L169" t="n">
        <v>24.4635</v>
      </c>
      <c r="M169" t="n">
        <v/>
      </c>
      <c r="N169" t="n">
        <v/>
      </c>
      <c r="O169" t="n">
        <v/>
      </c>
      <c r="P169" t="n">
        <v/>
      </c>
      <c r="Q169" t="n">
        <v/>
      </c>
      <c r="R169" t="n">
        <v>8.266895999999999</v>
      </c>
      <c r="S169" t="n">
        <v/>
      </c>
      <c r="T169" t="n">
        <v/>
      </c>
      <c r="U169" t="n">
        <v/>
      </c>
      <c r="V169" t="n">
        <v/>
      </c>
      <c r="W169" t="n">
        <v/>
      </c>
      <c r="X169" t="n">
        <v/>
      </c>
      <c r="Y169" t="n">
        <v/>
      </c>
      <c r="Z169" t="n">
        <v/>
      </c>
      <c r="AA169" t="n">
        <v/>
      </c>
      <c r="AB169" t="n">
        <v/>
      </c>
      <c r="AC169" t="n">
        <v/>
      </c>
      <c r="AD169" t="n">
        <v>4.103307</v>
      </c>
      <c r="AE169" t="n">
        <v>20.68231</v>
      </c>
      <c r="AF169" t="n">
        <v/>
      </c>
      <c r="AG169" t="n">
        <v/>
      </c>
      <c r="AH169" t="n">
        <v/>
      </c>
      <c r="AI169" t="n">
        <v/>
      </c>
      <c r="AJ169" t="n">
        <v/>
      </c>
      <c r="AK169" t="n">
        <v>14.96536</v>
      </c>
      <c r="AL169" t="n">
        <v/>
      </c>
      <c r="AM169" t="n">
        <v/>
      </c>
      <c r="AN169" t="n">
        <v/>
      </c>
      <c r="AO169" t="n">
        <v/>
      </c>
      <c r="AP169" t="n">
        <v/>
      </c>
      <c r="AQ169" t="n">
        <v/>
      </c>
      <c r="AR169" t="n">
        <v/>
      </c>
      <c r="AS169" t="n">
        <v/>
      </c>
      <c r="AT169" t="n">
        <v/>
      </c>
      <c r="AU169" t="n">
        <v/>
      </c>
      <c r="AV169" t="n">
        <v/>
      </c>
      <c r="AW169" t="n">
        <v>13.04456</v>
      </c>
      <c r="AX169" t="n">
        <v/>
      </c>
    </row>
    <row r="170">
      <c r="A170" s="92" t="n">
        <v>23012</v>
      </c>
      <c r="B170" t="n">
        <v/>
      </c>
      <c r="C170" t="n">
        <v/>
      </c>
      <c r="D170" t="n">
        <v/>
      </c>
      <c r="E170" t="n">
        <v>13.46501</v>
      </c>
      <c r="F170" t="n">
        <v>25.57083</v>
      </c>
      <c r="G170" t="n">
        <v/>
      </c>
      <c r="H170" t="n">
        <v/>
      </c>
      <c r="I170" t="n">
        <v/>
      </c>
      <c r="J170" t="n">
        <v/>
      </c>
      <c r="K170" t="n">
        <v/>
      </c>
      <c r="L170" t="n">
        <v>24.80449</v>
      </c>
      <c r="M170" t="n">
        <v/>
      </c>
      <c r="N170" t="n">
        <v/>
      </c>
      <c r="O170" t="n">
        <v/>
      </c>
      <c r="P170" t="n">
        <v/>
      </c>
      <c r="Q170" t="n">
        <v/>
      </c>
      <c r="R170" t="n">
        <v>8.283106</v>
      </c>
      <c r="S170" t="n">
        <v/>
      </c>
      <c r="T170" t="n">
        <v/>
      </c>
      <c r="U170" t="n">
        <v/>
      </c>
      <c r="V170" t="n">
        <v/>
      </c>
      <c r="W170" t="n">
        <v/>
      </c>
      <c r="X170" t="n">
        <v/>
      </c>
      <c r="Y170" t="n">
        <v/>
      </c>
      <c r="Z170" t="n">
        <v/>
      </c>
      <c r="AA170" t="n">
        <v/>
      </c>
      <c r="AB170" t="n">
        <v/>
      </c>
      <c r="AC170" t="n">
        <v/>
      </c>
      <c r="AD170" t="n">
        <v>4.148197</v>
      </c>
      <c r="AE170" t="n">
        <v>20.92153</v>
      </c>
      <c r="AF170" t="n">
        <v/>
      </c>
      <c r="AG170" t="n">
        <v/>
      </c>
      <c r="AH170" t="n">
        <v/>
      </c>
      <c r="AI170" t="n">
        <v/>
      </c>
      <c r="AJ170" t="n">
        <v/>
      </c>
      <c r="AK170" t="n">
        <v>14.98504</v>
      </c>
      <c r="AL170" t="n">
        <v/>
      </c>
      <c r="AM170" t="n">
        <v/>
      </c>
      <c r="AN170" t="n">
        <v/>
      </c>
      <c r="AO170" t="n">
        <v/>
      </c>
      <c r="AP170" t="n">
        <v/>
      </c>
      <c r="AQ170" t="n">
        <v/>
      </c>
      <c r="AR170" t="n">
        <v/>
      </c>
      <c r="AS170" t="n">
        <v/>
      </c>
      <c r="AT170" t="n">
        <v/>
      </c>
      <c r="AU170" t="n">
        <v/>
      </c>
      <c r="AV170" t="n">
        <v/>
      </c>
      <c r="AW170" t="n">
        <v>13.00328</v>
      </c>
      <c r="AX170" t="n">
        <v/>
      </c>
    </row>
    <row r="171">
      <c r="A171" s="92" t="n">
        <v>23043</v>
      </c>
      <c r="B171" t="n">
        <v/>
      </c>
      <c r="C171" t="n">
        <v/>
      </c>
      <c r="D171" t="n">
        <v/>
      </c>
      <c r="E171" t="n">
        <v>13.44441</v>
      </c>
      <c r="F171" t="n">
        <v>25.71954</v>
      </c>
      <c r="G171" t="n">
        <v/>
      </c>
      <c r="H171" t="n">
        <v/>
      </c>
      <c r="I171" t="n">
        <v/>
      </c>
      <c r="J171" t="n">
        <v/>
      </c>
      <c r="K171" t="n">
        <v/>
      </c>
      <c r="L171" t="n">
        <v>24.95106</v>
      </c>
      <c r="M171" t="n">
        <v/>
      </c>
      <c r="N171" t="n">
        <v/>
      </c>
      <c r="O171" t="n">
        <v/>
      </c>
      <c r="P171" t="n">
        <v/>
      </c>
      <c r="Q171" t="n">
        <v/>
      </c>
      <c r="R171" t="n">
        <v>8.261041000000001</v>
      </c>
      <c r="S171" t="n">
        <v/>
      </c>
      <c r="T171" t="n">
        <v/>
      </c>
      <c r="U171" t="n">
        <v/>
      </c>
      <c r="V171" t="n">
        <v/>
      </c>
      <c r="W171" t="n">
        <v/>
      </c>
      <c r="X171" t="n">
        <v/>
      </c>
      <c r="Y171" t="n">
        <v/>
      </c>
      <c r="Z171" t="n">
        <v/>
      </c>
      <c r="AA171" t="n">
        <v/>
      </c>
      <c r="AB171" t="n">
        <v/>
      </c>
      <c r="AC171" t="n">
        <v/>
      </c>
      <c r="AD171" t="n">
        <v>4.19662</v>
      </c>
      <c r="AE171" t="n">
        <v>20.98256</v>
      </c>
      <c r="AF171" t="n">
        <v/>
      </c>
      <c r="AG171" t="n">
        <v/>
      </c>
      <c r="AH171" t="n">
        <v/>
      </c>
      <c r="AI171" t="n">
        <v/>
      </c>
      <c r="AJ171" t="n">
        <v/>
      </c>
      <c r="AK171" t="n">
        <v>15.24447</v>
      </c>
      <c r="AL171" t="n">
        <v/>
      </c>
      <c r="AM171" t="n">
        <v/>
      </c>
      <c r="AN171" t="n">
        <v/>
      </c>
      <c r="AO171" t="n">
        <v/>
      </c>
      <c r="AP171" t="n">
        <v/>
      </c>
      <c r="AQ171" t="n">
        <v/>
      </c>
      <c r="AR171" t="n">
        <v/>
      </c>
      <c r="AS171" t="n">
        <v/>
      </c>
      <c r="AT171" t="n">
        <v/>
      </c>
      <c r="AU171" t="n">
        <v/>
      </c>
      <c r="AV171" t="n">
        <v/>
      </c>
      <c r="AW171" t="n">
        <v>13.00328</v>
      </c>
      <c r="AX171" t="n">
        <v/>
      </c>
    </row>
    <row r="172">
      <c r="A172" s="92" t="n">
        <v>23071</v>
      </c>
      <c r="B172" t="n">
        <v/>
      </c>
      <c r="C172" t="n">
        <v/>
      </c>
      <c r="D172" t="n">
        <v/>
      </c>
      <c r="E172" t="n">
        <v>13.46501</v>
      </c>
      <c r="F172" t="n">
        <v>25.72219</v>
      </c>
      <c r="G172" t="n">
        <v/>
      </c>
      <c r="H172" t="n">
        <v/>
      </c>
      <c r="I172" t="n">
        <v/>
      </c>
      <c r="J172" t="n">
        <v/>
      </c>
      <c r="K172" t="n">
        <v/>
      </c>
      <c r="L172" t="n">
        <v>24.95617</v>
      </c>
      <c r="M172" t="n">
        <v/>
      </c>
      <c r="N172" t="n">
        <v/>
      </c>
      <c r="O172" t="n">
        <v/>
      </c>
      <c r="P172" t="n">
        <v/>
      </c>
      <c r="Q172" t="n">
        <v/>
      </c>
      <c r="R172" t="n">
        <v>8.330168</v>
      </c>
      <c r="S172" t="n">
        <v/>
      </c>
      <c r="T172" t="n">
        <v/>
      </c>
      <c r="U172" t="n">
        <v/>
      </c>
      <c r="V172" t="n">
        <v/>
      </c>
      <c r="W172" t="n">
        <v/>
      </c>
      <c r="X172" t="n">
        <v/>
      </c>
      <c r="Y172" t="n">
        <v/>
      </c>
      <c r="Z172" t="n">
        <v/>
      </c>
      <c r="AA172" t="n">
        <v/>
      </c>
      <c r="AB172" t="n">
        <v/>
      </c>
      <c r="AC172" t="n">
        <v/>
      </c>
      <c r="AD172" t="n">
        <v>4.209352</v>
      </c>
      <c r="AE172" t="n">
        <v>21.0436</v>
      </c>
      <c r="AF172" t="n">
        <v/>
      </c>
      <c r="AG172" t="n">
        <v/>
      </c>
      <c r="AH172" t="n">
        <v/>
      </c>
      <c r="AI172" t="n">
        <v/>
      </c>
      <c r="AJ172" t="n">
        <v/>
      </c>
      <c r="AK172" t="n">
        <v>15.29423</v>
      </c>
      <c r="AL172" t="n">
        <v/>
      </c>
      <c r="AM172" t="n">
        <v/>
      </c>
      <c r="AN172" t="n">
        <v/>
      </c>
      <c r="AO172" t="n">
        <v/>
      </c>
      <c r="AP172" t="n">
        <v/>
      </c>
      <c r="AQ172" t="n">
        <v/>
      </c>
      <c r="AR172" t="n">
        <v/>
      </c>
      <c r="AS172" t="n">
        <v/>
      </c>
      <c r="AT172" t="n">
        <v/>
      </c>
      <c r="AU172" t="n">
        <v/>
      </c>
      <c r="AV172" t="n">
        <v/>
      </c>
      <c r="AW172" t="n">
        <v>13.04456</v>
      </c>
      <c r="AX172" t="n">
        <v/>
      </c>
    </row>
    <row r="173">
      <c r="A173" s="92" t="n">
        <v>23102</v>
      </c>
      <c r="B173" t="n">
        <v/>
      </c>
      <c r="C173" t="n">
        <v/>
      </c>
      <c r="D173" t="n">
        <v/>
      </c>
      <c r="E173" t="n">
        <v>13.45684</v>
      </c>
      <c r="F173" t="n">
        <v>25.77447</v>
      </c>
      <c r="G173" t="n">
        <v/>
      </c>
      <c r="H173" t="n">
        <v/>
      </c>
      <c r="I173" t="n">
        <v/>
      </c>
      <c r="J173" t="n">
        <v/>
      </c>
      <c r="K173" t="n">
        <v/>
      </c>
      <c r="L173" t="n">
        <v>25.02603</v>
      </c>
      <c r="M173" t="n">
        <v/>
      </c>
      <c r="N173" t="n">
        <v/>
      </c>
      <c r="O173" t="n">
        <v/>
      </c>
      <c r="P173" t="n">
        <v/>
      </c>
      <c r="Q173" t="n">
        <v/>
      </c>
      <c r="R173" t="n">
        <v>8.388941000000001</v>
      </c>
      <c r="S173" t="n">
        <v/>
      </c>
      <c r="T173" t="n">
        <v/>
      </c>
      <c r="U173" t="n">
        <v/>
      </c>
      <c r="V173" t="n">
        <v/>
      </c>
      <c r="W173" t="n">
        <v/>
      </c>
      <c r="X173" t="n">
        <v/>
      </c>
      <c r="Y173" t="n">
        <v/>
      </c>
      <c r="Z173" t="n">
        <v/>
      </c>
      <c r="AA173" t="n">
        <v/>
      </c>
      <c r="AB173" t="n">
        <v/>
      </c>
      <c r="AC173" t="n">
        <v/>
      </c>
      <c r="AD173" t="n">
        <v>4.235213</v>
      </c>
      <c r="AE173" t="n">
        <v>21.22197</v>
      </c>
      <c r="AF173" t="n">
        <v/>
      </c>
      <c r="AG173" t="n">
        <v/>
      </c>
      <c r="AH173" t="n">
        <v/>
      </c>
      <c r="AI173" t="n">
        <v/>
      </c>
      <c r="AJ173" t="n">
        <v/>
      </c>
      <c r="AK173" t="n">
        <v>15.40385</v>
      </c>
      <c r="AL173" t="n">
        <v/>
      </c>
      <c r="AM173" t="n">
        <v/>
      </c>
      <c r="AN173" t="n">
        <v/>
      </c>
      <c r="AO173" t="n">
        <v/>
      </c>
      <c r="AP173" t="n">
        <v/>
      </c>
      <c r="AQ173" t="n">
        <v/>
      </c>
      <c r="AR173" t="n">
        <v/>
      </c>
      <c r="AS173" t="n">
        <v/>
      </c>
      <c r="AT173" t="n">
        <v/>
      </c>
      <c r="AU173" t="n">
        <v/>
      </c>
      <c r="AV173" t="n">
        <v/>
      </c>
      <c r="AW173" t="n">
        <v>13.08584</v>
      </c>
      <c r="AX173" t="n">
        <v/>
      </c>
    </row>
    <row r="174">
      <c r="A174" s="92" t="n">
        <v>23132</v>
      </c>
      <c r="B174" t="n">
        <v/>
      </c>
      <c r="C174" t="n">
        <v/>
      </c>
      <c r="D174" t="n">
        <v/>
      </c>
      <c r="E174" t="n">
        <v>13.46926</v>
      </c>
      <c r="F174" t="n">
        <v>25.95802</v>
      </c>
      <c r="G174" t="n">
        <v/>
      </c>
      <c r="H174" t="n">
        <v/>
      </c>
      <c r="I174" t="n">
        <v/>
      </c>
      <c r="J174" t="n">
        <v/>
      </c>
      <c r="K174" t="n">
        <v/>
      </c>
      <c r="L174" t="n">
        <v>24.97659</v>
      </c>
      <c r="M174" t="n">
        <v/>
      </c>
      <c r="N174" t="n">
        <v/>
      </c>
      <c r="O174" t="n">
        <v/>
      </c>
      <c r="P174" t="n">
        <v/>
      </c>
      <c r="Q174" t="n">
        <v/>
      </c>
      <c r="R174" t="n">
        <v>8.383084999999999</v>
      </c>
      <c r="S174" t="n">
        <v/>
      </c>
      <c r="T174" t="n">
        <v/>
      </c>
      <c r="U174" t="n">
        <v/>
      </c>
      <c r="V174" t="n">
        <v/>
      </c>
      <c r="W174" t="n">
        <v/>
      </c>
      <c r="X174" t="n">
        <v/>
      </c>
      <c r="Y174" t="n">
        <v/>
      </c>
      <c r="Z174" t="n">
        <v/>
      </c>
      <c r="AA174" t="n">
        <v/>
      </c>
      <c r="AB174" t="n">
        <v/>
      </c>
      <c r="AC174" t="n">
        <v/>
      </c>
      <c r="AD174" t="n">
        <v>4.238014</v>
      </c>
      <c r="AE174" t="n">
        <v>21.43515</v>
      </c>
      <c r="AF174" t="n">
        <v/>
      </c>
      <c r="AG174" t="n">
        <v/>
      </c>
      <c r="AH174" t="n">
        <v/>
      </c>
      <c r="AI174" t="n">
        <v/>
      </c>
      <c r="AJ174" t="n">
        <v/>
      </c>
      <c r="AK174" t="n">
        <v>15.32485</v>
      </c>
      <c r="AL174" t="n">
        <v/>
      </c>
      <c r="AM174" t="n">
        <v/>
      </c>
      <c r="AN174" t="n">
        <v/>
      </c>
      <c r="AO174" t="n">
        <v/>
      </c>
      <c r="AP174" t="n">
        <v/>
      </c>
      <c r="AQ174" t="n">
        <v/>
      </c>
      <c r="AR174" t="n">
        <v/>
      </c>
      <c r="AS174" t="n">
        <v/>
      </c>
      <c r="AT174" t="n">
        <v/>
      </c>
      <c r="AU174" t="n">
        <v/>
      </c>
      <c r="AV174" t="n">
        <v/>
      </c>
      <c r="AW174" t="n">
        <v>13.08584</v>
      </c>
      <c r="AX174" t="n">
        <v/>
      </c>
    </row>
    <row r="175">
      <c r="A175" s="92" t="n">
        <v>23163</v>
      </c>
      <c r="B175" t="n">
        <v/>
      </c>
      <c r="C175" t="n">
        <v/>
      </c>
      <c r="D175" t="n">
        <v/>
      </c>
      <c r="E175" t="n">
        <v>13.44441</v>
      </c>
      <c r="F175" t="n">
        <v>26.00861</v>
      </c>
      <c r="G175" t="n">
        <v/>
      </c>
      <c r="H175" t="n">
        <v/>
      </c>
      <c r="I175" t="n">
        <v/>
      </c>
      <c r="J175" t="n">
        <v/>
      </c>
      <c r="K175" t="n">
        <v/>
      </c>
      <c r="L175" t="n">
        <v>24.83847</v>
      </c>
      <c r="M175" t="n">
        <v/>
      </c>
      <c r="N175" t="n">
        <v/>
      </c>
      <c r="O175" t="n">
        <v/>
      </c>
      <c r="P175" t="n">
        <v/>
      </c>
      <c r="Q175" t="n">
        <v/>
      </c>
      <c r="R175" t="n">
        <v>8.366876</v>
      </c>
      <c r="S175" t="n">
        <v/>
      </c>
      <c r="T175" t="n">
        <v/>
      </c>
      <c r="U175" t="n">
        <v/>
      </c>
      <c r="V175" t="n">
        <v/>
      </c>
      <c r="W175" t="n">
        <v/>
      </c>
      <c r="X175" t="n">
        <v/>
      </c>
      <c r="Y175" t="n">
        <v/>
      </c>
      <c r="Z175" t="n">
        <v/>
      </c>
      <c r="AA175" t="n">
        <v/>
      </c>
      <c r="AB175" t="n">
        <v/>
      </c>
      <c r="AC175" t="n">
        <v/>
      </c>
      <c r="AD175" t="n">
        <v>4.248046</v>
      </c>
      <c r="AE175" t="n">
        <v>21.57723</v>
      </c>
      <c r="AF175" t="n">
        <v/>
      </c>
      <c r="AG175" t="n">
        <v/>
      </c>
      <c r="AH175" t="n">
        <v/>
      </c>
      <c r="AI175" t="n">
        <v/>
      </c>
      <c r="AJ175" t="n">
        <v/>
      </c>
      <c r="AK175" t="n">
        <v>15.39428</v>
      </c>
      <c r="AL175" t="n">
        <v/>
      </c>
      <c r="AM175" t="n">
        <v/>
      </c>
      <c r="AN175" t="n">
        <v/>
      </c>
      <c r="AO175" t="n">
        <v/>
      </c>
      <c r="AP175" t="n">
        <v/>
      </c>
      <c r="AQ175" t="n">
        <v/>
      </c>
      <c r="AR175" t="n">
        <v/>
      </c>
      <c r="AS175" t="n">
        <v/>
      </c>
      <c r="AT175" t="n">
        <v/>
      </c>
      <c r="AU175" t="n">
        <v/>
      </c>
      <c r="AV175" t="n">
        <v/>
      </c>
      <c r="AW175" t="n">
        <v>13.12712</v>
      </c>
      <c r="AX175" t="n">
        <v/>
      </c>
    </row>
    <row r="176">
      <c r="A176" s="92" t="n">
        <v>23193</v>
      </c>
      <c r="B176" t="n">
        <v/>
      </c>
      <c r="C176" t="n">
        <v/>
      </c>
      <c r="D176" t="n">
        <v/>
      </c>
      <c r="E176" t="n">
        <v>13.63627</v>
      </c>
      <c r="F176" t="n">
        <v>26.0635</v>
      </c>
      <c r="G176" t="n">
        <v/>
      </c>
      <c r="H176" t="n">
        <v/>
      </c>
      <c r="I176" t="n">
        <v/>
      </c>
      <c r="J176" t="n">
        <v/>
      </c>
      <c r="K176" t="n">
        <v/>
      </c>
      <c r="L176" t="n">
        <v>24.88121</v>
      </c>
      <c r="M176" t="n">
        <v/>
      </c>
      <c r="N176" t="n">
        <v/>
      </c>
      <c r="O176" t="n">
        <v/>
      </c>
      <c r="P176" t="n">
        <v/>
      </c>
      <c r="Q176" t="n">
        <v/>
      </c>
      <c r="R176" t="n">
        <v>8.383084999999999</v>
      </c>
      <c r="S176" t="n">
        <v/>
      </c>
      <c r="T176" t="n">
        <v/>
      </c>
      <c r="U176" t="n">
        <v/>
      </c>
      <c r="V176" t="n">
        <v/>
      </c>
      <c r="W176" t="n">
        <v/>
      </c>
      <c r="X176" t="n">
        <v/>
      </c>
      <c r="Y176" t="n">
        <v/>
      </c>
      <c r="Z176" t="n">
        <v/>
      </c>
      <c r="AA176" t="n">
        <v/>
      </c>
      <c r="AB176" t="n">
        <v/>
      </c>
      <c r="AC176" t="n">
        <v/>
      </c>
      <c r="AD176" t="n">
        <v>4.251157</v>
      </c>
      <c r="AE176" t="n">
        <v>21.45574</v>
      </c>
      <c r="AF176" t="n">
        <v/>
      </c>
      <c r="AG176" t="n">
        <v/>
      </c>
      <c r="AH176" t="n">
        <v/>
      </c>
      <c r="AI176" t="n">
        <v/>
      </c>
      <c r="AJ176" t="n">
        <v/>
      </c>
      <c r="AK176" t="n">
        <v>15.02523</v>
      </c>
      <c r="AL176" t="n">
        <v/>
      </c>
      <c r="AM176" t="n">
        <v/>
      </c>
      <c r="AN176" t="n">
        <v/>
      </c>
      <c r="AO176" t="n">
        <v/>
      </c>
      <c r="AP176" t="n">
        <v/>
      </c>
      <c r="AQ176" t="n">
        <v/>
      </c>
      <c r="AR176" t="n">
        <v/>
      </c>
      <c r="AS176" t="n">
        <v/>
      </c>
      <c r="AT176" t="n">
        <v/>
      </c>
      <c r="AU176" t="n">
        <v/>
      </c>
      <c r="AV176" t="n">
        <v/>
      </c>
      <c r="AW176" t="n">
        <v>13.12712</v>
      </c>
      <c r="AX176" t="n">
        <v/>
      </c>
    </row>
    <row r="177">
      <c r="A177" s="92" t="n">
        <v>23224</v>
      </c>
      <c r="B177" t="n">
        <v/>
      </c>
      <c r="C177" t="n">
        <v/>
      </c>
      <c r="D177" t="n">
        <v/>
      </c>
      <c r="E177" t="n">
        <v>13.7098</v>
      </c>
      <c r="F177" t="n">
        <v>26.15271</v>
      </c>
      <c r="G177" t="n">
        <v/>
      </c>
      <c r="H177" t="n">
        <v/>
      </c>
      <c r="I177" t="n">
        <v/>
      </c>
      <c r="J177" t="n">
        <v/>
      </c>
      <c r="K177" t="n">
        <v/>
      </c>
      <c r="L177" t="n">
        <v>24.85233</v>
      </c>
      <c r="M177" t="n">
        <v/>
      </c>
      <c r="N177" t="n">
        <v/>
      </c>
      <c r="O177" t="n">
        <v/>
      </c>
      <c r="P177" t="n">
        <v/>
      </c>
      <c r="Q177" t="n">
        <v/>
      </c>
      <c r="R177" t="n">
        <v>8.474277000000001</v>
      </c>
      <c r="S177" t="n">
        <v/>
      </c>
      <c r="T177" t="n">
        <v/>
      </c>
      <c r="U177" t="n">
        <v/>
      </c>
      <c r="V177" t="n">
        <v/>
      </c>
      <c r="W177" t="n">
        <v/>
      </c>
      <c r="X177" t="n">
        <v/>
      </c>
      <c r="Y177" t="n">
        <v/>
      </c>
      <c r="Z177" t="n">
        <v/>
      </c>
      <c r="AA177" t="n">
        <v/>
      </c>
      <c r="AB177" t="n">
        <v/>
      </c>
      <c r="AC177" t="n">
        <v/>
      </c>
      <c r="AD177" t="n">
        <v>4.269701</v>
      </c>
      <c r="AE177" t="n">
        <v>21.40404</v>
      </c>
      <c r="AF177" t="n">
        <v/>
      </c>
      <c r="AG177" t="n">
        <v/>
      </c>
      <c r="AH177" t="n">
        <v/>
      </c>
      <c r="AI177" t="n">
        <v/>
      </c>
      <c r="AJ177" t="n">
        <v/>
      </c>
      <c r="AK177" t="n">
        <v>15.14579</v>
      </c>
      <c r="AL177" t="n">
        <v/>
      </c>
      <c r="AM177" t="n">
        <v/>
      </c>
      <c r="AN177" t="n">
        <v/>
      </c>
      <c r="AO177" t="n">
        <v/>
      </c>
      <c r="AP177" t="n">
        <v/>
      </c>
      <c r="AQ177" t="n">
        <v/>
      </c>
      <c r="AR177" t="n">
        <v/>
      </c>
      <c r="AS177" t="n">
        <v/>
      </c>
      <c r="AT177" t="n">
        <v/>
      </c>
      <c r="AU177" t="n">
        <v/>
      </c>
      <c r="AV177" t="n">
        <v/>
      </c>
      <c r="AW177" t="n">
        <v>13.1684</v>
      </c>
      <c r="AX177" t="n">
        <v/>
      </c>
    </row>
    <row r="178">
      <c r="A178" s="92" t="n">
        <v>23255</v>
      </c>
      <c r="B178" t="n">
        <v/>
      </c>
      <c r="C178" t="n">
        <v/>
      </c>
      <c r="D178" t="n">
        <v/>
      </c>
      <c r="E178" t="n">
        <v>13.63235</v>
      </c>
      <c r="F178" t="n">
        <v>26.21116</v>
      </c>
      <c r="G178" t="n">
        <v/>
      </c>
      <c r="H178" t="n">
        <v/>
      </c>
      <c r="I178" t="n">
        <v/>
      </c>
      <c r="J178" t="n">
        <v/>
      </c>
      <c r="K178" t="n">
        <v/>
      </c>
      <c r="L178" t="n">
        <v>24.88981</v>
      </c>
      <c r="M178" t="n">
        <v/>
      </c>
      <c r="N178" t="n">
        <v/>
      </c>
      <c r="O178" t="n">
        <v/>
      </c>
      <c r="P178" t="n">
        <v/>
      </c>
      <c r="Q178" t="n">
        <v/>
      </c>
      <c r="R178" t="n">
        <v>8.516842</v>
      </c>
      <c r="S178" t="n">
        <v/>
      </c>
      <c r="T178" t="n">
        <v/>
      </c>
      <c r="U178" t="n">
        <v/>
      </c>
      <c r="V178" t="n">
        <v/>
      </c>
      <c r="W178" t="n">
        <v/>
      </c>
      <c r="X178" t="n">
        <v/>
      </c>
      <c r="Y178" t="n">
        <v/>
      </c>
      <c r="Z178" t="n">
        <v/>
      </c>
      <c r="AA178" t="n">
        <v/>
      </c>
      <c r="AB178" t="n">
        <v/>
      </c>
      <c r="AC178" t="n">
        <v/>
      </c>
      <c r="AD178" t="n">
        <v>4.294716</v>
      </c>
      <c r="AE178" t="n">
        <v>21.8476</v>
      </c>
      <c r="AF178" t="n">
        <v/>
      </c>
      <c r="AG178" t="n">
        <v/>
      </c>
      <c r="AH178" t="n">
        <v/>
      </c>
      <c r="AI178" t="n">
        <v/>
      </c>
      <c r="AJ178" t="n">
        <v/>
      </c>
      <c r="AK178" t="n">
        <v>15.29615</v>
      </c>
      <c r="AL178" t="n">
        <v/>
      </c>
      <c r="AM178" t="n">
        <v/>
      </c>
      <c r="AN178" t="n">
        <v/>
      </c>
      <c r="AO178" t="n">
        <v/>
      </c>
      <c r="AP178" t="n">
        <v/>
      </c>
      <c r="AQ178" t="n">
        <v/>
      </c>
      <c r="AR178" t="n">
        <v/>
      </c>
      <c r="AS178" t="n">
        <v/>
      </c>
      <c r="AT178" t="n">
        <v/>
      </c>
      <c r="AU178" t="n">
        <v/>
      </c>
      <c r="AV178" t="n">
        <v/>
      </c>
      <c r="AW178" t="n">
        <v>13.1684</v>
      </c>
      <c r="AX178" t="n">
        <v/>
      </c>
    </row>
    <row r="179">
      <c r="A179" s="92" t="n">
        <v>23285</v>
      </c>
      <c r="B179" t="n">
        <v/>
      </c>
      <c r="C179" t="n">
        <v/>
      </c>
      <c r="D179" t="n">
        <v/>
      </c>
      <c r="E179" t="n">
        <v>13.6572</v>
      </c>
      <c r="F179" t="n">
        <v>26.31569</v>
      </c>
      <c r="G179" t="n">
        <v/>
      </c>
      <c r="H179" t="n">
        <v/>
      </c>
      <c r="I179" t="n">
        <v/>
      </c>
      <c r="J179" t="n">
        <v/>
      </c>
      <c r="K179" t="n">
        <v/>
      </c>
      <c r="L179" t="n">
        <v>25.06206</v>
      </c>
      <c r="M179" t="n">
        <v/>
      </c>
      <c r="N179" t="n">
        <v/>
      </c>
      <c r="O179" t="n">
        <v/>
      </c>
      <c r="P179" t="n">
        <v/>
      </c>
      <c r="Q179" t="n">
        <v/>
      </c>
      <c r="R179" t="n">
        <v>8.677161</v>
      </c>
      <c r="S179" t="n">
        <v/>
      </c>
      <c r="T179" t="n">
        <v/>
      </c>
      <c r="U179" t="n">
        <v/>
      </c>
      <c r="V179" t="n">
        <v/>
      </c>
      <c r="W179" t="n">
        <v/>
      </c>
      <c r="X179" t="n">
        <v/>
      </c>
      <c r="Y179" t="n">
        <v/>
      </c>
      <c r="Z179" t="n">
        <v/>
      </c>
      <c r="AA179" t="n">
        <v/>
      </c>
      <c r="AB179" t="n">
        <v/>
      </c>
      <c r="AC179" t="n">
        <v/>
      </c>
      <c r="AD179" t="n">
        <v>4.333174</v>
      </c>
      <c r="AE179" t="n">
        <v>21.72911</v>
      </c>
      <c r="AF179" t="n">
        <v/>
      </c>
      <c r="AG179" t="n">
        <v/>
      </c>
      <c r="AH179" t="n">
        <v/>
      </c>
      <c r="AI179" t="n">
        <v/>
      </c>
      <c r="AJ179" t="n">
        <v/>
      </c>
      <c r="AK179" t="n">
        <v>15.32677</v>
      </c>
      <c r="AL179" t="n">
        <v/>
      </c>
      <c r="AM179" t="n">
        <v/>
      </c>
      <c r="AN179" t="n">
        <v/>
      </c>
      <c r="AO179" t="n">
        <v/>
      </c>
      <c r="AP179" t="n">
        <v/>
      </c>
      <c r="AQ179" t="n">
        <v/>
      </c>
      <c r="AR179" t="n">
        <v/>
      </c>
      <c r="AS179" t="n">
        <v/>
      </c>
      <c r="AT179" t="n">
        <v/>
      </c>
      <c r="AU179" t="n">
        <v/>
      </c>
      <c r="AV179" t="n">
        <v/>
      </c>
      <c r="AW179" t="n">
        <v>13.20969</v>
      </c>
      <c r="AX179" t="n">
        <v/>
      </c>
    </row>
    <row r="180">
      <c r="A180" s="92" t="n">
        <v>23316</v>
      </c>
      <c r="B180" t="n">
        <v/>
      </c>
      <c r="C180" t="n">
        <v/>
      </c>
      <c r="D180" t="n">
        <v/>
      </c>
      <c r="E180" t="n">
        <v>13.74708</v>
      </c>
      <c r="F180" t="n">
        <v>26.4973</v>
      </c>
      <c r="G180" t="n">
        <v/>
      </c>
      <c r="H180" t="n">
        <v/>
      </c>
      <c r="I180" t="n">
        <v/>
      </c>
      <c r="J180" t="n">
        <v/>
      </c>
      <c r="K180" t="n">
        <v/>
      </c>
      <c r="L180" t="n">
        <v>25.09268</v>
      </c>
      <c r="M180" t="n">
        <v/>
      </c>
      <c r="N180" t="n">
        <v/>
      </c>
      <c r="O180" t="n">
        <v/>
      </c>
      <c r="P180" t="n">
        <v/>
      </c>
      <c r="Q180" t="n">
        <v/>
      </c>
      <c r="R180" t="n">
        <v>8.677161</v>
      </c>
      <c r="S180" t="n">
        <v/>
      </c>
      <c r="T180" t="n">
        <v/>
      </c>
      <c r="U180" t="n">
        <v/>
      </c>
      <c r="V180" t="n">
        <v/>
      </c>
      <c r="W180" t="n">
        <v/>
      </c>
      <c r="X180" t="n">
        <v/>
      </c>
      <c r="Y180" t="n">
        <v/>
      </c>
      <c r="Z180" t="n">
        <v/>
      </c>
      <c r="AA180" t="n">
        <v/>
      </c>
      <c r="AB180" t="n">
        <v/>
      </c>
      <c r="AC180" t="n">
        <v/>
      </c>
      <c r="AD180" t="n">
        <v>4.352789</v>
      </c>
      <c r="AE180" t="n">
        <v>21.63268</v>
      </c>
      <c r="AF180" t="n">
        <v/>
      </c>
      <c r="AG180" t="n">
        <v/>
      </c>
      <c r="AH180" t="n">
        <v/>
      </c>
      <c r="AI180" t="n">
        <v/>
      </c>
      <c r="AJ180" t="n">
        <v/>
      </c>
      <c r="AK180" t="n">
        <v>15.32677</v>
      </c>
      <c r="AL180" t="n">
        <v/>
      </c>
      <c r="AM180" t="n">
        <v/>
      </c>
      <c r="AN180" t="n">
        <v/>
      </c>
      <c r="AO180" t="n">
        <v/>
      </c>
      <c r="AP180" t="n">
        <v/>
      </c>
      <c r="AQ180" t="n">
        <v/>
      </c>
      <c r="AR180" t="n">
        <v/>
      </c>
      <c r="AS180" t="n">
        <v/>
      </c>
      <c r="AT180" t="n">
        <v/>
      </c>
      <c r="AU180" t="n">
        <v/>
      </c>
      <c r="AV180" t="n">
        <v/>
      </c>
      <c r="AW180" t="n">
        <v>13.25097</v>
      </c>
      <c r="AX180" t="n">
        <v/>
      </c>
    </row>
    <row r="181">
      <c r="A181" s="92" t="n">
        <v>23346</v>
      </c>
      <c r="B181" t="n">
        <v/>
      </c>
      <c r="C181" t="n">
        <v/>
      </c>
      <c r="D181" t="n">
        <v/>
      </c>
      <c r="E181" t="n">
        <v>13.74708</v>
      </c>
      <c r="F181" t="n">
        <v>26.51621</v>
      </c>
      <c r="G181" t="n">
        <v/>
      </c>
      <c r="H181" t="n">
        <v/>
      </c>
      <c r="I181" t="n">
        <v/>
      </c>
      <c r="J181" t="n">
        <v/>
      </c>
      <c r="K181" t="n">
        <v/>
      </c>
      <c r="L181" t="n">
        <v>25.30242</v>
      </c>
      <c r="M181" t="n">
        <v/>
      </c>
      <c r="N181" t="n">
        <v/>
      </c>
      <c r="O181" t="n">
        <v/>
      </c>
      <c r="P181" t="n">
        <v/>
      </c>
      <c r="Q181" t="n">
        <v/>
      </c>
      <c r="R181" t="n">
        <v>8.677161</v>
      </c>
      <c r="S181" t="n">
        <v/>
      </c>
      <c r="T181" t="n">
        <v/>
      </c>
      <c r="U181" t="n">
        <v/>
      </c>
      <c r="V181" t="n">
        <v/>
      </c>
      <c r="W181" t="n">
        <v/>
      </c>
      <c r="X181" t="n">
        <v/>
      </c>
      <c r="Y181" t="n">
        <v/>
      </c>
      <c r="Z181" t="n">
        <v/>
      </c>
      <c r="AA181" t="n">
        <v/>
      </c>
      <c r="AB181" t="n">
        <v/>
      </c>
      <c r="AC181" t="n">
        <v/>
      </c>
      <c r="AD181" t="n">
        <v>4.377805</v>
      </c>
      <c r="AE181" t="n">
        <v>21.7435</v>
      </c>
      <c r="AF181" t="n">
        <v/>
      </c>
      <c r="AG181" t="n">
        <v/>
      </c>
      <c r="AH181" t="n">
        <v/>
      </c>
      <c r="AI181" t="n">
        <v/>
      </c>
      <c r="AJ181" t="n">
        <v/>
      </c>
      <c r="AK181" t="n">
        <v>15.43639</v>
      </c>
      <c r="AL181" t="n">
        <v/>
      </c>
      <c r="AM181" t="n">
        <v/>
      </c>
      <c r="AN181" t="n">
        <v/>
      </c>
      <c r="AO181" t="n">
        <v/>
      </c>
      <c r="AP181" t="n">
        <v/>
      </c>
      <c r="AQ181" t="n">
        <v/>
      </c>
      <c r="AR181" t="n">
        <v/>
      </c>
      <c r="AS181" t="n">
        <v/>
      </c>
      <c r="AT181" t="n">
        <v/>
      </c>
      <c r="AU181" t="n">
        <v/>
      </c>
      <c r="AV181" t="n">
        <v/>
      </c>
      <c r="AW181" t="n">
        <v>13.25097</v>
      </c>
      <c r="AX181" t="n">
        <v/>
      </c>
    </row>
    <row r="182">
      <c r="A182" s="92" t="n">
        <v>23377</v>
      </c>
      <c r="B182" t="n">
        <v/>
      </c>
      <c r="C182" t="n">
        <v/>
      </c>
      <c r="D182" t="n">
        <v/>
      </c>
      <c r="E182" t="n">
        <v>13.74708</v>
      </c>
      <c r="F182" t="n">
        <v>26.54849</v>
      </c>
      <c r="G182" t="n">
        <v/>
      </c>
      <c r="H182" t="n">
        <v/>
      </c>
      <c r="I182" t="n">
        <v/>
      </c>
      <c r="J182" t="n">
        <v/>
      </c>
      <c r="K182" t="n">
        <v/>
      </c>
      <c r="L182" t="n">
        <v>25.40976</v>
      </c>
      <c r="M182" t="n">
        <v/>
      </c>
      <c r="N182" t="n">
        <v/>
      </c>
      <c r="O182" t="n">
        <v/>
      </c>
      <c r="P182" t="n">
        <v/>
      </c>
      <c r="Q182" t="n">
        <v/>
      </c>
      <c r="R182" t="n">
        <v>9.028651999999999</v>
      </c>
      <c r="S182" t="n">
        <v/>
      </c>
      <c r="T182" t="n">
        <v/>
      </c>
      <c r="U182" t="n">
        <v/>
      </c>
      <c r="V182" t="n">
        <v/>
      </c>
      <c r="W182" t="n">
        <v/>
      </c>
      <c r="X182" t="n">
        <v/>
      </c>
      <c r="Y182" t="n">
        <v/>
      </c>
      <c r="Z182" t="n">
        <v/>
      </c>
      <c r="AA182" t="n">
        <v/>
      </c>
      <c r="AB182" t="n">
        <v/>
      </c>
      <c r="AC182" t="n">
        <v/>
      </c>
      <c r="AD182" t="n">
        <v>4.417692</v>
      </c>
      <c r="AE182" t="n">
        <v>21.79743</v>
      </c>
      <c r="AF182" t="n">
        <v/>
      </c>
      <c r="AG182" t="n">
        <v/>
      </c>
      <c r="AH182" t="n">
        <v/>
      </c>
      <c r="AI182" t="n">
        <v/>
      </c>
      <c r="AJ182" t="n">
        <v/>
      </c>
      <c r="AK182" t="n">
        <v>15.68626</v>
      </c>
      <c r="AL182" t="n">
        <v/>
      </c>
      <c r="AM182" t="n">
        <v/>
      </c>
      <c r="AN182" t="n">
        <v/>
      </c>
      <c r="AO182" t="n">
        <v/>
      </c>
      <c r="AP182" t="n">
        <v/>
      </c>
      <c r="AQ182" t="n">
        <v/>
      </c>
      <c r="AR182" t="n">
        <v/>
      </c>
      <c r="AS182" t="n">
        <v/>
      </c>
      <c r="AT182" t="n">
        <v/>
      </c>
      <c r="AU182" t="n">
        <v/>
      </c>
      <c r="AV182" t="n">
        <v/>
      </c>
      <c r="AW182" t="n">
        <v>13.25097</v>
      </c>
      <c r="AX182" t="n">
        <v/>
      </c>
    </row>
    <row r="183">
      <c r="A183" s="92" t="n">
        <v>23408</v>
      </c>
      <c r="B183" t="n">
        <v/>
      </c>
      <c r="C183" t="n">
        <v/>
      </c>
      <c r="D183" t="n">
        <v/>
      </c>
      <c r="E183" t="n">
        <v>13.74708</v>
      </c>
      <c r="F183" t="n">
        <v>26.61988</v>
      </c>
      <c r="G183" t="n">
        <v/>
      </c>
      <c r="H183" t="n">
        <v/>
      </c>
      <c r="I183" t="n">
        <v/>
      </c>
      <c r="J183" t="n">
        <v/>
      </c>
      <c r="K183" t="n">
        <v/>
      </c>
      <c r="L183" t="n">
        <v>25.49333</v>
      </c>
      <c r="M183" t="n">
        <v/>
      </c>
      <c r="N183" t="n">
        <v/>
      </c>
      <c r="O183" t="n">
        <v/>
      </c>
      <c r="P183" t="n">
        <v/>
      </c>
      <c r="Q183" t="n">
        <v/>
      </c>
      <c r="R183" t="n">
        <v>9.103635000000001</v>
      </c>
      <c r="S183" t="n">
        <v/>
      </c>
      <c r="T183" t="n">
        <v/>
      </c>
      <c r="U183" t="n">
        <v/>
      </c>
      <c r="V183" t="n">
        <v/>
      </c>
      <c r="W183" t="n">
        <v/>
      </c>
      <c r="X183" t="n">
        <v/>
      </c>
      <c r="Y183" t="n">
        <v/>
      </c>
      <c r="Z183" t="n">
        <v/>
      </c>
      <c r="AA183" t="n">
        <v/>
      </c>
      <c r="AB183" t="n">
        <v/>
      </c>
      <c r="AC183" t="n">
        <v/>
      </c>
      <c r="AD183" t="n">
        <v>4.428122</v>
      </c>
      <c r="AE183" t="n">
        <v>21.76439</v>
      </c>
      <c r="AF183" t="n">
        <v/>
      </c>
      <c r="AG183" t="n">
        <v/>
      </c>
      <c r="AH183" t="n">
        <v/>
      </c>
      <c r="AI183" t="n">
        <v/>
      </c>
      <c r="AJ183" t="n">
        <v/>
      </c>
      <c r="AK183" t="n">
        <v>15.68626</v>
      </c>
      <c r="AL183" t="n">
        <v/>
      </c>
      <c r="AM183" t="n">
        <v/>
      </c>
      <c r="AN183" t="n">
        <v/>
      </c>
      <c r="AO183" t="n">
        <v/>
      </c>
      <c r="AP183" t="n">
        <v/>
      </c>
      <c r="AQ183" t="n">
        <v/>
      </c>
      <c r="AR183" t="n">
        <v/>
      </c>
      <c r="AS183" t="n">
        <v/>
      </c>
      <c r="AT183" t="n">
        <v/>
      </c>
      <c r="AU183" t="n">
        <v/>
      </c>
      <c r="AV183" t="n">
        <v/>
      </c>
      <c r="AW183" t="n">
        <v>13.25097</v>
      </c>
      <c r="AX183" t="n">
        <v/>
      </c>
    </row>
    <row r="184">
      <c r="A184" s="92" t="n">
        <v>23437</v>
      </c>
      <c r="B184" t="n">
        <v/>
      </c>
      <c r="C184" t="n">
        <v/>
      </c>
      <c r="D184" t="n">
        <v/>
      </c>
      <c r="E184" t="n">
        <v>13.7389</v>
      </c>
      <c r="F184" t="n">
        <v>26.63409</v>
      </c>
      <c r="G184" t="n">
        <v/>
      </c>
      <c r="H184" t="n">
        <v/>
      </c>
      <c r="I184" t="n">
        <v/>
      </c>
      <c r="J184" t="n">
        <v/>
      </c>
      <c r="K184" t="n">
        <v/>
      </c>
      <c r="L184" t="n">
        <v>25.49844</v>
      </c>
      <c r="M184" t="n">
        <v/>
      </c>
      <c r="N184" t="n">
        <v/>
      </c>
      <c r="O184" t="n">
        <v/>
      </c>
      <c r="P184" t="n">
        <v/>
      </c>
      <c r="Q184" t="n">
        <v/>
      </c>
      <c r="R184" t="n">
        <v>9.162407999999999</v>
      </c>
      <c r="S184" t="n">
        <v/>
      </c>
      <c r="T184" t="n">
        <v/>
      </c>
      <c r="U184" t="n">
        <v/>
      </c>
      <c r="V184" t="n">
        <v/>
      </c>
      <c r="W184" t="n">
        <v/>
      </c>
      <c r="X184" t="n">
        <v/>
      </c>
      <c r="Y184" t="n">
        <v/>
      </c>
      <c r="Z184" t="n">
        <v/>
      </c>
      <c r="AA184" t="n">
        <v/>
      </c>
      <c r="AB184" t="n">
        <v/>
      </c>
      <c r="AC184" t="n">
        <v/>
      </c>
      <c r="AD184" t="n">
        <v>4.44618</v>
      </c>
      <c r="AE184" t="n">
        <v>21.82261</v>
      </c>
      <c r="AF184" t="n">
        <v/>
      </c>
      <c r="AG184" t="n">
        <v/>
      </c>
      <c r="AH184" t="n">
        <v/>
      </c>
      <c r="AI184" t="n">
        <v/>
      </c>
      <c r="AJ184" t="n">
        <v/>
      </c>
      <c r="AK184" t="n">
        <v>15.83607</v>
      </c>
      <c r="AL184" t="n">
        <v/>
      </c>
      <c r="AM184" t="n">
        <v/>
      </c>
      <c r="AN184" t="n">
        <v/>
      </c>
      <c r="AO184" t="n">
        <v/>
      </c>
      <c r="AP184" t="n">
        <v/>
      </c>
      <c r="AQ184" t="n">
        <v/>
      </c>
      <c r="AR184" t="n">
        <v/>
      </c>
      <c r="AS184" t="n">
        <v/>
      </c>
      <c r="AT184" t="n">
        <v/>
      </c>
      <c r="AU184" t="n">
        <v/>
      </c>
      <c r="AV184" t="n">
        <v/>
      </c>
      <c r="AW184" t="n">
        <v>13.29225</v>
      </c>
      <c r="AX184" t="n">
        <v/>
      </c>
    </row>
    <row r="185">
      <c r="A185" s="92" t="n">
        <v>23468</v>
      </c>
      <c r="B185" t="n">
        <v/>
      </c>
      <c r="C185" t="n">
        <v/>
      </c>
      <c r="D185" t="n">
        <v/>
      </c>
      <c r="E185" t="n">
        <v>13.84121</v>
      </c>
      <c r="F185" t="n">
        <v>26.79335</v>
      </c>
      <c r="G185" t="n">
        <v/>
      </c>
      <c r="H185" t="n">
        <v/>
      </c>
      <c r="I185" t="n">
        <v/>
      </c>
      <c r="J185" t="n">
        <v/>
      </c>
      <c r="K185" t="n">
        <v/>
      </c>
      <c r="L185" t="n">
        <v>25.53082</v>
      </c>
      <c r="M185" t="n">
        <v/>
      </c>
      <c r="N185" t="n">
        <v/>
      </c>
      <c r="O185" t="n">
        <v/>
      </c>
      <c r="P185" t="n">
        <v/>
      </c>
      <c r="Q185" t="n">
        <v/>
      </c>
      <c r="R185" t="n">
        <v>9.215325</v>
      </c>
      <c r="S185" t="n">
        <v/>
      </c>
      <c r="T185" t="n">
        <v/>
      </c>
      <c r="U185" t="n">
        <v/>
      </c>
      <c r="V185" t="n">
        <v/>
      </c>
      <c r="W185" t="n">
        <v/>
      </c>
      <c r="X185" t="n">
        <v/>
      </c>
      <c r="Y185" t="n">
        <v/>
      </c>
      <c r="Z185" t="n">
        <v/>
      </c>
      <c r="AA185" t="n">
        <v/>
      </c>
      <c r="AB185" t="n">
        <v/>
      </c>
      <c r="AC185" t="n">
        <v/>
      </c>
      <c r="AD185" t="n">
        <v>4.456471</v>
      </c>
      <c r="AE185" t="n">
        <v>22.17519</v>
      </c>
      <c r="AF185" t="n">
        <v/>
      </c>
      <c r="AG185" t="n">
        <v/>
      </c>
      <c r="AH185" t="n">
        <v/>
      </c>
      <c r="AI185" t="n">
        <v/>
      </c>
      <c r="AJ185" t="n">
        <v/>
      </c>
      <c r="AK185" t="n">
        <v>16.46456</v>
      </c>
      <c r="AL185" t="n">
        <v/>
      </c>
      <c r="AM185" t="n">
        <v/>
      </c>
      <c r="AN185" t="n">
        <v/>
      </c>
      <c r="AO185" t="n">
        <v/>
      </c>
      <c r="AP185" t="n">
        <v/>
      </c>
      <c r="AQ185" t="n">
        <v/>
      </c>
      <c r="AR185" t="n">
        <v/>
      </c>
      <c r="AS185" t="n">
        <v/>
      </c>
      <c r="AT185" t="n">
        <v/>
      </c>
      <c r="AU185" t="n">
        <v/>
      </c>
      <c r="AV185" t="n">
        <v/>
      </c>
      <c r="AW185" t="n">
        <v>13.29225</v>
      </c>
      <c r="AX185" t="n">
        <v/>
      </c>
    </row>
    <row r="186">
      <c r="A186" s="92" t="n">
        <v>23498</v>
      </c>
      <c r="B186" t="n">
        <v/>
      </c>
      <c r="C186" t="n">
        <v/>
      </c>
      <c r="D186" t="n">
        <v/>
      </c>
      <c r="E186" t="n">
        <v>13.84121</v>
      </c>
      <c r="F186" t="n">
        <v>26.98672</v>
      </c>
      <c r="G186" t="n">
        <v/>
      </c>
      <c r="H186" t="n">
        <v/>
      </c>
      <c r="I186" t="n">
        <v/>
      </c>
      <c r="J186" t="n">
        <v/>
      </c>
      <c r="K186" t="n">
        <v/>
      </c>
      <c r="L186" t="n">
        <v>25.52396</v>
      </c>
      <c r="M186" t="n">
        <v/>
      </c>
      <c r="N186" t="n">
        <v/>
      </c>
      <c r="O186" t="n">
        <v/>
      </c>
      <c r="P186" t="n">
        <v/>
      </c>
      <c r="Q186" t="n">
        <v/>
      </c>
      <c r="R186" t="n">
        <v>9.274099</v>
      </c>
      <c r="S186" t="n">
        <v/>
      </c>
      <c r="T186" t="n">
        <v/>
      </c>
      <c r="U186" t="n">
        <v/>
      </c>
      <c r="V186" t="n">
        <v/>
      </c>
      <c r="W186" t="n">
        <v/>
      </c>
      <c r="X186" t="n">
        <v/>
      </c>
      <c r="Y186" t="n">
        <v/>
      </c>
      <c r="Z186" t="n">
        <v/>
      </c>
      <c r="AA186" t="n">
        <v/>
      </c>
      <c r="AB186" t="n">
        <v/>
      </c>
      <c r="AC186" t="n">
        <v/>
      </c>
      <c r="AD186" t="n">
        <v>4.501705</v>
      </c>
      <c r="AE186" t="n">
        <v>22.27119</v>
      </c>
      <c r="AF186" t="n">
        <v/>
      </c>
      <c r="AG186" t="n">
        <v/>
      </c>
      <c r="AH186" t="n">
        <v/>
      </c>
      <c r="AI186" t="n">
        <v/>
      </c>
      <c r="AJ186" t="n">
        <v/>
      </c>
      <c r="AK186" t="n">
        <v>16.1242</v>
      </c>
      <c r="AL186" t="n">
        <v/>
      </c>
      <c r="AM186" t="n">
        <v/>
      </c>
      <c r="AN186" t="n">
        <v/>
      </c>
      <c r="AO186" t="n">
        <v/>
      </c>
      <c r="AP186" t="n">
        <v/>
      </c>
      <c r="AQ186" t="n">
        <v/>
      </c>
      <c r="AR186" t="n">
        <v/>
      </c>
      <c r="AS186" t="n">
        <v/>
      </c>
      <c r="AT186" t="n">
        <v/>
      </c>
      <c r="AU186" t="n">
        <v/>
      </c>
      <c r="AV186" t="n">
        <v/>
      </c>
      <c r="AW186" t="n">
        <v>13.29225</v>
      </c>
      <c r="AX186" t="n">
        <v/>
      </c>
    </row>
    <row r="187">
      <c r="A187" s="92" t="n">
        <v>23529</v>
      </c>
      <c r="B187" t="n">
        <v/>
      </c>
      <c r="C187" t="n">
        <v/>
      </c>
      <c r="D187" t="n">
        <v/>
      </c>
      <c r="E187" t="n">
        <v>13.81636</v>
      </c>
      <c r="F187" t="n">
        <v>26.95564</v>
      </c>
      <c r="G187" t="n">
        <v/>
      </c>
      <c r="H187" t="n">
        <v/>
      </c>
      <c r="I187" t="n">
        <v/>
      </c>
      <c r="J187" t="n">
        <v/>
      </c>
      <c r="K187" t="n">
        <v/>
      </c>
      <c r="L187" t="n">
        <v>25.43528</v>
      </c>
      <c r="M187" t="n">
        <v/>
      </c>
      <c r="N187" t="n">
        <v/>
      </c>
      <c r="O187" t="n">
        <v/>
      </c>
      <c r="P187" t="n">
        <v/>
      </c>
      <c r="Q187" t="n">
        <v/>
      </c>
      <c r="R187" t="n">
        <v>9.371147000000001</v>
      </c>
      <c r="S187" t="n">
        <v/>
      </c>
      <c r="T187" t="n">
        <v/>
      </c>
      <c r="U187" t="n">
        <v/>
      </c>
      <c r="V187" t="n">
        <v/>
      </c>
      <c r="W187" t="n">
        <v/>
      </c>
      <c r="X187" t="n">
        <v/>
      </c>
      <c r="Y187" t="n">
        <v/>
      </c>
      <c r="Z187" t="n">
        <v/>
      </c>
      <c r="AA187" t="n">
        <v/>
      </c>
      <c r="AB187" t="n">
        <v/>
      </c>
      <c r="AC187" t="n">
        <v/>
      </c>
      <c r="AD187" t="n">
        <v>4.522449</v>
      </c>
      <c r="AE187" t="n">
        <v>22.23726</v>
      </c>
      <c r="AF187" t="n">
        <v/>
      </c>
      <c r="AG187" t="n">
        <v/>
      </c>
      <c r="AH187" t="n">
        <v/>
      </c>
      <c r="AI187" t="n">
        <v/>
      </c>
      <c r="AJ187" t="n">
        <v/>
      </c>
      <c r="AK187" t="n">
        <v>16.16439</v>
      </c>
      <c r="AL187" t="n">
        <v/>
      </c>
      <c r="AM187" t="n">
        <v/>
      </c>
      <c r="AN187" t="n">
        <v/>
      </c>
      <c r="AO187" t="n">
        <v/>
      </c>
      <c r="AP187" t="n">
        <v/>
      </c>
      <c r="AQ187" t="n">
        <v/>
      </c>
      <c r="AR187" t="n">
        <v/>
      </c>
      <c r="AS187" t="n">
        <v/>
      </c>
      <c r="AT187" t="n">
        <v/>
      </c>
      <c r="AU187" t="n">
        <v/>
      </c>
      <c r="AV187" t="n">
        <v/>
      </c>
      <c r="AW187" t="n">
        <v>13.33353</v>
      </c>
      <c r="AX187" t="n">
        <v/>
      </c>
    </row>
    <row r="188">
      <c r="A188" s="92" t="n">
        <v>23559</v>
      </c>
      <c r="B188" t="n">
        <v/>
      </c>
      <c r="C188" t="n">
        <v/>
      </c>
      <c r="D188" t="n">
        <v/>
      </c>
      <c r="E188" t="n">
        <v>13.86896</v>
      </c>
      <c r="F188" t="n">
        <v>26.97415</v>
      </c>
      <c r="G188" t="n">
        <v/>
      </c>
      <c r="H188" t="n">
        <v/>
      </c>
      <c r="I188" t="n">
        <v/>
      </c>
      <c r="J188" t="n">
        <v/>
      </c>
      <c r="K188" t="n">
        <v/>
      </c>
      <c r="L188" t="n">
        <v>25.51886</v>
      </c>
      <c r="M188" t="n">
        <v/>
      </c>
      <c r="N188" t="n">
        <v/>
      </c>
      <c r="O188" t="n">
        <v/>
      </c>
      <c r="P188" t="n">
        <v/>
      </c>
      <c r="Q188" t="n">
        <v/>
      </c>
      <c r="R188" t="n">
        <v>9.371147000000001</v>
      </c>
      <c r="S188" t="n">
        <v/>
      </c>
      <c r="T188" t="n">
        <v/>
      </c>
      <c r="U188" t="n">
        <v/>
      </c>
      <c r="V188" t="n">
        <v/>
      </c>
      <c r="W188" t="n">
        <v/>
      </c>
      <c r="X188" t="n">
        <v/>
      </c>
      <c r="Y188" t="n">
        <v/>
      </c>
      <c r="Z188" t="n">
        <v/>
      </c>
      <c r="AA188" t="n">
        <v/>
      </c>
      <c r="AB188" t="n">
        <v/>
      </c>
      <c r="AC188" t="n">
        <v/>
      </c>
      <c r="AD188" t="n">
        <v>4.5471</v>
      </c>
      <c r="AE188" t="n">
        <v>22.146</v>
      </c>
      <c r="AF188" t="n">
        <v/>
      </c>
      <c r="AG188" t="n">
        <v/>
      </c>
      <c r="AH188" t="n">
        <v/>
      </c>
      <c r="AI188" t="n">
        <v/>
      </c>
      <c r="AJ188" t="n">
        <v/>
      </c>
      <c r="AK188" t="n">
        <v>16.19501</v>
      </c>
      <c r="AL188" t="n">
        <v/>
      </c>
      <c r="AM188" t="n">
        <v/>
      </c>
      <c r="AN188" t="n">
        <v/>
      </c>
      <c r="AO188" t="n">
        <v/>
      </c>
      <c r="AP188" t="n">
        <v/>
      </c>
      <c r="AQ188" t="n">
        <v/>
      </c>
      <c r="AR188" t="n">
        <v/>
      </c>
      <c r="AS188" t="n">
        <v/>
      </c>
      <c r="AT188" t="n">
        <v/>
      </c>
      <c r="AU188" t="n">
        <v/>
      </c>
      <c r="AV188" t="n">
        <v/>
      </c>
      <c r="AW188" t="n">
        <v>13.33353</v>
      </c>
      <c r="AX188" t="n">
        <v/>
      </c>
    </row>
    <row r="189">
      <c r="A189" s="92" t="n">
        <v>23590</v>
      </c>
      <c r="B189" t="n">
        <v/>
      </c>
      <c r="C189" t="n">
        <v/>
      </c>
      <c r="D189" t="n">
        <v/>
      </c>
      <c r="E189" t="n">
        <v>13.88138</v>
      </c>
      <c r="F189" t="n">
        <v>27.05865</v>
      </c>
      <c r="G189" t="n">
        <v/>
      </c>
      <c r="H189" t="n">
        <v/>
      </c>
      <c r="I189" t="n">
        <v/>
      </c>
      <c r="J189" t="n">
        <v/>
      </c>
      <c r="K189" t="n">
        <v/>
      </c>
      <c r="L189" t="n">
        <v>25.54278</v>
      </c>
      <c r="M189" t="n">
        <v/>
      </c>
      <c r="N189" t="n">
        <v/>
      </c>
      <c r="O189" t="n">
        <v/>
      </c>
      <c r="P189" t="n">
        <v/>
      </c>
      <c r="Q189" t="n">
        <v/>
      </c>
      <c r="R189" t="n">
        <v>9.371147000000001</v>
      </c>
      <c r="S189" t="n">
        <v/>
      </c>
      <c r="T189" t="n">
        <v/>
      </c>
      <c r="U189" t="n">
        <v/>
      </c>
      <c r="V189" t="n">
        <v/>
      </c>
      <c r="W189" t="n">
        <v/>
      </c>
      <c r="X189" t="n">
        <v/>
      </c>
      <c r="Y189" t="n">
        <v/>
      </c>
      <c r="Z189" t="n">
        <v/>
      </c>
      <c r="AA189" t="n">
        <v/>
      </c>
      <c r="AB189" t="n">
        <v/>
      </c>
      <c r="AC189" t="n">
        <v/>
      </c>
      <c r="AD189" t="n">
        <v>4.566887</v>
      </c>
      <c r="AE189" t="n">
        <v>22.33415</v>
      </c>
      <c r="AF189" t="n">
        <v/>
      </c>
      <c r="AG189" t="n">
        <v/>
      </c>
      <c r="AH189" t="n">
        <v/>
      </c>
      <c r="AI189" t="n">
        <v/>
      </c>
      <c r="AJ189" t="n">
        <v/>
      </c>
      <c r="AK189" t="n">
        <v>16.38502</v>
      </c>
      <c r="AL189" t="n">
        <v/>
      </c>
      <c r="AM189" t="n">
        <v/>
      </c>
      <c r="AN189" t="n">
        <v/>
      </c>
      <c r="AO189" t="n">
        <v/>
      </c>
      <c r="AP189" t="n">
        <v/>
      </c>
      <c r="AQ189" t="n">
        <v/>
      </c>
      <c r="AR189" t="n">
        <v/>
      </c>
      <c r="AS189" t="n">
        <v/>
      </c>
      <c r="AT189" t="n">
        <v/>
      </c>
      <c r="AU189" t="n">
        <v/>
      </c>
      <c r="AV189" t="n">
        <v/>
      </c>
      <c r="AW189" t="n">
        <v>13.29225</v>
      </c>
      <c r="AX189" t="n">
        <v/>
      </c>
    </row>
    <row r="190">
      <c r="A190" s="92" t="n">
        <v>23621</v>
      </c>
      <c r="B190" t="n">
        <v/>
      </c>
      <c r="C190" t="n">
        <v/>
      </c>
      <c r="D190" t="n">
        <v/>
      </c>
      <c r="E190" t="n">
        <v>13.91866</v>
      </c>
      <c r="F190" t="n">
        <v>27.09763</v>
      </c>
      <c r="G190" t="n">
        <v/>
      </c>
      <c r="H190" t="n">
        <v/>
      </c>
      <c r="I190" t="n">
        <v/>
      </c>
      <c r="J190" t="n">
        <v/>
      </c>
      <c r="K190" t="n">
        <v/>
      </c>
      <c r="L190" t="n">
        <v>25.52746</v>
      </c>
      <c r="M190" t="n">
        <v/>
      </c>
      <c r="N190" t="n">
        <v/>
      </c>
      <c r="O190" t="n">
        <v/>
      </c>
      <c r="P190" t="n">
        <v/>
      </c>
      <c r="Q190" t="n">
        <v/>
      </c>
      <c r="R190" t="n">
        <v>9.424065000000001</v>
      </c>
      <c r="S190" t="n">
        <v/>
      </c>
      <c r="T190" t="n">
        <v/>
      </c>
      <c r="U190" t="n">
        <v/>
      </c>
      <c r="V190" t="n">
        <v/>
      </c>
      <c r="W190" t="n">
        <v/>
      </c>
      <c r="X190" t="n">
        <v/>
      </c>
      <c r="Y190" t="n">
        <v/>
      </c>
      <c r="Z190" t="n">
        <v/>
      </c>
      <c r="AA190" t="n">
        <v/>
      </c>
      <c r="AB190" t="n">
        <v/>
      </c>
      <c r="AC190" t="n">
        <v/>
      </c>
      <c r="AD190" t="n">
        <v>4.585916</v>
      </c>
      <c r="AE190" t="n">
        <v>22.65949</v>
      </c>
      <c r="AF190" t="n">
        <v/>
      </c>
      <c r="AG190" t="n">
        <v/>
      </c>
      <c r="AH190" t="n">
        <v/>
      </c>
      <c r="AI190" t="n">
        <v/>
      </c>
      <c r="AJ190" t="n">
        <v/>
      </c>
      <c r="AK190" t="n">
        <v>16.51569</v>
      </c>
      <c r="AL190" t="n">
        <v/>
      </c>
      <c r="AM190" t="n">
        <v/>
      </c>
      <c r="AN190" t="n">
        <v/>
      </c>
      <c r="AO190" t="n">
        <v/>
      </c>
      <c r="AP190" t="n">
        <v/>
      </c>
      <c r="AQ190" t="n">
        <v/>
      </c>
      <c r="AR190" t="n">
        <v/>
      </c>
      <c r="AS190" t="n">
        <v/>
      </c>
      <c r="AT190" t="n">
        <v/>
      </c>
      <c r="AU190" t="n">
        <v/>
      </c>
      <c r="AV190" t="n">
        <v/>
      </c>
      <c r="AW190" t="n">
        <v>13.33353</v>
      </c>
      <c r="AX190" t="n">
        <v/>
      </c>
    </row>
    <row r="191">
      <c r="A191" s="92" t="n">
        <v>23651</v>
      </c>
      <c r="B191" t="n">
        <v/>
      </c>
      <c r="C191" t="n">
        <v/>
      </c>
      <c r="D191" t="n">
        <v/>
      </c>
      <c r="E191" t="n">
        <v>13.96412</v>
      </c>
      <c r="F191" t="n">
        <v>27.18795</v>
      </c>
      <c r="G191" t="n">
        <v/>
      </c>
      <c r="H191" t="n">
        <v/>
      </c>
      <c r="I191" t="n">
        <v/>
      </c>
      <c r="J191" t="n">
        <v/>
      </c>
      <c r="K191" t="n">
        <v/>
      </c>
      <c r="L191" t="n">
        <v>25.62985</v>
      </c>
      <c r="M191" t="n">
        <v/>
      </c>
      <c r="N191" t="n">
        <v/>
      </c>
      <c r="O191" t="n">
        <v/>
      </c>
      <c r="P191" t="n">
        <v/>
      </c>
      <c r="Q191" t="n">
        <v/>
      </c>
      <c r="R191" t="n">
        <v>9.440274</v>
      </c>
      <c r="S191" t="n">
        <v/>
      </c>
      <c r="T191" t="n">
        <v/>
      </c>
      <c r="U191" t="n">
        <v/>
      </c>
      <c r="V191" t="n">
        <v/>
      </c>
      <c r="W191" t="n">
        <v/>
      </c>
      <c r="X191" t="n">
        <v/>
      </c>
      <c r="Y191" t="n">
        <v/>
      </c>
      <c r="Z191" t="n">
        <v/>
      </c>
      <c r="AA191" t="n">
        <v/>
      </c>
      <c r="AB191" t="n">
        <v/>
      </c>
      <c r="AC191" t="n">
        <v/>
      </c>
      <c r="AD191" t="n">
        <v>4.604944</v>
      </c>
      <c r="AE191" t="n">
        <v>22.97846</v>
      </c>
      <c r="AF191" t="n">
        <v/>
      </c>
      <c r="AG191" t="n">
        <v/>
      </c>
      <c r="AH191" t="n">
        <v/>
      </c>
      <c r="AI191" t="n">
        <v/>
      </c>
      <c r="AJ191" t="n">
        <v/>
      </c>
      <c r="AK191" t="n">
        <v>16.36588</v>
      </c>
      <c r="AL191" t="n">
        <v/>
      </c>
      <c r="AM191" t="n">
        <v/>
      </c>
      <c r="AN191" t="n">
        <v/>
      </c>
      <c r="AO191" t="n">
        <v/>
      </c>
      <c r="AP191" t="n">
        <v/>
      </c>
      <c r="AQ191" t="n">
        <v/>
      </c>
      <c r="AR191" t="n">
        <v/>
      </c>
      <c r="AS191" t="n">
        <v/>
      </c>
      <c r="AT191" t="n">
        <v/>
      </c>
      <c r="AU191" t="n">
        <v/>
      </c>
      <c r="AV191" t="n">
        <v/>
      </c>
      <c r="AW191" t="n">
        <v>13.37481</v>
      </c>
      <c r="AX191" t="n">
        <v/>
      </c>
    </row>
    <row r="192">
      <c r="A192" s="92" t="n">
        <v>23682</v>
      </c>
      <c r="B192" t="n">
        <v/>
      </c>
      <c r="C192" t="n">
        <v/>
      </c>
      <c r="D192" t="n">
        <v/>
      </c>
      <c r="E192" t="n">
        <v>13.95169</v>
      </c>
      <c r="F192" t="n">
        <v>27.20956</v>
      </c>
      <c r="G192" t="n">
        <v/>
      </c>
      <c r="H192" t="n">
        <v/>
      </c>
      <c r="I192" t="n">
        <v/>
      </c>
      <c r="J192" t="n">
        <v/>
      </c>
      <c r="K192" t="n">
        <v/>
      </c>
      <c r="L192" t="n">
        <v>25.73895</v>
      </c>
      <c r="M192" t="n">
        <v/>
      </c>
      <c r="N192" t="n">
        <v/>
      </c>
      <c r="O192" t="n">
        <v/>
      </c>
      <c r="P192" t="n">
        <v/>
      </c>
      <c r="Q192" t="n">
        <v/>
      </c>
      <c r="R192" t="n">
        <v>9.515257</v>
      </c>
      <c r="S192" t="n">
        <v/>
      </c>
      <c r="T192" t="n">
        <v/>
      </c>
      <c r="U192" t="n">
        <v/>
      </c>
      <c r="V192" t="n">
        <v/>
      </c>
      <c r="W192" t="n">
        <v/>
      </c>
      <c r="X192" t="n">
        <v/>
      </c>
      <c r="Y192" t="n">
        <v/>
      </c>
      <c r="Z192" t="n">
        <v/>
      </c>
      <c r="AA192" t="n">
        <v/>
      </c>
      <c r="AB192" t="n">
        <v/>
      </c>
      <c r="AC192" t="n">
        <v/>
      </c>
      <c r="AD192" t="n">
        <v>4.633505</v>
      </c>
      <c r="AE192" t="n">
        <v>22.84231</v>
      </c>
      <c r="AF192" t="n">
        <v/>
      </c>
      <c r="AG192" t="n">
        <v/>
      </c>
      <c r="AH192" t="n">
        <v/>
      </c>
      <c r="AI192" t="n">
        <v/>
      </c>
      <c r="AJ192" t="n">
        <v/>
      </c>
      <c r="AK192" t="n">
        <v>16.36588</v>
      </c>
      <c r="AL192" t="n">
        <v/>
      </c>
      <c r="AM192" t="n">
        <v/>
      </c>
      <c r="AN192" t="n">
        <v/>
      </c>
      <c r="AO192" t="n">
        <v/>
      </c>
      <c r="AP192" t="n">
        <v/>
      </c>
      <c r="AQ192" t="n">
        <v/>
      </c>
      <c r="AR192" t="n">
        <v/>
      </c>
      <c r="AS192" t="n">
        <v/>
      </c>
      <c r="AT192" t="n">
        <v/>
      </c>
      <c r="AU192" t="n">
        <v/>
      </c>
      <c r="AV192" t="n">
        <v/>
      </c>
      <c r="AW192" t="n">
        <v>13.41609</v>
      </c>
      <c r="AX192" t="n">
        <v/>
      </c>
    </row>
    <row r="193">
      <c r="A193" s="92" t="n">
        <v>23712</v>
      </c>
      <c r="B193" t="n">
        <v/>
      </c>
      <c r="C193" t="n">
        <v/>
      </c>
      <c r="D193" t="n">
        <v/>
      </c>
      <c r="E193" t="n">
        <v>14.02914</v>
      </c>
      <c r="F193" t="n">
        <v>27.23744</v>
      </c>
      <c r="G193" t="n">
        <v/>
      </c>
      <c r="H193" t="n">
        <v/>
      </c>
      <c r="I193" t="n">
        <v/>
      </c>
      <c r="J193" t="n">
        <v/>
      </c>
      <c r="K193" t="n">
        <v/>
      </c>
      <c r="L193" t="n">
        <v>25.96574</v>
      </c>
      <c r="M193" t="n">
        <v/>
      </c>
      <c r="N193" t="n">
        <v/>
      </c>
      <c r="O193" t="n">
        <v/>
      </c>
      <c r="P193" t="n">
        <v/>
      </c>
      <c r="Q193" t="n">
        <v/>
      </c>
      <c r="R193" t="n">
        <v>9.499046999999999</v>
      </c>
      <c r="S193" t="n">
        <v/>
      </c>
      <c r="T193" t="n">
        <v/>
      </c>
      <c r="U193" t="n">
        <v/>
      </c>
      <c r="V193" t="n">
        <v/>
      </c>
      <c r="W193" t="n">
        <v/>
      </c>
      <c r="X193" t="n">
        <v/>
      </c>
      <c r="Y193" t="n">
        <v/>
      </c>
      <c r="Z193" t="n">
        <v/>
      </c>
      <c r="AA193" t="n">
        <v/>
      </c>
      <c r="AB193" t="n">
        <v/>
      </c>
      <c r="AC193" t="n">
        <v/>
      </c>
      <c r="AD193" t="n">
        <v>4.648004</v>
      </c>
      <c r="AE193" t="n">
        <v>22.85195</v>
      </c>
      <c r="AF193" t="n">
        <v/>
      </c>
      <c r="AG193" t="n">
        <v/>
      </c>
      <c r="AH193" t="n">
        <v/>
      </c>
      <c r="AI193" t="n">
        <v/>
      </c>
      <c r="AJ193" t="n">
        <v/>
      </c>
      <c r="AK193" t="n">
        <v>16.36588</v>
      </c>
      <c r="AL193" t="n">
        <v/>
      </c>
      <c r="AM193" t="n">
        <v/>
      </c>
      <c r="AN193" t="n">
        <v/>
      </c>
      <c r="AO193" t="n">
        <v/>
      </c>
      <c r="AP193" t="n">
        <v/>
      </c>
      <c r="AQ193" t="n">
        <v/>
      </c>
      <c r="AR193" t="n">
        <v/>
      </c>
      <c r="AS193" t="n">
        <v/>
      </c>
      <c r="AT193" t="n">
        <v/>
      </c>
      <c r="AU193" t="n">
        <v/>
      </c>
      <c r="AV193" t="n">
        <v/>
      </c>
      <c r="AW193" t="n">
        <v>13.41609</v>
      </c>
      <c r="AX193" t="n">
        <v/>
      </c>
    </row>
    <row r="194">
      <c r="A194" s="92" t="n">
        <v>23743</v>
      </c>
      <c r="B194" t="n">
        <v/>
      </c>
      <c r="C194" t="n">
        <v/>
      </c>
      <c r="D194" t="n">
        <v/>
      </c>
      <c r="E194" t="n">
        <v>14.03339</v>
      </c>
      <c r="F194" t="n">
        <v>27.27497</v>
      </c>
      <c r="G194" t="n">
        <v/>
      </c>
      <c r="H194" t="n">
        <v/>
      </c>
      <c r="I194" t="n">
        <v/>
      </c>
      <c r="J194" t="n">
        <v/>
      </c>
      <c r="K194" t="n">
        <v/>
      </c>
      <c r="L194" t="n">
        <v>25.98791</v>
      </c>
      <c r="M194" t="n">
        <v/>
      </c>
      <c r="N194" t="n">
        <v/>
      </c>
      <c r="O194" t="n">
        <v/>
      </c>
      <c r="P194" t="n">
        <v/>
      </c>
      <c r="Q194" t="n">
        <v/>
      </c>
      <c r="R194" t="n">
        <v>9.59024</v>
      </c>
      <c r="S194" t="n">
        <v/>
      </c>
      <c r="T194" t="n">
        <v/>
      </c>
      <c r="U194" t="n">
        <v/>
      </c>
      <c r="V194" t="n">
        <v/>
      </c>
      <c r="W194" t="n">
        <v/>
      </c>
      <c r="X194" t="n">
        <v/>
      </c>
      <c r="Y194" t="n">
        <v/>
      </c>
      <c r="Z194" t="n">
        <v/>
      </c>
      <c r="AA194" t="n">
        <v/>
      </c>
      <c r="AB194" t="n">
        <v/>
      </c>
      <c r="AC194" t="n">
        <v/>
      </c>
      <c r="AD194" t="n">
        <v>4.674037</v>
      </c>
      <c r="AE194" t="n">
        <v>23.25003</v>
      </c>
      <c r="AF194" t="n">
        <v/>
      </c>
      <c r="AG194" t="n">
        <v/>
      </c>
      <c r="AH194" t="n">
        <v/>
      </c>
      <c r="AI194" t="n">
        <v/>
      </c>
      <c r="AJ194" t="n">
        <v/>
      </c>
      <c r="AK194" t="n">
        <v>16.37957</v>
      </c>
      <c r="AL194" t="n">
        <v/>
      </c>
      <c r="AM194" t="n">
        <v/>
      </c>
      <c r="AN194" t="n">
        <v/>
      </c>
      <c r="AO194" t="n">
        <v/>
      </c>
      <c r="AP194" t="n">
        <v/>
      </c>
      <c r="AQ194" t="n">
        <v/>
      </c>
      <c r="AR194" t="n">
        <v/>
      </c>
      <c r="AS194" t="n">
        <v/>
      </c>
      <c r="AT194" t="n">
        <v/>
      </c>
      <c r="AU194" t="n">
        <v/>
      </c>
      <c r="AV194" t="n">
        <v/>
      </c>
      <c r="AW194" t="n">
        <v>13.45737</v>
      </c>
      <c r="AX194" t="n">
        <v/>
      </c>
    </row>
    <row r="195">
      <c r="A195" s="92" t="n">
        <v>23774</v>
      </c>
      <c r="B195" t="n">
        <v/>
      </c>
      <c r="C195" t="n">
        <v/>
      </c>
      <c r="D195" t="n">
        <v/>
      </c>
      <c r="E195" t="n">
        <v>14.02097</v>
      </c>
      <c r="F195" t="n">
        <v>27.42139</v>
      </c>
      <c r="G195" t="n">
        <v/>
      </c>
      <c r="H195" t="n">
        <v/>
      </c>
      <c r="I195" t="n">
        <v/>
      </c>
      <c r="J195" t="n">
        <v/>
      </c>
      <c r="K195" t="n">
        <v/>
      </c>
      <c r="L195" t="n">
        <v>26.01183</v>
      </c>
      <c r="M195" t="n">
        <v/>
      </c>
      <c r="N195" t="n">
        <v/>
      </c>
      <c r="O195" t="n">
        <v/>
      </c>
      <c r="P195" t="n">
        <v/>
      </c>
      <c r="Q195" t="n">
        <v/>
      </c>
      <c r="R195" t="n">
        <v>9.574031</v>
      </c>
      <c r="S195" t="n">
        <v/>
      </c>
      <c r="T195" t="n">
        <v/>
      </c>
      <c r="U195" t="n">
        <v/>
      </c>
      <c r="V195" t="n">
        <v/>
      </c>
      <c r="W195" t="n">
        <v/>
      </c>
      <c r="X195" t="n">
        <v/>
      </c>
      <c r="Y195" t="n">
        <v/>
      </c>
      <c r="Z195" t="n">
        <v/>
      </c>
      <c r="AA195" t="n">
        <v/>
      </c>
      <c r="AB195" t="n">
        <v/>
      </c>
      <c r="AC195" t="n">
        <v/>
      </c>
      <c r="AD195" t="n">
        <v>4.686145</v>
      </c>
      <c r="AE195" t="n">
        <v>23.20678</v>
      </c>
      <c r="AF195" t="n">
        <v/>
      </c>
      <c r="AG195" t="n">
        <v/>
      </c>
      <c r="AH195" t="n">
        <v/>
      </c>
      <c r="AI195" t="n">
        <v/>
      </c>
      <c r="AJ195" t="n">
        <v/>
      </c>
      <c r="AK195" t="n">
        <v>16.50323</v>
      </c>
      <c r="AL195" t="n">
        <v/>
      </c>
      <c r="AM195" t="n">
        <v/>
      </c>
      <c r="AN195" t="n">
        <v/>
      </c>
      <c r="AO195" t="n">
        <v/>
      </c>
      <c r="AP195" t="n">
        <v/>
      </c>
      <c r="AQ195" t="n">
        <v/>
      </c>
      <c r="AR195" t="n">
        <v/>
      </c>
      <c r="AS195" t="n">
        <v/>
      </c>
      <c r="AT195" t="n">
        <v/>
      </c>
      <c r="AU195" t="n">
        <v/>
      </c>
      <c r="AV195" t="n">
        <v/>
      </c>
      <c r="AW195" t="n">
        <v>13.45737</v>
      </c>
      <c r="AX195" t="n">
        <v/>
      </c>
    </row>
    <row r="196">
      <c r="A196" s="92" t="n">
        <v>23802</v>
      </c>
      <c r="B196" t="n">
        <v/>
      </c>
      <c r="C196" t="n">
        <v/>
      </c>
      <c r="D196" t="n">
        <v/>
      </c>
      <c r="E196" t="n">
        <v>14.02914</v>
      </c>
      <c r="F196" t="n">
        <v>27.43089</v>
      </c>
      <c r="G196" t="n">
        <v/>
      </c>
      <c r="H196" t="n">
        <v/>
      </c>
      <c r="I196" t="n">
        <v/>
      </c>
      <c r="J196" t="n">
        <v/>
      </c>
      <c r="K196" t="n">
        <v/>
      </c>
      <c r="L196" t="n">
        <v>26.14309</v>
      </c>
      <c r="M196" t="n">
        <v/>
      </c>
      <c r="N196" t="n">
        <v/>
      </c>
      <c r="O196" t="n">
        <v/>
      </c>
      <c r="P196" t="n">
        <v/>
      </c>
      <c r="Q196" t="n">
        <v/>
      </c>
      <c r="R196" t="n">
        <v>9.632804</v>
      </c>
      <c r="S196" t="n">
        <v/>
      </c>
      <c r="T196" t="n">
        <v/>
      </c>
      <c r="U196" t="n">
        <v/>
      </c>
      <c r="V196" t="n">
        <v/>
      </c>
      <c r="W196" t="n">
        <v/>
      </c>
      <c r="X196" t="n">
        <v/>
      </c>
      <c r="Y196" t="n">
        <v/>
      </c>
      <c r="Z196" t="n">
        <v/>
      </c>
      <c r="AA196" t="n">
        <v/>
      </c>
      <c r="AB196" t="n">
        <v/>
      </c>
      <c r="AC196" t="n">
        <v/>
      </c>
      <c r="AD196" t="n">
        <v>4.696385</v>
      </c>
      <c r="AE196" t="n">
        <v>23.31776</v>
      </c>
      <c r="AF196" t="n">
        <v/>
      </c>
      <c r="AG196" t="n">
        <v/>
      </c>
      <c r="AH196" t="n">
        <v/>
      </c>
      <c r="AI196" t="n">
        <v/>
      </c>
      <c r="AJ196" t="n">
        <v/>
      </c>
      <c r="AK196" t="n">
        <v>16.60065</v>
      </c>
      <c r="AL196" t="n">
        <v/>
      </c>
      <c r="AM196" t="n">
        <v/>
      </c>
      <c r="AN196" t="n">
        <v/>
      </c>
      <c r="AO196" t="n">
        <v/>
      </c>
      <c r="AP196" t="n">
        <v/>
      </c>
      <c r="AQ196" t="n">
        <v/>
      </c>
      <c r="AR196" t="n">
        <v/>
      </c>
      <c r="AS196" t="n">
        <v/>
      </c>
      <c r="AT196" t="n">
        <v/>
      </c>
      <c r="AU196" t="n">
        <v/>
      </c>
      <c r="AV196" t="n">
        <v/>
      </c>
      <c r="AW196" t="n">
        <v>13.45737</v>
      </c>
      <c r="AX196" t="n">
        <v/>
      </c>
    </row>
    <row r="197">
      <c r="A197" s="92" t="n">
        <v>23833</v>
      </c>
      <c r="B197" t="n">
        <v/>
      </c>
      <c r="C197" t="n">
        <v/>
      </c>
      <c r="D197" t="n">
        <v/>
      </c>
      <c r="E197" t="n">
        <v>14.13145</v>
      </c>
      <c r="F197" t="n">
        <v>27.53431</v>
      </c>
      <c r="G197" t="n">
        <v/>
      </c>
      <c r="H197" t="n">
        <v/>
      </c>
      <c r="I197" t="n">
        <v/>
      </c>
      <c r="J197" t="n">
        <v/>
      </c>
      <c r="K197" t="n">
        <v/>
      </c>
      <c r="L197" t="n">
        <v>26.2026</v>
      </c>
      <c r="M197" t="n">
        <v/>
      </c>
      <c r="N197" t="n">
        <v/>
      </c>
      <c r="O197" t="n">
        <v/>
      </c>
      <c r="P197" t="n">
        <v/>
      </c>
      <c r="Q197" t="n">
        <v/>
      </c>
      <c r="R197" t="n">
        <v>9.723996</v>
      </c>
      <c r="S197" t="n">
        <v/>
      </c>
      <c r="T197" t="n">
        <v/>
      </c>
      <c r="U197" t="n">
        <v/>
      </c>
      <c r="V197" t="n">
        <v/>
      </c>
      <c r="W197" t="n">
        <v/>
      </c>
      <c r="X197" t="n">
        <v/>
      </c>
      <c r="Y197" t="n">
        <v/>
      </c>
      <c r="Z197" t="n">
        <v/>
      </c>
      <c r="AA197" t="n">
        <v/>
      </c>
      <c r="AB197" t="n">
        <v/>
      </c>
      <c r="AC197" t="n">
        <v/>
      </c>
      <c r="AD197" t="n">
        <v>4.702682</v>
      </c>
      <c r="AE197" t="n">
        <v>23.80784</v>
      </c>
      <c r="AF197" t="n">
        <v/>
      </c>
      <c r="AG197" t="n">
        <v/>
      </c>
      <c r="AH197" t="n">
        <v/>
      </c>
      <c r="AI197" t="n">
        <v/>
      </c>
      <c r="AJ197" t="n">
        <v/>
      </c>
      <c r="AK197" t="n">
        <v>16.72883</v>
      </c>
      <c r="AL197" t="n">
        <v/>
      </c>
      <c r="AM197" t="n">
        <v/>
      </c>
      <c r="AN197" t="n">
        <v/>
      </c>
      <c r="AO197" t="n">
        <v/>
      </c>
      <c r="AP197" t="n">
        <v/>
      </c>
      <c r="AQ197" t="n">
        <v/>
      </c>
      <c r="AR197" t="n">
        <v/>
      </c>
      <c r="AS197" t="n">
        <v/>
      </c>
      <c r="AT197" t="n">
        <v/>
      </c>
      <c r="AU197" t="n">
        <v/>
      </c>
      <c r="AV197" t="n">
        <v/>
      </c>
      <c r="AW197" t="n">
        <v>13.49865</v>
      </c>
      <c r="AX197" t="n">
        <v/>
      </c>
    </row>
    <row r="198">
      <c r="A198" s="92" t="n">
        <v>23863</v>
      </c>
      <c r="B198" t="n">
        <v/>
      </c>
      <c r="C198" t="n">
        <v/>
      </c>
      <c r="D198" t="n">
        <v/>
      </c>
      <c r="E198" t="n">
        <v>14.09842</v>
      </c>
      <c r="F198" t="n">
        <v>27.91498</v>
      </c>
      <c r="G198" t="n">
        <v/>
      </c>
      <c r="H198" t="n">
        <v/>
      </c>
      <c r="I198" t="n">
        <v/>
      </c>
      <c r="J198" t="n">
        <v/>
      </c>
      <c r="K198" t="n">
        <v/>
      </c>
      <c r="L198" t="n">
        <v>26.26225</v>
      </c>
      <c r="M198" t="n">
        <v/>
      </c>
      <c r="N198" t="n">
        <v/>
      </c>
      <c r="O198" t="n">
        <v/>
      </c>
      <c r="P198" t="n">
        <v/>
      </c>
      <c r="Q198" t="n">
        <v/>
      </c>
      <c r="R198" t="n">
        <v>9.707787</v>
      </c>
      <c r="S198" t="n">
        <v/>
      </c>
      <c r="T198" t="n">
        <v/>
      </c>
      <c r="U198" t="n">
        <v/>
      </c>
      <c r="V198" t="n">
        <v/>
      </c>
      <c r="W198" t="n">
        <v/>
      </c>
      <c r="X198" t="n">
        <v/>
      </c>
      <c r="Y198" t="n">
        <v/>
      </c>
      <c r="Z198" t="n">
        <v/>
      </c>
      <c r="AA198" t="n">
        <v/>
      </c>
      <c r="AB198" t="n">
        <v/>
      </c>
      <c r="AC198" t="n">
        <v/>
      </c>
      <c r="AD198" t="n">
        <v>4.711332</v>
      </c>
      <c r="AE198" t="n">
        <v>23.75865</v>
      </c>
      <c r="AF198" t="n">
        <v/>
      </c>
      <c r="AG198" t="n">
        <v/>
      </c>
      <c r="AH198" t="n">
        <v/>
      </c>
      <c r="AI198" t="n">
        <v/>
      </c>
      <c r="AJ198" t="n">
        <v/>
      </c>
      <c r="AK198" t="n">
        <v>16.78538</v>
      </c>
      <c r="AL198" t="n">
        <v/>
      </c>
      <c r="AM198" t="n">
        <v/>
      </c>
      <c r="AN198" t="n">
        <v/>
      </c>
      <c r="AO198" t="n">
        <v/>
      </c>
      <c r="AP198" t="n">
        <v/>
      </c>
      <c r="AQ198" t="n">
        <v/>
      </c>
      <c r="AR198" t="n">
        <v/>
      </c>
      <c r="AS198" t="n">
        <v/>
      </c>
      <c r="AT198" t="n">
        <v/>
      </c>
      <c r="AU198" t="n">
        <v/>
      </c>
      <c r="AV198" t="n">
        <v/>
      </c>
      <c r="AW198" t="n">
        <v>13.49865</v>
      </c>
      <c r="AX198" t="n">
        <v/>
      </c>
    </row>
    <row r="199">
      <c r="A199" s="92" t="n">
        <v>23894</v>
      </c>
      <c r="B199" t="n">
        <v/>
      </c>
      <c r="C199" t="n">
        <v/>
      </c>
      <c r="D199" t="n">
        <v/>
      </c>
      <c r="E199" t="n">
        <v>14.25333</v>
      </c>
      <c r="F199" t="n">
        <v>27.99346</v>
      </c>
      <c r="G199" t="n">
        <v/>
      </c>
      <c r="H199" t="n">
        <v/>
      </c>
      <c r="I199" t="n">
        <v/>
      </c>
      <c r="J199" t="n">
        <v/>
      </c>
      <c r="K199" t="n">
        <v/>
      </c>
      <c r="L199" t="n">
        <v>26.4361</v>
      </c>
      <c r="M199" t="n">
        <v/>
      </c>
      <c r="N199" t="n">
        <v/>
      </c>
      <c r="O199" t="n">
        <v/>
      </c>
      <c r="P199" t="n">
        <v/>
      </c>
      <c r="Q199" t="n">
        <v/>
      </c>
      <c r="R199" t="n">
        <v>9.76656</v>
      </c>
      <c r="S199" t="n">
        <v/>
      </c>
      <c r="T199" t="n">
        <v/>
      </c>
      <c r="U199" t="n">
        <v/>
      </c>
      <c r="V199" t="n">
        <v/>
      </c>
      <c r="W199" t="n">
        <v/>
      </c>
      <c r="X199" t="n">
        <v/>
      </c>
      <c r="Y199" t="n">
        <v/>
      </c>
      <c r="Z199" t="n">
        <v/>
      </c>
      <c r="AA199" t="n">
        <v/>
      </c>
      <c r="AB199" t="n">
        <v/>
      </c>
      <c r="AC199" t="n">
        <v/>
      </c>
      <c r="AD199" t="n">
        <v>4.719135</v>
      </c>
      <c r="AE199" t="n">
        <v>23.81672</v>
      </c>
      <c r="AF199" t="n">
        <v/>
      </c>
      <c r="AG199" t="n">
        <v/>
      </c>
      <c r="AH199" t="n">
        <v/>
      </c>
      <c r="AI199" t="n">
        <v/>
      </c>
      <c r="AJ199" t="n">
        <v/>
      </c>
      <c r="AK199" t="n">
        <v>16.8215</v>
      </c>
      <c r="AL199" t="n">
        <v/>
      </c>
      <c r="AM199" t="n">
        <v/>
      </c>
      <c r="AN199" t="n">
        <v/>
      </c>
      <c r="AO199" t="n">
        <v/>
      </c>
      <c r="AP199" t="n">
        <v/>
      </c>
      <c r="AQ199" t="n">
        <v/>
      </c>
      <c r="AR199" t="n">
        <v/>
      </c>
      <c r="AS199" t="n">
        <v/>
      </c>
      <c r="AT199" t="n">
        <v/>
      </c>
      <c r="AU199" t="n">
        <v/>
      </c>
      <c r="AV199" t="n">
        <v/>
      </c>
      <c r="AW199" t="n">
        <v>13.49865</v>
      </c>
      <c r="AX199" t="n">
        <v/>
      </c>
    </row>
    <row r="200">
      <c r="A200" s="92" t="n">
        <v>23924</v>
      </c>
      <c r="B200" t="n">
        <v/>
      </c>
      <c r="C200" t="n">
        <v/>
      </c>
      <c r="D200" t="n">
        <v/>
      </c>
      <c r="E200" t="n">
        <v>14.22422</v>
      </c>
      <c r="F200" t="n">
        <v>28.05881</v>
      </c>
      <c r="G200" t="n">
        <v/>
      </c>
      <c r="H200" t="n">
        <v/>
      </c>
      <c r="I200" t="n">
        <v/>
      </c>
      <c r="J200" t="n">
        <v/>
      </c>
      <c r="K200" t="n">
        <v/>
      </c>
      <c r="L200" t="n">
        <v>26.46672</v>
      </c>
      <c r="M200" t="n">
        <v/>
      </c>
      <c r="N200" t="n">
        <v/>
      </c>
      <c r="O200" t="n">
        <v/>
      </c>
      <c r="P200" t="n">
        <v/>
      </c>
      <c r="Q200" t="n">
        <v/>
      </c>
      <c r="R200" t="n">
        <v>9.841543</v>
      </c>
      <c r="S200" t="n">
        <v/>
      </c>
      <c r="T200" t="n">
        <v/>
      </c>
      <c r="U200" t="n">
        <v/>
      </c>
      <c r="V200" t="n">
        <v/>
      </c>
      <c r="W200" t="n">
        <v/>
      </c>
      <c r="X200" t="n">
        <v/>
      </c>
      <c r="Y200" t="n">
        <v/>
      </c>
      <c r="Z200" t="n">
        <v/>
      </c>
      <c r="AA200" t="n">
        <v/>
      </c>
      <c r="AB200" t="n">
        <v/>
      </c>
      <c r="AC200" t="n">
        <v/>
      </c>
      <c r="AD200" t="n">
        <v>4.736195</v>
      </c>
      <c r="AE200" t="n">
        <v>23.72546</v>
      </c>
      <c r="AF200" t="n">
        <v/>
      </c>
      <c r="AG200" t="n">
        <v/>
      </c>
      <c r="AH200" t="n">
        <v/>
      </c>
      <c r="AI200" t="n">
        <v/>
      </c>
      <c r="AJ200" t="n">
        <v/>
      </c>
      <c r="AK200" t="n">
        <v>16.72242</v>
      </c>
      <c r="AL200" t="n">
        <v/>
      </c>
      <c r="AM200" t="n">
        <v/>
      </c>
      <c r="AN200" t="n">
        <v/>
      </c>
      <c r="AO200" t="n">
        <v/>
      </c>
      <c r="AP200" t="n">
        <v/>
      </c>
      <c r="AQ200" t="n">
        <v/>
      </c>
      <c r="AR200" t="n">
        <v/>
      </c>
      <c r="AS200" t="n">
        <v/>
      </c>
      <c r="AT200" t="n">
        <v/>
      </c>
      <c r="AU200" t="n">
        <v/>
      </c>
      <c r="AV200" t="n">
        <v/>
      </c>
      <c r="AW200" t="n">
        <v>13.49865</v>
      </c>
      <c r="AX200" t="n">
        <v/>
      </c>
    </row>
    <row r="201">
      <c r="A201" s="92" t="n">
        <v>23955</v>
      </c>
      <c r="B201" t="n">
        <v/>
      </c>
      <c r="C201" t="n">
        <v/>
      </c>
      <c r="D201" t="n">
        <v/>
      </c>
      <c r="E201" t="n">
        <v>14.2615</v>
      </c>
      <c r="F201" t="n">
        <v>28.22557</v>
      </c>
      <c r="G201" t="n">
        <v/>
      </c>
      <c r="H201" t="n">
        <v/>
      </c>
      <c r="I201" t="n">
        <v/>
      </c>
      <c r="J201" t="n">
        <v/>
      </c>
      <c r="K201" t="n">
        <v/>
      </c>
      <c r="L201" t="n">
        <v>26.50946</v>
      </c>
      <c r="M201" t="n">
        <v/>
      </c>
      <c r="N201" t="n">
        <v/>
      </c>
      <c r="O201" t="n">
        <v/>
      </c>
      <c r="P201" t="n">
        <v/>
      </c>
      <c r="Q201" t="n">
        <v/>
      </c>
      <c r="R201" t="n">
        <v>9.841543</v>
      </c>
      <c r="S201" t="n">
        <v/>
      </c>
      <c r="T201" t="n">
        <v/>
      </c>
      <c r="U201" t="n">
        <v/>
      </c>
      <c r="V201" t="n">
        <v/>
      </c>
      <c r="W201" t="n">
        <v/>
      </c>
      <c r="X201" t="n">
        <v/>
      </c>
      <c r="Y201" t="n">
        <v/>
      </c>
      <c r="Z201" t="n">
        <v/>
      </c>
      <c r="AA201" t="n">
        <v/>
      </c>
      <c r="AB201" t="n">
        <v/>
      </c>
      <c r="AC201" t="n">
        <v/>
      </c>
      <c r="AD201" t="n">
        <v>4.744359</v>
      </c>
      <c r="AE201" t="n">
        <v>23.81109</v>
      </c>
      <c r="AF201" t="n">
        <v/>
      </c>
      <c r="AG201" t="n">
        <v/>
      </c>
      <c r="AH201" t="n">
        <v/>
      </c>
      <c r="AI201" t="n">
        <v/>
      </c>
      <c r="AJ201" t="n">
        <v/>
      </c>
      <c r="AK201" t="n">
        <v>16.87245</v>
      </c>
      <c r="AL201" t="n">
        <v/>
      </c>
      <c r="AM201" t="n">
        <v/>
      </c>
      <c r="AN201" t="n">
        <v/>
      </c>
      <c r="AO201" t="n">
        <v/>
      </c>
      <c r="AP201" t="n">
        <v/>
      </c>
      <c r="AQ201" t="n">
        <v/>
      </c>
      <c r="AR201" t="n">
        <v/>
      </c>
      <c r="AS201" t="n">
        <v/>
      </c>
      <c r="AT201" t="n">
        <v/>
      </c>
      <c r="AU201" t="n">
        <v/>
      </c>
      <c r="AV201" t="n">
        <v/>
      </c>
      <c r="AW201" t="n">
        <v>13.49865</v>
      </c>
      <c r="AX201" t="n">
        <v/>
      </c>
    </row>
    <row r="202">
      <c r="A202" s="92" t="n">
        <v>23986</v>
      </c>
      <c r="B202" t="n">
        <v/>
      </c>
      <c r="C202" t="n">
        <v/>
      </c>
      <c r="D202" t="n">
        <v/>
      </c>
      <c r="E202" t="n">
        <v>14.27818</v>
      </c>
      <c r="F202" t="n">
        <v>28.28352</v>
      </c>
      <c r="G202" t="n">
        <v/>
      </c>
      <c r="H202" t="n">
        <v/>
      </c>
      <c r="I202" t="n">
        <v/>
      </c>
      <c r="J202" t="n">
        <v/>
      </c>
      <c r="K202" t="n">
        <v/>
      </c>
      <c r="L202" t="n">
        <v>26.51121</v>
      </c>
      <c r="M202" t="n">
        <v/>
      </c>
      <c r="N202" t="n">
        <v/>
      </c>
      <c r="O202" t="n">
        <v/>
      </c>
      <c r="P202" t="n">
        <v/>
      </c>
      <c r="Q202" t="n">
        <v/>
      </c>
      <c r="R202" t="n">
        <v>9.76656</v>
      </c>
      <c r="S202" t="n">
        <v/>
      </c>
      <c r="T202" t="n">
        <v/>
      </c>
      <c r="U202" t="n">
        <v/>
      </c>
      <c r="V202" t="n">
        <v/>
      </c>
      <c r="W202" t="n">
        <v/>
      </c>
      <c r="X202" t="n">
        <v/>
      </c>
      <c r="Y202" t="n">
        <v/>
      </c>
      <c r="Z202" t="n">
        <v/>
      </c>
      <c r="AA202" t="n">
        <v/>
      </c>
      <c r="AB202" t="n">
        <v/>
      </c>
      <c r="AC202" t="n">
        <v/>
      </c>
      <c r="AD202" t="n">
        <v>4.758423</v>
      </c>
      <c r="AE202" t="n">
        <v>24.11169</v>
      </c>
      <c r="AF202" t="n">
        <v/>
      </c>
      <c r="AG202" t="n">
        <v/>
      </c>
      <c r="AH202" t="n">
        <v/>
      </c>
      <c r="AI202" t="n">
        <v/>
      </c>
      <c r="AJ202" t="n">
        <v/>
      </c>
      <c r="AK202" t="n">
        <v>16.94324</v>
      </c>
      <c r="AL202" t="n">
        <v/>
      </c>
      <c r="AM202" t="n">
        <v/>
      </c>
      <c r="AN202" t="n">
        <v/>
      </c>
      <c r="AO202" t="n">
        <v/>
      </c>
      <c r="AP202" t="n">
        <v/>
      </c>
      <c r="AQ202" t="n">
        <v/>
      </c>
      <c r="AR202" t="n">
        <v/>
      </c>
      <c r="AS202" t="n">
        <v/>
      </c>
      <c r="AT202" t="n">
        <v/>
      </c>
      <c r="AU202" t="n">
        <v/>
      </c>
      <c r="AV202" t="n">
        <v/>
      </c>
      <c r="AW202" t="n">
        <v>13.53993</v>
      </c>
      <c r="AX202" t="n">
        <v/>
      </c>
    </row>
    <row r="203">
      <c r="A203" s="92" t="n">
        <v>24016</v>
      </c>
      <c r="B203" t="n">
        <v/>
      </c>
      <c r="C203" t="n">
        <v/>
      </c>
      <c r="D203" t="n">
        <v/>
      </c>
      <c r="E203" t="n">
        <v>14.2906</v>
      </c>
      <c r="F203" t="n">
        <v>28.35174</v>
      </c>
      <c r="G203" t="n">
        <v/>
      </c>
      <c r="H203" t="n">
        <v/>
      </c>
      <c r="I203" t="n">
        <v/>
      </c>
      <c r="J203" t="n">
        <v/>
      </c>
      <c r="K203" t="n">
        <v/>
      </c>
      <c r="L203" t="n">
        <v>26.64598</v>
      </c>
      <c r="M203" t="n">
        <v/>
      </c>
      <c r="N203" t="n">
        <v/>
      </c>
      <c r="O203" t="n">
        <v/>
      </c>
      <c r="P203" t="n">
        <v/>
      </c>
      <c r="Q203" t="n">
        <v/>
      </c>
      <c r="R203" t="n">
        <v>9.932734999999999</v>
      </c>
      <c r="S203" t="n">
        <v/>
      </c>
      <c r="T203" t="n">
        <v/>
      </c>
      <c r="U203" t="n">
        <v/>
      </c>
      <c r="V203" t="n">
        <v/>
      </c>
      <c r="W203" t="n">
        <v/>
      </c>
      <c r="X203" t="n">
        <v/>
      </c>
      <c r="Y203" t="n">
        <v/>
      </c>
      <c r="Z203" t="n">
        <v/>
      </c>
      <c r="AA203" t="n">
        <v/>
      </c>
      <c r="AB203" t="n">
        <v/>
      </c>
      <c r="AC203" t="n">
        <v/>
      </c>
      <c r="AD203" t="n">
        <v>4.760826</v>
      </c>
      <c r="AE203" t="n">
        <v>24.46725</v>
      </c>
      <c r="AF203" t="n">
        <v/>
      </c>
      <c r="AG203" t="n">
        <v/>
      </c>
      <c r="AH203" t="n">
        <v/>
      </c>
      <c r="AI203" t="n">
        <v/>
      </c>
      <c r="AJ203" t="n">
        <v/>
      </c>
      <c r="AK203" t="n">
        <v>16.97483</v>
      </c>
      <c r="AL203" t="n">
        <v/>
      </c>
      <c r="AM203" t="n">
        <v/>
      </c>
      <c r="AN203" t="n">
        <v/>
      </c>
      <c r="AO203" t="n">
        <v/>
      </c>
      <c r="AP203" t="n">
        <v/>
      </c>
      <c r="AQ203" t="n">
        <v/>
      </c>
      <c r="AR203" t="n">
        <v/>
      </c>
      <c r="AS203" t="n">
        <v/>
      </c>
      <c r="AT203" t="n">
        <v/>
      </c>
      <c r="AU203" t="n">
        <v/>
      </c>
      <c r="AV203" t="n">
        <v/>
      </c>
      <c r="AW203" t="n">
        <v>13.58121</v>
      </c>
      <c r="AX203" t="n">
        <v/>
      </c>
    </row>
    <row r="204">
      <c r="A204" s="92" t="n">
        <v>24047</v>
      </c>
      <c r="B204" t="n">
        <v/>
      </c>
      <c r="C204" t="n">
        <v/>
      </c>
      <c r="D204" t="n">
        <v/>
      </c>
      <c r="E204" t="n">
        <v>14.35563</v>
      </c>
      <c r="F204" t="n">
        <v>28.544</v>
      </c>
      <c r="G204" t="n">
        <v/>
      </c>
      <c r="H204" t="n">
        <v/>
      </c>
      <c r="I204" t="n">
        <v/>
      </c>
      <c r="J204" t="n">
        <v/>
      </c>
      <c r="K204" t="n">
        <v/>
      </c>
      <c r="L204" t="n">
        <v>26.74136</v>
      </c>
      <c r="M204" t="n">
        <v/>
      </c>
      <c r="N204" t="n">
        <v/>
      </c>
      <c r="O204" t="n">
        <v/>
      </c>
      <c r="P204" t="n">
        <v/>
      </c>
      <c r="Q204" t="n">
        <v/>
      </c>
      <c r="R204" t="n">
        <v>9.943089000000001</v>
      </c>
      <c r="S204" t="n">
        <v/>
      </c>
      <c r="T204" t="n">
        <v/>
      </c>
      <c r="U204" t="n">
        <v/>
      </c>
      <c r="V204" t="n">
        <v/>
      </c>
      <c r="W204" t="n">
        <v/>
      </c>
      <c r="X204" t="n">
        <v/>
      </c>
      <c r="Y204" t="n">
        <v/>
      </c>
      <c r="Z204" t="n">
        <v/>
      </c>
      <c r="AA204" t="n">
        <v/>
      </c>
      <c r="AB204" t="n">
        <v/>
      </c>
      <c r="AC204" t="n">
        <v/>
      </c>
      <c r="AD204" t="n">
        <v>4.779231</v>
      </c>
      <c r="AE204" t="n">
        <v>24.28623</v>
      </c>
      <c r="AF204" t="n">
        <v/>
      </c>
      <c r="AG204" t="n">
        <v/>
      </c>
      <c r="AH204" t="n">
        <v/>
      </c>
      <c r="AI204" t="n">
        <v/>
      </c>
      <c r="AJ204" t="n">
        <v/>
      </c>
      <c r="AK204" t="n">
        <v>17.04366</v>
      </c>
      <c r="AL204" t="n">
        <v/>
      </c>
      <c r="AM204" t="n">
        <v/>
      </c>
      <c r="AN204" t="n">
        <v/>
      </c>
      <c r="AO204" t="n">
        <v/>
      </c>
      <c r="AP204" t="n">
        <v/>
      </c>
      <c r="AQ204" t="n">
        <v/>
      </c>
      <c r="AR204" t="n">
        <v/>
      </c>
      <c r="AS204" t="n">
        <v/>
      </c>
      <c r="AT204" t="n">
        <v/>
      </c>
      <c r="AU204" t="n">
        <v/>
      </c>
      <c r="AV204" t="n">
        <v/>
      </c>
      <c r="AW204" t="n">
        <v>13.58121</v>
      </c>
      <c r="AX204" t="n">
        <v/>
      </c>
    </row>
    <row r="205">
      <c r="A205" s="92" t="n">
        <v>24077</v>
      </c>
      <c r="B205" t="n">
        <v/>
      </c>
      <c r="C205" t="n">
        <v/>
      </c>
      <c r="D205" t="n">
        <v/>
      </c>
      <c r="E205" t="n">
        <v>14.42066</v>
      </c>
      <c r="F205" t="n">
        <v>28.59299</v>
      </c>
      <c r="G205" t="n">
        <v/>
      </c>
      <c r="H205" t="n">
        <v/>
      </c>
      <c r="I205" t="n">
        <v/>
      </c>
      <c r="J205" t="n">
        <v/>
      </c>
      <c r="K205" t="n">
        <v/>
      </c>
      <c r="L205" t="n">
        <v>26.87948</v>
      </c>
      <c r="M205" t="n">
        <v/>
      </c>
      <c r="N205" t="n">
        <v/>
      </c>
      <c r="O205" t="n">
        <v/>
      </c>
      <c r="P205" t="n">
        <v/>
      </c>
      <c r="Q205" t="n">
        <v/>
      </c>
      <c r="R205" t="n">
        <v>9.943089000000001</v>
      </c>
      <c r="S205" t="n">
        <v/>
      </c>
      <c r="T205" t="n">
        <v/>
      </c>
      <c r="U205" t="n">
        <v/>
      </c>
      <c r="V205" t="n">
        <v/>
      </c>
      <c r="W205" t="n">
        <v/>
      </c>
      <c r="X205" t="n">
        <v/>
      </c>
      <c r="Y205" t="n">
        <v/>
      </c>
      <c r="Z205" t="n">
        <v/>
      </c>
      <c r="AA205" t="n">
        <v/>
      </c>
      <c r="AB205" t="n">
        <v/>
      </c>
      <c r="AC205" t="n">
        <v/>
      </c>
      <c r="AD205" t="n">
        <v>4.796877</v>
      </c>
      <c r="AE205" t="n">
        <v>24.42387</v>
      </c>
      <c r="AF205" t="n">
        <v/>
      </c>
      <c r="AG205" t="n">
        <v/>
      </c>
      <c r="AH205" t="n">
        <v/>
      </c>
      <c r="AI205" t="n">
        <v/>
      </c>
      <c r="AJ205" t="n">
        <v/>
      </c>
      <c r="AK205" t="n">
        <v>17.0626</v>
      </c>
      <c r="AL205" t="n">
        <v/>
      </c>
      <c r="AM205" t="n">
        <v/>
      </c>
      <c r="AN205" t="n">
        <v/>
      </c>
      <c r="AO205" t="n">
        <v/>
      </c>
      <c r="AP205" t="n">
        <v/>
      </c>
      <c r="AQ205" t="n">
        <v/>
      </c>
      <c r="AR205" t="n">
        <v/>
      </c>
      <c r="AS205" t="n">
        <v/>
      </c>
      <c r="AT205" t="n">
        <v/>
      </c>
      <c r="AU205" t="n">
        <v/>
      </c>
      <c r="AV205" t="n">
        <v/>
      </c>
      <c r="AW205" t="n">
        <v>13.62249</v>
      </c>
      <c r="AX205" t="n">
        <v/>
      </c>
    </row>
    <row r="206">
      <c r="A206" s="92" t="n">
        <v>24108</v>
      </c>
      <c r="B206" t="n">
        <v>18.34778</v>
      </c>
      <c r="C206" t="n">
        <v/>
      </c>
      <c r="D206" t="n">
        <v/>
      </c>
      <c r="E206" t="n">
        <v>14.42066</v>
      </c>
      <c r="F206" t="n">
        <v>28.70856</v>
      </c>
      <c r="G206" t="n">
        <v/>
      </c>
      <c r="H206" t="n">
        <v/>
      </c>
      <c r="I206" t="n">
        <v/>
      </c>
      <c r="J206" t="n">
        <v/>
      </c>
      <c r="K206" t="n">
        <v/>
      </c>
      <c r="L206" t="n">
        <v>27.04662</v>
      </c>
      <c r="M206" t="n">
        <v/>
      </c>
      <c r="N206" t="n">
        <v/>
      </c>
      <c r="O206" t="n">
        <v/>
      </c>
      <c r="P206" t="n">
        <v/>
      </c>
      <c r="Q206" t="n">
        <v/>
      </c>
      <c r="R206" t="n">
        <v>9.943089000000001</v>
      </c>
      <c r="S206" t="n">
        <v/>
      </c>
      <c r="T206" t="n">
        <v/>
      </c>
      <c r="U206" t="n">
        <v/>
      </c>
      <c r="V206" t="n">
        <v/>
      </c>
      <c r="W206" t="n">
        <v/>
      </c>
      <c r="X206" t="n">
        <v/>
      </c>
      <c r="Y206" t="n">
        <v/>
      </c>
      <c r="Z206" t="n">
        <v/>
      </c>
      <c r="AA206" t="n">
        <v/>
      </c>
      <c r="AB206" t="n">
        <v/>
      </c>
      <c r="AC206" t="n">
        <v/>
      </c>
      <c r="AD206" t="n">
        <v>4.809609</v>
      </c>
      <c r="AE206" t="n">
        <v>24.59623</v>
      </c>
      <c r="AF206" t="n">
        <v/>
      </c>
      <c r="AG206" t="n">
        <v/>
      </c>
      <c r="AH206" t="n">
        <v/>
      </c>
      <c r="AI206" t="n">
        <v/>
      </c>
      <c r="AJ206" t="n">
        <v/>
      </c>
      <c r="AK206" t="n">
        <v>17.36586</v>
      </c>
      <c r="AL206" t="n">
        <v/>
      </c>
      <c r="AM206" t="n">
        <v/>
      </c>
      <c r="AN206" t="n">
        <v/>
      </c>
      <c r="AO206" t="n">
        <v/>
      </c>
      <c r="AP206" t="n">
        <v/>
      </c>
      <c r="AQ206" t="n">
        <v/>
      </c>
      <c r="AR206" t="n">
        <v/>
      </c>
      <c r="AS206" t="n">
        <v/>
      </c>
      <c r="AT206" t="n">
        <v/>
      </c>
      <c r="AU206" t="n">
        <v/>
      </c>
      <c r="AV206" t="n">
        <v/>
      </c>
      <c r="AW206" t="n">
        <v>13.58121</v>
      </c>
      <c r="AX206" t="n">
        <v/>
      </c>
    </row>
    <row r="207">
      <c r="A207" s="92" t="n">
        <v>24139</v>
      </c>
      <c r="B207" t="n">
        <v>18.39813</v>
      </c>
      <c r="C207" t="n">
        <v/>
      </c>
      <c r="D207" t="n">
        <v/>
      </c>
      <c r="E207" t="n">
        <v>14.49811</v>
      </c>
      <c r="F207" t="n">
        <v>28.8326</v>
      </c>
      <c r="G207" t="n">
        <v/>
      </c>
      <c r="H207" t="n">
        <v/>
      </c>
      <c r="I207" t="n">
        <v/>
      </c>
      <c r="J207" t="n">
        <v/>
      </c>
      <c r="K207" t="n">
        <v/>
      </c>
      <c r="L207" t="n">
        <v>27.12509</v>
      </c>
      <c r="M207" t="n">
        <v/>
      </c>
      <c r="N207" t="n">
        <v/>
      </c>
      <c r="O207" t="n">
        <v/>
      </c>
      <c r="P207" t="n">
        <v/>
      </c>
      <c r="Q207" t="n">
        <v/>
      </c>
      <c r="R207" t="n">
        <v>9.937233000000001</v>
      </c>
      <c r="S207" t="n">
        <v/>
      </c>
      <c r="T207" t="n">
        <v/>
      </c>
      <c r="U207" t="n">
        <v/>
      </c>
      <c r="V207" t="n">
        <v/>
      </c>
      <c r="W207" t="n">
        <v/>
      </c>
      <c r="X207" t="n">
        <v/>
      </c>
      <c r="Y207" t="n">
        <v/>
      </c>
      <c r="Z207" t="n">
        <v/>
      </c>
      <c r="AA207" t="n">
        <v/>
      </c>
      <c r="AB207" t="n">
        <v/>
      </c>
      <c r="AC207" t="n">
        <v/>
      </c>
      <c r="AD207" t="n">
        <v>4.812947</v>
      </c>
      <c r="AE207" t="n">
        <v>24.74201</v>
      </c>
      <c r="AF207" t="n">
        <v/>
      </c>
      <c r="AG207" t="n">
        <v/>
      </c>
      <c r="AH207" t="n">
        <v/>
      </c>
      <c r="AI207" t="n">
        <v/>
      </c>
      <c r="AJ207" t="n">
        <v/>
      </c>
      <c r="AK207" t="n">
        <v>17.63592</v>
      </c>
      <c r="AL207" t="n">
        <v/>
      </c>
      <c r="AM207" t="n">
        <v/>
      </c>
      <c r="AN207" t="n">
        <v/>
      </c>
      <c r="AO207" t="n">
        <v/>
      </c>
      <c r="AP207" t="n">
        <v/>
      </c>
      <c r="AQ207" t="n">
        <v/>
      </c>
      <c r="AR207" t="n">
        <v/>
      </c>
      <c r="AS207" t="n">
        <v/>
      </c>
      <c r="AT207" t="n">
        <v/>
      </c>
      <c r="AU207" t="n">
        <v/>
      </c>
      <c r="AV207" t="n">
        <v/>
      </c>
      <c r="AW207" t="n">
        <v>13.62249</v>
      </c>
      <c r="AX207" t="n">
        <v/>
      </c>
    </row>
    <row r="208">
      <c r="A208" s="92" t="n">
        <v>24167</v>
      </c>
      <c r="B208" t="n">
        <v>18.42772</v>
      </c>
      <c r="C208" t="n">
        <v/>
      </c>
      <c r="D208" t="n">
        <v/>
      </c>
      <c r="E208" t="n">
        <v>14.56314</v>
      </c>
      <c r="F208" t="n">
        <v>28.86266</v>
      </c>
      <c r="G208" t="n">
        <v/>
      </c>
      <c r="H208" t="n">
        <v/>
      </c>
      <c r="I208" t="n">
        <v/>
      </c>
      <c r="J208" t="n">
        <v/>
      </c>
      <c r="K208" t="n">
        <v/>
      </c>
      <c r="L208" t="n">
        <v>27.18985</v>
      </c>
      <c r="M208" t="n">
        <v/>
      </c>
      <c r="N208" t="n">
        <v/>
      </c>
      <c r="O208" t="n">
        <v/>
      </c>
      <c r="P208" t="n">
        <v/>
      </c>
      <c r="Q208" t="n">
        <v/>
      </c>
      <c r="R208" t="n">
        <v>10.00636</v>
      </c>
      <c r="S208" t="n">
        <v/>
      </c>
      <c r="T208" t="n">
        <v/>
      </c>
      <c r="U208" t="n">
        <v/>
      </c>
      <c r="V208" t="n">
        <v/>
      </c>
      <c r="W208" t="n">
        <v/>
      </c>
      <c r="X208" t="n">
        <v/>
      </c>
      <c r="Y208" t="n">
        <v/>
      </c>
      <c r="Z208" t="n">
        <v/>
      </c>
      <c r="AA208" t="n">
        <v/>
      </c>
      <c r="AB208" t="n">
        <v/>
      </c>
      <c r="AC208" t="n">
        <v/>
      </c>
      <c r="AD208" t="n">
        <v>4.811666</v>
      </c>
      <c r="AE208" t="n">
        <v>24.92462</v>
      </c>
      <c r="AF208" t="n">
        <v/>
      </c>
      <c r="AG208" t="n">
        <v/>
      </c>
      <c r="AH208" t="n">
        <v/>
      </c>
      <c r="AI208" t="n">
        <v/>
      </c>
      <c r="AJ208" t="n">
        <v/>
      </c>
      <c r="AK208" t="n">
        <v>17.75253</v>
      </c>
      <c r="AL208" t="n">
        <v/>
      </c>
      <c r="AM208" t="n">
        <v/>
      </c>
      <c r="AN208" t="n">
        <v/>
      </c>
      <c r="AO208" t="n">
        <v/>
      </c>
      <c r="AP208" t="n">
        <v/>
      </c>
      <c r="AQ208" t="n">
        <v/>
      </c>
      <c r="AR208" t="n">
        <v/>
      </c>
      <c r="AS208" t="n">
        <v/>
      </c>
      <c r="AT208" t="n">
        <v/>
      </c>
      <c r="AU208" t="n">
        <v/>
      </c>
      <c r="AV208" t="n">
        <v/>
      </c>
      <c r="AW208" t="n">
        <v>13.66377</v>
      </c>
      <c r="AX208" t="n">
        <v/>
      </c>
    </row>
    <row r="209">
      <c r="A209" s="92" t="n">
        <v>24198</v>
      </c>
      <c r="B209" t="n">
        <v>18.43009</v>
      </c>
      <c r="C209" t="n">
        <v/>
      </c>
      <c r="D209" t="n">
        <v/>
      </c>
      <c r="E209" t="n">
        <v>14.65727</v>
      </c>
      <c r="F209" t="n">
        <v>28.9091</v>
      </c>
      <c r="G209" t="n">
        <v/>
      </c>
      <c r="H209" t="n">
        <v/>
      </c>
      <c r="I209" t="n">
        <v/>
      </c>
      <c r="J209" t="n">
        <v/>
      </c>
      <c r="K209" t="n">
        <v/>
      </c>
      <c r="L209" t="n">
        <v>27.4165</v>
      </c>
      <c r="M209" t="n">
        <v/>
      </c>
      <c r="N209" t="n">
        <v/>
      </c>
      <c r="O209" t="n">
        <v/>
      </c>
      <c r="P209" t="n">
        <v/>
      </c>
      <c r="Q209" t="n">
        <v/>
      </c>
      <c r="R209" t="n">
        <v>10.08134</v>
      </c>
      <c r="S209" t="n">
        <v/>
      </c>
      <c r="T209" t="n">
        <v/>
      </c>
      <c r="U209" t="n">
        <v/>
      </c>
      <c r="V209" t="n">
        <v/>
      </c>
      <c r="W209" t="n">
        <v/>
      </c>
      <c r="X209" t="n">
        <v/>
      </c>
      <c r="Y209" t="n">
        <v/>
      </c>
      <c r="Z209" t="n">
        <v/>
      </c>
      <c r="AA209" t="n">
        <v/>
      </c>
      <c r="AB209" t="n">
        <v/>
      </c>
      <c r="AC209" t="n">
        <v/>
      </c>
      <c r="AD209" t="n">
        <v>4.825729</v>
      </c>
      <c r="AE209" t="n">
        <v>25.24995</v>
      </c>
      <c r="AF209" t="n">
        <v/>
      </c>
      <c r="AG209" t="n">
        <v/>
      </c>
      <c r="AH209" t="n">
        <v/>
      </c>
      <c r="AI209" t="n">
        <v/>
      </c>
      <c r="AJ209" t="n">
        <v/>
      </c>
      <c r="AK209" t="n">
        <v>17.87605</v>
      </c>
      <c r="AL209" t="n">
        <v/>
      </c>
      <c r="AM209" t="n">
        <v/>
      </c>
      <c r="AN209" t="n">
        <v/>
      </c>
      <c r="AO209" t="n">
        <v/>
      </c>
      <c r="AP209" t="n">
        <v/>
      </c>
      <c r="AQ209" t="n">
        <v/>
      </c>
      <c r="AR209" t="n">
        <v/>
      </c>
      <c r="AS209" t="n">
        <v/>
      </c>
      <c r="AT209" t="n">
        <v/>
      </c>
      <c r="AU209" t="n">
        <v/>
      </c>
      <c r="AV209" t="n">
        <v/>
      </c>
      <c r="AW209" t="n">
        <v>13.74633</v>
      </c>
      <c r="AX209" t="n">
        <v/>
      </c>
    </row>
    <row r="210">
      <c r="A210" s="92" t="n">
        <v>24228</v>
      </c>
      <c r="B210" t="n">
        <v>18.46859</v>
      </c>
      <c r="C210" t="n">
        <v/>
      </c>
      <c r="D210" t="n">
        <v/>
      </c>
      <c r="E210" t="n">
        <v>14.65727</v>
      </c>
      <c r="F210" t="n">
        <v>29.39724</v>
      </c>
      <c r="G210" t="n">
        <v/>
      </c>
      <c r="H210" t="n">
        <v/>
      </c>
      <c r="I210" t="n">
        <v/>
      </c>
      <c r="J210" t="n">
        <v/>
      </c>
      <c r="K210" t="n">
        <v/>
      </c>
      <c r="L210" t="n">
        <v>27.39768</v>
      </c>
      <c r="M210" t="n">
        <v/>
      </c>
      <c r="N210" t="n">
        <v/>
      </c>
      <c r="O210" t="n">
        <v/>
      </c>
      <c r="P210" t="n">
        <v/>
      </c>
      <c r="Q210" t="n">
        <v/>
      </c>
      <c r="R210" t="n">
        <v>10.12391</v>
      </c>
      <c r="S210" t="n">
        <v/>
      </c>
      <c r="T210" t="n">
        <v/>
      </c>
      <c r="U210" t="n">
        <v/>
      </c>
      <c r="V210" t="n">
        <v/>
      </c>
      <c r="W210" t="n">
        <v/>
      </c>
      <c r="X210" t="n">
        <v/>
      </c>
      <c r="Y210" t="n">
        <v/>
      </c>
      <c r="Z210" t="n">
        <v/>
      </c>
      <c r="AA210" t="n">
        <v/>
      </c>
      <c r="AB210" t="n">
        <v/>
      </c>
      <c r="AC210" t="n">
        <v/>
      </c>
      <c r="AD210" t="n">
        <v>4.832026</v>
      </c>
      <c r="AE210" t="n">
        <v>25.19072</v>
      </c>
      <c r="AF210" t="n">
        <v/>
      </c>
      <c r="AG210" t="n">
        <v/>
      </c>
      <c r="AH210" t="n">
        <v/>
      </c>
      <c r="AI210" t="n">
        <v/>
      </c>
      <c r="AJ210" t="n">
        <v/>
      </c>
      <c r="AK210" t="n">
        <v>17.89121</v>
      </c>
      <c r="AL210" t="n">
        <v/>
      </c>
      <c r="AM210" t="n">
        <v/>
      </c>
      <c r="AN210" t="n">
        <v/>
      </c>
      <c r="AO210" t="n">
        <v/>
      </c>
      <c r="AP210" t="n">
        <v/>
      </c>
      <c r="AQ210" t="n">
        <v/>
      </c>
      <c r="AR210" t="n">
        <v/>
      </c>
      <c r="AS210" t="n">
        <v/>
      </c>
      <c r="AT210" t="n">
        <v/>
      </c>
      <c r="AU210" t="n">
        <v/>
      </c>
      <c r="AV210" t="n">
        <v/>
      </c>
      <c r="AW210" t="n">
        <v>13.78761</v>
      </c>
      <c r="AX210" t="n">
        <v/>
      </c>
    </row>
    <row r="211">
      <c r="A211" s="92" t="n">
        <v>24259</v>
      </c>
      <c r="B211" t="n">
        <v>18.45937</v>
      </c>
      <c r="C211" t="n">
        <v/>
      </c>
      <c r="D211" t="n">
        <v/>
      </c>
      <c r="E211" t="n">
        <v>14.74715</v>
      </c>
      <c r="F211" t="n">
        <v>29.36515</v>
      </c>
      <c r="G211" t="n">
        <v/>
      </c>
      <c r="H211" t="n">
        <v/>
      </c>
      <c r="I211" t="n">
        <v/>
      </c>
      <c r="J211" t="n">
        <v/>
      </c>
      <c r="K211" t="n">
        <v/>
      </c>
      <c r="L211" t="n">
        <v>27.40454</v>
      </c>
      <c r="M211" t="n">
        <v/>
      </c>
      <c r="N211" t="n">
        <v/>
      </c>
      <c r="O211" t="n">
        <v/>
      </c>
      <c r="P211" t="n">
        <v/>
      </c>
      <c r="Q211" t="n">
        <v/>
      </c>
      <c r="R211" t="n">
        <v>10.12391</v>
      </c>
      <c r="S211" t="n">
        <v/>
      </c>
      <c r="T211" t="n">
        <v/>
      </c>
      <c r="U211" t="n">
        <v/>
      </c>
      <c r="V211" t="n">
        <v/>
      </c>
      <c r="W211" t="n">
        <v/>
      </c>
      <c r="X211" t="n">
        <v/>
      </c>
      <c r="Y211" t="n">
        <v/>
      </c>
      <c r="Z211" t="n">
        <v/>
      </c>
      <c r="AA211" t="n">
        <v/>
      </c>
      <c r="AB211" t="n">
        <v/>
      </c>
      <c r="AC211" t="n">
        <v/>
      </c>
      <c r="AD211" t="n">
        <v>4.834153</v>
      </c>
      <c r="AE211" t="n">
        <v>25.2629</v>
      </c>
      <c r="AF211" t="n">
        <v/>
      </c>
      <c r="AG211" t="n">
        <v/>
      </c>
      <c r="AH211" t="n">
        <v/>
      </c>
      <c r="AI211" t="n">
        <v/>
      </c>
      <c r="AJ211" t="n">
        <v/>
      </c>
      <c r="AK211" t="n">
        <v>17.95996</v>
      </c>
      <c r="AL211" t="n">
        <v/>
      </c>
      <c r="AM211" t="n">
        <v/>
      </c>
      <c r="AN211" t="n">
        <v/>
      </c>
      <c r="AO211" t="n">
        <v/>
      </c>
      <c r="AP211" t="n">
        <v/>
      </c>
      <c r="AQ211" t="n">
        <v/>
      </c>
      <c r="AR211" t="n">
        <v/>
      </c>
      <c r="AS211" t="n">
        <v/>
      </c>
      <c r="AT211" t="n">
        <v/>
      </c>
      <c r="AU211" t="n">
        <v/>
      </c>
      <c r="AV211" t="n">
        <v/>
      </c>
      <c r="AW211" t="n">
        <v>13.82889</v>
      </c>
      <c r="AX211" t="n">
        <v/>
      </c>
    </row>
    <row r="212">
      <c r="A212" s="92" t="n">
        <v>24289</v>
      </c>
      <c r="B212" t="n">
        <v>18.50354</v>
      </c>
      <c r="C212" t="n">
        <v/>
      </c>
      <c r="D212" t="n">
        <v/>
      </c>
      <c r="E212" t="n">
        <v>14.74715</v>
      </c>
      <c r="F212" t="n">
        <v>29.37667</v>
      </c>
      <c r="G212" t="n">
        <v/>
      </c>
      <c r="H212" t="n">
        <v/>
      </c>
      <c r="I212" t="n">
        <v/>
      </c>
      <c r="J212" t="n">
        <v/>
      </c>
      <c r="K212" t="n">
        <v/>
      </c>
      <c r="L212" t="n">
        <v>27.42336</v>
      </c>
      <c r="M212" t="n">
        <v/>
      </c>
      <c r="N212" t="n">
        <v/>
      </c>
      <c r="O212" t="n">
        <v/>
      </c>
      <c r="P212" t="n">
        <v/>
      </c>
      <c r="Q212" t="n">
        <v/>
      </c>
      <c r="R212" t="n">
        <v>10.11805</v>
      </c>
      <c r="S212" t="n">
        <v/>
      </c>
      <c r="T212" t="n">
        <v/>
      </c>
      <c r="U212" t="n">
        <v/>
      </c>
      <c r="V212" t="n">
        <v/>
      </c>
      <c r="W212" t="n">
        <v/>
      </c>
      <c r="X212" t="n">
        <v/>
      </c>
      <c r="Y212" t="n">
        <v/>
      </c>
      <c r="Z212" t="n">
        <v/>
      </c>
      <c r="AA212" t="n">
        <v/>
      </c>
      <c r="AB212" t="n">
        <v/>
      </c>
      <c r="AC212" t="n">
        <v/>
      </c>
      <c r="AD212" t="n">
        <v>4.837699</v>
      </c>
      <c r="AE212" t="n">
        <v>25.34442</v>
      </c>
      <c r="AF212" t="n">
        <v/>
      </c>
      <c r="AG212" t="n">
        <v/>
      </c>
      <c r="AH212" t="n">
        <v/>
      </c>
      <c r="AI212" t="n">
        <v/>
      </c>
      <c r="AJ212" t="n">
        <v/>
      </c>
      <c r="AK212" t="n">
        <v>17.79546</v>
      </c>
      <c r="AL212" t="n">
        <v/>
      </c>
      <c r="AM212" t="n">
        <v/>
      </c>
      <c r="AN212" t="n">
        <v/>
      </c>
      <c r="AO212" t="n">
        <v/>
      </c>
      <c r="AP212" t="n">
        <v/>
      </c>
      <c r="AQ212" t="n">
        <v/>
      </c>
      <c r="AR212" t="n">
        <v/>
      </c>
      <c r="AS212" t="n">
        <v/>
      </c>
      <c r="AT212" t="n">
        <v/>
      </c>
      <c r="AU212" t="n">
        <v/>
      </c>
      <c r="AV212" t="n">
        <v/>
      </c>
      <c r="AW212" t="n">
        <v>13.87017</v>
      </c>
      <c r="AX212" t="n">
        <v/>
      </c>
    </row>
    <row r="213">
      <c r="A213" s="92" t="n">
        <v>24320</v>
      </c>
      <c r="B213" t="n">
        <v>18.5602</v>
      </c>
      <c r="C213" t="n">
        <v/>
      </c>
      <c r="D213" t="n">
        <v/>
      </c>
      <c r="E213" t="n">
        <v>14.78732</v>
      </c>
      <c r="F213" t="n">
        <v>29.48965</v>
      </c>
      <c r="G213" t="n">
        <v/>
      </c>
      <c r="H213" t="n">
        <v/>
      </c>
      <c r="I213" t="n">
        <v/>
      </c>
      <c r="J213" t="n">
        <v/>
      </c>
      <c r="K213" t="n">
        <v/>
      </c>
      <c r="L213" t="n">
        <v>27.39623</v>
      </c>
      <c r="M213" t="n">
        <v/>
      </c>
      <c r="N213" t="n">
        <v/>
      </c>
      <c r="O213" t="n">
        <v/>
      </c>
      <c r="P213" t="n">
        <v/>
      </c>
      <c r="Q213" t="n">
        <v/>
      </c>
      <c r="R213" t="n">
        <v>10.2151</v>
      </c>
      <c r="S213" t="n">
        <v/>
      </c>
      <c r="T213" t="n">
        <v/>
      </c>
      <c r="U213" t="n">
        <v/>
      </c>
      <c r="V213" t="n">
        <v/>
      </c>
      <c r="W213" t="n">
        <v/>
      </c>
      <c r="X213" t="n">
        <v/>
      </c>
      <c r="Y213" t="n">
        <v/>
      </c>
      <c r="Z213" t="n">
        <v/>
      </c>
      <c r="AA213" t="n">
        <v/>
      </c>
      <c r="AB213" t="n">
        <v/>
      </c>
      <c r="AC213" t="n">
        <v/>
      </c>
      <c r="AD213" t="n">
        <v>4.851985</v>
      </c>
      <c r="AE213" t="n">
        <v>25.17307</v>
      </c>
      <c r="AF213" t="n">
        <v/>
      </c>
      <c r="AG213" t="n">
        <v/>
      </c>
      <c r="AH213" t="n">
        <v/>
      </c>
      <c r="AI213" t="n">
        <v/>
      </c>
      <c r="AJ213" t="n">
        <v/>
      </c>
      <c r="AK213" t="n">
        <v>17.88927</v>
      </c>
      <c r="AL213" t="n">
        <v/>
      </c>
      <c r="AM213" t="n">
        <v/>
      </c>
      <c r="AN213" t="n">
        <v/>
      </c>
      <c r="AO213" t="n">
        <v/>
      </c>
      <c r="AP213" t="n">
        <v/>
      </c>
      <c r="AQ213" t="n">
        <v/>
      </c>
      <c r="AR213" t="n">
        <v/>
      </c>
      <c r="AS213" t="n">
        <v/>
      </c>
      <c r="AT213" t="n">
        <v/>
      </c>
      <c r="AU213" t="n">
        <v/>
      </c>
      <c r="AV213" t="n">
        <v/>
      </c>
      <c r="AW213" t="n">
        <v>13.91145</v>
      </c>
      <c r="AX213" t="n">
        <v/>
      </c>
    </row>
    <row r="214">
      <c r="A214" s="92" t="n">
        <v>24351</v>
      </c>
      <c r="B214" t="n">
        <v>18.668</v>
      </c>
      <c r="C214" t="n">
        <v/>
      </c>
      <c r="D214" t="n">
        <v/>
      </c>
      <c r="E214" t="n">
        <v>14.8246</v>
      </c>
      <c r="F214" t="n">
        <v>29.5022</v>
      </c>
      <c r="G214" t="n">
        <v/>
      </c>
      <c r="H214" t="n">
        <v/>
      </c>
      <c r="I214" t="n">
        <v/>
      </c>
      <c r="J214" t="n">
        <v/>
      </c>
      <c r="K214" t="n">
        <v/>
      </c>
      <c r="L214" t="n">
        <v>27.38602</v>
      </c>
      <c r="M214" t="n">
        <v/>
      </c>
      <c r="N214" t="n">
        <v/>
      </c>
      <c r="O214" t="n">
        <v/>
      </c>
      <c r="P214" t="n">
        <v/>
      </c>
      <c r="Q214" t="n">
        <v/>
      </c>
      <c r="R214" t="n">
        <v>10.28872</v>
      </c>
      <c r="S214" t="n">
        <v/>
      </c>
      <c r="T214" t="n">
        <v/>
      </c>
      <c r="U214" t="n">
        <v/>
      </c>
      <c r="V214" t="n">
        <v/>
      </c>
      <c r="W214" t="n">
        <v/>
      </c>
      <c r="X214" t="n">
        <v/>
      </c>
      <c r="Y214" t="n">
        <v/>
      </c>
      <c r="Z214" t="n">
        <v/>
      </c>
      <c r="AA214" t="n">
        <v/>
      </c>
      <c r="AB214" t="n">
        <v/>
      </c>
      <c r="AC214" t="n">
        <v/>
      </c>
      <c r="AD214" t="n">
        <v>4.859387</v>
      </c>
      <c r="AE214" t="n">
        <v>25.44794</v>
      </c>
      <c r="AF214" t="n">
        <v/>
      </c>
      <c r="AG214" t="n">
        <v/>
      </c>
      <c r="AH214" t="n">
        <v/>
      </c>
      <c r="AI214" t="n">
        <v/>
      </c>
      <c r="AJ214" t="n">
        <v/>
      </c>
      <c r="AK214" t="n">
        <v>17.93493</v>
      </c>
      <c r="AL214" t="n">
        <v/>
      </c>
      <c r="AM214" t="n">
        <v/>
      </c>
      <c r="AN214" t="n">
        <v/>
      </c>
      <c r="AO214" t="n">
        <v/>
      </c>
      <c r="AP214" t="n">
        <v/>
      </c>
      <c r="AQ214" t="n">
        <v/>
      </c>
      <c r="AR214" t="n">
        <v/>
      </c>
      <c r="AS214" t="n">
        <v/>
      </c>
      <c r="AT214" t="n">
        <v/>
      </c>
      <c r="AU214" t="n">
        <v/>
      </c>
      <c r="AV214" t="n">
        <v/>
      </c>
      <c r="AW214" t="n">
        <v>13.95273</v>
      </c>
      <c r="AX214" t="n">
        <v/>
      </c>
    </row>
    <row r="215">
      <c r="A215" s="92" t="n">
        <v>24381</v>
      </c>
      <c r="B215" t="n">
        <v>18.70482</v>
      </c>
      <c r="C215" t="n">
        <v/>
      </c>
      <c r="D215" t="n">
        <v/>
      </c>
      <c r="E215" t="n">
        <v>14.84128</v>
      </c>
      <c r="F215" t="n">
        <v>29.54491</v>
      </c>
      <c r="G215" t="n">
        <v/>
      </c>
      <c r="H215" t="n">
        <v/>
      </c>
      <c r="I215" t="n">
        <v/>
      </c>
      <c r="J215" t="n">
        <v/>
      </c>
      <c r="K215" t="n">
        <v/>
      </c>
      <c r="L215" t="n">
        <v>27.45428</v>
      </c>
      <c r="M215" t="n">
        <v/>
      </c>
      <c r="N215" t="n">
        <v/>
      </c>
      <c r="O215" t="n">
        <v/>
      </c>
      <c r="P215" t="n">
        <v/>
      </c>
      <c r="Q215" t="n">
        <v/>
      </c>
      <c r="R215" t="n">
        <v>10.28737</v>
      </c>
      <c r="S215" t="n">
        <v/>
      </c>
      <c r="T215" t="n">
        <v/>
      </c>
      <c r="U215" t="n">
        <v/>
      </c>
      <c r="V215" t="n">
        <v/>
      </c>
      <c r="W215" t="n">
        <v/>
      </c>
      <c r="X215" t="n">
        <v/>
      </c>
      <c r="Y215" t="n">
        <v/>
      </c>
      <c r="Z215" t="n">
        <v/>
      </c>
      <c r="AA215" t="n">
        <v/>
      </c>
      <c r="AB215" t="n">
        <v/>
      </c>
      <c r="AC215" t="n">
        <v/>
      </c>
      <c r="AD215" t="n">
        <v>4.872739</v>
      </c>
      <c r="AE215" t="n">
        <v>25.57829</v>
      </c>
      <c r="AF215" t="n">
        <v/>
      </c>
      <c r="AG215" t="n">
        <v/>
      </c>
      <c r="AH215" t="n">
        <v/>
      </c>
      <c r="AI215" t="n">
        <v/>
      </c>
      <c r="AJ215" t="n">
        <v/>
      </c>
      <c r="AK215" t="n">
        <v>17.94425</v>
      </c>
      <c r="AL215" t="n">
        <v/>
      </c>
      <c r="AM215" t="n">
        <v/>
      </c>
      <c r="AN215" t="n">
        <v/>
      </c>
      <c r="AO215" t="n">
        <v/>
      </c>
      <c r="AP215" t="n">
        <v/>
      </c>
      <c r="AQ215" t="n">
        <v/>
      </c>
      <c r="AR215" t="n">
        <v/>
      </c>
      <c r="AS215" t="n">
        <v/>
      </c>
      <c r="AT215" t="n">
        <v/>
      </c>
      <c r="AU215" t="n">
        <v/>
      </c>
      <c r="AV215" t="n">
        <v/>
      </c>
      <c r="AW215" t="n">
        <v>14.03529</v>
      </c>
      <c r="AX215" t="n">
        <v/>
      </c>
    </row>
    <row r="216">
      <c r="A216" s="92" t="n">
        <v>24412</v>
      </c>
      <c r="B216" t="n">
        <v>18.78805</v>
      </c>
      <c r="C216" t="n">
        <v/>
      </c>
      <c r="D216" t="n">
        <v/>
      </c>
      <c r="E216" t="n">
        <v>14.8537</v>
      </c>
      <c r="F216" t="n">
        <v>29.87525</v>
      </c>
      <c r="G216" t="n">
        <v/>
      </c>
      <c r="H216" t="n">
        <v/>
      </c>
      <c r="I216" t="n">
        <v/>
      </c>
      <c r="J216" t="n">
        <v/>
      </c>
      <c r="K216" t="n">
        <v/>
      </c>
      <c r="L216" t="n">
        <v>27.73562</v>
      </c>
      <c r="M216" t="n">
        <v/>
      </c>
      <c r="N216" t="n">
        <v/>
      </c>
      <c r="O216" t="n">
        <v/>
      </c>
      <c r="P216" t="n">
        <v/>
      </c>
      <c r="Q216" t="n">
        <v/>
      </c>
      <c r="R216" t="n">
        <v>10.35064</v>
      </c>
      <c r="S216" t="n">
        <v/>
      </c>
      <c r="T216" t="n">
        <v/>
      </c>
      <c r="U216" t="n">
        <v/>
      </c>
      <c r="V216" t="n">
        <v/>
      </c>
      <c r="W216" t="n">
        <v/>
      </c>
      <c r="X216" t="n">
        <v/>
      </c>
      <c r="Y216" t="n">
        <v/>
      </c>
      <c r="Z216" t="n">
        <v/>
      </c>
      <c r="AA216" t="n">
        <v/>
      </c>
      <c r="AB216" t="n">
        <v/>
      </c>
      <c r="AC216" t="n">
        <v/>
      </c>
      <c r="AD216" t="n">
        <v>4.898014</v>
      </c>
      <c r="AE216" t="n">
        <v>25.4325</v>
      </c>
      <c r="AF216" t="n">
        <v/>
      </c>
      <c r="AG216" t="n">
        <v/>
      </c>
      <c r="AH216" t="n">
        <v/>
      </c>
      <c r="AI216" t="n">
        <v/>
      </c>
      <c r="AJ216" t="n">
        <v/>
      </c>
      <c r="AK216" t="n">
        <v>17.96144</v>
      </c>
      <c r="AL216" t="n">
        <v/>
      </c>
      <c r="AM216" t="n">
        <v/>
      </c>
      <c r="AN216" t="n">
        <v/>
      </c>
      <c r="AO216" t="n">
        <v/>
      </c>
      <c r="AP216" t="n">
        <v/>
      </c>
      <c r="AQ216" t="n">
        <v/>
      </c>
      <c r="AR216" t="n">
        <v/>
      </c>
      <c r="AS216" t="n">
        <v/>
      </c>
      <c r="AT216" t="n">
        <v/>
      </c>
      <c r="AU216" t="n">
        <v/>
      </c>
      <c r="AV216" t="n">
        <v/>
      </c>
      <c r="AW216" t="n">
        <v>14.07657</v>
      </c>
      <c r="AX216" t="n">
        <v/>
      </c>
    </row>
    <row r="217">
      <c r="A217" s="92" t="n">
        <v>24442</v>
      </c>
      <c r="B217" t="n">
        <v>18.83007</v>
      </c>
      <c r="C217" t="n">
        <v/>
      </c>
      <c r="D217" t="n">
        <v/>
      </c>
      <c r="E217" t="n">
        <v>14.95601</v>
      </c>
      <c r="F217" t="n">
        <v>29.95405</v>
      </c>
      <c r="G217" t="n">
        <v/>
      </c>
      <c r="H217" t="n">
        <v/>
      </c>
      <c r="I217" t="n">
        <v/>
      </c>
      <c r="J217" t="n">
        <v/>
      </c>
      <c r="K217" t="n">
        <v/>
      </c>
      <c r="L217" t="n">
        <v>27.79017</v>
      </c>
      <c r="M217" t="n">
        <v/>
      </c>
      <c r="N217" t="n">
        <v/>
      </c>
      <c r="O217" t="n">
        <v/>
      </c>
      <c r="P217" t="n">
        <v/>
      </c>
      <c r="Q217" t="n">
        <v/>
      </c>
      <c r="R217" t="n">
        <v>10.44183</v>
      </c>
      <c r="S217" t="n">
        <v/>
      </c>
      <c r="T217" t="n">
        <v/>
      </c>
      <c r="U217" t="n">
        <v/>
      </c>
      <c r="V217" t="n">
        <v/>
      </c>
      <c r="W217" t="n">
        <v/>
      </c>
      <c r="X217" t="n">
        <v/>
      </c>
      <c r="Y217" t="n">
        <v/>
      </c>
      <c r="Z217" t="n">
        <v/>
      </c>
      <c r="AA217" t="n">
        <v/>
      </c>
      <c r="AB217" t="n">
        <v/>
      </c>
      <c r="AC217" t="n">
        <v/>
      </c>
      <c r="AD217" t="n">
        <v>4.940238</v>
      </c>
      <c r="AE217" t="n">
        <v>25.66501</v>
      </c>
      <c r="AF217" t="n">
        <v/>
      </c>
      <c r="AG217" t="n">
        <v/>
      </c>
      <c r="AH217" t="n">
        <v/>
      </c>
      <c r="AI217" t="n">
        <v/>
      </c>
      <c r="AJ217" t="n">
        <v/>
      </c>
      <c r="AK217" t="n">
        <v>17.94746</v>
      </c>
      <c r="AL217" t="n">
        <v/>
      </c>
      <c r="AM217" t="n">
        <v/>
      </c>
      <c r="AN217" t="n">
        <v/>
      </c>
      <c r="AO217" t="n">
        <v/>
      </c>
      <c r="AP217" t="n">
        <v/>
      </c>
      <c r="AQ217" t="n">
        <v/>
      </c>
      <c r="AR217" t="n">
        <v/>
      </c>
      <c r="AS217" t="n">
        <v/>
      </c>
      <c r="AT217" t="n">
        <v/>
      </c>
      <c r="AU217" t="n">
        <v/>
      </c>
      <c r="AV217" t="n">
        <v/>
      </c>
      <c r="AW217" t="n">
        <v>14.07657</v>
      </c>
      <c r="AX217" t="n">
        <v/>
      </c>
    </row>
    <row r="218">
      <c r="A218" s="92" t="n">
        <v>24473</v>
      </c>
      <c r="B218" t="n">
        <v>19.23047</v>
      </c>
      <c r="C218" t="n">
        <v/>
      </c>
      <c r="D218" t="n">
        <v/>
      </c>
      <c r="E218" t="n">
        <v>14.95601</v>
      </c>
      <c r="F218" t="n">
        <v>30.03923</v>
      </c>
      <c r="G218" t="n">
        <v/>
      </c>
      <c r="H218" t="n">
        <v/>
      </c>
      <c r="I218" t="n">
        <v/>
      </c>
      <c r="J218" t="n">
        <v/>
      </c>
      <c r="K218" t="n">
        <v/>
      </c>
      <c r="L218" t="n">
        <v>27.87549</v>
      </c>
      <c r="M218" t="n">
        <v/>
      </c>
      <c r="N218" t="n">
        <v/>
      </c>
      <c r="O218" t="n">
        <v/>
      </c>
      <c r="P218" t="n">
        <v/>
      </c>
      <c r="Q218" t="n">
        <v/>
      </c>
      <c r="R218" t="n">
        <v>10.51096</v>
      </c>
      <c r="S218" t="n">
        <v/>
      </c>
      <c r="T218" t="n">
        <v/>
      </c>
      <c r="U218" t="n">
        <v/>
      </c>
      <c r="V218" t="n">
        <v/>
      </c>
      <c r="W218" t="n">
        <v/>
      </c>
      <c r="X218" t="n">
        <v/>
      </c>
      <c r="Y218" t="n">
        <v/>
      </c>
      <c r="Z218" t="n">
        <v/>
      </c>
      <c r="AA218" t="n">
        <v/>
      </c>
      <c r="AB218" t="n">
        <v/>
      </c>
      <c r="AC218" t="n">
        <v/>
      </c>
      <c r="AD218" t="n">
        <v>5.003762</v>
      </c>
      <c r="AE218" t="n">
        <v>25.88404</v>
      </c>
      <c r="AF218" t="n">
        <v/>
      </c>
      <c r="AG218" t="n">
        <v/>
      </c>
      <c r="AH218" t="n">
        <v>18.21301</v>
      </c>
      <c r="AI218" t="n">
        <v/>
      </c>
      <c r="AJ218" t="n">
        <v/>
      </c>
      <c r="AK218" t="n">
        <v>18.10598</v>
      </c>
      <c r="AL218" t="n">
        <v/>
      </c>
      <c r="AM218" t="n">
        <v/>
      </c>
      <c r="AN218" t="n">
        <v/>
      </c>
      <c r="AO218" t="n">
        <v/>
      </c>
      <c r="AP218" t="n">
        <v/>
      </c>
      <c r="AQ218" t="n">
        <v/>
      </c>
      <c r="AR218" t="n">
        <v/>
      </c>
      <c r="AS218" t="n">
        <v/>
      </c>
      <c r="AT218" t="n">
        <v/>
      </c>
      <c r="AU218" t="n">
        <v/>
      </c>
      <c r="AV218" t="n">
        <v/>
      </c>
      <c r="AW218" t="n">
        <v>14.07657</v>
      </c>
      <c r="AX218" t="n">
        <v/>
      </c>
    </row>
    <row r="219">
      <c r="A219" s="92" t="n">
        <v>24504</v>
      </c>
      <c r="B219" t="n">
        <v>19.27069</v>
      </c>
      <c r="C219" t="n">
        <v/>
      </c>
      <c r="D219" t="n">
        <v/>
      </c>
      <c r="E219" t="n">
        <v>14.98086</v>
      </c>
      <c r="F219" t="n">
        <v>30.00009</v>
      </c>
      <c r="G219" t="n">
        <v/>
      </c>
      <c r="H219" t="n">
        <v/>
      </c>
      <c r="I219" t="n">
        <v/>
      </c>
      <c r="J219" t="n">
        <v/>
      </c>
      <c r="K219" t="n">
        <v/>
      </c>
      <c r="L219" t="n">
        <v>27.88745</v>
      </c>
      <c r="M219" t="n">
        <v/>
      </c>
      <c r="N219" t="n">
        <v/>
      </c>
      <c r="O219" t="n">
        <v/>
      </c>
      <c r="P219" t="n">
        <v/>
      </c>
      <c r="Q219" t="n">
        <v/>
      </c>
      <c r="R219" t="n">
        <v>10.5051</v>
      </c>
      <c r="S219" t="n">
        <v/>
      </c>
      <c r="T219" t="n">
        <v/>
      </c>
      <c r="U219" t="n">
        <v/>
      </c>
      <c r="V219" t="n">
        <v/>
      </c>
      <c r="W219" t="n">
        <v/>
      </c>
      <c r="X219" t="n">
        <v/>
      </c>
      <c r="Y219" t="n">
        <v/>
      </c>
      <c r="Z219" t="n">
        <v/>
      </c>
      <c r="AA219" t="n">
        <v/>
      </c>
      <c r="AB219" t="n">
        <v/>
      </c>
      <c r="AC219" t="n">
        <v/>
      </c>
      <c r="AD219" t="n">
        <v>5.026599</v>
      </c>
      <c r="AE219" t="n">
        <v>25.95136</v>
      </c>
      <c r="AF219" t="n">
        <v/>
      </c>
      <c r="AG219" t="n">
        <v/>
      </c>
      <c r="AH219" t="n">
        <v>18.20716</v>
      </c>
      <c r="AI219" t="n">
        <v/>
      </c>
      <c r="AJ219" t="n">
        <v/>
      </c>
      <c r="AK219" t="n">
        <v>18.27145</v>
      </c>
      <c r="AL219" t="n">
        <v/>
      </c>
      <c r="AM219" t="n">
        <v/>
      </c>
      <c r="AN219" t="n">
        <v/>
      </c>
      <c r="AO219" t="n">
        <v/>
      </c>
      <c r="AP219" t="n">
        <v/>
      </c>
      <c r="AQ219" t="n">
        <v/>
      </c>
      <c r="AR219" t="n">
        <v/>
      </c>
      <c r="AS219" t="n">
        <v/>
      </c>
      <c r="AT219" t="n">
        <v/>
      </c>
      <c r="AU219" t="n">
        <v/>
      </c>
      <c r="AV219" t="n">
        <v/>
      </c>
      <c r="AW219" t="n">
        <v>14.11785</v>
      </c>
      <c r="AX219" t="n">
        <v/>
      </c>
    </row>
    <row r="220">
      <c r="A220" s="92" t="n">
        <v>24532</v>
      </c>
      <c r="B220" t="n">
        <v>19.30855</v>
      </c>
      <c r="C220" t="n">
        <v/>
      </c>
      <c r="D220" t="n">
        <v/>
      </c>
      <c r="E220" t="n">
        <v>15.08742</v>
      </c>
      <c r="F220" t="n">
        <v>30.02191</v>
      </c>
      <c r="G220" t="n">
        <v/>
      </c>
      <c r="H220" t="n">
        <v/>
      </c>
      <c r="I220" t="n">
        <v/>
      </c>
      <c r="J220" t="n">
        <v/>
      </c>
      <c r="K220" t="n">
        <v/>
      </c>
      <c r="L220" t="n">
        <v>27.9471</v>
      </c>
      <c r="M220" t="n">
        <v/>
      </c>
      <c r="N220" t="n">
        <v/>
      </c>
      <c r="O220" t="n">
        <v/>
      </c>
      <c r="P220" t="n">
        <v/>
      </c>
      <c r="Q220" t="n">
        <v/>
      </c>
      <c r="R220" t="n">
        <v>10.47401</v>
      </c>
      <c r="S220" t="n">
        <v/>
      </c>
      <c r="T220" t="n">
        <v/>
      </c>
      <c r="U220" t="n">
        <v/>
      </c>
      <c r="V220" t="n">
        <v/>
      </c>
      <c r="W220" t="n">
        <v/>
      </c>
      <c r="X220" t="n">
        <v/>
      </c>
      <c r="Y220" t="n">
        <v/>
      </c>
      <c r="Z220" t="n">
        <v/>
      </c>
      <c r="AA220" t="n">
        <v/>
      </c>
      <c r="AB220" t="n">
        <v/>
      </c>
      <c r="AC220" t="n">
        <v/>
      </c>
      <c r="AD220" t="n">
        <v>5.038269</v>
      </c>
      <c r="AE220" t="n">
        <v>26.01341</v>
      </c>
      <c r="AF220" t="n">
        <v/>
      </c>
      <c r="AG220" t="n">
        <v/>
      </c>
      <c r="AH220" t="n">
        <v>18.26776</v>
      </c>
      <c r="AI220" t="n">
        <v/>
      </c>
      <c r="AJ220" t="n">
        <v/>
      </c>
      <c r="AK220" t="n">
        <v>18.3807</v>
      </c>
      <c r="AL220" t="n">
        <v/>
      </c>
      <c r="AM220" t="n">
        <v/>
      </c>
      <c r="AN220" t="n">
        <v/>
      </c>
      <c r="AO220" t="n">
        <v/>
      </c>
      <c r="AP220" t="n">
        <v/>
      </c>
      <c r="AQ220" t="n">
        <v/>
      </c>
      <c r="AR220" t="n">
        <v/>
      </c>
      <c r="AS220" t="n">
        <v/>
      </c>
      <c r="AT220" t="n">
        <v/>
      </c>
      <c r="AU220" t="n">
        <v/>
      </c>
      <c r="AV220" t="n">
        <v/>
      </c>
      <c r="AW220" t="n">
        <v>14.15913</v>
      </c>
      <c r="AX220" t="n">
        <v/>
      </c>
    </row>
    <row r="221">
      <c r="A221" s="92" t="n">
        <v>24563</v>
      </c>
      <c r="B221" t="n">
        <v>19.31756</v>
      </c>
      <c r="C221" t="n">
        <v/>
      </c>
      <c r="D221" t="n">
        <v/>
      </c>
      <c r="E221" t="n">
        <v>15.1652</v>
      </c>
      <c r="F221" t="n">
        <v>30.07779</v>
      </c>
      <c r="G221" t="n">
        <v/>
      </c>
      <c r="H221" t="n">
        <v/>
      </c>
      <c r="I221" t="n">
        <v/>
      </c>
      <c r="J221" t="n">
        <v/>
      </c>
      <c r="K221" t="n">
        <v/>
      </c>
      <c r="L221" t="n">
        <v>28.01347</v>
      </c>
      <c r="M221" t="n">
        <v/>
      </c>
      <c r="N221" t="n">
        <v/>
      </c>
      <c r="O221" t="n">
        <v/>
      </c>
      <c r="P221" t="n">
        <v/>
      </c>
      <c r="Q221" t="n">
        <v/>
      </c>
      <c r="R221" t="n">
        <v>10.47401</v>
      </c>
      <c r="S221" t="n">
        <v/>
      </c>
      <c r="T221" t="n">
        <v/>
      </c>
      <c r="U221" t="n">
        <v/>
      </c>
      <c r="V221" t="n">
        <v/>
      </c>
      <c r="W221" t="n">
        <v/>
      </c>
      <c r="X221" t="n">
        <v/>
      </c>
      <c r="Y221" t="n">
        <v/>
      </c>
      <c r="Z221" t="n">
        <v/>
      </c>
      <c r="AA221" t="n">
        <v/>
      </c>
      <c r="AB221" t="n">
        <v/>
      </c>
      <c r="AC221" t="n">
        <v/>
      </c>
      <c r="AD221" t="n">
        <v>5.044546</v>
      </c>
      <c r="AE221" t="n">
        <v>26.18669</v>
      </c>
      <c r="AF221" t="n">
        <v/>
      </c>
      <c r="AG221" t="n">
        <v/>
      </c>
      <c r="AH221" t="n">
        <v>18.32539</v>
      </c>
      <c r="AI221" t="n">
        <v/>
      </c>
      <c r="AJ221" t="n">
        <v/>
      </c>
      <c r="AK221" t="n">
        <v>18.51501</v>
      </c>
      <c r="AL221" t="n">
        <v/>
      </c>
      <c r="AM221" t="n">
        <v/>
      </c>
      <c r="AN221" t="n">
        <v/>
      </c>
      <c r="AO221" t="n">
        <v/>
      </c>
      <c r="AP221" t="n">
        <v/>
      </c>
      <c r="AQ221" t="n">
        <v/>
      </c>
      <c r="AR221" t="n">
        <v/>
      </c>
      <c r="AS221" t="n">
        <v/>
      </c>
      <c r="AT221" t="n">
        <v/>
      </c>
      <c r="AU221" t="n">
        <v/>
      </c>
      <c r="AV221" t="n">
        <v/>
      </c>
      <c r="AW221" t="n">
        <v>14.20041</v>
      </c>
      <c r="AX221" t="n">
        <v/>
      </c>
    </row>
    <row r="222">
      <c r="A222" s="92" t="n">
        <v>24593</v>
      </c>
      <c r="B222" t="n">
        <v>19.31995</v>
      </c>
      <c r="C222" t="n">
        <v/>
      </c>
      <c r="D222" t="n">
        <v/>
      </c>
      <c r="E222" t="n">
        <v>15.25933</v>
      </c>
      <c r="F222" t="n">
        <v>30.47028</v>
      </c>
      <c r="G222" t="n">
        <v/>
      </c>
      <c r="H222" t="n">
        <v/>
      </c>
      <c r="I222" t="n">
        <v/>
      </c>
      <c r="J222" t="n">
        <v/>
      </c>
      <c r="K222" t="n">
        <v/>
      </c>
      <c r="L222" t="n">
        <v>28.07312</v>
      </c>
      <c r="M222" t="n">
        <v/>
      </c>
      <c r="N222" t="n">
        <v/>
      </c>
      <c r="O222" t="n">
        <v/>
      </c>
      <c r="P222" t="n">
        <v/>
      </c>
      <c r="Q222" t="n">
        <v/>
      </c>
      <c r="R222" t="n">
        <v>10.61359</v>
      </c>
      <c r="S222" t="n">
        <v/>
      </c>
      <c r="T222" t="n">
        <v/>
      </c>
      <c r="U222" t="n">
        <v/>
      </c>
      <c r="V222" t="n">
        <v/>
      </c>
      <c r="W222" t="n">
        <v/>
      </c>
      <c r="X222" t="n">
        <v/>
      </c>
      <c r="Y222" t="n">
        <v/>
      </c>
      <c r="Z222" t="n">
        <v/>
      </c>
      <c r="AA222" t="n">
        <v/>
      </c>
      <c r="AB222" t="n">
        <v/>
      </c>
      <c r="AC222" t="n">
        <v/>
      </c>
      <c r="AD222" t="n">
        <v>5.058504</v>
      </c>
      <c r="AE222" t="n">
        <v>26.10375</v>
      </c>
      <c r="AF222" t="n">
        <v/>
      </c>
      <c r="AG222" t="n">
        <v/>
      </c>
      <c r="AH222" t="n">
        <v>18.36689</v>
      </c>
      <c r="AI222" t="n">
        <v/>
      </c>
      <c r="AJ222" t="n">
        <v/>
      </c>
      <c r="AK222" t="n">
        <v>18.5193</v>
      </c>
      <c r="AL222" t="n">
        <v/>
      </c>
      <c r="AM222" t="n">
        <v/>
      </c>
      <c r="AN222" t="n">
        <v/>
      </c>
      <c r="AO222" t="n">
        <v/>
      </c>
      <c r="AP222" t="n">
        <v/>
      </c>
      <c r="AQ222" t="n">
        <v/>
      </c>
      <c r="AR222" t="n">
        <v/>
      </c>
      <c r="AS222" t="n">
        <v/>
      </c>
      <c r="AT222" t="n">
        <v/>
      </c>
      <c r="AU222" t="n">
        <v/>
      </c>
      <c r="AV222" t="n">
        <v/>
      </c>
      <c r="AW222" t="n">
        <v>14.24169</v>
      </c>
      <c r="AX222" t="n">
        <v/>
      </c>
    </row>
    <row r="223">
      <c r="A223" s="92" t="n">
        <v>24624</v>
      </c>
      <c r="B223" t="n">
        <v>19.3423</v>
      </c>
      <c r="C223" t="n">
        <v/>
      </c>
      <c r="D223" t="n">
        <v/>
      </c>
      <c r="E223" t="n">
        <v>15.33678</v>
      </c>
      <c r="F223" t="n">
        <v>30.58005</v>
      </c>
      <c r="G223" t="n">
        <v/>
      </c>
      <c r="H223" t="n">
        <v/>
      </c>
      <c r="I223" t="n">
        <v/>
      </c>
      <c r="J223" t="n">
        <v/>
      </c>
      <c r="K223" t="n">
        <v/>
      </c>
      <c r="L223" t="n">
        <v>28.03214</v>
      </c>
      <c r="M223" t="n">
        <v/>
      </c>
      <c r="N223" t="n">
        <v/>
      </c>
      <c r="O223" t="n">
        <v/>
      </c>
      <c r="P223" t="n">
        <v/>
      </c>
      <c r="Q223" t="n">
        <v/>
      </c>
      <c r="R223" t="n">
        <v>10.61359</v>
      </c>
      <c r="S223" t="n">
        <v/>
      </c>
      <c r="T223" t="n">
        <v/>
      </c>
      <c r="U223" t="n">
        <v/>
      </c>
      <c r="V223" t="n">
        <v/>
      </c>
      <c r="W223" t="n">
        <v/>
      </c>
      <c r="X223" t="n">
        <v/>
      </c>
      <c r="Y223" t="n">
        <v/>
      </c>
      <c r="Z223" t="n">
        <v/>
      </c>
      <c r="AA223" t="n">
        <v/>
      </c>
      <c r="AB223" t="n">
        <v/>
      </c>
      <c r="AC223" t="n">
        <v/>
      </c>
      <c r="AD223" t="n">
        <v>5.070689</v>
      </c>
      <c r="AE223" t="n">
        <v>26.03321</v>
      </c>
      <c r="AF223" t="n">
        <v/>
      </c>
      <c r="AG223" t="n">
        <v/>
      </c>
      <c r="AH223" t="n">
        <v>18.33876</v>
      </c>
      <c r="AI223" t="n">
        <v/>
      </c>
      <c r="AJ223" t="n">
        <v/>
      </c>
      <c r="AK223" t="n">
        <v>18.50385</v>
      </c>
      <c r="AL223" t="n">
        <v/>
      </c>
      <c r="AM223" t="n">
        <v/>
      </c>
      <c r="AN223" t="n">
        <v/>
      </c>
      <c r="AO223" t="n">
        <v/>
      </c>
      <c r="AP223" t="n">
        <v/>
      </c>
      <c r="AQ223" t="n">
        <v/>
      </c>
      <c r="AR223" t="n">
        <v/>
      </c>
      <c r="AS223" t="n">
        <v/>
      </c>
      <c r="AT223" t="n">
        <v/>
      </c>
      <c r="AU223" t="n">
        <v/>
      </c>
      <c r="AV223" t="n">
        <v/>
      </c>
      <c r="AW223" t="n">
        <v>14.28297</v>
      </c>
      <c r="AX223" t="n">
        <v/>
      </c>
    </row>
    <row r="224">
      <c r="A224" s="92" t="n">
        <v>24654</v>
      </c>
      <c r="B224" t="n">
        <v>19.35944</v>
      </c>
      <c r="C224" t="n">
        <v/>
      </c>
      <c r="D224" t="n">
        <v/>
      </c>
      <c r="E224" t="n">
        <v>15.37695</v>
      </c>
      <c r="F224" t="n">
        <v>30.63762</v>
      </c>
      <c r="G224" t="n">
        <v/>
      </c>
      <c r="H224" t="n">
        <v/>
      </c>
      <c r="I224" t="n">
        <v/>
      </c>
      <c r="J224" t="n">
        <v/>
      </c>
      <c r="K224" t="n">
        <v/>
      </c>
      <c r="L224" t="n">
        <v>28.02542</v>
      </c>
      <c r="M224" t="n">
        <v/>
      </c>
      <c r="N224" t="n">
        <v/>
      </c>
      <c r="O224" t="n">
        <v/>
      </c>
      <c r="P224" t="n">
        <v/>
      </c>
      <c r="Q224" t="n">
        <v/>
      </c>
      <c r="R224" t="n">
        <v>10.5825</v>
      </c>
      <c r="S224" t="n">
        <v/>
      </c>
      <c r="T224" t="n">
        <v/>
      </c>
      <c r="U224" t="n">
        <v/>
      </c>
      <c r="V224" t="n">
        <v/>
      </c>
      <c r="W224" t="n">
        <v/>
      </c>
      <c r="X224" t="n">
        <v/>
      </c>
      <c r="Y224" t="n">
        <v/>
      </c>
      <c r="Z224" t="n">
        <v/>
      </c>
      <c r="AA224" t="n">
        <v/>
      </c>
      <c r="AB224" t="n">
        <v/>
      </c>
      <c r="AC224" t="n">
        <v/>
      </c>
      <c r="AD224" t="n">
        <v>5.076591</v>
      </c>
      <c r="AE224" t="n">
        <v>26.00322</v>
      </c>
      <c r="AF224" t="n">
        <v/>
      </c>
      <c r="AG224" t="n">
        <v/>
      </c>
      <c r="AH224" t="n">
        <v>18.53437</v>
      </c>
      <c r="AI224" t="n">
        <v/>
      </c>
      <c r="AJ224" t="n">
        <v/>
      </c>
      <c r="AK224" t="n">
        <v>18.59641</v>
      </c>
      <c r="AL224" t="n">
        <v/>
      </c>
      <c r="AM224" t="n">
        <v/>
      </c>
      <c r="AN224" t="n">
        <v/>
      </c>
      <c r="AO224" t="n">
        <v/>
      </c>
      <c r="AP224" t="n">
        <v/>
      </c>
      <c r="AQ224" t="n">
        <v/>
      </c>
      <c r="AR224" t="n">
        <v/>
      </c>
      <c r="AS224" t="n">
        <v/>
      </c>
      <c r="AT224" t="n">
        <v/>
      </c>
      <c r="AU224" t="n">
        <v/>
      </c>
      <c r="AV224" t="n">
        <v/>
      </c>
      <c r="AW224" t="n">
        <v>14.32425</v>
      </c>
      <c r="AX224" t="n">
        <v/>
      </c>
    </row>
    <row r="225">
      <c r="A225" s="92" t="n">
        <v>24685</v>
      </c>
      <c r="B225" t="n">
        <v>19.34169</v>
      </c>
      <c r="C225" t="n">
        <v/>
      </c>
      <c r="D225" t="n">
        <v/>
      </c>
      <c r="E225" t="n">
        <v>15.45016</v>
      </c>
      <c r="F225" t="n">
        <v>30.73921</v>
      </c>
      <c r="G225" t="n">
        <v/>
      </c>
      <c r="H225" t="n">
        <v/>
      </c>
      <c r="I225" t="n">
        <v/>
      </c>
      <c r="J225" t="n">
        <v/>
      </c>
      <c r="K225" t="n">
        <v/>
      </c>
      <c r="L225" t="n">
        <v>27.95061</v>
      </c>
      <c r="M225" t="n">
        <v/>
      </c>
      <c r="N225" t="n">
        <v/>
      </c>
      <c r="O225" t="n">
        <v/>
      </c>
      <c r="P225" t="n">
        <v/>
      </c>
      <c r="Q225" t="n">
        <v/>
      </c>
      <c r="R225" t="n">
        <v>10.69685</v>
      </c>
      <c r="S225" t="n">
        <v/>
      </c>
      <c r="T225" t="n">
        <v/>
      </c>
      <c r="U225" t="n">
        <v/>
      </c>
      <c r="V225" t="n">
        <v/>
      </c>
      <c r="W225" t="n">
        <v/>
      </c>
      <c r="X225" t="n">
        <v/>
      </c>
      <c r="Y225" t="n">
        <v/>
      </c>
      <c r="Z225" t="n">
        <v/>
      </c>
      <c r="AA225" t="n">
        <v/>
      </c>
      <c r="AB225" t="n">
        <v/>
      </c>
      <c r="AC225" t="n">
        <v/>
      </c>
      <c r="AD225" t="n">
        <v>5.082506</v>
      </c>
      <c r="AE225" t="n">
        <v>26.13463</v>
      </c>
      <c r="AF225" t="n">
        <v/>
      </c>
      <c r="AG225" t="n">
        <v/>
      </c>
      <c r="AH225" t="n">
        <v>18.54183</v>
      </c>
      <c r="AI225" t="n">
        <v/>
      </c>
      <c r="AJ225" t="n">
        <v/>
      </c>
      <c r="AK225" t="n">
        <v>18.71276</v>
      </c>
      <c r="AL225" t="n">
        <v/>
      </c>
      <c r="AM225" t="n">
        <v/>
      </c>
      <c r="AN225" t="n">
        <v/>
      </c>
      <c r="AO225" t="n">
        <v/>
      </c>
      <c r="AP225" t="n">
        <v/>
      </c>
      <c r="AQ225" t="n">
        <v/>
      </c>
      <c r="AR225" t="n">
        <v/>
      </c>
      <c r="AS225" t="n">
        <v/>
      </c>
      <c r="AT225" t="n">
        <v/>
      </c>
      <c r="AU225" t="n">
        <v/>
      </c>
      <c r="AV225" t="n">
        <v/>
      </c>
      <c r="AW225" t="n">
        <v>14.36553</v>
      </c>
      <c r="AX225" t="n">
        <v/>
      </c>
    </row>
    <row r="226">
      <c r="A226" s="92" t="n">
        <v>24716</v>
      </c>
      <c r="B226" t="n">
        <v>19.69145</v>
      </c>
      <c r="C226" t="n">
        <v/>
      </c>
      <c r="D226" t="n">
        <v/>
      </c>
      <c r="E226" t="n">
        <v>15.49986</v>
      </c>
      <c r="F226" t="n">
        <v>30.67446</v>
      </c>
      <c r="G226" t="n">
        <v/>
      </c>
      <c r="H226" t="n">
        <v/>
      </c>
      <c r="I226" t="n">
        <v/>
      </c>
      <c r="J226" t="n">
        <v/>
      </c>
      <c r="K226" t="n">
        <v/>
      </c>
      <c r="L226" t="n">
        <v>27.96257</v>
      </c>
      <c r="M226" t="n">
        <v/>
      </c>
      <c r="N226" t="n">
        <v/>
      </c>
      <c r="O226" t="n">
        <v/>
      </c>
      <c r="P226" t="n">
        <v/>
      </c>
      <c r="Q226" t="n">
        <v/>
      </c>
      <c r="R226" t="n">
        <v>10.78596</v>
      </c>
      <c r="S226" t="n">
        <v/>
      </c>
      <c r="T226" t="n">
        <v/>
      </c>
      <c r="U226" t="n">
        <v/>
      </c>
      <c r="V226" t="n">
        <v/>
      </c>
      <c r="W226" t="n">
        <v/>
      </c>
      <c r="X226" t="n">
        <v/>
      </c>
      <c r="Y226" t="n">
        <v/>
      </c>
      <c r="Z226" t="n">
        <v/>
      </c>
      <c r="AA226" t="n">
        <v/>
      </c>
      <c r="AB226" t="n">
        <v/>
      </c>
      <c r="AC226" t="n">
        <v/>
      </c>
      <c r="AD226" t="n">
        <v>5.111258</v>
      </c>
      <c r="AE226" t="n">
        <v>26.52729</v>
      </c>
      <c r="AF226" t="n">
        <v/>
      </c>
      <c r="AG226" t="n">
        <v/>
      </c>
      <c r="AH226" t="n">
        <v>18.65255</v>
      </c>
      <c r="AI226" t="n">
        <v/>
      </c>
      <c r="AJ226" t="n">
        <v/>
      </c>
      <c r="AK226" t="n">
        <v>18.79329</v>
      </c>
      <c r="AL226" t="n">
        <v/>
      </c>
      <c r="AM226" t="n">
        <v/>
      </c>
      <c r="AN226" t="n">
        <v/>
      </c>
      <c r="AO226" t="n">
        <v/>
      </c>
      <c r="AP226" t="n">
        <v/>
      </c>
      <c r="AQ226" t="n">
        <v/>
      </c>
      <c r="AR226" t="n">
        <v/>
      </c>
      <c r="AS226" t="n">
        <v/>
      </c>
      <c r="AT226" t="n">
        <v/>
      </c>
      <c r="AU226" t="n">
        <v/>
      </c>
      <c r="AV226" t="n">
        <v/>
      </c>
      <c r="AW226" t="n">
        <v>14.44809</v>
      </c>
      <c r="AX226" t="n">
        <v/>
      </c>
    </row>
    <row r="227">
      <c r="A227" s="92" t="n">
        <v>24746</v>
      </c>
      <c r="B227" t="n">
        <v>19.69148</v>
      </c>
      <c r="C227" t="n">
        <v/>
      </c>
      <c r="D227" t="n">
        <v/>
      </c>
      <c r="E227" t="n">
        <v>15.52471</v>
      </c>
      <c r="F227" t="n">
        <v>30.65715</v>
      </c>
      <c r="G227" t="n">
        <v/>
      </c>
      <c r="H227" t="n">
        <v/>
      </c>
      <c r="I227" t="n">
        <v/>
      </c>
      <c r="J227" t="n">
        <v/>
      </c>
      <c r="K227" t="n">
        <v/>
      </c>
      <c r="L227" t="n">
        <v>28.03769</v>
      </c>
      <c r="M227" t="n">
        <v/>
      </c>
      <c r="N227" t="n">
        <v/>
      </c>
      <c r="O227" t="n">
        <v/>
      </c>
      <c r="P227" t="n">
        <v/>
      </c>
      <c r="Q227" t="n">
        <v/>
      </c>
      <c r="R227" t="n">
        <v>10.78596</v>
      </c>
      <c r="S227" t="n">
        <v/>
      </c>
      <c r="T227" t="n">
        <v/>
      </c>
      <c r="U227" t="n">
        <v/>
      </c>
      <c r="V227" t="n">
        <v/>
      </c>
      <c r="W227" t="n">
        <v/>
      </c>
      <c r="X227" t="n">
        <v/>
      </c>
      <c r="Y227" t="n">
        <v/>
      </c>
      <c r="Z227" t="n">
        <v/>
      </c>
      <c r="AA227" t="n">
        <v/>
      </c>
      <c r="AB227" t="n">
        <v/>
      </c>
      <c r="AC227" t="n">
        <v/>
      </c>
      <c r="AD227" t="n">
        <v>5.11119</v>
      </c>
      <c r="AE227" t="n">
        <v>26.88205</v>
      </c>
      <c r="AF227" t="n">
        <v/>
      </c>
      <c r="AG227" t="n">
        <v/>
      </c>
      <c r="AH227" t="n">
        <v>18.66998</v>
      </c>
      <c r="AI227" t="n">
        <v/>
      </c>
      <c r="AJ227" t="n">
        <v/>
      </c>
      <c r="AK227" t="n">
        <v>18.85355</v>
      </c>
      <c r="AL227" t="n">
        <v/>
      </c>
      <c r="AM227" t="n">
        <v/>
      </c>
      <c r="AN227" t="n">
        <v/>
      </c>
      <c r="AO227" t="n">
        <v/>
      </c>
      <c r="AP227" t="n">
        <v/>
      </c>
      <c r="AQ227" t="n">
        <v/>
      </c>
      <c r="AR227" t="n">
        <v/>
      </c>
      <c r="AS227" t="n">
        <v/>
      </c>
      <c r="AT227" t="n">
        <v/>
      </c>
      <c r="AU227" t="n">
        <v/>
      </c>
      <c r="AV227" t="n">
        <v/>
      </c>
      <c r="AW227" t="n">
        <v>14.53065</v>
      </c>
      <c r="AX227" t="n">
        <v/>
      </c>
    </row>
    <row r="228">
      <c r="A228" s="92" t="n">
        <v>24777</v>
      </c>
      <c r="B228" t="n">
        <v>19.72241</v>
      </c>
      <c r="C228" t="n">
        <v/>
      </c>
      <c r="D228" t="n">
        <v/>
      </c>
      <c r="E228" t="n">
        <v>15.51229</v>
      </c>
      <c r="F228" t="n">
        <v>30.99767</v>
      </c>
      <c r="G228" t="n">
        <v/>
      </c>
      <c r="H228" t="n">
        <v/>
      </c>
      <c r="I228" t="n">
        <v/>
      </c>
      <c r="J228" t="n">
        <v/>
      </c>
      <c r="K228" t="n">
        <v/>
      </c>
      <c r="L228" t="n">
        <v>28.10419</v>
      </c>
      <c r="M228" t="n">
        <v/>
      </c>
      <c r="N228" t="n">
        <v/>
      </c>
      <c r="O228" t="n">
        <v/>
      </c>
      <c r="P228" t="n">
        <v/>
      </c>
      <c r="Q228" t="n">
        <v/>
      </c>
      <c r="R228" t="n">
        <v>11.11729</v>
      </c>
      <c r="S228" t="n">
        <v/>
      </c>
      <c r="T228" t="n">
        <v/>
      </c>
      <c r="U228" t="n">
        <v/>
      </c>
      <c r="V228" t="n">
        <v/>
      </c>
      <c r="W228" t="n">
        <v/>
      </c>
      <c r="X228" t="n">
        <v/>
      </c>
      <c r="Y228" t="n">
        <v/>
      </c>
      <c r="Z228" t="n">
        <v/>
      </c>
      <c r="AA228" t="n">
        <v/>
      </c>
      <c r="AB228" t="n">
        <v/>
      </c>
      <c r="AC228" t="n">
        <v/>
      </c>
      <c r="AD228" t="n">
        <v>5.121027</v>
      </c>
      <c r="AE228" t="n">
        <v>26.88234</v>
      </c>
      <c r="AF228" t="n">
        <v/>
      </c>
      <c r="AG228" t="n">
        <v/>
      </c>
      <c r="AH228" t="n">
        <v>18.71158</v>
      </c>
      <c r="AI228" t="n">
        <v/>
      </c>
      <c r="AJ228" t="n">
        <v/>
      </c>
      <c r="AK228" t="n">
        <v>18.85863</v>
      </c>
      <c r="AL228" t="n">
        <v/>
      </c>
      <c r="AM228" t="n">
        <v/>
      </c>
      <c r="AN228" t="n">
        <v/>
      </c>
      <c r="AO228" t="n">
        <v/>
      </c>
      <c r="AP228" t="n">
        <v/>
      </c>
      <c r="AQ228" t="n">
        <v/>
      </c>
      <c r="AR228" t="n">
        <v/>
      </c>
      <c r="AS228" t="n">
        <v/>
      </c>
      <c r="AT228" t="n">
        <v/>
      </c>
      <c r="AU228" t="n">
        <v/>
      </c>
      <c r="AV228" t="n">
        <v/>
      </c>
      <c r="AW228" t="n">
        <v>14.57193</v>
      </c>
      <c r="AX228" t="n">
        <v/>
      </c>
    </row>
    <row r="229">
      <c r="A229" s="92" t="n">
        <v>24807</v>
      </c>
      <c r="B229" t="n">
        <v>19.73671</v>
      </c>
      <c r="C229" t="n">
        <v/>
      </c>
      <c r="D229" t="n">
        <v/>
      </c>
      <c r="E229" t="n">
        <v>15.60217</v>
      </c>
      <c r="F229" t="n">
        <v>31.04484</v>
      </c>
      <c r="G229" t="n">
        <v/>
      </c>
      <c r="H229" t="n">
        <v/>
      </c>
      <c r="I229" t="n">
        <v/>
      </c>
      <c r="J229" t="n">
        <v/>
      </c>
      <c r="K229" t="n">
        <v/>
      </c>
      <c r="L229" t="n">
        <v>28.10594</v>
      </c>
      <c r="M229" t="n">
        <v/>
      </c>
      <c r="N229" t="n">
        <v/>
      </c>
      <c r="O229" t="n">
        <v/>
      </c>
      <c r="P229" t="n">
        <v/>
      </c>
      <c r="Q229" t="n">
        <v/>
      </c>
      <c r="R229" t="n">
        <v>11.21003</v>
      </c>
      <c r="S229" t="n">
        <v/>
      </c>
      <c r="T229" t="n">
        <v/>
      </c>
      <c r="U229" t="n">
        <v/>
      </c>
      <c r="V229" t="n">
        <v/>
      </c>
      <c r="W229" t="n">
        <v/>
      </c>
      <c r="X229" t="n">
        <v/>
      </c>
      <c r="Y229" t="n">
        <v/>
      </c>
      <c r="Z229" t="n">
        <v/>
      </c>
      <c r="AA229" t="n">
        <v/>
      </c>
      <c r="AB229" t="n">
        <v/>
      </c>
      <c r="AC229" t="n">
        <v/>
      </c>
      <c r="AD229" t="n">
        <v>5.123241</v>
      </c>
      <c r="AE229" t="n">
        <v>27.09312</v>
      </c>
      <c r="AF229" t="n">
        <v/>
      </c>
      <c r="AG229" t="n">
        <v/>
      </c>
      <c r="AH229" t="n">
        <v>18.73826</v>
      </c>
      <c r="AI229" t="n">
        <v/>
      </c>
      <c r="AJ229" t="n">
        <v/>
      </c>
      <c r="AK229" t="n">
        <v>18.84722</v>
      </c>
      <c r="AL229" t="n">
        <v/>
      </c>
      <c r="AM229" t="n">
        <v/>
      </c>
      <c r="AN229" t="n">
        <v/>
      </c>
      <c r="AO229" t="n">
        <v/>
      </c>
      <c r="AP229" t="n">
        <v/>
      </c>
      <c r="AQ229" t="n">
        <v/>
      </c>
      <c r="AR229" t="n">
        <v/>
      </c>
      <c r="AS229" t="n">
        <v/>
      </c>
      <c r="AT229" t="n">
        <v/>
      </c>
      <c r="AU229" t="n">
        <v/>
      </c>
      <c r="AV229" t="n">
        <v/>
      </c>
      <c r="AW229" t="n">
        <v>14.61321</v>
      </c>
      <c r="AX229" t="n">
        <v/>
      </c>
    </row>
    <row r="230">
      <c r="A230" s="92" t="n">
        <v>24838</v>
      </c>
      <c r="B230" t="n">
        <v>19.75912</v>
      </c>
      <c r="C230" t="n">
        <v/>
      </c>
      <c r="D230" t="n">
        <v/>
      </c>
      <c r="E230" t="n">
        <v>15.65902</v>
      </c>
      <c r="F230" t="n">
        <v>31.07646</v>
      </c>
      <c r="G230" t="n">
        <v/>
      </c>
      <c r="H230" t="n">
        <v/>
      </c>
      <c r="I230" t="n">
        <v/>
      </c>
      <c r="J230" t="n">
        <v/>
      </c>
      <c r="K230" t="n">
        <v/>
      </c>
      <c r="L230" t="n">
        <v>28.31071</v>
      </c>
      <c r="M230" t="n">
        <v/>
      </c>
      <c r="N230" t="n">
        <v/>
      </c>
      <c r="O230" t="n">
        <v/>
      </c>
      <c r="P230" t="n">
        <v/>
      </c>
      <c r="Q230" t="n">
        <v/>
      </c>
      <c r="R230" t="n">
        <v>11.40998</v>
      </c>
      <c r="S230" t="n">
        <v/>
      </c>
      <c r="T230" t="n">
        <v/>
      </c>
      <c r="U230" t="n">
        <v/>
      </c>
      <c r="V230" t="n">
        <v/>
      </c>
      <c r="W230" t="n">
        <v/>
      </c>
      <c r="X230" t="n">
        <v/>
      </c>
      <c r="Y230" t="n">
        <v/>
      </c>
      <c r="Z230" t="n">
        <v/>
      </c>
      <c r="AA230" t="n">
        <v/>
      </c>
      <c r="AB230" t="n">
        <v/>
      </c>
      <c r="AC230" t="n">
        <v/>
      </c>
      <c r="AD230" t="n">
        <v>5.134917</v>
      </c>
      <c r="AE230" t="n">
        <v>27.24213</v>
      </c>
      <c r="AF230" t="n">
        <v/>
      </c>
      <c r="AG230" t="n">
        <v/>
      </c>
      <c r="AH230" t="n">
        <v>18.75291</v>
      </c>
      <c r="AI230" t="n">
        <v/>
      </c>
      <c r="AJ230" t="n">
        <v/>
      </c>
      <c r="AK230" t="n">
        <v>18.9882</v>
      </c>
      <c r="AL230" t="n">
        <v/>
      </c>
      <c r="AM230" t="n">
        <v/>
      </c>
      <c r="AN230" t="n">
        <v/>
      </c>
      <c r="AO230" t="n">
        <v/>
      </c>
      <c r="AP230" t="n">
        <v/>
      </c>
      <c r="AQ230" t="n">
        <v/>
      </c>
      <c r="AR230" t="n">
        <v/>
      </c>
      <c r="AS230" t="n">
        <v/>
      </c>
      <c r="AT230" t="n">
        <v/>
      </c>
      <c r="AU230" t="n">
        <v/>
      </c>
      <c r="AV230" t="n">
        <v/>
      </c>
      <c r="AW230" t="n">
        <v>14.65449</v>
      </c>
      <c r="AX230" t="n">
        <v/>
      </c>
    </row>
    <row r="231">
      <c r="A231" s="92" t="n">
        <v>24869</v>
      </c>
      <c r="B231" t="n">
        <v>19.92425</v>
      </c>
      <c r="C231" t="n">
        <v/>
      </c>
      <c r="D231" t="n">
        <v/>
      </c>
      <c r="E231" t="n">
        <v>15.67144</v>
      </c>
      <c r="F231" t="n">
        <v>31.13749</v>
      </c>
      <c r="G231" t="n">
        <v/>
      </c>
      <c r="H231" t="n">
        <v/>
      </c>
      <c r="I231" t="n">
        <v/>
      </c>
      <c r="J231" t="n">
        <v/>
      </c>
      <c r="K231" t="n">
        <v/>
      </c>
      <c r="L231" t="n">
        <v>28.42506</v>
      </c>
      <c r="M231" t="n">
        <v/>
      </c>
      <c r="N231" t="n">
        <v/>
      </c>
      <c r="O231" t="n">
        <v/>
      </c>
      <c r="P231" t="n">
        <v/>
      </c>
      <c r="Q231" t="n">
        <v/>
      </c>
      <c r="R231" t="n">
        <v>11.47257</v>
      </c>
      <c r="S231" t="n">
        <v/>
      </c>
      <c r="T231" t="n">
        <v/>
      </c>
      <c r="U231" t="n">
        <v/>
      </c>
      <c r="V231" t="n">
        <v/>
      </c>
      <c r="W231" t="n">
        <v/>
      </c>
      <c r="X231" t="n">
        <v/>
      </c>
      <c r="Y231" t="n">
        <v/>
      </c>
      <c r="Z231" t="n">
        <v/>
      </c>
      <c r="AA231" t="n">
        <v/>
      </c>
      <c r="AB231" t="n">
        <v/>
      </c>
      <c r="AC231" t="n">
        <v/>
      </c>
      <c r="AD231" t="n">
        <v>5.137139</v>
      </c>
      <c r="AE231" t="n">
        <v>27.3125</v>
      </c>
      <c r="AF231" t="n">
        <v/>
      </c>
      <c r="AG231" t="n">
        <v/>
      </c>
      <c r="AH231" t="n">
        <v>18.82771</v>
      </c>
      <c r="AI231" t="n">
        <v/>
      </c>
      <c r="AJ231" t="n">
        <v/>
      </c>
      <c r="AK231" t="n">
        <v>19.12299</v>
      </c>
      <c r="AL231" t="n">
        <v/>
      </c>
      <c r="AM231" t="n">
        <v/>
      </c>
      <c r="AN231" t="n">
        <v/>
      </c>
      <c r="AO231" t="n">
        <v/>
      </c>
      <c r="AP231" t="n">
        <v/>
      </c>
      <c r="AQ231" t="n">
        <v/>
      </c>
      <c r="AR231" t="n">
        <v/>
      </c>
      <c r="AS231" t="n">
        <v/>
      </c>
      <c r="AT231" t="n">
        <v/>
      </c>
      <c r="AU231" t="n">
        <v/>
      </c>
      <c r="AV231" t="n">
        <v/>
      </c>
      <c r="AW231" t="n">
        <v>14.69578</v>
      </c>
      <c r="AX231" t="n">
        <v/>
      </c>
    </row>
    <row r="232">
      <c r="A232" s="92" t="n">
        <v>24898</v>
      </c>
      <c r="B232" t="n">
        <v>19.98638</v>
      </c>
      <c r="C232" t="n">
        <v/>
      </c>
      <c r="D232" t="n">
        <v/>
      </c>
      <c r="E232" t="n">
        <v>15.79043</v>
      </c>
      <c r="F232" t="n">
        <v>31.08089</v>
      </c>
      <c r="G232" t="n">
        <v/>
      </c>
      <c r="H232" t="n">
        <v/>
      </c>
      <c r="I232" t="n">
        <v/>
      </c>
      <c r="J232" t="n">
        <v/>
      </c>
      <c r="K232" t="n">
        <v/>
      </c>
      <c r="L232" t="n">
        <v>28.43352</v>
      </c>
      <c r="M232" t="n">
        <v/>
      </c>
      <c r="N232" t="n">
        <v/>
      </c>
      <c r="O232" t="n">
        <v/>
      </c>
      <c r="P232" t="n">
        <v/>
      </c>
      <c r="Q232" t="n">
        <v/>
      </c>
      <c r="R232" t="n">
        <v>11.58821</v>
      </c>
      <c r="S232" t="n">
        <v/>
      </c>
      <c r="T232" t="n">
        <v/>
      </c>
      <c r="U232" t="n">
        <v/>
      </c>
      <c r="V232" t="n">
        <v/>
      </c>
      <c r="W232" t="n">
        <v/>
      </c>
      <c r="X232" t="n">
        <v/>
      </c>
      <c r="Y232" t="n">
        <v/>
      </c>
      <c r="Z232" t="n">
        <v/>
      </c>
      <c r="AA232" t="n">
        <v/>
      </c>
      <c r="AB232" t="n">
        <v/>
      </c>
      <c r="AC232" t="n">
        <v/>
      </c>
      <c r="AD232" t="n">
        <v>5.143422</v>
      </c>
      <c r="AE232" t="n">
        <v>27.37858</v>
      </c>
      <c r="AF232" t="n">
        <v/>
      </c>
      <c r="AG232" t="n">
        <v/>
      </c>
      <c r="AH232" t="n">
        <v>18.84446</v>
      </c>
      <c r="AI232" t="n">
        <v/>
      </c>
      <c r="AJ232" t="n">
        <v/>
      </c>
      <c r="AK232" t="n">
        <v>19.2369</v>
      </c>
      <c r="AL232" t="n">
        <v/>
      </c>
      <c r="AM232" t="n">
        <v/>
      </c>
      <c r="AN232" t="n">
        <v/>
      </c>
      <c r="AO232" t="n">
        <v/>
      </c>
      <c r="AP232" t="n">
        <v/>
      </c>
      <c r="AQ232" t="n">
        <v/>
      </c>
      <c r="AR232" t="n">
        <v/>
      </c>
      <c r="AS232" t="n">
        <v/>
      </c>
      <c r="AT232" t="n">
        <v/>
      </c>
      <c r="AU232" t="n">
        <v/>
      </c>
      <c r="AV232" t="n">
        <v/>
      </c>
      <c r="AW232" t="n">
        <v>14.77834</v>
      </c>
      <c r="AX232" t="n">
        <v/>
      </c>
    </row>
    <row r="233">
      <c r="A233" s="92" t="n">
        <v>24929</v>
      </c>
      <c r="B233" t="n">
        <v>20.06237</v>
      </c>
      <c r="C233" t="n">
        <v/>
      </c>
      <c r="D233" t="n">
        <v/>
      </c>
      <c r="E233" t="n">
        <v>15.7574</v>
      </c>
      <c r="F233" t="n">
        <v>31.10966</v>
      </c>
      <c r="G233" t="n">
        <v/>
      </c>
      <c r="H233" t="n">
        <v/>
      </c>
      <c r="I233" t="n">
        <v/>
      </c>
      <c r="J233" t="n">
        <v/>
      </c>
      <c r="K233" t="n">
        <v/>
      </c>
      <c r="L233" t="n">
        <v>28.46415</v>
      </c>
      <c r="M233" t="n">
        <v/>
      </c>
      <c r="N233" t="n">
        <v/>
      </c>
      <c r="O233" t="n">
        <v/>
      </c>
      <c r="P233" t="n">
        <v/>
      </c>
      <c r="Q233" t="n">
        <v/>
      </c>
      <c r="R233" t="n">
        <v>11.60754</v>
      </c>
      <c r="S233" t="n">
        <v/>
      </c>
      <c r="T233" t="n">
        <v/>
      </c>
      <c r="U233" t="n">
        <v/>
      </c>
      <c r="V233" t="n">
        <v/>
      </c>
      <c r="W233" t="n">
        <v/>
      </c>
      <c r="X233" t="n">
        <v/>
      </c>
      <c r="Y233" t="n">
        <v/>
      </c>
      <c r="Z233" t="n">
        <v/>
      </c>
      <c r="AA233" t="n">
        <v/>
      </c>
      <c r="AB233" t="n">
        <v/>
      </c>
      <c r="AC233" t="n">
        <v/>
      </c>
      <c r="AD233" t="n">
        <v>5.155975</v>
      </c>
      <c r="AE233" t="n">
        <v>27.5488</v>
      </c>
      <c r="AF233" t="n">
        <v/>
      </c>
      <c r="AG233" t="n">
        <v/>
      </c>
      <c r="AH233" t="n">
        <v>18.8949</v>
      </c>
      <c r="AI233" t="n">
        <v/>
      </c>
      <c r="AJ233" t="n">
        <v/>
      </c>
      <c r="AK233" t="n">
        <v>19.33217</v>
      </c>
      <c r="AL233" t="n">
        <v/>
      </c>
      <c r="AM233" t="n">
        <v/>
      </c>
      <c r="AN233" t="n">
        <v/>
      </c>
      <c r="AO233" t="n">
        <v/>
      </c>
      <c r="AP233" t="n">
        <v/>
      </c>
      <c r="AQ233" t="n">
        <v/>
      </c>
      <c r="AR233" t="n">
        <v/>
      </c>
      <c r="AS233" t="n">
        <v/>
      </c>
      <c r="AT233" t="n">
        <v/>
      </c>
      <c r="AU233" t="n">
        <v/>
      </c>
      <c r="AV233" t="n">
        <v/>
      </c>
      <c r="AW233" t="n">
        <v>14.81962</v>
      </c>
      <c r="AX233" t="n">
        <v/>
      </c>
    </row>
    <row r="234">
      <c r="A234" s="92" t="n">
        <v>24959</v>
      </c>
      <c r="B234" t="n">
        <v>20.16238</v>
      </c>
      <c r="C234" t="n">
        <v/>
      </c>
      <c r="D234" t="n">
        <v/>
      </c>
      <c r="E234" t="n">
        <v>15.77407</v>
      </c>
      <c r="F234" t="n">
        <v>31.34122</v>
      </c>
      <c r="G234" t="n">
        <v/>
      </c>
      <c r="H234" t="n">
        <v/>
      </c>
      <c r="I234" t="n">
        <v/>
      </c>
      <c r="J234" t="n">
        <v/>
      </c>
      <c r="K234" t="n">
        <v/>
      </c>
      <c r="L234" t="n">
        <v>28.48968</v>
      </c>
      <c r="M234" t="n">
        <v/>
      </c>
      <c r="N234" t="n">
        <v/>
      </c>
      <c r="O234" t="n">
        <v/>
      </c>
      <c r="P234" t="n">
        <v/>
      </c>
      <c r="Q234" t="n">
        <v/>
      </c>
      <c r="R234" t="n">
        <v>11.62149</v>
      </c>
      <c r="S234" t="n">
        <v/>
      </c>
      <c r="T234" t="n">
        <v/>
      </c>
      <c r="U234" t="n">
        <v/>
      </c>
      <c r="V234" t="n">
        <v/>
      </c>
      <c r="W234" t="n">
        <v/>
      </c>
      <c r="X234" t="n">
        <v/>
      </c>
      <c r="Y234" t="n">
        <v/>
      </c>
      <c r="Z234" t="n">
        <v/>
      </c>
      <c r="AA234" t="n">
        <v/>
      </c>
      <c r="AB234" t="n">
        <v/>
      </c>
      <c r="AC234" t="n">
        <v/>
      </c>
      <c r="AD234" t="n">
        <v>5.162687</v>
      </c>
      <c r="AE234" t="n">
        <v>27.66211</v>
      </c>
      <c r="AF234" t="n">
        <v/>
      </c>
      <c r="AG234" t="n">
        <v/>
      </c>
      <c r="AH234" t="n">
        <v>18.89106</v>
      </c>
      <c r="AI234" t="n">
        <v/>
      </c>
      <c r="AJ234" t="n">
        <v/>
      </c>
      <c r="AK234" t="n">
        <v>19.37586</v>
      </c>
      <c r="AL234" t="n">
        <v/>
      </c>
      <c r="AM234" t="n">
        <v/>
      </c>
      <c r="AN234" t="n">
        <v/>
      </c>
      <c r="AO234" t="n">
        <v/>
      </c>
      <c r="AP234" t="n">
        <v/>
      </c>
      <c r="AQ234" t="n">
        <v/>
      </c>
      <c r="AR234" t="n">
        <v/>
      </c>
      <c r="AS234" t="n">
        <v/>
      </c>
      <c r="AT234" t="n">
        <v/>
      </c>
      <c r="AU234" t="n">
        <v/>
      </c>
      <c r="AV234" t="n">
        <v/>
      </c>
      <c r="AW234" t="n">
        <v>14.8609</v>
      </c>
      <c r="AX234" t="n">
        <v/>
      </c>
    </row>
    <row r="235">
      <c r="A235" s="92" t="n">
        <v>24990</v>
      </c>
      <c r="B235" t="n">
        <v>20.223</v>
      </c>
      <c r="C235" t="n">
        <v/>
      </c>
      <c r="D235" t="n">
        <v/>
      </c>
      <c r="E235" t="n">
        <v>15.86395</v>
      </c>
      <c r="F235" t="n">
        <v>31.33879</v>
      </c>
      <c r="G235" t="n">
        <v/>
      </c>
      <c r="H235" t="n">
        <v/>
      </c>
      <c r="I235" t="n">
        <v/>
      </c>
      <c r="J235" t="n">
        <v/>
      </c>
      <c r="K235" t="n">
        <v/>
      </c>
      <c r="L235" t="n">
        <v>28.44869</v>
      </c>
      <c r="M235" t="n">
        <v/>
      </c>
      <c r="N235" t="n">
        <v/>
      </c>
      <c r="O235" t="n">
        <v/>
      </c>
      <c r="P235" t="n">
        <v/>
      </c>
      <c r="Q235" t="n">
        <v/>
      </c>
      <c r="R235" t="n">
        <v>11.69397</v>
      </c>
      <c r="S235" t="n">
        <v/>
      </c>
      <c r="T235" t="n">
        <v/>
      </c>
      <c r="U235" t="n">
        <v/>
      </c>
      <c r="V235" t="n">
        <v/>
      </c>
      <c r="W235" t="n">
        <v/>
      </c>
      <c r="X235" t="n">
        <v/>
      </c>
      <c r="Y235" t="n">
        <v/>
      </c>
      <c r="Z235" t="n">
        <v/>
      </c>
      <c r="AA235" t="n">
        <v/>
      </c>
      <c r="AB235" t="n">
        <v/>
      </c>
      <c r="AC235" t="n">
        <v/>
      </c>
      <c r="AD235" t="n">
        <v>5.157735</v>
      </c>
      <c r="AE235" t="n">
        <v>27.51259</v>
      </c>
      <c r="AF235" t="n">
        <v/>
      </c>
      <c r="AG235" t="n">
        <v/>
      </c>
      <c r="AH235" t="n">
        <v>18.90075</v>
      </c>
      <c r="AI235" t="n">
        <v/>
      </c>
      <c r="AJ235" t="n">
        <v/>
      </c>
      <c r="AK235" t="n">
        <v>19.3776</v>
      </c>
      <c r="AL235" t="n">
        <v/>
      </c>
      <c r="AM235" t="n">
        <v/>
      </c>
      <c r="AN235" t="n">
        <v/>
      </c>
      <c r="AO235" t="n">
        <v/>
      </c>
      <c r="AP235" t="n">
        <v/>
      </c>
      <c r="AQ235" t="n">
        <v/>
      </c>
      <c r="AR235" t="n">
        <v/>
      </c>
      <c r="AS235" t="n">
        <v/>
      </c>
      <c r="AT235" t="n">
        <v/>
      </c>
      <c r="AU235" t="n">
        <v/>
      </c>
      <c r="AV235" t="n">
        <v/>
      </c>
      <c r="AW235" t="n">
        <v>14.94346</v>
      </c>
      <c r="AX235" t="n">
        <v/>
      </c>
    </row>
    <row r="236">
      <c r="A236" s="92" t="n">
        <v>25020</v>
      </c>
      <c r="B236" t="n">
        <v>20.23926</v>
      </c>
      <c r="C236" t="n">
        <v/>
      </c>
      <c r="D236" t="n">
        <v/>
      </c>
      <c r="E236" t="n">
        <v>16.03129</v>
      </c>
      <c r="F236" t="n">
        <v>31.32537</v>
      </c>
      <c r="G236" t="n">
        <v/>
      </c>
      <c r="H236" t="n">
        <v/>
      </c>
      <c r="I236" t="n">
        <v/>
      </c>
      <c r="J236" t="n">
        <v/>
      </c>
      <c r="K236" t="n">
        <v/>
      </c>
      <c r="L236" t="n">
        <v>28.49143</v>
      </c>
      <c r="M236" t="n">
        <v/>
      </c>
      <c r="N236" t="n">
        <v/>
      </c>
      <c r="O236" t="n">
        <v/>
      </c>
      <c r="P236" t="n">
        <v/>
      </c>
      <c r="Q236" t="n">
        <v/>
      </c>
      <c r="R236" t="n">
        <v>11.71781</v>
      </c>
      <c r="S236" t="n">
        <v/>
      </c>
      <c r="T236" t="n">
        <v/>
      </c>
      <c r="U236" t="n">
        <v/>
      </c>
      <c r="V236" t="n">
        <v/>
      </c>
      <c r="W236" t="n">
        <v/>
      </c>
      <c r="X236" t="n">
        <v/>
      </c>
      <c r="Y236" t="n">
        <v/>
      </c>
      <c r="Z236" t="n">
        <v/>
      </c>
      <c r="AA236" t="n">
        <v/>
      </c>
      <c r="AB236" t="n">
        <v/>
      </c>
      <c r="AC236" t="n">
        <v/>
      </c>
      <c r="AD236" t="n">
        <v>5.151827</v>
      </c>
      <c r="AE236" t="n">
        <v>27.51378</v>
      </c>
      <c r="AF236" t="n">
        <v/>
      </c>
      <c r="AG236" t="n">
        <v/>
      </c>
      <c r="AH236" t="n">
        <v>18.92045</v>
      </c>
      <c r="AI236" t="n">
        <v/>
      </c>
      <c r="AJ236" t="n">
        <v/>
      </c>
      <c r="AK236" t="n">
        <v>19.25855</v>
      </c>
      <c r="AL236" t="n">
        <v/>
      </c>
      <c r="AM236" t="n">
        <v/>
      </c>
      <c r="AN236" t="n">
        <v/>
      </c>
      <c r="AO236" t="n">
        <v/>
      </c>
      <c r="AP236" t="n">
        <v/>
      </c>
      <c r="AQ236" t="n">
        <v/>
      </c>
      <c r="AR236" t="n">
        <v/>
      </c>
      <c r="AS236" t="n">
        <v/>
      </c>
      <c r="AT236" t="n">
        <v/>
      </c>
      <c r="AU236" t="n">
        <v/>
      </c>
      <c r="AV236" t="n">
        <v/>
      </c>
      <c r="AW236" t="n">
        <v>15.02602</v>
      </c>
      <c r="AX236" t="n">
        <v/>
      </c>
    </row>
    <row r="237">
      <c r="A237" s="92" t="n">
        <v>25051</v>
      </c>
      <c r="B237" t="n">
        <v>20.20919</v>
      </c>
      <c r="C237" t="n">
        <v/>
      </c>
      <c r="D237" t="n">
        <v/>
      </c>
      <c r="E237" t="n">
        <v>16.08814</v>
      </c>
      <c r="F237" t="n">
        <v>31.42656</v>
      </c>
      <c r="G237" t="n">
        <v/>
      </c>
      <c r="H237" t="n">
        <v/>
      </c>
      <c r="I237" t="n">
        <v/>
      </c>
      <c r="J237" t="n">
        <v/>
      </c>
      <c r="K237" t="n">
        <v/>
      </c>
      <c r="L237" t="n">
        <v>28.44038</v>
      </c>
      <c r="M237" t="n">
        <v/>
      </c>
      <c r="N237" t="n">
        <v/>
      </c>
      <c r="O237" t="n">
        <v/>
      </c>
      <c r="P237" t="n">
        <v/>
      </c>
      <c r="Q237" t="n">
        <v/>
      </c>
      <c r="R237" t="n">
        <v>11.73177</v>
      </c>
      <c r="S237" t="n">
        <v/>
      </c>
      <c r="T237" t="n">
        <v/>
      </c>
      <c r="U237" t="n">
        <v/>
      </c>
      <c r="V237" t="n">
        <v/>
      </c>
      <c r="W237" t="n">
        <v/>
      </c>
      <c r="X237" t="n">
        <v/>
      </c>
      <c r="Y237" t="n">
        <v/>
      </c>
      <c r="Z237" t="n">
        <v/>
      </c>
      <c r="AA237" t="n">
        <v/>
      </c>
      <c r="AB237" t="n">
        <v/>
      </c>
      <c r="AC237" t="n">
        <v/>
      </c>
      <c r="AD237" t="n">
        <v>5.153158</v>
      </c>
      <c r="AE237" t="n">
        <v>27.70193</v>
      </c>
      <c r="AF237" t="n">
        <v/>
      </c>
      <c r="AG237" t="n">
        <v/>
      </c>
      <c r="AH237" t="n">
        <v>18.91095</v>
      </c>
      <c r="AI237" t="n">
        <v/>
      </c>
      <c r="AJ237" t="n">
        <v/>
      </c>
      <c r="AK237" t="n">
        <v>19.41394</v>
      </c>
      <c r="AL237" t="n">
        <v/>
      </c>
      <c r="AM237" t="n">
        <v/>
      </c>
      <c r="AN237" t="n">
        <v/>
      </c>
      <c r="AO237" t="n">
        <v/>
      </c>
      <c r="AP237" t="n">
        <v/>
      </c>
      <c r="AQ237" t="n">
        <v/>
      </c>
      <c r="AR237" t="n">
        <v/>
      </c>
      <c r="AS237" t="n">
        <v/>
      </c>
      <c r="AT237" t="n">
        <v/>
      </c>
      <c r="AU237" t="n">
        <v/>
      </c>
      <c r="AV237" t="n">
        <v/>
      </c>
      <c r="AW237" t="n">
        <v>15.0673</v>
      </c>
      <c r="AX237" t="n">
        <v/>
      </c>
    </row>
    <row r="238">
      <c r="A238" s="92" t="n">
        <v>25082</v>
      </c>
      <c r="B238" t="n">
        <v>20.42712</v>
      </c>
      <c r="C238" t="n">
        <v/>
      </c>
      <c r="D238" t="n">
        <v/>
      </c>
      <c r="E238" t="n">
        <v>16.10056</v>
      </c>
      <c r="F238" t="n">
        <v>31.45567</v>
      </c>
      <c r="G238" t="n">
        <v/>
      </c>
      <c r="H238" t="n">
        <v/>
      </c>
      <c r="I238" t="n">
        <v/>
      </c>
      <c r="J238" t="n">
        <v/>
      </c>
      <c r="K238" t="n">
        <v/>
      </c>
      <c r="L238" t="n">
        <v>28.46095</v>
      </c>
      <c r="M238" t="n">
        <v/>
      </c>
      <c r="N238" t="n">
        <v/>
      </c>
      <c r="O238" t="n">
        <v/>
      </c>
      <c r="P238" t="n">
        <v/>
      </c>
      <c r="Q238" t="n">
        <v/>
      </c>
      <c r="R238" t="n">
        <v>11.73852</v>
      </c>
      <c r="S238" t="n">
        <v/>
      </c>
      <c r="T238" t="n">
        <v/>
      </c>
      <c r="U238" t="n">
        <v/>
      </c>
      <c r="V238" t="n">
        <v/>
      </c>
      <c r="W238" t="n">
        <v/>
      </c>
      <c r="X238" t="n">
        <v/>
      </c>
      <c r="Y238" t="n">
        <v/>
      </c>
      <c r="Z238" t="n">
        <v/>
      </c>
      <c r="AA238" t="n">
        <v/>
      </c>
      <c r="AB238" t="n">
        <v/>
      </c>
      <c r="AC238" t="n">
        <v/>
      </c>
      <c r="AD238" t="n">
        <v>5.160779</v>
      </c>
      <c r="AE238" t="n">
        <v>28.25089</v>
      </c>
      <c r="AF238" t="n">
        <v/>
      </c>
      <c r="AG238" t="n">
        <v/>
      </c>
      <c r="AH238" t="n">
        <v>18.94312</v>
      </c>
      <c r="AI238" t="n">
        <v/>
      </c>
      <c r="AJ238" t="n">
        <v/>
      </c>
      <c r="AK238" t="n">
        <v>19.47944</v>
      </c>
      <c r="AL238" t="n">
        <v/>
      </c>
      <c r="AM238" t="n">
        <v/>
      </c>
      <c r="AN238" t="n">
        <v/>
      </c>
      <c r="AO238" t="n">
        <v/>
      </c>
      <c r="AP238" t="n">
        <v/>
      </c>
      <c r="AQ238" t="n">
        <v/>
      </c>
      <c r="AR238" t="n">
        <v/>
      </c>
      <c r="AS238" t="n">
        <v/>
      </c>
      <c r="AT238" t="n">
        <v/>
      </c>
      <c r="AU238" t="n">
        <v/>
      </c>
      <c r="AV238" t="n">
        <v/>
      </c>
      <c r="AW238" t="n">
        <v>15.14986</v>
      </c>
      <c r="AX238" t="n">
        <v/>
      </c>
    </row>
    <row r="239">
      <c r="A239" s="92" t="n">
        <v>25112</v>
      </c>
      <c r="B239" t="n">
        <v>20.44818</v>
      </c>
      <c r="C239" t="n">
        <v/>
      </c>
      <c r="D239" t="n">
        <v/>
      </c>
      <c r="E239" t="n">
        <v>16.12542</v>
      </c>
      <c r="F239" t="n">
        <v>31.50627</v>
      </c>
      <c r="G239" t="n">
        <v/>
      </c>
      <c r="H239" t="n">
        <v/>
      </c>
      <c r="I239" t="n">
        <v/>
      </c>
      <c r="J239" t="n">
        <v/>
      </c>
      <c r="K239" t="n">
        <v/>
      </c>
      <c r="L239" t="n">
        <v>28.48311</v>
      </c>
      <c r="M239" t="n">
        <v/>
      </c>
      <c r="N239" t="n">
        <v/>
      </c>
      <c r="O239" t="n">
        <v/>
      </c>
      <c r="P239" t="n">
        <v/>
      </c>
      <c r="Q239" t="n">
        <v/>
      </c>
      <c r="R239" t="n">
        <v>11.77588</v>
      </c>
      <c r="S239" t="n">
        <v/>
      </c>
      <c r="T239" t="n">
        <v/>
      </c>
      <c r="U239" t="n">
        <v/>
      </c>
      <c r="V239" t="n">
        <v/>
      </c>
      <c r="W239" t="n">
        <v/>
      </c>
      <c r="X239" t="n">
        <v/>
      </c>
      <c r="Y239" t="n">
        <v/>
      </c>
      <c r="Z239" t="n">
        <v/>
      </c>
      <c r="AA239" t="n">
        <v/>
      </c>
      <c r="AB239" t="n">
        <v/>
      </c>
      <c r="AC239" t="n">
        <v/>
      </c>
      <c r="AD239" t="n">
        <v>5.164399</v>
      </c>
      <c r="AE239" t="n">
        <v>28.28019</v>
      </c>
      <c r="AF239" t="n">
        <v/>
      </c>
      <c r="AG239" t="n">
        <v/>
      </c>
      <c r="AH239" t="n">
        <v>19.01668</v>
      </c>
      <c r="AI239" t="n">
        <v/>
      </c>
      <c r="AJ239" t="n">
        <v/>
      </c>
      <c r="AK239" t="n">
        <v>19.57791</v>
      </c>
      <c r="AL239" t="n">
        <v/>
      </c>
      <c r="AM239" t="n">
        <v/>
      </c>
      <c r="AN239" t="n">
        <v/>
      </c>
      <c r="AO239" t="n">
        <v/>
      </c>
      <c r="AP239" t="n">
        <v/>
      </c>
      <c r="AQ239" t="n">
        <v/>
      </c>
      <c r="AR239" t="n">
        <v/>
      </c>
      <c r="AS239" t="n">
        <v/>
      </c>
      <c r="AT239" t="n">
        <v/>
      </c>
      <c r="AU239" t="n">
        <v/>
      </c>
      <c r="AV239" t="n">
        <v/>
      </c>
      <c r="AW239" t="n">
        <v>15.23242</v>
      </c>
      <c r="AX239" t="n">
        <v/>
      </c>
    </row>
    <row r="240">
      <c r="A240" s="92" t="n">
        <v>25143</v>
      </c>
      <c r="B240" t="n">
        <v>20.46585</v>
      </c>
      <c r="C240" t="n">
        <v/>
      </c>
      <c r="D240" t="n">
        <v/>
      </c>
      <c r="E240" t="n">
        <v>16.30518</v>
      </c>
      <c r="F240" t="n">
        <v>31.83228</v>
      </c>
      <c r="G240" t="n">
        <v/>
      </c>
      <c r="H240" t="n">
        <v/>
      </c>
      <c r="I240" t="n">
        <v/>
      </c>
      <c r="J240" t="n">
        <v/>
      </c>
      <c r="K240" t="n">
        <v/>
      </c>
      <c r="L240" t="n">
        <v>28.67578</v>
      </c>
      <c r="M240" t="n">
        <v/>
      </c>
      <c r="N240" t="n">
        <v/>
      </c>
      <c r="O240" t="n">
        <v/>
      </c>
      <c r="P240" t="n">
        <v/>
      </c>
      <c r="Q240" t="n">
        <v/>
      </c>
      <c r="R240" t="n">
        <v>11.76192</v>
      </c>
      <c r="S240" t="n">
        <v/>
      </c>
      <c r="T240" t="n">
        <v/>
      </c>
      <c r="U240" t="n">
        <v/>
      </c>
      <c r="V240" t="n">
        <v/>
      </c>
      <c r="W240" t="n">
        <v/>
      </c>
      <c r="X240" t="n">
        <v/>
      </c>
      <c r="Y240" t="n">
        <v/>
      </c>
      <c r="Z240" t="n">
        <v/>
      </c>
      <c r="AA240" t="n">
        <v/>
      </c>
      <c r="AB240" t="n">
        <v/>
      </c>
      <c r="AC240" t="n">
        <v/>
      </c>
      <c r="AD240" t="n">
        <v>5.170749</v>
      </c>
      <c r="AE240" t="n">
        <v>28.39809</v>
      </c>
      <c r="AF240" t="n">
        <v/>
      </c>
      <c r="AG240" t="n">
        <v/>
      </c>
      <c r="AH240" t="n">
        <v>19.03563</v>
      </c>
      <c r="AI240" t="n">
        <v/>
      </c>
      <c r="AJ240" t="n">
        <v/>
      </c>
      <c r="AK240" t="n">
        <v>19.58577</v>
      </c>
      <c r="AL240" t="n">
        <v/>
      </c>
      <c r="AM240" t="n">
        <v/>
      </c>
      <c r="AN240" t="n">
        <v/>
      </c>
      <c r="AO240" t="n">
        <v/>
      </c>
      <c r="AP240" t="n">
        <v/>
      </c>
      <c r="AQ240" t="n">
        <v/>
      </c>
      <c r="AR240" t="n">
        <v/>
      </c>
      <c r="AS240" t="n">
        <v/>
      </c>
      <c r="AT240" t="n">
        <v/>
      </c>
      <c r="AU240" t="n">
        <v/>
      </c>
      <c r="AV240" t="n">
        <v/>
      </c>
      <c r="AW240" t="n">
        <v>15.31498</v>
      </c>
      <c r="AX240" t="n">
        <v/>
      </c>
    </row>
    <row r="241">
      <c r="A241" s="92" t="n">
        <v>25173</v>
      </c>
      <c r="B241" t="n">
        <v>20.49602</v>
      </c>
      <c r="C241" t="n">
        <v/>
      </c>
      <c r="D241" t="n">
        <v/>
      </c>
      <c r="E241" t="n">
        <v>16.28032</v>
      </c>
      <c r="F241" t="n">
        <v>31.87146</v>
      </c>
      <c r="G241" t="n">
        <v/>
      </c>
      <c r="H241" t="n">
        <v/>
      </c>
      <c r="I241" t="n">
        <v/>
      </c>
      <c r="J241" t="n">
        <v/>
      </c>
      <c r="K241" t="n">
        <v/>
      </c>
      <c r="L241" t="n">
        <v>28.73543</v>
      </c>
      <c r="M241" t="n">
        <v/>
      </c>
      <c r="N241" t="n">
        <v/>
      </c>
      <c r="O241" t="n">
        <v/>
      </c>
      <c r="P241" t="n">
        <v/>
      </c>
      <c r="Q241" t="n">
        <v/>
      </c>
      <c r="R241" t="n">
        <v>11.76192</v>
      </c>
      <c r="S241" t="n">
        <v/>
      </c>
      <c r="T241" t="n">
        <v/>
      </c>
      <c r="U241" t="n">
        <v/>
      </c>
      <c r="V241" t="n">
        <v/>
      </c>
      <c r="W241" t="n">
        <v/>
      </c>
      <c r="X241" t="n">
        <v/>
      </c>
      <c r="Y241" t="n">
        <v/>
      </c>
      <c r="Z241" t="n">
        <v/>
      </c>
      <c r="AA241" t="n">
        <v/>
      </c>
      <c r="AB241" t="n">
        <v/>
      </c>
      <c r="AC241" t="n">
        <v/>
      </c>
      <c r="AD241" t="n">
        <v>5.181161</v>
      </c>
      <c r="AE241" t="n">
        <v>28.34837</v>
      </c>
      <c r="AF241" t="n">
        <v/>
      </c>
      <c r="AG241" t="n">
        <v/>
      </c>
      <c r="AH241" t="n">
        <v>19.09317</v>
      </c>
      <c r="AI241" t="n">
        <v/>
      </c>
      <c r="AJ241" t="n">
        <v/>
      </c>
      <c r="AK241" t="n">
        <v>19.62447</v>
      </c>
      <c r="AL241" t="n">
        <v/>
      </c>
      <c r="AM241" t="n">
        <v/>
      </c>
      <c r="AN241" t="n">
        <v/>
      </c>
      <c r="AO241" t="n">
        <v/>
      </c>
      <c r="AP241" t="n">
        <v/>
      </c>
      <c r="AQ241" t="n">
        <v/>
      </c>
      <c r="AR241" t="n">
        <v/>
      </c>
      <c r="AS241" t="n">
        <v/>
      </c>
      <c r="AT241" t="n">
        <v/>
      </c>
      <c r="AU241" t="n">
        <v/>
      </c>
      <c r="AV241" t="n">
        <v/>
      </c>
      <c r="AW241" t="n">
        <v>15.35626</v>
      </c>
      <c r="AX241" t="n">
        <v/>
      </c>
    </row>
    <row r="242">
      <c r="A242" s="92" t="n">
        <v>25204</v>
      </c>
      <c r="B242" t="n">
        <v>20.60176</v>
      </c>
      <c r="C242" t="n">
        <v/>
      </c>
      <c r="D242" t="n">
        <v/>
      </c>
      <c r="E242" t="n">
        <v>16.27215</v>
      </c>
      <c r="F242" t="n">
        <v>31.91969</v>
      </c>
      <c r="G242" t="n">
        <v/>
      </c>
      <c r="H242" t="n">
        <v/>
      </c>
      <c r="I242" t="n">
        <v/>
      </c>
      <c r="J242" t="n">
        <v/>
      </c>
      <c r="K242" t="n">
        <v/>
      </c>
      <c r="L242" t="n">
        <v>28.7592</v>
      </c>
      <c r="M242" t="n">
        <v/>
      </c>
      <c r="N242" t="n">
        <v/>
      </c>
      <c r="O242" t="n">
        <v/>
      </c>
      <c r="P242" t="n">
        <v/>
      </c>
      <c r="Q242" t="n">
        <v/>
      </c>
      <c r="R242" t="n">
        <v>11.81055</v>
      </c>
      <c r="S242" t="n">
        <v/>
      </c>
      <c r="T242" t="n">
        <v/>
      </c>
      <c r="U242" t="n">
        <v/>
      </c>
      <c r="V242" t="n">
        <v/>
      </c>
      <c r="W242" t="n">
        <v/>
      </c>
      <c r="X242" t="n">
        <v/>
      </c>
      <c r="Y242" t="n">
        <v/>
      </c>
      <c r="Z242" t="n">
        <v/>
      </c>
      <c r="AA242" t="n">
        <v/>
      </c>
      <c r="AB242" t="n">
        <v/>
      </c>
      <c r="AC242" t="n">
        <v/>
      </c>
      <c r="AD242" t="n">
        <v>5.194684</v>
      </c>
      <c r="AE242" t="n">
        <v>28.40635</v>
      </c>
      <c r="AF242" t="n">
        <v/>
      </c>
      <c r="AG242" t="n">
        <v/>
      </c>
      <c r="AH242" t="n">
        <v>19.12262</v>
      </c>
      <c r="AI242" t="n">
        <v/>
      </c>
      <c r="AJ242" t="n">
        <v/>
      </c>
      <c r="AK242" t="n">
        <v>20.34035</v>
      </c>
      <c r="AL242" t="n">
        <v/>
      </c>
      <c r="AM242" t="n">
        <v/>
      </c>
      <c r="AN242" t="n">
        <v/>
      </c>
      <c r="AO242" t="n">
        <v/>
      </c>
      <c r="AP242" t="n">
        <v/>
      </c>
      <c r="AQ242" t="n">
        <v/>
      </c>
      <c r="AR242" t="n">
        <v/>
      </c>
      <c r="AS242" t="n">
        <v/>
      </c>
      <c r="AT242" t="n">
        <v/>
      </c>
      <c r="AU242" t="n">
        <v/>
      </c>
      <c r="AV242" t="n">
        <v/>
      </c>
      <c r="AW242" t="n">
        <v>15.39754</v>
      </c>
      <c r="AX242" t="n">
        <v/>
      </c>
    </row>
    <row r="243">
      <c r="A243" s="92" t="n">
        <v>25235</v>
      </c>
      <c r="B243" t="n">
        <v>20.65001</v>
      </c>
      <c r="C243" t="n">
        <v/>
      </c>
      <c r="D243" t="n">
        <v/>
      </c>
      <c r="E243" t="n">
        <v>16.297</v>
      </c>
      <c r="F243" t="n">
        <v>31.98831</v>
      </c>
      <c r="G243" t="n">
        <v/>
      </c>
      <c r="H243" t="n">
        <v/>
      </c>
      <c r="I243" t="n">
        <v/>
      </c>
      <c r="J243" t="n">
        <v/>
      </c>
      <c r="K243" t="n">
        <v/>
      </c>
      <c r="L243" t="n">
        <v>28.9348</v>
      </c>
      <c r="M243" t="n">
        <v/>
      </c>
      <c r="N243" t="n">
        <v/>
      </c>
      <c r="O243" t="n">
        <v/>
      </c>
      <c r="P243" t="n">
        <v/>
      </c>
      <c r="Q243" t="n">
        <v/>
      </c>
      <c r="R243" t="n">
        <v>11.81055</v>
      </c>
      <c r="S243" t="n">
        <v/>
      </c>
      <c r="T243" t="n">
        <v/>
      </c>
      <c r="U243" t="n">
        <v/>
      </c>
      <c r="V243" t="n">
        <v/>
      </c>
      <c r="W243" t="n">
        <v/>
      </c>
      <c r="X243" t="n">
        <v/>
      </c>
      <c r="Y243" t="n">
        <v/>
      </c>
      <c r="Z243" t="n">
        <v/>
      </c>
      <c r="AA243" t="n">
        <v/>
      </c>
      <c r="AB243" t="n">
        <v/>
      </c>
      <c r="AC243" t="n">
        <v/>
      </c>
      <c r="AD243" t="n">
        <v>5.206367</v>
      </c>
      <c r="AE243" t="n">
        <v>28.38265</v>
      </c>
      <c r="AF243" t="n">
        <v/>
      </c>
      <c r="AG243" t="n">
        <v/>
      </c>
      <c r="AH243" t="n">
        <v>19.13482</v>
      </c>
      <c r="AI243" t="n">
        <v/>
      </c>
      <c r="AJ243" t="n">
        <v/>
      </c>
      <c r="AK243" t="n">
        <v>20.57758</v>
      </c>
      <c r="AL243" t="n">
        <v/>
      </c>
      <c r="AM243" t="n">
        <v/>
      </c>
      <c r="AN243" t="n">
        <v/>
      </c>
      <c r="AO243" t="n">
        <v/>
      </c>
      <c r="AP243" t="n">
        <v/>
      </c>
      <c r="AQ243" t="n">
        <v/>
      </c>
      <c r="AR243" t="n">
        <v/>
      </c>
      <c r="AS243" t="n">
        <v/>
      </c>
      <c r="AT243" t="n">
        <v/>
      </c>
      <c r="AU243" t="n">
        <v/>
      </c>
      <c r="AV243" t="n">
        <v/>
      </c>
      <c r="AW243" t="n">
        <v>15.4801</v>
      </c>
      <c r="AX243" t="n">
        <v/>
      </c>
    </row>
    <row r="244">
      <c r="A244" s="92" t="n">
        <v>25263</v>
      </c>
      <c r="B244" t="n">
        <v>20.66226</v>
      </c>
      <c r="C244" t="n">
        <v/>
      </c>
      <c r="D244" t="n">
        <v/>
      </c>
      <c r="E244" t="n">
        <v>16.39931</v>
      </c>
      <c r="F244" t="n">
        <v>31.99553</v>
      </c>
      <c r="G244" t="n">
        <v/>
      </c>
      <c r="H244" t="n">
        <v/>
      </c>
      <c r="I244" t="n">
        <v/>
      </c>
      <c r="J244" t="n">
        <v/>
      </c>
      <c r="K244" t="n">
        <v/>
      </c>
      <c r="L244" t="n">
        <v>28.9825</v>
      </c>
      <c r="M244" t="n">
        <v/>
      </c>
      <c r="N244" t="n">
        <v/>
      </c>
      <c r="O244" t="n">
        <v/>
      </c>
      <c r="P244" t="n">
        <v/>
      </c>
      <c r="Q244" t="n">
        <v/>
      </c>
      <c r="R244" t="n">
        <v>11.79122</v>
      </c>
      <c r="S244" t="n">
        <v/>
      </c>
      <c r="T244" t="n">
        <v/>
      </c>
      <c r="U244" t="n">
        <v/>
      </c>
      <c r="V244" t="n">
        <v/>
      </c>
      <c r="W244" t="n">
        <v/>
      </c>
      <c r="X244" t="n">
        <v/>
      </c>
      <c r="Y244" t="n">
        <v/>
      </c>
      <c r="Z244" t="n">
        <v/>
      </c>
      <c r="AA244" t="n">
        <v/>
      </c>
      <c r="AB244" t="n">
        <v/>
      </c>
      <c r="AC244" t="n">
        <v/>
      </c>
      <c r="AD244" t="n">
        <v>5.231492</v>
      </c>
      <c r="AE244" t="n">
        <v>28.59252</v>
      </c>
      <c r="AF244" t="n">
        <v/>
      </c>
      <c r="AG244" t="n">
        <v/>
      </c>
      <c r="AH244" t="n">
        <v>19.17124</v>
      </c>
      <c r="AI244" t="n">
        <v/>
      </c>
      <c r="AJ244" t="n">
        <v/>
      </c>
      <c r="AK244" t="n">
        <v>20.7592</v>
      </c>
      <c r="AL244" t="n">
        <v/>
      </c>
      <c r="AM244" t="n">
        <v/>
      </c>
      <c r="AN244" t="n">
        <v/>
      </c>
      <c r="AO244" t="n">
        <v/>
      </c>
      <c r="AP244" t="n">
        <v/>
      </c>
      <c r="AQ244" t="n">
        <v/>
      </c>
      <c r="AR244" t="n">
        <v/>
      </c>
      <c r="AS244" t="n">
        <v/>
      </c>
      <c r="AT244" t="n">
        <v/>
      </c>
      <c r="AU244" t="n">
        <v/>
      </c>
      <c r="AV244" t="n">
        <v/>
      </c>
      <c r="AW244" t="n">
        <v>15.60394</v>
      </c>
      <c r="AX244" t="n">
        <v/>
      </c>
    </row>
    <row r="245">
      <c r="A245" s="92" t="n">
        <v>25294</v>
      </c>
      <c r="B245" t="n">
        <v>20.69359</v>
      </c>
      <c r="C245" t="n">
        <v/>
      </c>
      <c r="D245" t="n">
        <v/>
      </c>
      <c r="E245" t="n">
        <v>16.68137</v>
      </c>
      <c r="F245" t="n">
        <v>31.98364</v>
      </c>
      <c r="G245" t="n">
        <v/>
      </c>
      <c r="H245" t="n">
        <v/>
      </c>
      <c r="I245" t="n">
        <v/>
      </c>
      <c r="J245" t="n">
        <v/>
      </c>
      <c r="K245" t="n">
        <v/>
      </c>
      <c r="L245" t="n">
        <v>28.9892</v>
      </c>
      <c r="M245" t="n">
        <v/>
      </c>
      <c r="N245" t="n">
        <v/>
      </c>
      <c r="O245" t="n">
        <v/>
      </c>
      <c r="P245" t="n">
        <v/>
      </c>
      <c r="Q245" t="n">
        <v/>
      </c>
      <c r="R245" t="n">
        <v>11.84835</v>
      </c>
      <c r="S245" t="n">
        <v/>
      </c>
      <c r="T245" t="n">
        <v/>
      </c>
      <c r="U245" t="n">
        <v/>
      </c>
      <c r="V245" t="n">
        <v/>
      </c>
      <c r="W245" t="n">
        <v/>
      </c>
      <c r="X245" t="n">
        <v/>
      </c>
      <c r="Y245" t="n">
        <v/>
      </c>
      <c r="Z245" t="n">
        <v/>
      </c>
      <c r="AA245" t="n">
        <v/>
      </c>
      <c r="AB245" t="n">
        <v/>
      </c>
      <c r="AC245" t="n">
        <v/>
      </c>
      <c r="AD245" t="n">
        <v>5.247745</v>
      </c>
      <c r="AE245" t="n">
        <v>28.96526</v>
      </c>
      <c r="AF245" t="n">
        <v/>
      </c>
      <c r="AG245" t="n">
        <v/>
      </c>
      <c r="AH245" t="n">
        <v>19.21772</v>
      </c>
      <c r="AI245" t="n">
        <v/>
      </c>
      <c r="AJ245" t="n">
        <v/>
      </c>
      <c r="AK245" t="n">
        <v>20.9809</v>
      </c>
      <c r="AL245" t="n">
        <v/>
      </c>
      <c r="AM245" t="n">
        <v/>
      </c>
      <c r="AN245" t="n">
        <v/>
      </c>
      <c r="AO245" t="n">
        <v/>
      </c>
      <c r="AP245" t="n">
        <v/>
      </c>
      <c r="AQ245" t="n">
        <v/>
      </c>
      <c r="AR245" t="n">
        <v/>
      </c>
      <c r="AS245" t="n">
        <v/>
      </c>
      <c r="AT245" t="n">
        <v/>
      </c>
      <c r="AU245" t="n">
        <v/>
      </c>
      <c r="AV245" t="n">
        <v/>
      </c>
      <c r="AW245" t="n">
        <v>15.72778</v>
      </c>
      <c r="AX245" t="n">
        <v/>
      </c>
    </row>
    <row r="246">
      <c r="A246" s="92" t="n">
        <v>25324</v>
      </c>
      <c r="B246" t="n">
        <v>20.76592</v>
      </c>
      <c r="C246" t="n">
        <v/>
      </c>
      <c r="D246" t="n">
        <v/>
      </c>
      <c r="E246" t="n">
        <v>16.68137</v>
      </c>
      <c r="F246" t="n">
        <v>32.19662</v>
      </c>
      <c r="G246" t="n">
        <v/>
      </c>
      <c r="H246" t="n">
        <v/>
      </c>
      <c r="I246" t="n">
        <v/>
      </c>
      <c r="J246" t="n">
        <v/>
      </c>
      <c r="K246" t="n">
        <v/>
      </c>
      <c r="L246" t="n">
        <v>29.04025</v>
      </c>
      <c r="M246" t="n">
        <v/>
      </c>
      <c r="N246" t="n">
        <v/>
      </c>
      <c r="O246" t="n">
        <v/>
      </c>
      <c r="P246" t="n">
        <v/>
      </c>
      <c r="Q246" t="n">
        <v/>
      </c>
      <c r="R246" t="n">
        <v>11.88754</v>
      </c>
      <c r="S246" t="n">
        <v/>
      </c>
      <c r="T246" t="n">
        <v/>
      </c>
      <c r="U246" t="n">
        <v/>
      </c>
      <c r="V246" t="n">
        <v/>
      </c>
      <c r="W246" t="n">
        <v/>
      </c>
      <c r="X246" t="n">
        <v/>
      </c>
      <c r="Y246" t="n">
        <v/>
      </c>
      <c r="Z246" t="n">
        <v/>
      </c>
      <c r="AA246" t="n">
        <v/>
      </c>
      <c r="AB246" t="n">
        <v/>
      </c>
      <c r="AC246" t="n">
        <v/>
      </c>
      <c r="AD246" t="n">
        <v>5.255507</v>
      </c>
      <c r="AE246" t="n">
        <v>29.07246</v>
      </c>
      <c r="AF246" t="n">
        <v/>
      </c>
      <c r="AG246" t="n">
        <v/>
      </c>
      <c r="AH246" t="n">
        <v>19.29126</v>
      </c>
      <c r="AI246" t="n">
        <v/>
      </c>
      <c r="AJ246" t="n">
        <v/>
      </c>
      <c r="AK246" t="n">
        <v>20.96106</v>
      </c>
      <c r="AL246" t="n">
        <v/>
      </c>
      <c r="AM246" t="n">
        <v/>
      </c>
      <c r="AN246" t="n">
        <v/>
      </c>
      <c r="AO246" t="n">
        <v/>
      </c>
      <c r="AP246" t="n">
        <v/>
      </c>
      <c r="AQ246" t="n">
        <v/>
      </c>
      <c r="AR246" t="n">
        <v/>
      </c>
      <c r="AS246" t="n">
        <v/>
      </c>
      <c r="AT246" t="n">
        <v/>
      </c>
      <c r="AU246" t="n">
        <v/>
      </c>
      <c r="AV246" t="n">
        <v/>
      </c>
      <c r="AW246" t="n">
        <v>15.76906</v>
      </c>
      <c r="AX246" t="n">
        <v/>
      </c>
    </row>
    <row r="247">
      <c r="A247" s="92" t="n">
        <v>25355</v>
      </c>
      <c r="B247" t="n">
        <v>20.74694</v>
      </c>
      <c r="C247" t="n">
        <v/>
      </c>
      <c r="D247" t="n">
        <v/>
      </c>
      <c r="E247" t="n">
        <v>16.72154</v>
      </c>
      <c r="F247" t="n">
        <v>32.29952</v>
      </c>
      <c r="G247" t="n">
        <v/>
      </c>
      <c r="H247" t="n">
        <v/>
      </c>
      <c r="I247" t="n">
        <v/>
      </c>
      <c r="J247" t="n">
        <v/>
      </c>
      <c r="K247" t="n">
        <v/>
      </c>
      <c r="L247" t="n">
        <v>29.04535</v>
      </c>
      <c r="M247" t="n">
        <v/>
      </c>
      <c r="N247" t="n">
        <v/>
      </c>
      <c r="O247" t="n">
        <v/>
      </c>
      <c r="P247" t="n">
        <v/>
      </c>
      <c r="Q247" t="n">
        <v/>
      </c>
      <c r="R247" t="n">
        <v>11.89743</v>
      </c>
      <c r="S247" t="n">
        <v/>
      </c>
      <c r="T247" t="n">
        <v/>
      </c>
      <c r="U247" t="n">
        <v/>
      </c>
      <c r="V247" t="n">
        <v/>
      </c>
      <c r="W247" t="n">
        <v/>
      </c>
      <c r="X247" t="n">
        <v/>
      </c>
      <c r="Y247" t="n">
        <v/>
      </c>
      <c r="Z247" t="n">
        <v/>
      </c>
      <c r="AA247" t="n">
        <v/>
      </c>
      <c r="AB247" t="n">
        <v/>
      </c>
      <c r="AC247" t="n">
        <v/>
      </c>
      <c r="AD247" t="n">
        <v>5.263342</v>
      </c>
      <c r="AE247" t="n">
        <v>29.09113</v>
      </c>
      <c r="AF247" t="n">
        <v/>
      </c>
      <c r="AG247" t="n">
        <v/>
      </c>
      <c r="AH247" t="n">
        <v>19.27416</v>
      </c>
      <c r="AI247" t="n">
        <v/>
      </c>
      <c r="AJ247" t="n">
        <v/>
      </c>
      <c r="AK247" t="n">
        <v>20.94714</v>
      </c>
      <c r="AL247" t="n">
        <v/>
      </c>
      <c r="AM247" t="n">
        <v/>
      </c>
      <c r="AN247" t="n">
        <v/>
      </c>
      <c r="AO247" t="n">
        <v/>
      </c>
      <c r="AP247" t="n">
        <v/>
      </c>
      <c r="AQ247" t="n">
        <v/>
      </c>
      <c r="AR247" t="n">
        <v/>
      </c>
      <c r="AS247" t="n">
        <v/>
      </c>
      <c r="AT247" t="n">
        <v/>
      </c>
      <c r="AU247" t="n">
        <v/>
      </c>
      <c r="AV247" t="n">
        <v/>
      </c>
      <c r="AW247" t="n">
        <v>15.81034</v>
      </c>
      <c r="AX247" t="n">
        <v/>
      </c>
    </row>
    <row r="248">
      <c r="A248" s="92" t="n">
        <v>25385</v>
      </c>
      <c r="B248" t="n">
        <v>20.75644</v>
      </c>
      <c r="C248" t="n">
        <v/>
      </c>
      <c r="D248" t="n">
        <v/>
      </c>
      <c r="E248" t="n">
        <v>16.82385</v>
      </c>
      <c r="F248" t="n">
        <v>32.28702</v>
      </c>
      <c r="G248" t="n">
        <v/>
      </c>
      <c r="H248" t="n">
        <v/>
      </c>
      <c r="I248" t="n">
        <v/>
      </c>
      <c r="J248" t="n">
        <v/>
      </c>
      <c r="K248" t="n">
        <v/>
      </c>
      <c r="L248" t="n">
        <v>29.05732</v>
      </c>
      <c r="M248" t="n">
        <v/>
      </c>
      <c r="N248" t="n">
        <v/>
      </c>
      <c r="O248" t="n">
        <v/>
      </c>
      <c r="P248" t="n">
        <v/>
      </c>
      <c r="Q248" t="n">
        <v/>
      </c>
      <c r="R248" t="n">
        <v>11.93254</v>
      </c>
      <c r="S248" t="n">
        <v/>
      </c>
      <c r="T248" t="n">
        <v/>
      </c>
      <c r="U248" t="n">
        <v/>
      </c>
      <c r="V248" t="n">
        <v/>
      </c>
      <c r="W248" t="n">
        <v/>
      </c>
      <c r="X248" t="n">
        <v/>
      </c>
      <c r="Y248" t="n">
        <v/>
      </c>
      <c r="Z248" t="n">
        <v/>
      </c>
      <c r="AA248" t="n">
        <v/>
      </c>
      <c r="AB248" t="n">
        <v/>
      </c>
      <c r="AC248" t="n">
        <v/>
      </c>
      <c r="AD248" t="n">
        <v>5.292168</v>
      </c>
      <c r="AE248" t="n">
        <v>29.39706</v>
      </c>
      <c r="AF248" t="n">
        <v/>
      </c>
      <c r="AG248" t="n">
        <v/>
      </c>
      <c r="AH248" t="n">
        <v>19.30762</v>
      </c>
      <c r="AI248" t="n">
        <v/>
      </c>
      <c r="AJ248" t="n">
        <v/>
      </c>
      <c r="AK248" t="n">
        <v>20.72648</v>
      </c>
      <c r="AL248" t="n">
        <v/>
      </c>
      <c r="AM248" t="n">
        <v/>
      </c>
      <c r="AN248" t="n">
        <v/>
      </c>
      <c r="AO248" t="n">
        <v/>
      </c>
      <c r="AP248" t="n">
        <v/>
      </c>
      <c r="AQ248" t="n">
        <v/>
      </c>
      <c r="AR248" t="n">
        <v/>
      </c>
      <c r="AS248" t="n">
        <v/>
      </c>
      <c r="AT248" t="n">
        <v/>
      </c>
      <c r="AU248" t="n">
        <v/>
      </c>
      <c r="AV248" t="n">
        <v/>
      </c>
      <c r="AW248" t="n">
        <v>15.8929</v>
      </c>
      <c r="AX248" t="n">
        <v/>
      </c>
    </row>
    <row r="249">
      <c r="A249" s="92" t="n">
        <v>25416</v>
      </c>
      <c r="B249" t="n">
        <v>20.78776</v>
      </c>
      <c r="C249" t="n">
        <v/>
      </c>
      <c r="D249" t="n">
        <v/>
      </c>
      <c r="E249" t="n">
        <v>16.86827</v>
      </c>
      <c r="F249" t="n">
        <v>32.27602</v>
      </c>
      <c r="G249" t="n">
        <v/>
      </c>
      <c r="H249" t="n">
        <v/>
      </c>
      <c r="I249" t="n">
        <v/>
      </c>
      <c r="J249" t="n">
        <v/>
      </c>
      <c r="K249" t="n">
        <v/>
      </c>
      <c r="L249" t="n">
        <v>29.02844</v>
      </c>
      <c r="M249" t="n">
        <v/>
      </c>
      <c r="N249" t="n">
        <v/>
      </c>
      <c r="O249" t="n">
        <v/>
      </c>
      <c r="P249" t="n">
        <v/>
      </c>
      <c r="Q249" t="n">
        <v/>
      </c>
      <c r="R249" t="n">
        <v>11.92127</v>
      </c>
      <c r="S249" t="n">
        <v/>
      </c>
      <c r="T249" t="n">
        <v/>
      </c>
      <c r="U249" t="n">
        <v/>
      </c>
      <c r="V249" t="n">
        <v/>
      </c>
      <c r="W249" t="n">
        <v/>
      </c>
      <c r="X249" t="n">
        <v/>
      </c>
      <c r="Y249" t="n">
        <v/>
      </c>
      <c r="Z249" t="n">
        <v/>
      </c>
      <c r="AA249" t="n">
        <v/>
      </c>
      <c r="AB249" t="n">
        <v/>
      </c>
      <c r="AC249" t="n">
        <v/>
      </c>
      <c r="AD249" t="n">
        <v>5.307477</v>
      </c>
      <c r="AE249" t="n">
        <v>29.61825</v>
      </c>
      <c r="AF249" t="n">
        <v/>
      </c>
      <c r="AG249" t="n">
        <v/>
      </c>
      <c r="AH249" t="n">
        <v>19.28584</v>
      </c>
      <c r="AI249" t="n">
        <v/>
      </c>
      <c r="AJ249" t="n">
        <v/>
      </c>
      <c r="AK249" t="n">
        <v>20.86078</v>
      </c>
      <c r="AL249" t="n">
        <v/>
      </c>
      <c r="AM249" t="n">
        <v/>
      </c>
      <c r="AN249" t="n">
        <v/>
      </c>
      <c r="AO249" t="n">
        <v/>
      </c>
      <c r="AP249" t="n">
        <v/>
      </c>
      <c r="AQ249" t="n">
        <v/>
      </c>
      <c r="AR249" t="n">
        <v/>
      </c>
      <c r="AS249" t="n">
        <v/>
      </c>
      <c r="AT249" t="n">
        <v/>
      </c>
      <c r="AU249" t="n">
        <v/>
      </c>
      <c r="AV249" t="n">
        <v/>
      </c>
      <c r="AW249" t="n">
        <v>15.93418</v>
      </c>
      <c r="AX249" t="n">
        <v/>
      </c>
    </row>
    <row r="250">
      <c r="A250" s="92" t="n">
        <v>25447</v>
      </c>
      <c r="B250" t="n">
        <v>20.86158</v>
      </c>
      <c r="C250" t="n">
        <v/>
      </c>
      <c r="D250" t="n">
        <v/>
      </c>
      <c r="E250" t="n">
        <v>16.9098</v>
      </c>
      <c r="F250" t="n">
        <v>32.31202</v>
      </c>
      <c r="G250" t="n">
        <v/>
      </c>
      <c r="H250" t="n">
        <v/>
      </c>
      <c r="I250" t="n">
        <v/>
      </c>
      <c r="J250" t="n">
        <v/>
      </c>
      <c r="K250" t="n">
        <v/>
      </c>
      <c r="L250" t="n">
        <v>29.04901</v>
      </c>
      <c r="M250" t="n">
        <v/>
      </c>
      <c r="N250" t="n">
        <v/>
      </c>
      <c r="O250" t="n">
        <v/>
      </c>
      <c r="P250" t="n">
        <v/>
      </c>
      <c r="Q250" t="n">
        <v/>
      </c>
      <c r="R250" t="n">
        <v>11.92802</v>
      </c>
      <c r="S250" t="n">
        <v/>
      </c>
      <c r="T250" t="n">
        <v/>
      </c>
      <c r="U250" t="n">
        <v/>
      </c>
      <c r="V250" t="n">
        <v/>
      </c>
      <c r="W250" t="n">
        <v/>
      </c>
      <c r="X250" t="n">
        <v/>
      </c>
      <c r="Y250" t="n">
        <v/>
      </c>
      <c r="Z250" t="n">
        <v/>
      </c>
      <c r="AA250" t="n">
        <v/>
      </c>
      <c r="AB250" t="n">
        <v/>
      </c>
      <c r="AC250" t="n">
        <v/>
      </c>
      <c r="AD250" t="n">
        <v>5.320939</v>
      </c>
      <c r="AE250" t="n">
        <v>29.84142</v>
      </c>
      <c r="AF250" t="n">
        <v/>
      </c>
      <c r="AG250" t="n">
        <v/>
      </c>
      <c r="AH250" t="n">
        <v>19.31844</v>
      </c>
      <c r="AI250" t="n">
        <v/>
      </c>
      <c r="AJ250" t="n">
        <v/>
      </c>
      <c r="AK250" t="n">
        <v>20.99049</v>
      </c>
      <c r="AL250" t="n">
        <v/>
      </c>
      <c r="AM250" t="n">
        <v/>
      </c>
      <c r="AN250" t="n">
        <v/>
      </c>
      <c r="AO250" t="n">
        <v/>
      </c>
      <c r="AP250" t="n">
        <v/>
      </c>
      <c r="AQ250" t="n">
        <v/>
      </c>
      <c r="AR250" t="n">
        <v/>
      </c>
      <c r="AS250" t="n">
        <v/>
      </c>
      <c r="AT250" t="n">
        <v/>
      </c>
      <c r="AU250" t="n">
        <v/>
      </c>
      <c r="AV250" t="n">
        <v/>
      </c>
      <c r="AW250" t="n">
        <v>16.05802</v>
      </c>
      <c r="AX250" t="n">
        <v/>
      </c>
    </row>
    <row r="251">
      <c r="A251" s="92" t="n">
        <v>25477</v>
      </c>
      <c r="B251" t="n">
        <v>20.94427</v>
      </c>
      <c r="C251" t="n">
        <v/>
      </c>
      <c r="D251" t="n">
        <v/>
      </c>
      <c r="E251" t="n">
        <v>16.93466</v>
      </c>
      <c r="F251" t="n">
        <v>32.36133</v>
      </c>
      <c r="G251" t="n">
        <v/>
      </c>
      <c r="H251" t="n">
        <v/>
      </c>
      <c r="I251" t="n">
        <v/>
      </c>
      <c r="J251" t="n">
        <v/>
      </c>
      <c r="K251" t="n">
        <v/>
      </c>
      <c r="L251" t="n">
        <v>29.1037</v>
      </c>
      <c r="M251" t="n">
        <v/>
      </c>
      <c r="N251" t="n">
        <v/>
      </c>
      <c r="O251" t="n">
        <v/>
      </c>
      <c r="P251" t="n">
        <v/>
      </c>
      <c r="Q251" t="n">
        <v/>
      </c>
      <c r="R251" t="n">
        <v>11.97397</v>
      </c>
      <c r="S251" t="n">
        <v/>
      </c>
      <c r="T251" t="n">
        <v/>
      </c>
      <c r="U251" t="n">
        <v/>
      </c>
      <c r="V251" t="n">
        <v/>
      </c>
      <c r="W251" t="n">
        <v/>
      </c>
      <c r="X251" t="n">
        <v/>
      </c>
      <c r="Y251" t="n">
        <v/>
      </c>
      <c r="Z251" t="n">
        <v/>
      </c>
      <c r="AA251" t="n">
        <v/>
      </c>
      <c r="AB251" t="n">
        <v/>
      </c>
      <c r="AC251" t="n">
        <v/>
      </c>
      <c r="AD251" t="n">
        <v>5.338469</v>
      </c>
      <c r="AE251" t="n">
        <v>30.03354</v>
      </c>
      <c r="AF251" t="n">
        <v/>
      </c>
      <c r="AG251" t="n">
        <v/>
      </c>
      <c r="AH251" t="n">
        <v>19.34261</v>
      </c>
      <c r="AI251" t="n">
        <v/>
      </c>
      <c r="AJ251" t="n">
        <v/>
      </c>
      <c r="AK251" t="n">
        <v>21.09767</v>
      </c>
      <c r="AL251" t="n">
        <v/>
      </c>
      <c r="AM251" t="n">
        <v/>
      </c>
      <c r="AN251" t="n">
        <v/>
      </c>
      <c r="AO251" t="n">
        <v/>
      </c>
      <c r="AP251" t="n">
        <v/>
      </c>
      <c r="AQ251" t="n">
        <v/>
      </c>
      <c r="AR251" t="n">
        <v/>
      </c>
      <c r="AS251" t="n">
        <v/>
      </c>
      <c r="AT251" t="n">
        <v/>
      </c>
      <c r="AU251" t="n">
        <v/>
      </c>
      <c r="AV251" t="n">
        <v/>
      </c>
      <c r="AW251" t="n">
        <v>16.14058</v>
      </c>
      <c r="AX251" t="n">
        <v/>
      </c>
    </row>
    <row r="252">
      <c r="A252" s="92" t="n">
        <v>25508</v>
      </c>
      <c r="B252" t="n">
        <v>21.04775</v>
      </c>
      <c r="C252" t="n">
        <v/>
      </c>
      <c r="D252" t="n">
        <v/>
      </c>
      <c r="E252" t="n">
        <v>16.9098</v>
      </c>
      <c r="F252" t="n">
        <v>32.59807</v>
      </c>
      <c r="G252" t="n">
        <v/>
      </c>
      <c r="H252" t="n">
        <v/>
      </c>
      <c r="I252" t="n">
        <v/>
      </c>
      <c r="J252" t="n">
        <v/>
      </c>
      <c r="K252" t="n">
        <v/>
      </c>
      <c r="L252" t="n">
        <v>29.1651</v>
      </c>
      <c r="M252" t="n">
        <v/>
      </c>
      <c r="N252" t="n">
        <v/>
      </c>
      <c r="O252" t="n">
        <v/>
      </c>
      <c r="P252" t="n">
        <v/>
      </c>
      <c r="Q252" t="n">
        <v/>
      </c>
      <c r="R252" t="n">
        <v>11.98748</v>
      </c>
      <c r="S252" t="n">
        <v/>
      </c>
      <c r="T252" t="n">
        <v/>
      </c>
      <c r="U252" t="n">
        <v/>
      </c>
      <c r="V252" t="n">
        <v/>
      </c>
      <c r="W252" t="n">
        <v/>
      </c>
      <c r="X252" t="n">
        <v/>
      </c>
      <c r="Y252" t="n">
        <v/>
      </c>
      <c r="Z252" t="n">
        <v/>
      </c>
      <c r="AA252" t="n">
        <v/>
      </c>
      <c r="AB252" t="n">
        <v/>
      </c>
      <c r="AC252" t="n">
        <v/>
      </c>
      <c r="AD252" t="n">
        <v>5.371731</v>
      </c>
      <c r="AE252" t="n">
        <v>30.00447</v>
      </c>
      <c r="AF252" t="n">
        <v/>
      </c>
      <c r="AG252" t="n">
        <v/>
      </c>
      <c r="AH252" t="n">
        <v>19.36927</v>
      </c>
      <c r="AI252" t="n">
        <v/>
      </c>
      <c r="AJ252" t="n">
        <v/>
      </c>
      <c r="AK252" t="n">
        <v>21.05587</v>
      </c>
      <c r="AL252" t="n">
        <v/>
      </c>
      <c r="AM252" t="n">
        <v/>
      </c>
      <c r="AN252" t="n">
        <v/>
      </c>
      <c r="AO252" t="n">
        <v/>
      </c>
      <c r="AP252" t="n">
        <v/>
      </c>
      <c r="AQ252" t="n">
        <v/>
      </c>
      <c r="AR252" t="n">
        <v/>
      </c>
      <c r="AS252" t="n">
        <v/>
      </c>
      <c r="AT252" t="n">
        <v/>
      </c>
      <c r="AU252" t="n">
        <v/>
      </c>
      <c r="AV252" t="n">
        <v/>
      </c>
      <c r="AW252" t="n">
        <v>16.22314</v>
      </c>
      <c r="AX252" t="n">
        <v/>
      </c>
    </row>
    <row r="253">
      <c r="A253" s="92" t="n">
        <v>25538</v>
      </c>
      <c r="B253" t="n">
        <v>21.10336</v>
      </c>
      <c r="C253" t="n">
        <v/>
      </c>
      <c r="D253" t="n">
        <v/>
      </c>
      <c r="E253" t="n">
        <v>17.10199</v>
      </c>
      <c r="F253" t="n">
        <v>32.66145</v>
      </c>
      <c r="G253" t="n">
        <v/>
      </c>
      <c r="H253" t="n">
        <v/>
      </c>
      <c r="I253" t="n">
        <v/>
      </c>
      <c r="J253" t="n">
        <v/>
      </c>
      <c r="K253" t="n">
        <v/>
      </c>
      <c r="L253" t="n">
        <v>29.35777</v>
      </c>
      <c r="M253" t="n">
        <v/>
      </c>
      <c r="N253" t="n">
        <v/>
      </c>
      <c r="O253" t="n">
        <v/>
      </c>
      <c r="P253" t="n">
        <v/>
      </c>
      <c r="Q253" t="n">
        <v/>
      </c>
      <c r="R253" t="n">
        <v>11.98028</v>
      </c>
      <c r="S253" t="n">
        <v/>
      </c>
      <c r="T253" t="n">
        <v/>
      </c>
      <c r="U253" t="n">
        <v/>
      </c>
      <c r="V253" t="n">
        <v/>
      </c>
      <c r="W253" t="n">
        <v/>
      </c>
      <c r="X253" t="n">
        <v/>
      </c>
      <c r="Y253" t="n">
        <v/>
      </c>
      <c r="Z253" t="n">
        <v/>
      </c>
      <c r="AA253" t="n">
        <v/>
      </c>
      <c r="AB253" t="n">
        <v/>
      </c>
      <c r="AC253" t="n">
        <v/>
      </c>
      <c r="AD253" t="n">
        <v>5.384444</v>
      </c>
      <c r="AE253" t="n">
        <v>30.21525</v>
      </c>
      <c r="AF253" t="n">
        <v/>
      </c>
      <c r="AG253" t="n">
        <v/>
      </c>
      <c r="AH253" t="n">
        <v>19.54273</v>
      </c>
      <c r="AI253" t="n">
        <v/>
      </c>
      <c r="AJ253" t="n">
        <v/>
      </c>
      <c r="AK253" t="n">
        <v>21.02003</v>
      </c>
      <c r="AL253" t="n">
        <v/>
      </c>
      <c r="AM253" t="n">
        <v/>
      </c>
      <c r="AN253" t="n">
        <v/>
      </c>
      <c r="AO253" t="n">
        <v/>
      </c>
      <c r="AP253" t="n">
        <v/>
      </c>
      <c r="AQ253" t="n">
        <v/>
      </c>
      <c r="AR253" t="n">
        <v/>
      </c>
      <c r="AS253" t="n">
        <v/>
      </c>
      <c r="AT253" t="n">
        <v/>
      </c>
      <c r="AU253" t="n">
        <v/>
      </c>
      <c r="AV253" t="n">
        <v/>
      </c>
      <c r="AW253" t="n">
        <v>16.30571</v>
      </c>
      <c r="AX253" t="n">
        <v/>
      </c>
    </row>
    <row r="254">
      <c r="A254" s="92" t="n">
        <v>25569</v>
      </c>
      <c r="B254" t="n">
        <v>21.13321</v>
      </c>
      <c r="C254" t="n">
        <v/>
      </c>
      <c r="D254" t="n">
        <v/>
      </c>
      <c r="E254" t="n">
        <v>17.20429</v>
      </c>
      <c r="F254" t="n">
        <v>32.71793</v>
      </c>
      <c r="G254" t="n">
        <v/>
      </c>
      <c r="H254" t="n">
        <v/>
      </c>
      <c r="I254" t="n">
        <v/>
      </c>
      <c r="J254" t="n">
        <v/>
      </c>
      <c r="K254" t="n">
        <v/>
      </c>
      <c r="L254" t="n">
        <v>29.69366</v>
      </c>
      <c r="M254" t="n">
        <v>13.81754</v>
      </c>
      <c r="N254" t="n">
        <v/>
      </c>
      <c r="O254" t="n">
        <v/>
      </c>
      <c r="P254" t="n">
        <v/>
      </c>
      <c r="Q254" t="n">
        <v/>
      </c>
      <c r="R254" t="n">
        <v>12.08573</v>
      </c>
      <c r="S254" t="n">
        <v>15.0178</v>
      </c>
      <c r="T254" t="n">
        <v/>
      </c>
      <c r="U254" t="n">
        <v>16.47545</v>
      </c>
      <c r="V254" t="n">
        <v>8.915215</v>
      </c>
      <c r="W254" t="n">
        <v>1.406606</v>
      </c>
      <c r="X254" t="n">
        <v/>
      </c>
      <c r="Y254" t="n">
        <v/>
      </c>
      <c r="Z254" t="n">
        <v/>
      </c>
      <c r="AA254" t="n">
        <v/>
      </c>
      <c r="AB254" t="n">
        <v/>
      </c>
      <c r="AC254" t="n">
        <v>0.001470473</v>
      </c>
      <c r="AD254" t="n">
        <v>5.403453</v>
      </c>
      <c r="AE254" t="n">
        <v>30.96295</v>
      </c>
      <c r="AF254" t="n">
        <v/>
      </c>
      <c r="AG254" t="n">
        <v/>
      </c>
      <c r="AH254" t="n">
        <v>19.70291</v>
      </c>
      <c r="AI254" t="n">
        <v/>
      </c>
      <c r="AJ254" t="n">
        <v/>
      </c>
      <c r="AK254" t="n">
        <v>21.00085</v>
      </c>
      <c r="AL254" t="n">
        <v/>
      </c>
      <c r="AM254" t="n">
        <v>7.300088</v>
      </c>
      <c r="AN254" t="n">
        <v>5.308969</v>
      </c>
      <c r="AO254" t="n">
        <v/>
      </c>
      <c r="AP254" t="n">
        <v>1.53841</v>
      </c>
      <c r="AQ254" t="n">
        <v/>
      </c>
      <c r="AR254" t="n">
        <v/>
      </c>
      <c r="AS254" t="n">
        <v/>
      </c>
      <c r="AT254" t="n">
        <v/>
      </c>
      <c r="AU254" t="n">
        <v>14.10826</v>
      </c>
      <c r="AV254" t="n">
        <v/>
      </c>
      <c r="AW254" t="n">
        <v>16.34698</v>
      </c>
      <c r="AX254" t="n">
        <v/>
      </c>
    </row>
    <row r="255">
      <c r="A255" s="92" t="n">
        <v>25600</v>
      </c>
      <c r="B255" t="n">
        <v>21.1992</v>
      </c>
      <c r="C255" t="n">
        <v/>
      </c>
      <c r="D255" t="n">
        <v/>
      </c>
      <c r="E255" t="n">
        <v>17.16702</v>
      </c>
      <c r="F255" t="n">
        <v>32.73736</v>
      </c>
      <c r="G255" t="n">
        <v/>
      </c>
      <c r="H255" t="n">
        <v/>
      </c>
      <c r="I255" t="n">
        <v/>
      </c>
      <c r="J255" t="n">
        <v/>
      </c>
      <c r="K255" t="n">
        <v/>
      </c>
      <c r="L255" t="n">
        <v>29.74135</v>
      </c>
      <c r="M255" t="n">
        <v>13.89088</v>
      </c>
      <c r="N255" t="n">
        <v/>
      </c>
      <c r="O255" t="n">
        <v/>
      </c>
      <c r="P255" t="n">
        <v/>
      </c>
      <c r="Q255" t="n">
        <v/>
      </c>
      <c r="R255" t="n">
        <v>12.11753</v>
      </c>
      <c r="S255" t="n">
        <v>15.06156</v>
      </c>
      <c r="T255" t="n">
        <v/>
      </c>
      <c r="U255" t="n">
        <v>16.53315</v>
      </c>
      <c r="V255" t="n">
        <v>8.952895</v>
      </c>
      <c r="W255" t="n">
        <v>1.406606</v>
      </c>
      <c r="X255" t="n">
        <v/>
      </c>
      <c r="Y255" t="n">
        <v/>
      </c>
      <c r="Z255" t="n">
        <v/>
      </c>
      <c r="AA255" t="n">
        <v/>
      </c>
      <c r="AB255" t="n">
        <v/>
      </c>
      <c r="AC255" t="n">
        <v>0.001473353</v>
      </c>
      <c r="AD255" t="n">
        <v>5.455999</v>
      </c>
      <c r="AE255" t="n">
        <v>30.87033</v>
      </c>
      <c r="AF255" t="n">
        <v/>
      </c>
      <c r="AG255" t="n">
        <v/>
      </c>
      <c r="AH255" t="n">
        <v>19.80881</v>
      </c>
      <c r="AI255" t="n">
        <v/>
      </c>
      <c r="AJ255" t="n">
        <v/>
      </c>
      <c r="AK255" t="n">
        <v>21.17204</v>
      </c>
      <c r="AL255" t="n">
        <v/>
      </c>
      <c r="AM255" t="n">
        <v>7.325894</v>
      </c>
      <c r="AN255" t="n">
        <v>5.333558</v>
      </c>
      <c r="AO255" t="n">
        <v/>
      </c>
      <c r="AP255" t="n">
        <v>1.515197</v>
      </c>
      <c r="AQ255" t="n">
        <v/>
      </c>
      <c r="AR255" t="n">
        <v/>
      </c>
      <c r="AS255" t="n">
        <v/>
      </c>
      <c r="AT255" t="n">
        <v/>
      </c>
      <c r="AU255" t="n">
        <v>14.31235</v>
      </c>
      <c r="AV255" t="n">
        <v/>
      </c>
      <c r="AW255" t="n">
        <v>16.42955</v>
      </c>
      <c r="AX255" t="n">
        <v/>
      </c>
    </row>
    <row r="256">
      <c r="A256" s="92" t="n">
        <v>25628</v>
      </c>
      <c r="B256" t="n">
        <v>21.29401</v>
      </c>
      <c r="C256" t="n">
        <v/>
      </c>
      <c r="D256" t="n">
        <v/>
      </c>
      <c r="E256" t="n">
        <v>17.16734</v>
      </c>
      <c r="F256" t="n">
        <v>32.84549</v>
      </c>
      <c r="G256" t="n">
        <v/>
      </c>
      <c r="H256" t="n">
        <v/>
      </c>
      <c r="I256" t="n">
        <v/>
      </c>
      <c r="J256" t="n">
        <v/>
      </c>
      <c r="K256" t="n">
        <v/>
      </c>
      <c r="L256" t="n">
        <v>29.87772</v>
      </c>
      <c r="M256" t="n">
        <v>13.97371</v>
      </c>
      <c r="N256" t="n">
        <v/>
      </c>
      <c r="O256" t="n">
        <v/>
      </c>
      <c r="P256" t="n">
        <v/>
      </c>
      <c r="Q256" t="n">
        <v/>
      </c>
      <c r="R256" t="n">
        <v>12.14931</v>
      </c>
      <c r="S256" t="n">
        <v>15.1043</v>
      </c>
      <c r="T256" t="n">
        <v/>
      </c>
      <c r="U256" t="n">
        <v>16.64108</v>
      </c>
      <c r="V256" t="n">
        <v>9.005674000000001</v>
      </c>
      <c r="W256" t="n">
        <v>1.431847</v>
      </c>
      <c r="X256" t="n">
        <v/>
      </c>
      <c r="Y256" t="n">
        <v/>
      </c>
      <c r="Z256" t="n">
        <v/>
      </c>
      <c r="AA256" t="n">
        <v/>
      </c>
      <c r="AB256" t="n">
        <v/>
      </c>
      <c r="AC256" t="n">
        <v>0.001481972</v>
      </c>
      <c r="AD256" t="n">
        <v>5.470044</v>
      </c>
      <c r="AE256" t="n">
        <v>31.15141</v>
      </c>
      <c r="AF256" t="n">
        <v/>
      </c>
      <c r="AG256" t="n">
        <v/>
      </c>
      <c r="AH256" t="n">
        <v>19.85444</v>
      </c>
      <c r="AI256" t="n">
        <v/>
      </c>
      <c r="AJ256" t="n">
        <v/>
      </c>
      <c r="AK256" t="n">
        <v>21.36222</v>
      </c>
      <c r="AL256" t="n">
        <v/>
      </c>
      <c r="AM256" t="n">
        <v>7.373079</v>
      </c>
      <c r="AN256" t="n">
        <v>5.356146</v>
      </c>
      <c r="AO256" t="n">
        <v/>
      </c>
      <c r="AP256" t="n">
        <v>1.545093</v>
      </c>
      <c r="AQ256" t="n">
        <v/>
      </c>
      <c r="AR256" t="n">
        <v/>
      </c>
      <c r="AS256" t="n">
        <v/>
      </c>
      <c r="AT256" t="n">
        <v/>
      </c>
      <c r="AU256" t="n">
        <v>14.39521</v>
      </c>
      <c r="AV256" t="n">
        <v/>
      </c>
      <c r="AW256" t="n">
        <v>16.55339</v>
      </c>
      <c r="AX256" t="n">
        <v/>
      </c>
    </row>
    <row r="257">
      <c r="A257" s="92" t="n">
        <v>25659</v>
      </c>
      <c r="B257" t="n">
        <v>21.38919</v>
      </c>
      <c r="C257" t="n">
        <v/>
      </c>
      <c r="D257" t="n">
        <v/>
      </c>
      <c r="E257" t="n">
        <v>17.23237</v>
      </c>
      <c r="F257" t="n">
        <v>32.86106</v>
      </c>
      <c r="G257" t="n">
        <v/>
      </c>
      <c r="H257" t="n">
        <v/>
      </c>
      <c r="I257" t="n">
        <v/>
      </c>
      <c r="J257" t="n">
        <v/>
      </c>
      <c r="K257" t="n">
        <v/>
      </c>
      <c r="L257" t="n">
        <v>30.04822</v>
      </c>
      <c r="M257" t="n">
        <v>14.0263</v>
      </c>
      <c r="N257" t="n">
        <v/>
      </c>
      <c r="O257" t="n">
        <v/>
      </c>
      <c r="P257" t="n">
        <v/>
      </c>
      <c r="Q257" t="n">
        <v/>
      </c>
      <c r="R257" t="n">
        <v>12.15515</v>
      </c>
      <c r="S257" t="n">
        <v>15.18006</v>
      </c>
      <c r="T257" t="n">
        <v/>
      </c>
      <c r="U257" t="n">
        <v>16.73691</v>
      </c>
      <c r="V257" t="n">
        <v>9.161949</v>
      </c>
      <c r="W257" t="n">
        <v>1.45403</v>
      </c>
      <c r="X257" t="n">
        <v/>
      </c>
      <c r="Y257" t="n">
        <v/>
      </c>
      <c r="Z257" t="n">
        <v/>
      </c>
      <c r="AA257" t="n">
        <v/>
      </c>
      <c r="AB257" t="n">
        <v/>
      </c>
      <c r="AC257" t="n">
        <v>0.001500661</v>
      </c>
      <c r="AD257" t="n">
        <v>5.489917</v>
      </c>
      <c r="AE257" t="n">
        <v>31.49215</v>
      </c>
      <c r="AF257" t="n">
        <v/>
      </c>
      <c r="AG257" t="n">
        <v/>
      </c>
      <c r="AH257" t="n">
        <v>19.9481</v>
      </c>
      <c r="AI257" t="n">
        <v/>
      </c>
      <c r="AJ257" t="n">
        <v/>
      </c>
      <c r="AK257" t="n">
        <v>21.49506</v>
      </c>
      <c r="AL257" t="n">
        <v/>
      </c>
      <c r="AM257" t="n">
        <v>7.414898</v>
      </c>
      <c r="AN257" t="n">
        <v>5.380912</v>
      </c>
      <c r="AO257" t="n">
        <v/>
      </c>
      <c r="AP257" t="n">
        <v>1.540006</v>
      </c>
      <c r="AQ257" t="n">
        <v/>
      </c>
      <c r="AR257" t="n">
        <v/>
      </c>
      <c r="AS257" t="n">
        <v/>
      </c>
      <c r="AT257" t="n">
        <v/>
      </c>
      <c r="AU257" t="n">
        <v>14.41994</v>
      </c>
      <c r="AV257" t="n">
        <v/>
      </c>
      <c r="AW257" t="n">
        <v>16.63595</v>
      </c>
      <c r="AX257" t="n">
        <v/>
      </c>
    </row>
    <row r="258">
      <c r="A258" s="92" t="n">
        <v>25689</v>
      </c>
      <c r="B258" t="n">
        <v>21.45563</v>
      </c>
      <c r="C258" t="n">
        <v/>
      </c>
      <c r="D258" t="n">
        <v/>
      </c>
      <c r="E258" t="n">
        <v>17.28207</v>
      </c>
      <c r="F258" t="n">
        <v>33.22176</v>
      </c>
      <c r="G258" t="n">
        <v/>
      </c>
      <c r="H258" t="n">
        <v/>
      </c>
      <c r="I258" t="n">
        <v/>
      </c>
      <c r="J258" t="n">
        <v/>
      </c>
      <c r="K258" t="n">
        <v/>
      </c>
      <c r="L258" t="n">
        <v>30.04136</v>
      </c>
      <c r="M258" t="n">
        <v>14.16499</v>
      </c>
      <c r="N258" t="n">
        <v/>
      </c>
      <c r="O258" t="n">
        <v/>
      </c>
      <c r="P258" t="n">
        <v/>
      </c>
      <c r="Q258" t="n">
        <v/>
      </c>
      <c r="R258" t="n">
        <v>12.16307</v>
      </c>
      <c r="S258" t="n">
        <v>15.24492</v>
      </c>
      <c r="T258" t="n">
        <v/>
      </c>
      <c r="U258" t="n">
        <v>16.80001</v>
      </c>
      <c r="V258" t="n">
        <v>9.207672000000001</v>
      </c>
      <c r="W258" t="n">
        <v>1.443148</v>
      </c>
      <c r="X258" t="n">
        <v/>
      </c>
      <c r="Y258" t="n">
        <v/>
      </c>
      <c r="Z258" t="n">
        <v/>
      </c>
      <c r="AA258" t="n">
        <v/>
      </c>
      <c r="AB258" t="n">
        <v/>
      </c>
      <c r="AC258" t="n">
        <v>0.001522219</v>
      </c>
      <c r="AD258" t="n">
        <v>5.512895</v>
      </c>
      <c r="AE258" t="n">
        <v>31.59026</v>
      </c>
      <c r="AF258" t="n">
        <v/>
      </c>
      <c r="AG258" t="n">
        <v/>
      </c>
      <c r="AH258" t="n">
        <v>20.06996</v>
      </c>
      <c r="AI258" t="n">
        <v/>
      </c>
      <c r="AJ258" t="n">
        <v/>
      </c>
      <c r="AK258" t="n">
        <v>21.52736</v>
      </c>
      <c r="AL258" t="n">
        <v/>
      </c>
      <c r="AM258" t="n">
        <v>7.443091</v>
      </c>
      <c r="AN258" t="n">
        <v>5.392532</v>
      </c>
      <c r="AO258" t="n">
        <v/>
      </c>
      <c r="AP258" t="n">
        <v>1.526166</v>
      </c>
      <c r="AQ258" t="n">
        <v/>
      </c>
      <c r="AR258" t="n">
        <v/>
      </c>
      <c r="AS258" t="n">
        <v/>
      </c>
      <c r="AT258" t="n">
        <v/>
      </c>
      <c r="AU258" t="n">
        <v>14.46704</v>
      </c>
      <c r="AV258" t="n">
        <v/>
      </c>
      <c r="AW258" t="n">
        <v>16.71851</v>
      </c>
      <c r="AX258" t="n">
        <v/>
      </c>
    </row>
    <row r="259">
      <c r="A259" s="92" t="n">
        <v>25720</v>
      </c>
      <c r="B259" t="n">
        <v>21.48053</v>
      </c>
      <c r="C259" t="n">
        <v/>
      </c>
      <c r="D259" t="n">
        <v/>
      </c>
      <c r="E259" t="n">
        <v>17.25722</v>
      </c>
      <c r="F259" t="n">
        <v>33.29909</v>
      </c>
      <c r="G259" t="n">
        <v/>
      </c>
      <c r="H259" t="n">
        <v/>
      </c>
      <c r="I259" t="n">
        <v/>
      </c>
      <c r="J259" t="n">
        <v/>
      </c>
      <c r="K259" t="n">
        <v/>
      </c>
      <c r="L259" t="n">
        <v>30.09081</v>
      </c>
      <c r="M259" t="n">
        <v>14.19297</v>
      </c>
      <c r="N259" t="n">
        <v/>
      </c>
      <c r="O259" t="n">
        <v/>
      </c>
      <c r="P259" t="n">
        <v/>
      </c>
      <c r="Q259" t="n">
        <v/>
      </c>
      <c r="R259" t="n">
        <v>12.21387</v>
      </c>
      <c r="S259" t="n">
        <v>15.31317</v>
      </c>
      <c r="T259" t="n">
        <v/>
      </c>
      <c r="U259" t="n">
        <v>16.88509</v>
      </c>
      <c r="V259" t="n">
        <v>9.235238000000001</v>
      </c>
      <c r="W259" t="n">
        <v>1.435324</v>
      </c>
      <c r="X259" t="n">
        <v/>
      </c>
      <c r="Y259" t="n">
        <v/>
      </c>
      <c r="Z259" t="n">
        <v/>
      </c>
      <c r="AA259" t="n">
        <v/>
      </c>
      <c r="AB259" t="n">
        <v/>
      </c>
      <c r="AC259" t="n">
        <v>0.001529408</v>
      </c>
      <c r="AD259" t="n">
        <v>5.524571</v>
      </c>
      <c r="AE259" t="n">
        <v>31.68683</v>
      </c>
      <c r="AF259" t="n">
        <v/>
      </c>
      <c r="AG259" t="n">
        <v/>
      </c>
      <c r="AH259" t="n">
        <v>20.13623</v>
      </c>
      <c r="AI259" t="n">
        <v/>
      </c>
      <c r="AJ259" t="n">
        <v/>
      </c>
      <c r="AK259" t="n">
        <v>21.56722</v>
      </c>
      <c r="AL259" t="n">
        <v/>
      </c>
      <c r="AM259" t="n">
        <v>7.479179</v>
      </c>
      <c r="AN259" t="n">
        <v>5.402703</v>
      </c>
      <c r="AO259" t="n">
        <v/>
      </c>
      <c r="AP259" t="n">
        <v>1.554091</v>
      </c>
      <c r="AQ259" t="n">
        <v/>
      </c>
      <c r="AR259" t="n">
        <v/>
      </c>
      <c r="AS259" t="n">
        <v/>
      </c>
      <c r="AT259" t="n">
        <v/>
      </c>
      <c r="AU259" t="n">
        <v>14.51742</v>
      </c>
      <c r="AV259" t="n">
        <v/>
      </c>
      <c r="AW259" t="n">
        <v>16.84235</v>
      </c>
      <c r="AX259" t="n">
        <v/>
      </c>
    </row>
    <row r="260">
      <c r="A260" s="92" t="n">
        <v>25750</v>
      </c>
      <c r="B260" t="n">
        <v>21.53665</v>
      </c>
      <c r="C260" t="n">
        <v/>
      </c>
      <c r="D260" t="n">
        <v/>
      </c>
      <c r="E260" t="n">
        <v>17.4494</v>
      </c>
      <c r="F260" t="n">
        <v>33.36222</v>
      </c>
      <c r="G260" t="n">
        <v/>
      </c>
      <c r="H260" t="n">
        <v/>
      </c>
      <c r="I260" t="n">
        <v/>
      </c>
      <c r="J260" t="n">
        <v/>
      </c>
      <c r="K260" t="n">
        <v/>
      </c>
      <c r="L260" t="n">
        <v>30.10962</v>
      </c>
      <c r="M260" t="n">
        <v>14.4426</v>
      </c>
      <c r="N260" t="n">
        <v/>
      </c>
      <c r="O260" t="n">
        <v/>
      </c>
      <c r="P260" t="n">
        <v/>
      </c>
      <c r="Q260" t="n">
        <v/>
      </c>
      <c r="R260" t="n">
        <v>12.22087</v>
      </c>
      <c r="S260" t="n">
        <v>15.33448</v>
      </c>
      <c r="T260" t="n">
        <v/>
      </c>
      <c r="U260" t="n">
        <v>16.92393</v>
      </c>
      <c r="V260" t="n">
        <v>9.313359</v>
      </c>
      <c r="W260" t="n">
        <v>1.42573</v>
      </c>
      <c r="X260" t="n">
        <v/>
      </c>
      <c r="Y260" t="n">
        <v/>
      </c>
      <c r="Z260" t="n">
        <v/>
      </c>
      <c r="AA260" t="n">
        <v/>
      </c>
      <c r="AB260" t="n">
        <v/>
      </c>
      <c r="AC260" t="n">
        <v>0.001530848</v>
      </c>
      <c r="AD260" t="n">
        <v>5.529148</v>
      </c>
      <c r="AE260" t="n">
        <v>31.73874</v>
      </c>
      <c r="AF260" t="n">
        <v/>
      </c>
      <c r="AG260" t="n">
        <v/>
      </c>
      <c r="AH260" t="n">
        <v>20.20815</v>
      </c>
      <c r="AI260" t="n">
        <v/>
      </c>
      <c r="AJ260" t="n">
        <v/>
      </c>
      <c r="AK260" t="n">
        <v>21.6127</v>
      </c>
      <c r="AL260" t="n">
        <v/>
      </c>
      <c r="AM260" t="n">
        <v>7.496977</v>
      </c>
      <c r="AN260" t="n">
        <v>5.408063</v>
      </c>
      <c r="AO260" t="n">
        <v/>
      </c>
      <c r="AP260" t="n">
        <v>1.569605</v>
      </c>
      <c r="AQ260" t="n">
        <v/>
      </c>
      <c r="AR260" t="n">
        <v/>
      </c>
      <c r="AS260" t="n">
        <v/>
      </c>
      <c r="AT260" t="n">
        <v/>
      </c>
      <c r="AU260" t="n">
        <v>14.59829</v>
      </c>
      <c r="AV260" t="n">
        <v/>
      </c>
      <c r="AW260" t="n">
        <v>16.88363</v>
      </c>
      <c r="AX260" t="n">
        <v/>
      </c>
    </row>
    <row r="261">
      <c r="A261" s="92" t="n">
        <v>25781</v>
      </c>
      <c r="B261" t="n">
        <v>21.68429</v>
      </c>
      <c r="C261" t="n">
        <v/>
      </c>
      <c r="D261" t="n">
        <v/>
      </c>
      <c r="E261" t="n">
        <v>17.43698</v>
      </c>
      <c r="F261" t="n">
        <v>33.42275</v>
      </c>
      <c r="G261" t="n">
        <v/>
      </c>
      <c r="H261" t="n">
        <v/>
      </c>
      <c r="I261" t="n">
        <v/>
      </c>
      <c r="J261" t="n">
        <v/>
      </c>
      <c r="K261" t="n">
        <v/>
      </c>
      <c r="L261" t="n">
        <v>30.09781</v>
      </c>
      <c r="M261" t="n">
        <v>14.46743</v>
      </c>
      <c r="N261" t="n">
        <v/>
      </c>
      <c r="O261" t="n">
        <v/>
      </c>
      <c r="P261" t="n">
        <v/>
      </c>
      <c r="Q261" t="n">
        <v/>
      </c>
      <c r="R261" t="n">
        <v>12.23679</v>
      </c>
      <c r="S261" t="n">
        <v>15.38525</v>
      </c>
      <c r="T261" t="n">
        <v/>
      </c>
      <c r="U261" t="n">
        <v>16.9459</v>
      </c>
      <c r="V261" t="n">
        <v>9.340623000000001</v>
      </c>
      <c r="W261" t="n">
        <v>1.403547</v>
      </c>
      <c r="X261" t="n">
        <v/>
      </c>
      <c r="Y261" t="n">
        <v/>
      </c>
      <c r="Z261" t="n">
        <v/>
      </c>
      <c r="AA261" t="n">
        <v/>
      </c>
      <c r="AB261" t="n">
        <v/>
      </c>
      <c r="AC261" t="n">
        <v>0.001529408</v>
      </c>
      <c r="AD261" t="n">
        <v>5.540395</v>
      </c>
      <c r="AE261" t="n">
        <v>31.69233</v>
      </c>
      <c r="AF261" t="n">
        <v/>
      </c>
      <c r="AG261" t="n">
        <v/>
      </c>
      <c r="AH261" t="n">
        <v>20.16858</v>
      </c>
      <c r="AI261" t="n">
        <v/>
      </c>
      <c r="AJ261" t="n">
        <v/>
      </c>
      <c r="AK261" t="n">
        <v>21.75049</v>
      </c>
      <c r="AL261" t="n">
        <v/>
      </c>
      <c r="AM261" t="n">
        <v>7.508162</v>
      </c>
      <c r="AN261" t="n">
        <v>5.415726</v>
      </c>
      <c r="AO261" t="n">
        <v/>
      </c>
      <c r="AP261" t="n">
        <v>1.586203</v>
      </c>
      <c r="AQ261" t="n">
        <v/>
      </c>
      <c r="AR261" t="n">
        <v/>
      </c>
      <c r="AS261" t="n">
        <v/>
      </c>
      <c r="AT261" t="n">
        <v/>
      </c>
      <c r="AU261" t="n">
        <v>14.65879</v>
      </c>
      <c r="AV261" t="n">
        <v/>
      </c>
      <c r="AW261" t="n">
        <v>16.92491</v>
      </c>
      <c r="AX261" t="n">
        <v/>
      </c>
    </row>
    <row r="262">
      <c r="A262" s="92" t="n">
        <v>25812</v>
      </c>
      <c r="B262" t="n">
        <v>21.79642</v>
      </c>
      <c r="C262" t="n">
        <v/>
      </c>
      <c r="D262" t="n">
        <v/>
      </c>
      <c r="E262" t="n">
        <v>17.3968</v>
      </c>
      <c r="F262" t="n">
        <v>33.60047</v>
      </c>
      <c r="G262" t="n">
        <v/>
      </c>
      <c r="H262" t="n">
        <v/>
      </c>
      <c r="I262" t="n">
        <v/>
      </c>
      <c r="J262" t="n">
        <v/>
      </c>
      <c r="K262" t="n">
        <v/>
      </c>
      <c r="L262" t="n">
        <v>30.14915</v>
      </c>
      <c r="M262" t="n">
        <v>14.55968</v>
      </c>
      <c r="N262" t="n">
        <v/>
      </c>
      <c r="O262" t="n">
        <v/>
      </c>
      <c r="P262" t="n">
        <v/>
      </c>
      <c r="Q262" t="n">
        <v/>
      </c>
      <c r="R262" t="n">
        <v>12.22914</v>
      </c>
      <c r="S262" t="n">
        <v>15.43754</v>
      </c>
      <c r="T262" t="n">
        <v/>
      </c>
      <c r="U262" t="n">
        <v>17.06279</v>
      </c>
      <c r="V262" t="n">
        <v>9.382574999999999</v>
      </c>
      <c r="W262" t="n">
        <v>1.431847</v>
      </c>
      <c r="X262" t="n">
        <v/>
      </c>
      <c r="Y262" t="n">
        <v/>
      </c>
      <c r="Z262" t="n">
        <v/>
      </c>
      <c r="AA262" t="n">
        <v/>
      </c>
      <c r="AB262" t="n">
        <v/>
      </c>
      <c r="AC262" t="n">
        <v>0.001589783</v>
      </c>
      <c r="AD262" t="n">
        <v>5.583486</v>
      </c>
      <c r="AE262" t="n">
        <v>32.09979</v>
      </c>
      <c r="AF262" t="n">
        <v/>
      </c>
      <c r="AG262" t="n">
        <v/>
      </c>
      <c r="AH262" t="n">
        <v>20.30053</v>
      </c>
      <c r="AI262" t="n">
        <v/>
      </c>
      <c r="AJ262" t="n">
        <v/>
      </c>
      <c r="AK262" t="n">
        <v>21.96863</v>
      </c>
      <c r="AL262" t="n">
        <v/>
      </c>
      <c r="AM262" t="n">
        <v>7.559541</v>
      </c>
      <c r="AN262" t="n">
        <v>5.440764</v>
      </c>
      <c r="AO262" t="n">
        <v/>
      </c>
      <c r="AP262" t="n">
        <v>1.60782</v>
      </c>
      <c r="AQ262" t="n">
        <v/>
      </c>
      <c r="AR262" t="n">
        <v/>
      </c>
      <c r="AS262" t="n">
        <v/>
      </c>
      <c r="AT262" t="n">
        <v/>
      </c>
      <c r="AU262" t="n">
        <v>14.70024</v>
      </c>
      <c r="AV262" t="n">
        <v/>
      </c>
      <c r="AW262" t="n">
        <v>17.04875</v>
      </c>
      <c r="AX262" t="n">
        <v/>
      </c>
    </row>
    <row r="263">
      <c r="A263" s="92" t="n">
        <v>25842</v>
      </c>
      <c r="B263" t="n">
        <v>21.86519</v>
      </c>
      <c r="C263" t="n">
        <v/>
      </c>
      <c r="D263" t="n">
        <v/>
      </c>
      <c r="E263" t="n">
        <v>17.42166</v>
      </c>
      <c r="F263" t="n">
        <v>33.70529</v>
      </c>
      <c r="G263" t="n">
        <v/>
      </c>
      <c r="H263" t="n">
        <v/>
      </c>
      <c r="I263" t="n">
        <v/>
      </c>
      <c r="J263" t="n">
        <v/>
      </c>
      <c r="K263" t="n">
        <v/>
      </c>
      <c r="L263" t="n">
        <v>30.29077</v>
      </c>
      <c r="M263" t="n">
        <v>14.60279</v>
      </c>
      <c r="N263" t="n">
        <v/>
      </c>
      <c r="O263" t="n">
        <v/>
      </c>
      <c r="P263" t="n">
        <v/>
      </c>
      <c r="Q263" t="n">
        <v/>
      </c>
      <c r="R263" t="n">
        <v>12.25204</v>
      </c>
      <c r="S263" t="n">
        <v>15.49543</v>
      </c>
      <c r="T263" t="n">
        <v/>
      </c>
      <c r="U263" t="n">
        <v>17.1874</v>
      </c>
      <c r="V263" t="n">
        <v>9.463169000000001</v>
      </c>
      <c r="W263" t="n">
        <v>1.45403</v>
      </c>
      <c r="X263" t="n">
        <v/>
      </c>
      <c r="Y263" t="n">
        <v/>
      </c>
      <c r="Z263" t="n">
        <v/>
      </c>
      <c r="AA263" t="n">
        <v/>
      </c>
      <c r="AB263" t="n">
        <v/>
      </c>
      <c r="AC263" t="n">
        <v>0.00162284</v>
      </c>
      <c r="AD263" t="n">
        <v>5.613128</v>
      </c>
      <c r="AE263" t="n">
        <v>32.52403</v>
      </c>
      <c r="AF263" t="n">
        <v/>
      </c>
      <c r="AG263" t="n">
        <v/>
      </c>
      <c r="AH263" t="n">
        <v>20.33649</v>
      </c>
      <c r="AI263" t="n">
        <v/>
      </c>
      <c r="AJ263" t="n">
        <v/>
      </c>
      <c r="AK263" t="n">
        <v>22.09651</v>
      </c>
      <c r="AL263" t="n">
        <v/>
      </c>
      <c r="AM263" t="n">
        <v>7.614809</v>
      </c>
      <c r="AN263" t="n">
        <v>5.466597</v>
      </c>
      <c r="AO263" t="n">
        <v/>
      </c>
      <c r="AP263" t="n">
        <v>1.611948</v>
      </c>
      <c r="AQ263" t="n">
        <v/>
      </c>
      <c r="AR263" t="n">
        <v/>
      </c>
      <c r="AS263" t="n">
        <v/>
      </c>
      <c r="AT263" t="n">
        <v/>
      </c>
      <c r="AU263" t="n">
        <v>14.78758</v>
      </c>
      <c r="AV263" t="n">
        <v/>
      </c>
      <c r="AW263" t="n">
        <v>17.17259</v>
      </c>
      <c r="AX263" t="n">
        <v/>
      </c>
    </row>
    <row r="264">
      <c r="A264" s="92" t="n">
        <v>25873</v>
      </c>
      <c r="B264" t="n">
        <v>21.94527</v>
      </c>
      <c r="C264" t="n">
        <v/>
      </c>
      <c r="D264" t="n">
        <v/>
      </c>
      <c r="E264" t="n">
        <v>17.45076</v>
      </c>
      <c r="F264" t="n">
        <v>34.13802</v>
      </c>
      <c r="G264" t="n">
        <v/>
      </c>
      <c r="H264" t="n">
        <v/>
      </c>
      <c r="I264" t="n">
        <v/>
      </c>
      <c r="J264" t="n">
        <v/>
      </c>
      <c r="K264" t="n">
        <v/>
      </c>
      <c r="L264" t="n">
        <v>30.40672</v>
      </c>
      <c r="M264" t="n">
        <v>14.69808</v>
      </c>
      <c r="N264" t="n">
        <v/>
      </c>
      <c r="O264" t="n">
        <v/>
      </c>
      <c r="P264" t="n">
        <v/>
      </c>
      <c r="Q264" t="n">
        <v/>
      </c>
      <c r="R264" t="n">
        <v>12.26942</v>
      </c>
      <c r="S264" t="n">
        <v>15.56012</v>
      </c>
      <c r="T264" t="n">
        <v/>
      </c>
      <c r="U264" t="n">
        <v>17.2885</v>
      </c>
      <c r="V264" t="n">
        <v>9.532247</v>
      </c>
      <c r="W264" t="n">
        <v>1.458794</v>
      </c>
      <c r="X264" t="n">
        <v/>
      </c>
      <c r="Y264" t="n">
        <v/>
      </c>
      <c r="Z264" t="n">
        <v/>
      </c>
      <c r="AA264" t="n">
        <v/>
      </c>
      <c r="AB264" t="n">
        <v/>
      </c>
      <c r="AC264" t="n">
        <v>0.001644398</v>
      </c>
      <c r="AD264" t="n">
        <v>5.661679</v>
      </c>
      <c r="AE264" t="n">
        <v>32.5929</v>
      </c>
      <c r="AF264" t="n">
        <v/>
      </c>
      <c r="AG264" t="n">
        <v/>
      </c>
      <c r="AH264" t="n">
        <v>20.37835</v>
      </c>
      <c r="AI264" t="n">
        <v/>
      </c>
      <c r="AJ264" t="n">
        <v/>
      </c>
      <c r="AK264" t="n">
        <v>22.1625</v>
      </c>
      <c r="AL264" t="n">
        <v/>
      </c>
      <c r="AM264" t="n">
        <v>7.659354</v>
      </c>
      <c r="AN264" t="n">
        <v>5.498006</v>
      </c>
      <c r="AO264" t="n">
        <v/>
      </c>
      <c r="AP264" t="n">
        <v>1.62376</v>
      </c>
      <c r="AQ264" t="n">
        <v/>
      </c>
      <c r="AR264" t="n">
        <v/>
      </c>
      <c r="AS264" t="n">
        <v/>
      </c>
      <c r="AT264" t="n">
        <v/>
      </c>
      <c r="AU264" t="n">
        <v>14.86018</v>
      </c>
      <c r="AV264" t="n">
        <v/>
      </c>
      <c r="AW264" t="n">
        <v>17.29643</v>
      </c>
      <c r="AX264" t="n">
        <v/>
      </c>
    </row>
    <row r="265">
      <c r="A265" s="92" t="n">
        <v>25903</v>
      </c>
      <c r="B265" t="n">
        <v>22.03849</v>
      </c>
      <c r="C265" t="n">
        <v/>
      </c>
      <c r="D265" t="n">
        <v/>
      </c>
      <c r="E265" t="n">
        <v>17.37331</v>
      </c>
      <c r="F265" t="n">
        <v>34.25526</v>
      </c>
      <c r="G265" t="n">
        <v/>
      </c>
      <c r="H265" t="n">
        <v/>
      </c>
      <c r="I265" t="n">
        <v/>
      </c>
      <c r="J265" t="n">
        <v/>
      </c>
      <c r="K265" t="n">
        <v/>
      </c>
      <c r="L265" t="n">
        <v>30.62331</v>
      </c>
      <c r="M265" t="n">
        <v>14.68256</v>
      </c>
      <c r="N265" t="n">
        <v/>
      </c>
      <c r="O265" t="n">
        <v/>
      </c>
      <c r="P265" t="n">
        <v/>
      </c>
      <c r="Q265" t="n">
        <v/>
      </c>
      <c r="R265" t="n">
        <v>12.30601</v>
      </c>
      <c r="S265" t="n">
        <v>15.60388</v>
      </c>
      <c r="T265" t="n">
        <v/>
      </c>
      <c r="U265" t="n">
        <v>17.37166</v>
      </c>
      <c r="V265" t="n">
        <v>9.597816999999999</v>
      </c>
      <c r="W265" t="n">
        <v>1.468389</v>
      </c>
      <c r="X265" t="n">
        <v/>
      </c>
      <c r="Y265" t="n">
        <v/>
      </c>
      <c r="Z265" t="n">
        <v/>
      </c>
      <c r="AA265" t="n">
        <v/>
      </c>
      <c r="AB265" t="n">
        <v/>
      </c>
      <c r="AC265" t="n">
        <v>0.001648718</v>
      </c>
      <c r="AD265" t="n">
        <v>5.677485</v>
      </c>
      <c r="AE265" t="n">
        <v>32.81194</v>
      </c>
      <c r="AF265" t="n">
        <v/>
      </c>
      <c r="AG265" t="n">
        <v/>
      </c>
      <c r="AH265" t="n">
        <v>20.43559</v>
      </c>
      <c r="AI265" t="n">
        <v/>
      </c>
      <c r="AJ265" t="n">
        <v/>
      </c>
      <c r="AK265" t="n">
        <v>22.21791</v>
      </c>
      <c r="AL265" t="n">
        <v/>
      </c>
      <c r="AM265" t="n">
        <v>7.695186</v>
      </c>
      <c r="AN265" t="n">
        <v>5.525158</v>
      </c>
      <c r="AO265" t="n">
        <v/>
      </c>
      <c r="AP265" t="n">
        <v>1.634195</v>
      </c>
      <c r="AQ265" t="n">
        <v/>
      </c>
      <c r="AR265" t="n">
        <v/>
      </c>
      <c r="AS265" t="n">
        <v/>
      </c>
      <c r="AT265" t="n">
        <v/>
      </c>
      <c r="AU265" t="n">
        <v>14.98252</v>
      </c>
      <c r="AV265" t="n">
        <v/>
      </c>
      <c r="AW265" t="n">
        <v>17.37899</v>
      </c>
      <c r="AX265" t="n">
        <v/>
      </c>
    </row>
    <row r="266">
      <c r="A266" s="92" t="n">
        <v>25934</v>
      </c>
      <c r="B266" t="n">
        <v>22.05554</v>
      </c>
      <c r="C266" t="n">
        <v/>
      </c>
      <c r="D266" t="n">
        <v/>
      </c>
      <c r="E266" t="n">
        <v>17.45501</v>
      </c>
      <c r="F266" t="n">
        <v>34.38766</v>
      </c>
      <c r="G266" t="n">
        <v/>
      </c>
      <c r="H266" t="n">
        <v/>
      </c>
      <c r="I266" t="n">
        <v/>
      </c>
      <c r="J266" t="n">
        <v/>
      </c>
      <c r="K266" t="n">
        <v/>
      </c>
      <c r="L266" t="n">
        <v>30.94388</v>
      </c>
      <c r="M266" t="n">
        <v>14.68256</v>
      </c>
      <c r="N266" t="n">
        <v/>
      </c>
      <c r="O266" t="n">
        <v/>
      </c>
      <c r="P266" t="n">
        <v/>
      </c>
      <c r="Q266" t="n">
        <v/>
      </c>
      <c r="R266" t="n">
        <v>12.43441</v>
      </c>
      <c r="S266" t="n">
        <v>15.70516</v>
      </c>
      <c r="T266" t="n">
        <v/>
      </c>
      <c r="U266" t="n">
        <v>17.45061</v>
      </c>
      <c r="V266" t="n">
        <v>9.710698000000001</v>
      </c>
      <c r="W266" t="n">
        <v>1.472936</v>
      </c>
      <c r="X266" t="n">
        <v/>
      </c>
      <c r="Y266" t="n">
        <v/>
      </c>
      <c r="Z266" t="n">
        <v/>
      </c>
      <c r="AA266" t="n">
        <v/>
      </c>
      <c r="AB266" t="n">
        <v/>
      </c>
      <c r="AC266" t="n">
        <v>0.001661647</v>
      </c>
      <c r="AD266" t="n">
        <v>5.73629</v>
      </c>
      <c r="AE266" t="n">
        <v>33.04714</v>
      </c>
      <c r="AF266" t="n">
        <v/>
      </c>
      <c r="AG266" t="n">
        <v/>
      </c>
      <c r="AH266" t="n">
        <v>20.55928</v>
      </c>
      <c r="AI266" t="n">
        <v/>
      </c>
      <c r="AJ266" t="n">
        <v/>
      </c>
      <c r="AK266" t="n">
        <v>22.47136</v>
      </c>
      <c r="AL266" t="n">
        <v/>
      </c>
      <c r="AM266" t="n">
        <v>7.739913</v>
      </c>
      <c r="AN266" t="n">
        <v>5.576952</v>
      </c>
      <c r="AO266" t="n">
        <v/>
      </c>
      <c r="AP266" t="n">
        <v>1.665928</v>
      </c>
      <c r="AQ266" t="n">
        <v/>
      </c>
      <c r="AR266" t="n">
        <v/>
      </c>
      <c r="AS266" t="n">
        <v/>
      </c>
      <c r="AT266" t="n">
        <v/>
      </c>
      <c r="AU266" t="n">
        <v>15.40007</v>
      </c>
      <c r="AV266" t="n">
        <v/>
      </c>
      <c r="AW266" t="n">
        <v>17.37899</v>
      </c>
      <c r="AX266" t="n">
        <v/>
      </c>
    </row>
    <row r="267">
      <c r="A267" s="92" t="n">
        <v>25965</v>
      </c>
      <c r="B267" t="n">
        <v>22.20607</v>
      </c>
      <c r="C267" t="n">
        <v/>
      </c>
      <c r="D267" t="n">
        <v/>
      </c>
      <c r="E267" t="n">
        <v>17.53671</v>
      </c>
      <c r="F267" t="n">
        <v>34.52499</v>
      </c>
      <c r="G267" t="n">
        <v/>
      </c>
      <c r="H267" t="n">
        <v/>
      </c>
      <c r="I267" t="n">
        <v/>
      </c>
      <c r="J267" t="n">
        <v/>
      </c>
      <c r="K267" t="n">
        <v/>
      </c>
      <c r="L267" t="n">
        <v>31.19284</v>
      </c>
      <c r="M267" t="n">
        <v>14.68572</v>
      </c>
      <c r="N267" t="n">
        <v/>
      </c>
      <c r="O267" t="n">
        <v/>
      </c>
      <c r="P267" t="n">
        <v/>
      </c>
      <c r="Q267" t="n">
        <v/>
      </c>
      <c r="R267" t="n">
        <v>12.52616</v>
      </c>
      <c r="S267" t="n">
        <v>15.7726</v>
      </c>
      <c r="T267" t="n">
        <v/>
      </c>
      <c r="U267" t="n">
        <v>17.48829</v>
      </c>
      <c r="V267" t="n">
        <v>9.758804</v>
      </c>
      <c r="W267" t="n">
        <v>1.440012</v>
      </c>
      <c r="X267" t="n">
        <v/>
      </c>
      <c r="Y267" t="n">
        <v/>
      </c>
      <c r="Z267" t="n">
        <v/>
      </c>
      <c r="AA267" t="n">
        <v/>
      </c>
      <c r="AB267" t="n">
        <v/>
      </c>
      <c r="AC267" t="n">
        <v>0.001651588</v>
      </c>
      <c r="AD267" t="n">
        <v>5.763307</v>
      </c>
      <c r="AE267" t="n">
        <v>33.01608</v>
      </c>
      <c r="AF267" t="n">
        <v/>
      </c>
      <c r="AG267" t="n">
        <v/>
      </c>
      <c r="AH267" t="n">
        <v>20.69308</v>
      </c>
      <c r="AI267" t="n">
        <v/>
      </c>
      <c r="AJ267" t="n">
        <v/>
      </c>
      <c r="AK267" t="n">
        <v>22.84212</v>
      </c>
      <c r="AL267" t="n">
        <v/>
      </c>
      <c r="AM267" t="n">
        <v>7.76326</v>
      </c>
      <c r="AN267" t="n">
        <v>5.611523</v>
      </c>
      <c r="AO267" t="n">
        <v/>
      </c>
      <c r="AP267" t="n">
        <v>1.691135</v>
      </c>
      <c r="AQ267" t="n">
        <v/>
      </c>
      <c r="AR267" t="n">
        <v/>
      </c>
      <c r="AS267" t="n">
        <v/>
      </c>
      <c r="AT267" t="n">
        <v/>
      </c>
      <c r="AU267" t="n">
        <v>15.41471</v>
      </c>
      <c r="AV267" t="n">
        <v/>
      </c>
      <c r="AW267" t="n">
        <v>17.37899</v>
      </c>
      <c r="AX267" t="n">
        <v/>
      </c>
    </row>
    <row r="268">
      <c r="A268" s="92" t="n">
        <v>25993</v>
      </c>
      <c r="B268" t="n">
        <v>22.28175</v>
      </c>
      <c r="C268" t="n">
        <v/>
      </c>
      <c r="D268" t="n">
        <v/>
      </c>
      <c r="E268" t="n">
        <v>17.52429</v>
      </c>
      <c r="F268" t="n">
        <v>34.75285</v>
      </c>
      <c r="G268" t="n">
        <v/>
      </c>
      <c r="H268" t="n">
        <v/>
      </c>
      <c r="I268" t="n">
        <v/>
      </c>
      <c r="J268" t="n">
        <v/>
      </c>
      <c r="K268" t="n">
        <v/>
      </c>
      <c r="L268" t="n">
        <v>31.32411</v>
      </c>
      <c r="M268" t="n">
        <v>14.69808</v>
      </c>
      <c r="N268" t="n">
        <v/>
      </c>
      <c r="O268" t="n">
        <v/>
      </c>
      <c r="P268" t="n">
        <v/>
      </c>
      <c r="Q268" t="n">
        <v/>
      </c>
      <c r="R268" t="n">
        <v>12.57027</v>
      </c>
      <c r="S268" t="n">
        <v>15.82541</v>
      </c>
      <c r="T268" t="n">
        <v/>
      </c>
      <c r="U268" t="n">
        <v>17.54736</v>
      </c>
      <c r="V268" t="n">
        <v>9.816945</v>
      </c>
      <c r="W268" t="n">
        <v>1.468389</v>
      </c>
      <c r="X268" t="n">
        <v/>
      </c>
      <c r="Y268" t="n">
        <v/>
      </c>
      <c r="Z268" t="n">
        <v/>
      </c>
      <c r="AA268" t="n">
        <v/>
      </c>
      <c r="AB268" t="n">
        <v/>
      </c>
      <c r="AC268" t="n">
        <v>0.001661647</v>
      </c>
      <c r="AD268" t="n">
        <v>5.788176</v>
      </c>
      <c r="AE268" t="n">
        <v>33.20092</v>
      </c>
      <c r="AF268" t="n">
        <v/>
      </c>
      <c r="AG268" t="n">
        <v/>
      </c>
      <c r="AH268" t="n">
        <v>20.87633</v>
      </c>
      <c r="AI268" t="n">
        <v/>
      </c>
      <c r="AJ268" t="n">
        <v/>
      </c>
      <c r="AK268" t="n">
        <v>22.9951</v>
      </c>
      <c r="AL268" t="n">
        <v/>
      </c>
      <c r="AM268" t="n">
        <v>7.794447</v>
      </c>
      <c r="AN268" t="n">
        <v>5.641897</v>
      </c>
      <c r="AO268" t="n">
        <v/>
      </c>
      <c r="AP268" t="n">
        <v>1.72952</v>
      </c>
      <c r="AQ268" t="n">
        <v/>
      </c>
      <c r="AR268" t="n">
        <v/>
      </c>
      <c r="AS268" t="n">
        <v/>
      </c>
      <c r="AT268" t="n">
        <v/>
      </c>
      <c r="AU268" t="n">
        <v>15.44994</v>
      </c>
      <c r="AV268" t="n">
        <v/>
      </c>
      <c r="AW268" t="n">
        <v>17.42027</v>
      </c>
      <c r="AX268" t="n">
        <v/>
      </c>
    </row>
    <row r="269">
      <c r="A269" s="92" t="n">
        <v>26024</v>
      </c>
      <c r="B269" t="n">
        <v>22.43568</v>
      </c>
      <c r="C269" t="n">
        <v/>
      </c>
      <c r="D269" t="n">
        <v/>
      </c>
      <c r="E269" t="n">
        <v>17.65892</v>
      </c>
      <c r="F269" t="n">
        <v>34.8083</v>
      </c>
      <c r="G269" t="n">
        <v/>
      </c>
      <c r="H269" t="n">
        <v/>
      </c>
      <c r="I269" t="n">
        <v/>
      </c>
      <c r="J269" t="n">
        <v/>
      </c>
      <c r="K269" t="n">
        <v/>
      </c>
      <c r="L269" t="n">
        <v>31.54055</v>
      </c>
      <c r="M269" t="n">
        <v>14.84608</v>
      </c>
      <c r="N269" t="n">
        <v/>
      </c>
      <c r="O269" t="n">
        <v/>
      </c>
      <c r="P269" t="n">
        <v/>
      </c>
      <c r="Q269" t="n">
        <v/>
      </c>
      <c r="R269" t="n">
        <v>12.68337</v>
      </c>
      <c r="S269" t="n">
        <v>15.9187</v>
      </c>
      <c r="T269" t="n">
        <v/>
      </c>
      <c r="U269" t="n">
        <v>17.66061</v>
      </c>
      <c r="V269" t="n">
        <v>10.0288</v>
      </c>
      <c r="W269" t="n">
        <v>1.482939</v>
      </c>
      <c r="X269" t="n">
        <v/>
      </c>
      <c r="Y269" t="n">
        <v/>
      </c>
      <c r="Z269" t="n">
        <v/>
      </c>
      <c r="AA269" t="n">
        <v/>
      </c>
      <c r="AB269" t="n">
        <v/>
      </c>
      <c r="AC269" t="n">
        <v>0.001683215</v>
      </c>
      <c r="AD269" t="n">
        <v>5.802254</v>
      </c>
      <c r="AE269" t="n">
        <v>33.70779</v>
      </c>
      <c r="AF269" t="n">
        <v/>
      </c>
      <c r="AG269" t="n">
        <v/>
      </c>
      <c r="AH269" t="n">
        <v>20.90433</v>
      </c>
      <c r="AI269" t="n">
        <v/>
      </c>
      <c r="AJ269" t="n">
        <v/>
      </c>
      <c r="AK269" t="n">
        <v>23.32042</v>
      </c>
      <c r="AL269" t="n">
        <v/>
      </c>
      <c r="AM269" t="n">
        <v>7.849312</v>
      </c>
      <c r="AN269" t="n">
        <v>5.695354</v>
      </c>
      <c r="AO269" t="n">
        <v/>
      </c>
      <c r="AP269" t="n">
        <v>1.766023</v>
      </c>
      <c r="AQ269" t="n">
        <v/>
      </c>
      <c r="AR269" t="n">
        <v/>
      </c>
      <c r="AS269" t="n">
        <v/>
      </c>
      <c r="AT269" t="n">
        <v/>
      </c>
      <c r="AU269" t="n">
        <v>15.4154</v>
      </c>
      <c r="AV269" t="n">
        <v/>
      </c>
      <c r="AW269" t="n">
        <v>17.46155</v>
      </c>
      <c r="AX269" t="n">
        <v/>
      </c>
    </row>
    <row r="270">
      <c r="A270" s="92" t="n">
        <v>26054</v>
      </c>
      <c r="B270" t="n">
        <v>22.53392</v>
      </c>
      <c r="C270" t="n">
        <v/>
      </c>
      <c r="D270" t="n">
        <v/>
      </c>
      <c r="E270" t="n">
        <v>17.64649</v>
      </c>
      <c r="F270" t="n">
        <v>35.31025</v>
      </c>
      <c r="G270" t="n">
        <v/>
      </c>
      <c r="H270" t="n">
        <v/>
      </c>
      <c r="I270" t="n">
        <v/>
      </c>
      <c r="J270" t="n">
        <v/>
      </c>
      <c r="K270" t="n">
        <v/>
      </c>
      <c r="L270" t="n">
        <v>31.60866</v>
      </c>
      <c r="M270" t="n">
        <v>15.08312</v>
      </c>
      <c r="N270" t="n">
        <v/>
      </c>
      <c r="O270" t="n">
        <v/>
      </c>
      <c r="P270" t="n">
        <v/>
      </c>
      <c r="Q270" t="n">
        <v/>
      </c>
      <c r="R270" t="n">
        <v>12.71469</v>
      </c>
      <c r="S270" t="n">
        <v>16.01256</v>
      </c>
      <c r="T270" t="n">
        <v/>
      </c>
      <c r="U270" t="n">
        <v>17.76499</v>
      </c>
      <c r="V270" t="n">
        <v>10.0875</v>
      </c>
      <c r="W270" t="n">
        <v>1.497489</v>
      </c>
      <c r="X270" t="n">
        <v/>
      </c>
      <c r="Y270" t="n">
        <v/>
      </c>
      <c r="Z270" t="n">
        <v/>
      </c>
      <c r="AA270" t="n">
        <v/>
      </c>
      <c r="AB270" t="n">
        <v/>
      </c>
      <c r="AC270" t="n">
        <v>0.001690404</v>
      </c>
      <c r="AD270" t="n">
        <v>5.841788</v>
      </c>
      <c r="AE270" t="n">
        <v>33.93304</v>
      </c>
      <c r="AF270" t="n">
        <v/>
      </c>
      <c r="AG270" t="n">
        <v/>
      </c>
      <c r="AH270" t="n">
        <v>21.04716</v>
      </c>
      <c r="AI270" t="n">
        <v/>
      </c>
      <c r="AJ270" t="n">
        <v/>
      </c>
      <c r="AK270" t="n">
        <v>23.42821</v>
      </c>
      <c r="AL270" t="n">
        <v/>
      </c>
      <c r="AM270" t="n">
        <v>7.89532</v>
      </c>
      <c r="AN270" t="n">
        <v>5.729559</v>
      </c>
      <c r="AO270" t="n">
        <v/>
      </c>
      <c r="AP270" t="n">
        <v>1.780675</v>
      </c>
      <c r="AQ270" t="n">
        <v/>
      </c>
      <c r="AR270" t="n">
        <v/>
      </c>
      <c r="AS270" t="n">
        <v/>
      </c>
      <c r="AT270" t="n">
        <v/>
      </c>
      <c r="AU270" t="n">
        <v>15.36879</v>
      </c>
      <c r="AV270" t="n">
        <v/>
      </c>
      <c r="AW270" t="n">
        <v>17.58539</v>
      </c>
      <c r="AX270" t="n">
        <v/>
      </c>
    </row>
    <row r="271">
      <c r="A271" s="92" t="n">
        <v>26085</v>
      </c>
      <c r="B271" t="n">
        <v>22.67521</v>
      </c>
      <c r="C271" t="n">
        <v/>
      </c>
      <c r="D271" t="n">
        <v/>
      </c>
      <c r="E271" t="n">
        <v>17.7488</v>
      </c>
      <c r="F271" t="n">
        <v>35.35107</v>
      </c>
      <c r="G271" t="n">
        <v/>
      </c>
      <c r="H271" t="n">
        <v/>
      </c>
      <c r="I271" t="n">
        <v/>
      </c>
      <c r="J271" t="n">
        <v/>
      </c>
      <c r="K271" t="n">
        <v/>
      </c>
      <c r="L271" t="n">
        <v>31.75699</v>
      </c>
      <c r="M271" t="n">
        <v>15.12612</v>
      </c>
      <c r="N271" t="n">
        <v/>
      </c>
      <c r="O271" t="n">
        <v/>
      </c>
      <c r="P271" t="n">
        <v/>
      </c>
      <c r="Q271" t="n">
        <v/>
      </c>
      <c r="R271" t="n">
        <v>13.00761</v>
      </c>
      <c r="S271" t="n">
        <v>16.0657</v>
      </c>
      <c r="T271" t="n">
        <v/>
      </c>
      <c r="U271" t="n">
        <v>17.83911</v>
      </c>
      <c r="V271" t="n">
        <v>10.14525</v>
      </c>
      <c r="W271" t="n">
        <v>1.469113</v>
      </c>
      <c r="X271" t="n">
        <v/>
      </c>
      <c r="Y271" t="n">
        <v/>
      </c>
      <c r="Z271" t="n">
        <v/>
      </c>
      <c r="AA271" t="n">
        <v/>
      </c>
      <c r="AB271" t="n">
        <v/>
      </c>
      <c r="AC271" t="n">
        <v>0.001706213</v>
      </c>
      <c r="AD271" t="n">
        <v>5.844378</v>
      </c>
      <c r="AE271" t="n">
        <v>34.03315</v>
      </c>
      <c r="AF271" t="n">
        <v/>
      </c>
      <c r="AG271" t="n">
        <v/>
      </c>
      <c r="AH271" t="n">
        <v>21.10561</v>
      </c>
      <c r="AI271" t="n">
        <v/>
      </c>
      <c r="AJ271" t="n">
        <v/>
      </c>
      <c r="AK271" t="n">
        <v>23.45863</v>
      </c>
      <c r="AL271" t="n">
        <v/>
      </c>
      <c r="AM271" t="n">
        <v>7.926283</v>
      </c>
      <c r="AN271" t="n">
        <v>5.748928</v>
      </c>
      <c r="AO271" t="n">
        <v/>
      </c>
      <c r="AP271" t="n">
        <v>1.798693</v>
      </c>
      <c r="AQ271" t="n">
        <v/>
      </c>
      <c r="AR271" t="n">
        <v/>
      </c>
      <c r="AS271" t="n">
        <v/>
      </c>
      <c r="AT271" t="n">
        <v/>
      </c>
      <c r="AU271" t="n">
        <v>15.41699</v>
      </c>
      <c r="AV271" t="n">
        <v/>
      </c>
      <c r="AW271" t="n">
        <v>17.66795</v>
      </c>
      <c r="AX271" t="n">
        <v/>
      </c>
    </row>
    <row r="272">
      <c r="A272" s="92" t="n">
        <v>26115</v>
      </c>
      <c r="B272" t="n">
        <v>22.80712</v>
      </c>
      <c r="C272" t="n">
        <v/>
      </c>
      <c r="D272" t="n">
        <v/>
      </c>
      <c r="E272" t="n">
        <v>17.89128</v>
      </c>
      <c r="F272" t="n">
        <v>35.5635</v>
      </c>
      <c r="G272" t="n">
        <v/>
      </c>
      <c r="H272" t="n">
        <v/>
      </c>
      <c r="I272" t="n">
        <v/>
      </c>
      <c r="J272" t="n">
        <v/>
      </c>
      <c r="K272" t="n">
        <v/>
      </c>
      <c r="L272" t="n">
        <v>31.91218</v>
      </c>
      <c r="M272" t="n">
        <v>15.14807</v>
      </c>
      <c r="N272" t="n">
        <v/>
      </c>
      <c r="O272" t="n">
        <v/>
      </c>
      <c r="P272" t="n">
        <v/>
      </c>
      <c r="Q272" t="n">
        <v/>
      </c>
      <c r="R272" t="n">
        <v>13.06468</v>
      </c>
      <c r="S272" t="n">
        <v>16.14367</v>
      </c>
      <c r="T272" t="n">
        <v/>
      </c>
      <c r="U272" t="n">
        <v>17.90173</v>
      </c>
      <c r="V272" t="n">
        <v>10.20599</v>
      </c>
      <c r="W272" t="n">
        <v>1.469842</v>
      </c>
      <c r="X272" t="n">
        <v/>
      </c>
      <c r="Y272" t="n">
        <v/>
      </c>
      <c r="Z272" t="n">
        <v/>
      </c>
      <c r="AA272" t="n">
        <v/>
      </c>
      <c r="AB272" t="n">
        <v/>
      </c>
      <c r="AC272" t="n">
        <v>0.001710522</v>
      </c>
      <c r="AD272" t="n">
        <v>5.866188</v>
      </c>
      <c r="AE272" t="n">
        <v>34.12593</v>
      </c>
      <c r="AF272" t="n">
        <v/>
      </c>
      <c r="AG272" t="n">
        <v/>
      </c>
      <c r="AH272" t="n">
        <v>21.12299</v>
      </c>
      <c r="AI272" t="n">
        <v/>
      </c>
      <c r="AJ272" t="n">
        <v/>
      </c>
      <c r="AK272" t="n">
        <v>23.47525</v>
      </c>
      <c r="AL272" t="n">
        <v/>
      </c>
      <c r="AM272" t="n">
        <v>7.969572</v>
      </c>
      <c r="AN272" t="n">
        <v>5.793129</v>
      </c>
      <c r="AO272" t="n">
        <v/>
      </c>
      <c r="AP272" t="n">
        <v>1.80063</v>
      </c>
      <c r="AQ272" t="n">
        <v/>
      </c>
      <c r="AR272" t="n">
        <v/>
      </c>
      <c r="AS272" t="n">
        <v/>
      </c>
      <c r="AT272" t="n">
        <v/>
      </c>
      <c r="AU272" t="n">
        <v>15.47099</v>
      </c>
      <c r="AV272" t="n">
        <v/>
      </c>
      <c r="AW272" t="n">
        <v>17.70923</v>
      </c>
      <c r="AX272" t="n">
        <v/>
      </c>
    </row>
    <row r="273">
      <c r="A273" s="92" t="n">
        <v>26146</v>
      </c>
      <c r="B273" t="n">
        <v>22.88297</v>
      </c>
      <c r="C273" t="n">
        <v/>
      </c>
      <c r="D273" t="n">
        <v/>
      </c>
      <c r="E273" t="n">
        <v>18.03376</v>
      </c>
      <c r="F273" t="n">
        <v>35.64399</v>
      </c>
      <c r="G273" t="n">
        <v/>
      </c>
      <c r="H273" t="n">
        <v/>
      </c>
      <c r="I273" t="n">
        <v/>
      </c>
      <c r="J273" t="n">
        <v/>
      </c>
      <c r="K273" t="n">
        <v/>
      </c>
      <c r="L273" t="n">
        <v>31.97533</v>
      </c>
      <c r="M273" t="n">
        <v>15.18464</v>
      </c>
      <c r="N273" t="n">
        <v/>
      </c>
      <c r="O273" t="n">
        <v/>
      </c>
      <c r="P273" t="n">
        <v/>
      </c>
      <c r="Q273" t="n">
        <v/>
      </c>
      <c r="R273" t="n">
        <v>13.18867</v>
      </c>
      <c r="S273" t="n">
        <v>16.19784</v>
      </c>
      <c r="T273" t="n">
        <v/>
      </c>
      <c r="U273" t="n">
        <v>17.91875</v>
      </c>
      <c r="V273" t="n">
        <v>10.22239</v>
      </c>
      <c r="W273" t="n">
        <v>1.440012</v>
      </c>
      <c r="X273" t="n">
        <v/>
      </c>
      <c r="Y273" t="n">
        <v/>
      </c>
      <c r="Z273" t="n">
        <v/>
      </c>
      <c r="AA273" t="n">
        <v/>
      </c>
      <c r="AB273" t="n">
        <v/>
      </c>
      <c r="AC273" t="n">
        <v>0.001714832</v>
      </c>
      <c r="AD273" t="n">
        <v>5.873471</v>
      </c>
      <c r="AE273" t="n">
        <v>34.10292</v>
      </c>
      <c r="AF273" t="n">
        <v/>
      </c>
      <c r="AG273" t="n">
        <v/>
      </c>
      <c r="AH273" t="n">
        <v>21.15047</v>
      </c>
      <c r="AI273" t="n">
        <v/>
      </c>
      <c r="AJ273" t="n">
        <v/>
      </c>
      <c r="AK273" t="n">
        <v>23.64644</v>
      </c>
      <c r="AL273" t="n">
        <v/>
      </c>
      <c r="AM273" t="n">
        <v>7.988277</v>
      </c>
      <c r="AN273" t="n">
        <v>5.815776</v>
      </c>
      <c r="AO273" t="n">
        <v/>
      </c>
      <c r="AP273" t="n">
        <v>1.803698</v>
      </c>
      <c r="AQ273" t="n">
        <v/>
      </c>
      <c r="AR273" t="n">
        <v/>
      </c>
      <c r="AS273" t="n">
        <v/>
      </c>
      <c r="AT273" t="n">
        <v/>
      </c>
      <c r="AU273" t="n">
        <v>15.64955</v>
      </c>
      <c r="AV273" t="n">
        <v/>
      </c>
      <c r="AW273" t="n">
        <v>17.70923</v>
      </c>
      <c r="AX273" t="n">
        <v/>
      </c>
    </row>
    <row r="274">
      <c r="A274" s="92" t="n">
        <v>26177</v>
      </c>
      <c r="B274" t="n">
        <v>23.01462</v>
      </c>
      <c r="C274" t="n">
        <v/>
      </c>
      <c r="D274" t="n">
        <v/>
      </c>
      <c r="E274" t="n">
        <v>17.98116</v>
      </c>
      <c r="F274" t="n">
        <v>35.93902</v>
      </c>
      <c r="G274" t="n">
        <v/>
      </c>
      <c r="H274" t="n">
        <v/>
      </c>
      <c r="I274" t="n">
        <v/>
      </c>
      <c r="J274" t="n">
        <v/>
      </c>
      <c r="K274" t="n">
        <v/>
      </c>
      <c r="L274" t="n">
        <v>32.03849</v>
      </c>
      <c r="M274" t="n">
        <v>15.26104</v>
      </c>
      <c r="N274" t="n">
        <v/>
      </c>
      <c r="O274" t="n">
        <v/>
      </c>
      <c r="P274" t="n">
        <v/>
      </c>
      <c r="Q274" t="n">
        <v/>
      </c>
      <c r="R274" t="n">
        <v>13.26482</v>
      </c>
      <c r="S274" t="n">
        <v>16.27224</v>
      </c>
      <c r="T274" t="n">
        <v/>
      </c>
      <c r="U274" t="n">
        <v>18.00571</v>
      </c>
      <c r="V274" t="n">
        <v>10.24788</v>
      </c>
      <c r="W274" t="n">
        <v>1.468389</v>
      </c>
      <c r="X274" t="n">
        <v/>
      </c>
      <c r="Y274" t="n">
        <v/>
      </c>
      <c r="Z274" t="n">
        <v/>
      </c>
      <c r="AA274" t="n">
        <v/>
      </c>
      <c r="AB274" t="n">
        <v/>
      </c>
      <c r="AC274" t="n">
        <v>0.001750769</v>
      </c>
      <c r="AD274" t="n">
        <v>5.908377</v>
      </c>
      <c r="AE274" t="n">
        <v>34.51919</v>
      </c>
      <c r="AF274" t="n">
        <v/>
      </c>
      <c r="AG274" t="n">
        <v/>
      </c>
      <c r="AH274" t="n">
        <v>21.25526</v>
      </c>
      <c r="AI274" t="n">
        <v/>
      </c>
      <c r="AJ274" t="n">
        <v/>
      </c>
      <c r="AK274" t="n">
        <v>23.86324</v>
      </c>
      <c r="AL274" t="n">
        <v/>
      </c>
      <c r="AM274" t="n">
        <v>8.032495000000001</v>
      </c>
      <c r="AN274" t="n">
        <v>5.848898</v>
      </c>
      <c r="AO274" t="n">
        <v/>
      </c>
      <c r="AP274" t="n">
        <v>1.867995</v>
      </c>
      <c r="AQ274" t="n">
        <v/>
      </c>
      <c r="AR274" t="n">
        <v/>
      </c>
      <c r="AS274" t="n">
        <v/>
      </c>
      <c r="AT274" t="n">
        <v/>
      </c>
      <c r="AU274" t="n">
        <v>15.64773</v>
      </c>
      <c r="AV274" t="n">
        <v/>
      </c>
      <c r="AW274" t="n">
        <v>17.79179</v>
      </c>
      <c r="AX274" t="n">
        <v/>
      </c>
    </row>
    <row r="275">
      <c r="A275" s="92" t="n">
        <v>26207</v>
      </c>
      <c r="B275" t="n">
        <v>23.07324</v>
      </c>
      <c r="C275" t="n">
        <v/>
      </c>
      <c r="D275" t="n">
        <v/>
      </c>
      <c r="E275" t="n">
        <v>18.09589</v>
      </c>
      <c r="F275" t="n">
        <v>36.06558</v>
      </c>
      <c r="G275" t="n">
        <v/>
      </c>
      <c r="H275" t="n">
        <v/>
      </c>
      <c r="I275" t="n">
        <v/>
      </c>
      <c r="J275" t="n">
        <v/>
      </c>
      <c r="K275" t="n">
        <v/>
      </c>
      <c r="L275" t="n">
        <v>32.21074</v>
      </c>
      <c r="M275" t="n">
        <v>15.34754</v>
      </c>
      <c r="N275" t="n">
        <v/>
      </c>
      <c r="O275" t="n">
        <v/>
      </c>
      <c r="P275" t="n">
        <v/>
      </c>
      <c r="Q275" t="n">
        <v/>
      </c>
      <c r="R275" t="n">
        <v>13.31004</v>
      </c>
      <c r="S275" t="n">
        <v>16.35874</v>
      </c>
      <c r="T275" t="n">
        <v/>
      </c>
      <c r="U275" t="n">
        <v>18.07442</v>
      </c>
      <c r="V275" t="n">
        <v>10.29239</v>
      </c>
      <c r="W275" t="n">
        <v>1.465296</v>
      </c>
      <c r="X275" t="n">
        <v/>
      </c>
      <c r="Y275" t="n">
        <v/>
      </c>
      <c r="Z275" t="n">
        <v/>
      </c>
      <c r="AA275" t="n">
        <v/>
      </c>
      <c r="AB275" t="n">
        <v/>
      </c>
      <c r="AC275" t="n">
        <v>0.001791016</v>
      </c>
      <c r="AD275" t="n">
        <v>5.935276</v>
      </c>
      <c r="AE275" t="n">
        <v>34.71208</v>
      </c>
      <c r="AF275" t="n">
        <v/>
      </c>
      <c r="AG275" t="n">
        <v/>
      </c>
      <c r="AH275" t="n">
        <v>21.4064</v>
      </c>
      <c r="AI275" t="n">
        <v/>
      </c>
      <c r="AJ275" t="n">
        <v/>
      </c>
      <c r="AK275" t="n">
        <v>24.05178</v>
      </c>
      <c r="AL275" t="n">
        <v/>
      </c>
      <c r="AM275" t="n">
        <v>8.071405</v>
      </c>
      <c r="AN275" t="n">
        <v>5.88721</v>
      </c>
      <c r="AO275" t="n">
        <v/>
      </c>
      <c r="AP275" t="n">
        <v>1.90135</v>
      </c>
      <c r="AQ275" t="n">
        <v/>
      </c>
      <c r="AR275" t="n">
        <v/>
      </c>
      <c r="AS275" t="n">
        <v/>
      </c>
      <c r="AT275" t="n">
        <v/>
      </c>
      <c r="AU275" t="n">
        <v>15.84322</v>
      </c>
      <c r="AV275" t="n">
        <v/>
      </c>
      <c r="AW275" t="n">
        <v>17.83307</v>
      </c>
      <c r="AX275" t="n">
        <v/>
      </c>
    </row>
    <row r="276">
      <c r="A276" s="92" t="n">
        <v>26238</v>
      </c>
      <c r="B276" t="n">
        <v>23.13822</v>
      </c>
      <c r="C276" t="n">
        <v/>
      </c>
      <c r="D276" t="n">
        <v/>
      </c>
      <c r="E276" t="n">
        <v>18.08771</v>
      </c>
      <c r="F276" t="n">
        <v>36.61936</v>
      </c>
      <c r="G276" t="n">
        <v/>
      </c>
      <c r="H276" t="n">
        <v/>
      </c>
      <c r="I276" t="n">
        <v/>
      </c>
      <c r="J276" t="n">
        <v/>
      </c>
      <c r="K276" t="n">
        <v/>
      </c>
      <c r="L276" t="n">
        <v>32.24997</v>
      </c>
      <c r="M276" t="n">
        <v>15.47732</v>
      </c>
      <c r="N276" t="n">
        <v/>
      </c>
      <c r="O276" t="n">
        <v/>
      </c>
      <c r="P276" t="n">
        <v/>
      </c>
      <c r="Q276" t="n">
        <v/>
      </c>
      <c r="R276" t="n">
        <v>13.38127</v>
      </c>
      <c r="S276" t="n">
        <v>16.42241</v>
      </c>
      <c r="T276" t="n">
        <v/>
      </c>
      <c r="U276" t="n">
        <v>18.11481</v>
      </c>
      <c r="V276" t="n">
        <v>10.34188</v>
      </c>
      <c r="W276" t="n">
        <v>1.498219</v>
      </c>
      <c r="X276" t="n">
        <v/>
      </c>
      <c r="Y276" t="n">
        <v/>
      </c>
      <c r="Z276" t="n">
        <v/>
      </c>
      <c r="AA276" t="n">
        <v/>
      </c>
      <c r="AB276" t="n">
        <v/>
      </c>
      <c r="AC276" t="n">
        <v>0.001834142</v>
      </c>
      <c r="AD276" t="n">
        <v>5.965608</v>
      </c>
      <c r="AE276" t="n">
        <v>34.68468</v>
      </c>
      <c r="AF276" t="n">
        <v/>
      </c>
      <c r="AG276" t="n">
        <v/>
      </c>
      <c r="AH276" t="n">
        <v>21.49172</v>
      </c>
      <c r="AI276" t="n">
        <v/>
      </c>
      <c r="AJ276" t="n">
        <v/>
      </c>
      <c r="AK276" t="n">
        <v>24.13835</v>
      </c>
      <c r="AL276" t="n">
        <v/>
      </c>
      <c r="AM276" t="n">
        <v>8.097783</v>
      </c>
      <c r="AN276" t="n">
        <v>5.919465</v>
      </c>
      <c r="AO276" t="n">
        <v/>
      </c>
      <c r="AP276" t="n">
        <v>1.959899</v>
      </c>
      <c r="AQ276" t="n">
        <v/>
      </c>
      <c r="AR276" t="n">
        <v/>
      </c>
      <c r="AS276" t="n">
        <v/>
      </c>
      <c r="AT276" t="n">
        <v/>
      </c>
      <c r="AU276" t="n">
        <v>15.81641</v>
      </c>
      <c r="AV276" t="n">
        <v/>
      </c>
      <c r="AW276" t="n">
        <v>17.87436</v>
      </c>
      <c r="AX276" t="n">
        <v/>
      </c>
    </row>
    <row r="277">
      <c r="A277" s="92" t="n">
        <v>26268</v>
      </c>
      <c r="B277" t="n">
        <v>23.14779</v>
      </c>
      <c r="C277" t="n">
        <v/>
      </c>
      <c r="D277" t="n">
        <v/>
      </c>
      <c r="E277" t="n">
        <v>18.15274</v>
      </c>
      <c r="F277" t="n">
        <v>36.83337</v>
      </c>
      <c r="G277" t="n">
        <v/>
      </c>
      <c r="H277" t="n">
        <v/>
      </c>
      <c r="I277" t="n">
        <v/>
      </c>
      <c r="J277" t="n">
        <v/>
      </c>
      <c r="K277" t="n">
        <v/>
      </c>
      <c r="L277" t="n">
        <v>32.36081</v>
      </c>
      <c r="M277" t="n">
        <v>15.50796</v>
      </c>
      <c r="N277" t="n">
        <v/>
      </c>
      <c r="O277" t="n">
        <v/>
      </c>
      <c r="P277" t="n">
        <v/>
      </c>
      <c r="Q277" t="n">
        <v/>
      </c>
      <c r="R277" t="n">
        <v>13.41883</v>
      </c>
      <c r="S277" t="n">
        <v>16.49478</v>
      </c>
      <c r="T277" t="n">
        <v/>
      </c>
      <c r="U277" t="n">
        <v>18.16297</v>
      </c>
      <c r="V277" t="n">
        <v>10.37193</v>
      </c>
      <c r="W277" t="n">
        <v>1.51277</v>
      </c>
      <c r="X277" t="n">
        <v/>
      </c>
      <c r="Y277" t="n">
        <v/>
      </c>
      <c r="Z277" t="n">
        <v/>
      </c>
      <c r="AA277" t="n">
        <v/>
      </c>
      <c r="AB277" t="n">
        <v/>
      </c>
      <c r="AC277" t="n">
        <v>0.00185283</v>
      </c>
      <c r="AD277" t="n">
        <v>5.991808</v>
      </c>
      <c r="AE277" t="n">
        <v>34.70338</v>
      </c>
      <c r="AF277" t="n">
        <v/>
      </c>
      <c r="AG277" t="n">
        <v/>
      </c>
      <c r="AH277" t="n">
        <v>21.57116</v>
      </c>
      <c r="AI277" t="n">
        <v/>
      </c>
      <c r="AJ277" t="n">
        <v/>
      </c>
      <c r="AK277" t="n">
        <v>24.23634</v>
      </c>
      <c r="AL277" t="n">
        <v/>
      </c>
      <c r="AM277" t="n">
        <v>8.120376</v>
      </c>
      <c r="AN277" t="n">
        <v>5.939482</v>
      </c>
      <c r="AO277" t="n">
        <v/>
      </c>
      <c r="AP277" t="n">
        <v>1.908075</v>
      </c>
      <c r="AQ277" t="n">
        <v/>
      </c>
      <c r="AR277" t="n">
        <v/>
      </c>
      <c r="AS277" t="n">
        <v/>
      </c>
      <c r="AT277" t="n">
        <v/>
      </c>
      <c r="AU277" t="n">
        <v>15.98739</v>
      </c>
      <c r="AV277" t="n">
        <v/>
      </c>
      <c r="AW277" t="n">
        <v>17.91564</v>
      </c>
      <c r="AX277" t="n">
        <v/>
      </c>
    </row>
    <row r="278">
      <c r="A278" s="92" t="n">
        <v>26299</v>
      </c>
      <c r="B278" t="n">
        <v>23.35697</v>
      </c>
      <c r="C278" t="n">
        <v/>
      </c>
      <c r="D278" t="n">
        <v/>
      </c>
      <c r="E278" t="n">
        <v>18.22202</v>
      </c>
      <c r="F278" t="n">
        <v>36.99239</v>
      </c>
      <c r="G278" t="n">
        <v/>
      </c>
      <c r="H278" t="n">
        <v/>
      </c>
      <c r="I278" t="n">
        <v/>
      </c>
      <c r="J278" t="n">
        <v/>
      </c>
      <c r="K278" t="n">
        <v/>
      </c>
      <c r="L278" t="n">
        <v>32.73083</v>
      </c>
      <c r="M278" t="n">
        <v>15.53267</v>
      </c>
      <c r="N278" t="n">
        <v/>
      </c>
      <c r="O278" t="n">
        <v/>
      </c>
      <c r="P278" t="n">
        <v/>
      </c>
      <c r="Q278" t="n">
        <v/>
      </c>
      <c r="R278" t="n">
        <v>13.24485</v>
      </c>
      <c r="S278" t="n">
        <v>16.53752</v>
      </c>
      <c r="T278" t="n">
        <v/>
      </c>
      <c r="U278" t="n">
        <v>18.21098</v>
      </c>
      <c r="V278" t="n">
        <v>10.43472</v>
      </c>
      <c r="W278" t="n">
        <v>1.509679</v>
      </c>
      <c r="X278" t="n">
        <v/>
      </c>
      <c r="Y278" t="n">
        <v/>
      </c>
      <c r="Z278" t="n">
        <v/>
      </c>
      <c r="AA278" t="n">
        <v/>
      </c>
      <c r="AB278" t="n">
        <v/>
      </c>
      <c r="AC278" t="n">
        <v>0.001872948</v>
      </c>
      <c r="AD278" t="n">
        <v>6.016723</v>
      </c>
      <c r="AE278" t="n">
        <v>34.72262</v>
      </c>
      <c r="AF278" t="n">
        <v/>
      </c>
      <c r="AG278" t="n">
        <v/>
      </c>
      <c r="AH278" t="n">
        <v>21.68283</v>
      </c>
      <c r="AI278" t="n">
        <v/>
      </c>
      <c r="AJ278" t="n">
        <v/>
      </c>
      <c r="AK278" t="n">
        <v>24.45492</v>
      </c>
      <c r="AL278" t="n">
        <v/>
      </c>
      <c r="AM278" t="n">
        <v>8.14691</v>
      </c>
      <c r="AN278" t="n">
        <v>5.974363</v>
      </c>
      <c r="AO278" t="n">
        <v/>
      </c>
      <c r="AP278" t="n">
        <v>1.928336</v>
      </c>
      <c r="AQ278" t="n">
        <v/>
      </c>
      <c r="AR278" t="n">
        <v/>
      </c>
      <c r="AS278" t="n">
        <v/>
      </c>
      <c r="AT278" t="n">
        <v/>
      </c>
      <c r="AU278" t="n">
        <v>16.11434</v>
      </c>
      <c r="AV278" t="n">
        <v/>
      </c>
      <c r="AW278" t="n">
        <v>17.91564</v>
      </c>
      <c r="AX278" t="n">
        <v/>
      </c>
    </row>
    <row r="279">
      <c r="A279" s="92" t="n">
        <v>26330</v>
      </c>
      <c r="B279" t="n">
        <v>23.55989</v>
      </c>
      <c r="C279" t="n">
        <v/>
      </c>
      <c r="D279" t="n">
        <v/>
      </c>
      <c r="E279" t="n">
        <v>18.29947</v>
      </c>
      <c r="F279" t="n">
        <v>37.18021</v>
      </c>
      <c r="G279" t="n">
        <v/>
      </c>
      <c r="H279" t="n">
        <v/>
      </c>
      <c r="I279" t="n">
        <v/>
      </c>
      <c r="J279" t="n">
        <v/>
      </c>
      <c r="K279" t="n">
        <v/>
      </c>
      <c r="L279" t="n">
        <v>32.85363</v>
      </c>
      <c r="M279" t="n">
        <v>15.60355</v>
      </c>
      <c r="N279" t="n">
        <v/>
      </c>
      <c r="O279" t="n">
        <v/>
      </c>
      <c r="P279" t="n">
        <v/>
      </c>
      <c r="Q279" t="n">
        <v/>
      </c>
      <c r="R279" t="n">
        <v>13.32615</v>
      </c>
      <c r="S279" t="n">
        <v>16.63471</v>
      </c>
      <c r="T279" t="n">
        <v/>
      </c>
      <c r="U279" t="n">
        <v>18.28247</v>
      </c>
      <c r="V279" t="n">
        <v>10.4844</v>
      </c>
      <c r="W279" t="n">
        <v>1.476773</v>
      </c>
      <c r="X279" t="n">
        <v/>
      </c>
      <c r="Y279" t="n">
        <v/>
      </c>
      <c r="Z279" t="n">
        <v/>
      </c>
      <c r="AA279" t="n">
        <v/>
      </c>
      <c r="AB279" t="n">
        <v/>
      </c>
      <c r="AC279" t="n">
        <v>0.001870079</v>
      </c>
      <c r="AD279" t="n">
        <v>6.055228</v>
      </c>
      <c r="AE279" t="n">
        <v>34.97238</v>
      </c>
      <c r="AF279" t="n">
        <v/>
      </c>
      <c r="AG279" t="n">
        <v/>
      </c>
      <c r="AH279" t="n">
        <v>21.74526</v>
      </c>
      <c r="AI279" t="n">
        <v/>
      </c>
      <c r="AJ279" t="n">
        <v/>
      </c>
      <c r="AK279" t="n">
        <v>24.68153</v>
      </c>
      <c r="AL279" t="n">
        <v/>
      </c>
      <c r="AM279" t="n">
        <v>8.179746</v>
      </c>
      <c r="AN279" t="n">
        <v>6.002094</v>
      </c>
      <c r="AO279" t="n">
        <v/>
      </c>
      <c r="AP279" t="n">
        <v>1.970212</v>
      </c>
      <c r="AQ279" t="n">
        <v/>
      </c>
      <c r="AR279" t="n">
        <v/>
      </c>
      <c r="AS279" t="n">
        <v/>
      </c>
      <c r="AT279" t="n">
        <v/>
      </c>
      <c r="AU279" t="n">
        <v>16.16917</v>
      </c>
      <c r="AV279" t="n">
        <v/>
      </c>
      <c r="AW279" t="n">
        <v>17.95691</v>
      </c>
      <c r="AX279" t="n">
        <v/>
      </c>
    </row>
    <row r="280">
      <c r="A280" s="92" t="n">
        <v>26359</v>
      </c>
      <c r="B280" t="n">
        <v>23.80466</v>
      </c>
      <c r="C280" t="n">
        <v/>
      </c>
      <c r="D280" t="n">
        <v/>
      </c>
      <c r="E280" t="n">
        <v>18.41845</v>
      </c>
      <c r="F280" t="n">
        <v>37.34727</v>
      </c>
      <c r="G280" t="n">
        <v/>
      </c>
      <c r="H280" t="n">
        <v/>
      </c>
      <c r="I280" t="n">
        <v/>
      </c>
      <c r="J280" t="n">
        <v/>
      </c>
      <c r="K280" t="n">
        <v/>
      </c>
      <c r="L280" t="n">
        <v>33.08553</v>
      </c>
      <c r="M280" t="n">
        <v>15.69873</v>
      </c>
      <c r="N280" t="n">
        <v/>
      </c>
      <c r="O280" t="n">
        <v/>
      </c>
      <c r="P280" t="n">
        <v/>
      </c>
      <c r="Q280" t="n">
        <v/>
      </c>
      <c r="R280" t="n">
        <v>13.39454</v>
      </c>
      <c r="S280" t="n">
        <v>16.71166</v>
      </c>
      <c r="T280" t="n">
        <v/>
      </c>
      <c r="U280" t="n">
        <v>18.35136</v>
      </c>
      <c r="V280" t="n">
        <v>10.50613</v>
      </c>
      <c r="W280" t="n">
        <v>1.505144</v>
      </c>
      <c r="X280" t="n">
        <v/>
      </c>
      <c r="Y280" t="n">
        <v/>
      </c>
      <c r="Z280" t="n">
        <v/>
      </c>
      <c r="AA280" t="n">
        <v/>
      </c>
      <c r="AB280" t="n">
        <v/>
      </c>
      <c r="AC280" t="n">
        <v>0.001894517</v>
      </c>
      <c r="AD280" t="n">
        <v>6.069306</v>
      </c>
      <c r="AE280" t="n">
        <v>35.20994</v>
      </c>
      <c r="AF280" t="n">
        <v/>
      </c>
      <c r="AG280" t="n">
        <v/>
      </c>
      <c r="AH280" t="n">
        <v>21.78732</v>
      </c>
      <c r="AI280" t="n">
        <v/>
      </c>
      <c r="AJ280" t="n">
        <v/>
      </c>
      <c r="AK280" t="n">
        <v>24.93807</v>
      </c>
      <c r="AL280" t="n">
        <v/>
      </c>
      <c r="AM280" t="n">
        <v>8.216956</v>
      </c>
      <c r="AN280" t="n">
        <v>6.036138</v>
      </c>
      <c r="AO280" t="n">
        <v/>
      </c>
      <c r="AP280" t="n">
        <v>1.973101</v>
      </c>
      <c r="AQ280" t="n">
        <v/>
      </c>
      <c r="AR280" t="n">
        <v/>
      </c>
      <c r="AS280" t="n">
        <v/>
      </c>
      <c r="AT280" t="n">
        <v/>
      </c>
      <c r="AU280" t="n">
        <v>16.23262</v>
      </c>
      <c r="AV280" t="n">
        <v/>
      </c>
      <c r="AW280" t="n">
        <v>17.9982</v>
      </c>
      <c r="AX280" t="n">
        <v/>
      </c>
    </row>
    <row r="281">
      <c r="A281" s="92" t="n">
        <v>26390</v>
      </c>
      <c r="B281" t="n">
        <v>23.86385</v>
      </c>
      <c r="C281" t="n">
        <v/>
      </c>
      <c r="D281" t="n">
        <v/>
      </c>
      <c r="E281" t="n">
        <v>18.4959</v>
      </c>
      <c r="F281" t="n">
        <v>37.41083</v>
      </c>
      <c r="G281" t="n">
        <v/>
      </c>
      <c r="H281" t="n">
        <v/>
      </c>
      <c r="I281" t="n">
        <v/>
      </c>
      <c r="J281" t="n">
        <v/>
      </c>
      <c r="K281" t="n">
        <v/>
      </c>
      <c r="L281" t="n">
        <v>33.22701</v>
      </c>
      <c r="M281" t="n">
        <v>15.81587</v>
      </c>
      <c r="N281" t="n">
        <v/>
      </c>
      <c r="O281" t="n">
        <v/>
      </c>
      <c r="P281" t="n">
        <v/>
      </c>
      <c r="Q281" t="n">
        <v/>
      </c>
      <c r="R281" t="n">
        <v>13.59837</v>
      </c>
      <c r="S281" t="n">
        <v>16.7777</v>
      </c>
      <c r="T281" t="n">
        <v/>
      </c>
      <c r="U281" t="n">
        <v>18.43656</v>
      </c>
      <c r="V281" t="n">
        <v>10.64464</v>
      </c>
      <c r="W281" t="n">
        <v>1.560242</v>
      </c>
      <c r="X281" t="n">
        <v/>
      </c>
      <c r="Y281" t="n">
        <v/>
      </c>
      <c r="Z281" t="n">
        <v/>
      </c>
      <c r="AA281" t="n">
        <v/>
      </c>
      <c r="AB281" t="n">
        <v/>
      </c>
      <c r="AC281" t="n">
        <v>0.001930444</v>
      </c>
      <c r="AD281" t="n">
        <v>6.079766</v>
      </c>
      <c r="AE281" t="n">
        <v>35.61406</v>
      </c>
      <c r="AF281" t="n">
        <v/>
      </c>
      <c r="AG281" t="n">
        <v/>
      </c>
      <c r="AH281" t="n">
        <v>21.83762</v>
      </c>
      <c r="AI281" t="n">
        <v/>
      </c>
      <c r="AJ281" t="n">
        <v/>
      </c>
      <c r="AK281" t="n">
        <v>25.33587</v>
      </c>
      <c r="AL281" t="n">
        <v/>
      </c>
      <c r="AM281" t="n">
        <v>8.259767999999999</v>
      </c>
      <c r="AN281" t="n">
        <v>6.071908</v>
      </c>
      <c r="AO281" t="n">
        <v/>
      </c>
      <c r="AP281" t="n">
        <v>1.972262</v>
      </c>
      <c r="AQ281" t="n">
        <v/>
      </c>
      <c r="AR281" t="n">
        <v/>
      </c>
      <c r="AS281" t="n">
        <v/>
      </c>
      <c r="AT281" t="n">
        <v/>
      </c>
      <c r="AU281" t="n">
        <v>16.26926</v>
      </c>
      <c r="AV281" t="n">
        <v/>
      </c>
      <c r="AW281" t="n">
        <v>18.03948</v>
      </c>
      <c r="AX281" t="n">
        <v/>
      </c>
    </row>
    <row r="282">
      <c r="A282" s="92" t="n">
        <v>26420</v>
      </c>
      <c r="B282" t="n">
        <v>24.0079</v>
      </c>
      <c r="C282" t="n">
        <v/>
      </c>
      <c r="D282" t="n">
        <v/>
      </c>
      <c r="E282" t="n">
        <v>18.52076</v>
      </c>
      <c r="F282" t="n">
        <v>37.85073</v>
      </c>
      <c r="G282" t="n">
        <v/>
      </c>
      <c r="H282" t="n">
        <v/>
      </c>
      <c r="I282" t="n">
        <v/>
      </c>
      <c r="J282" t="n">
        <v/>
      </c>
      <c r="K282" t="n">
        <v/>
      </c>
      <c r="L282" t="n">
        <v>33.19113</v>
      </c>
      <c r="M282" t="n">
        <v>15.9948</v>
      </c>
      <c r="N282" t="n">
        <v/>
      </c>
      <c r="O282" t="n">
        <v/>
      </c>
      <c r="P282" t="n">
        <v/>
      </c>
      <c r="Q282" t="n">
        <v/>
      </c>
      <c r="R282" t="n">
        <v>13.7156</v>
      </c>
      <c r="S282" t="n">
        <v>16.86522</v>
      </c>
      <c r="T282" t="n">
        <v/>
      </c>
      <c r="U282" t="n">
        <v>18.5141</v>
      </c>
      <c r="V282" t="n">
        <v>10.69069</v>
      </c>
      <c r="W282" t="n">
        <v>1.546437</v>
      </c>
      <c r="X282" t="n">
        <v/>
      </c>
      <c r="Y282" t="n">
        <v/>
      </c>
      <c r="Z282" t="n">
        <v/>
      </c>
      <c r="AA282" t="n">
        <v/>
      </c>
      <c r="AB282" t="n">
        <v/>
      </c>
      <c r="AC282" t="n">
        <v>0.001956321</v>
      </c>
      <c r="AD282" t="n">
        <v>6.131928</v>
      </c>
      <c r="AE282" t="n">
        <v>35.8177</v>
      </c>
      <c r="AF282" t="n">
        <v/>
      </c>
      <c r="AG282" t="n">
        <v/>
      </c>
      <c r="AH282" t="n">
        <v>21.92131</v>
      </c>
      <c r="AI282" t="n">
        <v/>
      </c>
      <c r="AJ282" t="n">
        <v/>
      </c>
      <c r="AK282" t="n">
        <v>25.38377</v>
      </c>
      <c r="AL282" t="n">
        <v/>
      </c>
      <c r="AM282" t="n">
        <v>8.295899</v>
      </c>
      <c r="AN282" t="n">
        <v>6.099575</v>
      </c>
      <c r="AO282" t="n">
        <v/>
      </c>
      <c r="AP282" t="n">
        <v>2.009533</v>
      </c>
      <c r="AQ282" t="n">
        <v/>
      </c>
      <c r="AR282" t="n">
        <v/>
      </c>
      <c r="AS282" t="n">
        <v/>
      </c>
      <c r="AT282" t="n">
        <v/>
      </c>
      <c r="AU282" t="n">
        <v>16.36333</v>
      </c>
      <c r="AV282" t="n">
        <v/>
      </c>
      <c r="AW282" t="n">
        <v>18.12204</v>
      </c>
      <c r="AX282" t="n">
        <v/>
      </c>
    </row>
    <row r="283">
      <c r="A283" s="92" t="n">
        <v>26451</v>
      </c>
      <c r="B283" t="n">
        <v>24.12695</v>
      </c>
      <c r="C283" t="n">
        <v/>
      </c>
      <c r="D283" t="n">
        <v/>
      </c>
      <c r="E283" t="n">
        <v>18.52076</v>
      </c>
      <c r="F283" t="n">
        <v>37.98615</v>
      </c>
      <c r="G283" t="n">
        <v/>
      </c>
      <c r="H283" t="n">
        <v/>
      </c>
      <c r="I283" t="n">
        <v/>
      </c>
      <c r="J283" t="n">
        <v/>
      </c>
      <c r="K283" t="n">
        <v/>
      </c>
      <c r="L283" t="n">
        <v>33.30868</v>
      </c>
      <c r="M283" t="n">
        <v>16.03362</v>
      </c>
      <c r="N283" t="n">
        <v/>
      </c>
      <c r="O283" t="n">
        <v/>
      </c>
      <c r="P283" t="n">
        <v/>
      </c>
      <c r="Q283" t="n">
        <v/>
      </c>
      <c r="R283" t="n">
        <v>13.76488</v>
      </c>
      <c r="S283" t="n">
        <v>16.9563</v>
      </c>
      <c r="T283" t="n">
        <v/>
      </c>
      <c r="U283" t="n">
        <v>18.57006</v>
      </c>
      <c r="V283" t="n">
        <v>10.7415</v>
      </c>
      <c r="W283" t="n">
        <v>1.546437</v>
      </c>
      <c r="X283" t="n">
        <v/>
      </c>
      <c r="Y283" t="n">
        <v/>
      </c>
      <c r="Z283" t="n">
        <v/>
      </c>
      <c r="AA283" t="n">
        <v/>
      </c>
      <c r="AB283" t="n">
        <v/>
      </c>
      <c r="AC283" t="n">
        <v>0.00196782</v>
      </c>
      <c r="AD283" t="n">
        <v>6.158708</v>
      </c>
      <c r="AE283" t="n">
        <v>35.92273</v>
      </c>
      <c r="AF283" t="n">
        <v/>
      </c>
      <c r="AG283" t="n">
        <v/>
      </c>
      <c r="AH283" t="n">
        <v>22.11572</v>
      </c>
      <c r="AI283" t="n">
        <v/>
      </c>
      <c r="AJ283" t="n">
        <v/>
      </c>
      <c r="AK283" t="n">
        <v>25.4373</v>
      </c>
      <c r="AL283" t="n">
        <v/>
      </c>
      <c r="AM283" t="n">
        <v>8.329454</v>
      </c>
      <c r="AN283" t="n">
        <v>6.136793</v>
      </c>
      <c r="AO283" t="n">
        <v/>
      </c>
      <c r="AP283" t="n">
        <v>1.984247</v>
      </c>
      <c r="AQ283" t="n">
        <v/>
      </c>
      <c r="AR283" t="n">
        <v/>
      </c>
      <c r="AS283" t="n">
        <v/>
      </c>
      <c r="AT283" t="n">
        <v/>
      </c>
      <c r="AU283" t="n">
        <v>16.4454</v>
      </c>
      <c r="AV283" t="n">
        <v/>
      </c>
      <c r="AW283" t="n">
        <v>18.16332</v>
      </c>
      <c r="AX283" t="n">
        <v/>
      </c>
    </row>
    <row r="284">
      <c r="A284" s="92" t="n">
        <v>26481</v>
      </c>
      <c r="B284" t="n">
        <v>24.12133</v>
      </c>
      <c r="C284" t="n">
        <v/>
      </c>
      <c r="D284" t="n">
        <v/>
      </c>
      <c r="E284" t="n">
        <v>18.71584</v>
      </c>
      <c r="F284" t="n">
        <v>38.01393</v>
      </c>
      <c r="G284" t="n">
        <v/>
      </c>
      <c r="H284" t="n">
        <v/>
      </c>
      <c r="I284" t="n">
        <v/>
      </c>
      <c r="J284" t="n">
        <v/>
      </c>
      <c r="K284" t="n">
        <v/>
      </c>
      <c r="L284" t="n">
        <v>33.60198</v>
      </c>
      <c r="M284" t="n">
        <v>16.06793</v>
      </c>
      <c r="N284" t="n">
        <v/>
      </c>
      <c r="O284" t="n">
        <v/>
      </c>
      <c r="P284" t="n">
        <v/>
      </c>
      <c r="Q284" t="n">
        <v/>
      </c>
      <c r="R284" t="n">
        <v>13.8922</v>
      </c>
      <c r="S284" t="n">
        <v>17.10711</v>
      </c>
      <c r="T284" t="n">
        <v/>
      </c>
      <c r="U284" t="n">
        <v>18.64807</v>
      </c>
      <c r="V284" t="n">
        <v>10.7885</v>
      </c>
      <c r="W284" t="n">
        <v>1.54403</v>
      </c>
      <c r="X284" t="n">
        <v/>
      </c>
      <c r="Y284" t="n">
        <v/>
      </c>
      <c r="Z284" t="n">
        <v/>
      </c>
      <c r="AA284" t="n">
        <v/>
      </c>
      <c r="AB284" t="n">
        <v/>
      </c>
      <c r="AC284" t="n">
        <v>0.001989378</v>
      </c>
      <c r="AD284" t="n">
        <v>6.177736</v>
      </c>
      <c r="AE284" t="n">
        <v>36.01813</v>
      </c>
      <c r="AF284" t="n">
        <v/>
      </c>
      <c r="AG284" t="n">
        <v/>
      </c>
      <c r="AH284" t="n">
        <v>22.30234</v>
      </c>
      <c r="AI284" t="n">
        <v/>
      </c>
      <c r="AJ284" t="n">
        <v/>
      </c>
      <c r="AK284" t="n">
        <v>25.30833</v>
      </c>
      <c r="AL284" t="n">
        <v/>
      </c>
      <c r="AM284" t="n">
        <v>8.370744999999999</v>
      </c>
      <c r="AN284" t="n">
        <v>6.177578</v>
      </c>
      <c r="AO284" t="n">
        <v/>
      </c>
      <c r="AP284" t="n">
        <v>2.021876</v>
      </c>
      <c r="AQ284" t="n">
        <v/>
      </c>
      <c r="AR284" t="n">
        <v/>
      </c>
      <c r="AS284" t="n">
        <v/>
      </c>
      <c r="AT284" t="n">
        <v/>
      </c>
      <c r="AU284" t="n">
        <v>16.51836</v>
      </c>
      <c r="AV284" t="n">
        <v/>
      </c>
      <c r="AW284" t="n">
        <v>18.2046</v>
      </c>
      <c r="AX284" t="n">
        <v/>
      </c>
    </row>
    <row r="285">
      <c r="A285" s="92" t="n">
        <v>26512</v>
      </c>
      <c r="B285" t="n">
        <v>24.24733</v>
      </c>
      <c r="C285" t="n">
        <v/>
      </c>
      <c r="D285" t="n">
        <v/>
      </c>
      <c r="E285" t="n">
        <v>18.84589</v>
      </c>
      <c r="F285" t="n">
        <v>38.13649</v>
      </c>
      <c r="G285" t="n">
        <v/>
      </c>
      <c r="H285" t="n">
        <v/>
      </c>
      <c r="I285" t="n">
        <v/>
      </c>
      <c r="J285" t="n">
        <v/>
      </c>
      <c r="K285" t="n">
        <v/>
      </c>
      <c r="L285" t="n">
        <v>33.63276</v>
      </c>
      <c r="M285" t="n">
        <v>16.12328</v>
      </c>
      <c r="N285" t="n">
        <v/>
      </c>
      <c r="O285" t="n">
        <v/>
      </c>
      <c r="P285" t="n">
        <v/>
      </c>
      <c r="Q285" t="n">
        <v/>
      </c>
      <c r="R285" t="n">
        <v>13.91376</v>
      </c>
      <c r="S285" t="n">
        <v>17.18615</v>
      </c>
      <c r="T285" t="n">
        <v/>
      </c>
      <c r="U285" t="n">
        <v>18.72363</v>
      </c>
      <c r="V285" t="n">
        <v>10.85545</v>
      </c>
      <c r="W285" t="n">
        <v>1.521839</v>
      </c>
      <c r="X285" t="n">
        <v/>
      </c>
      <c r="Y285" t="n">
        <v/>
      </c>
      <c r="Z285" t="n">
        <v/>
      </c>
      <c r="AA285" t="n">
        <v/>
      </c>
      <c r="AB285" t="n">
        <v/>
      </c>
      <c r="AC285" t="n">
        <v>0.001993698</v>
      </c>
      <c r="AD285" t="n">
        <v>6.209511</v>
      </c>
      <c r="AE285" t="n">
        <v>36.09299</v>
      </c>
      <c r="AF285" t="n">
        <v/>
      </c>
      <c r="AG285" t="n">
        <v/>
      </c>
      <c r="AH285" t="n">
        <v>22.36847</v>
      </c>
      <c r="AI285" t="n">
        <v/>
      </c>
      <c r="AJ285" t="n">
        <v/>
      </c>
      <c r="AK285" t="n">
        <v>25.52355</v>
      </c>
      <c r="AL285" t="n">
        <v/>
      </c>
      <c r="AM285" t="n">
        <v>8.403278999999999</v>
      </c>
      <c r="AN285" t="n">
        <v>6.197247</v>
      </c>
      <c r="AO285" t="n">
        <v/>
      </c>
      <c r="AP285" t="n">
        <v>2.014414</v>
      </c>
      <c r="AQ285" t="n">
        <v/>
      </c>
      <c r="AR285" t="n">
        <v/>
      </c>
      <c r="AS285" t="n">
        <v/>
      </c>
      <c r="AT285" t="n">
        <v/>
      </c>
      <c r="AU285" t="n">
        <v>16.56768</v>
      </c>
      <c r="AV285" t="n">
        <v/>
      </c>
      <c r="AW285" t="n">
        <v>18.28716</v>
      </c>
      <c r="AX285" t="n">
        <v/>
      </c>
    </row>
    <row r="286">
      <c r="A286" s="92" t="n">
        <v>26543</v>
      </c>
      <c r="B286" t="n">
        <v>24.40838</v>
      </c>
      <c r="C286" t="n">
        <v/>
      </c>
      <c r="D286" t="n">
        <v/>
      </c>
      <c r="E286" t="n">
        <v>18.9482</v>
      </c>
      <c r="F286" t="n">
        <v>38.48057</v>
      </c>
      <c r="G286" t="n">
        <v/>
      </c>
      <c r="H286" t="n">
        <v/>
      </c>
      <c r="I286" t="n">
        <v/>
      </c>
      <c r="J286" t="n">
        <v/>
      </c>
      <c r="K286" t="n">
        <v/>
      </c>
      <c r="L286" t="n">
        <v>33.90374</v>
      </c>
      <c r="M286" t="n">
        <v>16.22663</v>
      </c>
      <c r="N286" t="n">
        <v/>
      </c>
      <c r="O286" t="n">
        <v/>
      </c>
      <c r="P286" t="n">
        <v/>
      </c>
      <c r="Q286" t="n">
        <v/>
      </c>
      <c r="R286" t="n">
        <v>13.98936</v>
      </c>
      <c r="S286" t="n">
        <v>17.28474</v>
      </c>
      <c r="T286" t="n">
        <v/>
      </c>
      <c r="U286" t="n">
        <v>18.79011</v>
      </c>
      <c r="V286" t="n">
        <v>10.93086</v>
      </c>
      <c r="W286" t="n">
        <v>1.550211</v>
      </c>
      <c r="X286" t="n">
        <v/>
      </c>
      <c r="Y286" t="n">
        <v/>
      </c>
      <c r="Z286" t="n">
        <v/>
      </c>
      <c r="AA286" t="n">
        <v/>
      </c>
      <c r="AB286" t="n">
        <v/>
      </c>
      <c r="AC286" t="n">
        <v>0.002013816</v>
      </c>
      <c r="AD286" t="n">
        <v>6.257908</v>
      </c>
      <c r="AE286" t="n">
        <v>36.30948</v>
      </c>
      <c r="AF286" t="n">
        <v/>
      </c>
      <c r="AG286" t="n">
        <v/>
      </c>
      <c r="AH286" t="n">
        <v>22.47659</v>
      </c>
      <c r="AI286" t="n">
        <v/>
      </c>
      <c r="AJ286" t="n">
        <v/>
      </c>
      <c r="AK286" t="n">
        <v>25.76122</v>
      </c>
      <c r="AL286" t="n">
        <v/>
      </c>
      <c r="AM286" t="n">
        <v>8.438613</v>
      </c>
      <c r="AN286" t="n">
        <v>6.243649</v>
      </c>
      <c r="AO286" t="n">
        <v/>
      </c>
      <c r="AP286" t="n">
        <v>2.06162</v>
      </c>
      <c r="AQ286" t="n">
        <v/>
      </c>
      <c r="AR286" t="n">
        <v/>
      </c>
      <c r="AS286" t="n">
        <v/>
      </c>
      <c r="AT286" t="n">
        <v/>
      </c>
      <c r="AU286" t="n">
        <v>16.62196</v>
      </c>
      <c r="AV286" t="n">
        <v/>
      </c>
      <c r="AW286" t="n">
        <v>18.28716</v>
      </c>
      <c r="AX286" t="n">
        <v/>
      </c>
    </row>
    <row r="287">
      <c r="A287" s="92" t="n">
        <v>26573</v>
      </c>
      <c r="B287" t="n">
        <v>24.50731</v>
      </c>
      <c r="C287" t="n">
        <v/>
      </c>
      <c r="D287" t="n">
        <v/>
      </c>
      <c r="E287" t="n">
        <v>18.97305</v>
      </c>
      <c r="F287" t="n">
        <v>38.77519</v>
      </c>
      <c r="G287" t="n">
        <v/>
      </c>
      <c r="H287" t="n">
        <v/>
      </c>
      <c r="I287" t="n">
        <v/>
      </c>
      <c r="J287" t="n">
        <v/>
      </c>
      <c r="K287" t="n">
        <v/>
      </c>
      <c r="L287" t="n">
        <v>34.02319</v>
      </c>
      <c r="M287" t="n">
        <v>16.3686</v>
      </c>
      <c r="N287" t="n">
        <v/>
      </c>
      <c r="O287" t="n">
        <v/>
      </c>
      <c r="P287" t="n">
        <v/>
      </c>
      <c r="Q287" t="n">
        <v/>
      </c>
      <c r="R287" t="n">
        <v>14.04869</v>
      </c>
      <c r="S287" t="n">
        <v>17.43508</v>
      </c>
      <c r="T287" t="n">
        <v/>
      </c>
      <c r="U287" t="n">
        <v>18.90695</v>
      </c>
      <c r="V287" t="n">
        <v>11.10834</v>
      </c>
      <c r="W287" t="n">
        <v>1.572402</v>
      </c>
      <c r="X287" t="n">
        <v/>
      </c>
      <c r="Y287" t="n">
        <v/>
      </c>
      <c r="Z287" t="n">
        <v/>
      </c>
      <c r="AA287" t="n">
        <v/>
      </c>
      <c r="AB287" t="n">
        <v/>
      </c>
      <c r="AC287" t="n">
        <v>0.002056943</v>
      </c>
      <c r="AD287" t="n">
        <v>6.331742</v>
      </c>
      <c r="AE287" t="n">
        <v>36.51772</v>
      </c>
      <c r="AF287" t="n">
        <v/>
      </c>
      <c r="AG287" t="n">
        <v/>
      </c>
      <c r="AH287" t="n">
        <v>22.59482</v>
      </c>
      <c r="AI287" t="n">
        <v/>
      </c>
      <c r="AJ287" t="n">
        <v/>
      </c>
      <c r="AK287" t="n">
        <v>26.10648</v>
      </c>
      <c r="AL287" t="n">
        <v/>
      </c>
      <c r="AM287" t="n">
        <v>8.490917</v>
      </c>
      <c r="AN287" t="n">
        <v>6.297802</v>
      </c>
      <c r="AO287" t="n">
        <v/>
      </c>
      <c r="AP287" t="n">
        <v>2.071077</v>
      </c>
      <c r="AQ287" t="n">
        <v/>
      </c>
      <c r="AR287" t="n">
        <v/>
      </c>
      <c r="AS287" t="n">
        <v/>
      </c>
      <c r="AT287" t="n">
        <v/>
      </c>
      <c r="AU287" t="n">
        <v>16.68372</v>
      </c>
      <c r="AV287" t="n">
        <v/>
      </c>
      <c r="AW287" t="n">
        <v>18.36972</v>
      </c>
      <c r="AX287" t="n">
        <v/>
      </c>
    </row>
    <row r="288">
      <c r="A288" s="92" t="n">
        <v>26604</v>
      </c>
      <c r="B288" t="n">
        <v>24.69946</v>
      </c>
      <c r="C288" t="n">
        <v/>
      </c>
      <c r="D288" t="n">
        <v/>
      </c>
      <c r="E288" t="n">
        <v>18.97305</v>
      </c>
      <c r="F288" t="n">
        <v>39.15369</v>
      </c>
      <c r="G288" t="n">
        <v/>
      </c>
      <c r="H288" t="n">
        <v/>
      </c>
      <c r="I288" t="n">
        <v/>
      </c>
      <c r="J288" t="n">
        <v/>
      </c>
      <c r="K288" t="n">
        <v/>
      </c>
      <c r="L288" t="n">
        <v>34.21075</v>
      </c>
      <c r="M288" t="n">
        <v>16.51965</v>
      </c>
      <c r="N288" t="n">
        <v/>
      </c>
      <c r="O288" t="n">
        <v/>
      </c>
      <c r="P288" t="n">
        <v/>
      </c>
      <c r="Q288" t="n">
        <v/>
      </c>
      <c r="R288" t="n">
        <v>14.15009</v>
      </c>
      <c r="S288" t="n">
        <v>17.55065</v>
      </c>
      <c r="T288" t="n">
        <v/>
      </c>
      <c r="U288" t="n">
        <v>18.9705</v>
      </c>
      <c r="V288" t="n">
        <v>11.13966</v>
      </c>
      <c r="W288" t="n">
        <v>1.554062</v>
      </c>
      <c r="X288" t="n">
        <v/>
      </c>
      <c r="Y288" t="n">
        <v/>
      </c>
      <c r="Z288" t="n">
        <v/>
      </c>
      <c r="AA288" t="n">
        <v/>
      </c>
      <c r="AB288" t="n">
        <v/>
      </c>
      <c r="AC288" t="n">
        <v>0.00208425</v>
      </c>
      <c r="AD288" t="n">
        <v>6.389138</v>
      </c>
      <c r="AE288" t="n">
        <v>36.55877</v>
      </c>
      <c r="AF288" t="n">
        <v/>
      </c>
      <c r="AG288" t="n">
        <v/>
      </c>
      <c r="AH288" t="n">
        <v>22.72806</v>
      </c>
      <c r="AI288" t="n">
        <v/>
      </c>
      <c r="AJ288" t="n">
        <v/>
      </c>
      <c r="AK288" t="n">
        <v>26.18468</v>
      </c>
      <c r="AL288" t="n">
        <v/>
      </c>
      <c r="AM288" t="n">
        <v>8.519740000000001</v>
      </c>
      <c r="AN288" t="n">
        <v>6.333137</v>
      </c>
      <c r="AO288" t="n">
        <v/>
      </c>
      <c r="AP288" t="n">
        <v>2.098874</v>
      </c>
      <c r="AQ288" t="n">
        <v/>
      </c>
      <c r="AR288" t="n">
        <v/>
      </c>
      <c r="AS288" t="n">
        <v/>
      </c>
      <c r="AT288" t="n">
        <v/>
      </c>
      <c r="AU288" t="n">
        <v>16.69823</v>
      </c>
      <c r="AV288" t="n">
        <v/>
      </c>
      <c r="AW288" t="n">
        <v>18.411</v>
      </c>
      <c r="AX288" t="n">
        <v/>
      </c>
    </row>
    <row r="289">
      <c r="A289" s="92" t="n">
        <v>26634</v>
      </c>
      <c r="B289" t="n">
        <v>24.88901</v>
      </c>
      <c r="C289" t="n">
        <v/>
      </c>
      <c r="D289" t="n">
        <v/>
      </c>
      <c r="E289" t="n">
        <v>19.0505</v>
      </c>
      <c r="F289" t="n">
        <v>39.33458</v>
      </c>
      <c r="G289" t="n">
        <v/>
      </c>
      <c r="H289" t="n">
        <v/>
      </c>
      <c r="I289" t="n">
        <v/>
      </c>
      <c r="J289" t="n">
        <v/>
      </c>
      <c r="K289" t="n">
        <v/>
      </c>
      <c r="L289" t="n">
        <v>34.28236</v>
      </c>
      <c r="M289" t="n">
        <v>16.57184</v>
      </c>
      <c r="N289" t="n">
        <v/>
      </c>
      <c r="O289" t="n">
        <v/>
      </c>
      <c r="P289" t="n">
        <v/>
      </c>
      <c r="Q289" t="n">
        <v/>
      </c>
      <c r="R289" t="n">
        <v>14.17925</v>
      </c>
      <c r="S289" t="n">
        <v>17.64853</v>
      </c>
      <c r="T289" t="n">
        <v/>
      </c>
      <c r="U289" t="n">
        <v>19.03998</v>
      </c>
      <c r="V289" t="n">
        <v>11.18078</v>
      </c>
      <c r="W289" t="n">
        <v>1.604624</v>
      </c>
      <c r="X289" t="n">
        <v/>
      </c>
      <c r="Y289" t="n">
        <v/>
      </c>
      <c r="Z289" t="n">
        <v/>
      </c>
      <c r="AA289" t="n">
        <v/>
      </c>
      <c r="AB289" t="n">
        <v/>
      </c>
      <c r="AC289" t="n">
        <v>0.002108688</v>
      </c>
      <c r="AD289" t="n">
        <v>6.413722</v>
      </c>
      <c r="AE289" t="n">
        <v>36.90411</v>
      </c>
      <c r="AF289" t="n">
        <v/>
      </c>
      <c r="AG289" t="n">
        <v/>
      </c>
      <c r="AH289" t="n">
        <v>22.81299</v>
      </c>
      <c r="AI289" t="n">
        <v/>
      </c>
      <c r="AJ289" t="n">
        <v/>
      </c>
      <c r="AK289" t="n">
        <v>26.20524</v>
      </c>
      <c r="AL289" t="n">
        <v/>
      </c>
      <c r="AM289" t="n">
        <v>8.553713999999999</v>
      </c>
      <c r="AN289" t="n">
        <v>6.362322</v>
      </c>
      <c r="AO289" t="n">
        <v/>
      </c>
      <c r="AP289" t="n">
        <v>2.117856</v>
      </c>
      <c r="AQ289" t="n">
        <v/>
      </c>
      <c r="AR289" t="n">
        <v/>
      </c>
      <c r="AS289" t="n">
        <v/>
      </c>
      <c r="AT289" t="n">
        <v/>
      </c>
      <c r="AU289" t="n">
        <v>16.96221</v>
      </c>
      <c r="AV289" t="n">
        <v/>
      </c>
      <c r="AW289" t="n">
        <v>18.45228</v>
      </c>
      <c r="AX289" t="n">
        <v/>
      </c>
    </row>
    <row r="290">
      <c r="A290" s="92" t="n">
        <v>26665</v>
      </c>
      <c r="B290" t="n">
        <v>25.23593</v>
      </c>
      <c r="C290" t="n">
        <v/>
      </c>
      <c r="D290" t="n">
        <v/>
      </c>
      <c r="E290" t="n">
        <v>19.16028</v>
      </c>
      <c r="F290" t="n">
        <v>39.76716</v>
      </c>
      <c r="G290" t="n">
        <v/>
      </c>
      <c r="H290" t="n">
        <v/>
      </c>
      <c r="I290" t="n">
        <v/>
      </c>
      <c r="J290" t="n">
        <v/>
      </c>
      <c r="K290" t="n">
        <v/>
      </c>
      <c r="L290" t="n">
        <v>34.67119</v>
      </c>
      <c r="M290" t="n">
        <v>16.60575</v>
      </c>
      <c r="N290" t="n">
        <v/>
      </c>
      <c r="O290" t="n">
        <v/>
      </c>
      <c r="P290" t="n">
        <v/>
      </c>
      <c r="Q290" t="n">
        <v/>
      </c>
      <c r="R290" t="n">
        <v>14.34098</v>
      </c>
      <c r="S290" t="n">
        <v>17.64174</v>
      </c>
      <c r="T290" t="n">
        <v/>
      </c>
      <c r="U290" t="n">
        <v>19.08515</v>
      </c>
      <c r="V290" t="n">
        <v>11.2236</v>
      </c>
      <c r="W290" t="n">
        <v>1.590741</v>
      </c>
      <c r="X290" t="n">
        <v/>
      </c>
      <c r="Y290" t="n">
        <v/>
      </c>
      <c r="Z290" t="n">
        <v/>
      </c>
      <c r="AA290" t="n">
        <v/>
      </c>
      <c r="AB290" t="n">
        <v/>
      </c>
      <c r="AC290" t="n">
        <v>0.002143185</v>
      </c>
      <c r="AD290" t="n">
        <v>6.487042</v>
      </c>
      <c r="AE290" t="n">
        <v>37.10836</v>
      </c>
      <c r="AF290" t="n">
        <v/>
      </c>
      <c r="AG290" t="n">
        <v/>
      </c>
      <c r="AH290" t="n">
        <v>22.90095</v>
      </c>
      <c r="AI290" t="n">
        <v/>
      </c>
      <c r="AJ290" t="n">
        <v/>
      </c>
      <c r="AK290" t="n">
        <v>26.43661</v>
      </c>
      <c r="AL290" t="n">
        <v/>
      </c>
      <c r="AM290" t="n">
        <v>8.585915999999999</v>
      </c>
      <c r="AN290" t="n">
        <v>6.405903</v>
      </c>
      <c r="AO290" t="n">
        <v/>
      </c>
      <c r="AP290" t="n">
        <v>2.160114</v>
      </c>
      <c r="AQ290" t="n">
        <v/>
      </c>
      <c r="AR290" t="n">
        <v/>
      </c>
      <c r="AS290" t="n">
        <v/>
      </c>
      <c r="AT290" t="n">
        <v/>
      </c>
      <c r="AU290" t="n">
        <v>17.02928</v>
      </c>
      <c r="AV290" t="n">
        <v/>
      </c>
      <c r="AW290" t="n">
        <v>18.411</v>
      </c>
      <c r="AX290" t="n">
        <v/>
      </c>
    </row>
    <row r="291">
      <c r="A291" s="92" t="n">
        <v>26696</v>
      </c>
      <c r="B291" t="n">
        <v>25.38677</v>
      </c>
      <c r="C291" t="n">
        <v/>
      </c>
      <c r="D291" t="n">
        <v/>
      </c>
      <c r="E291" t="n">
        <v>19.29883</v>
      </c>
      <c r="F291" t="n">
        <v>40.0503</v>
      </c>
      <c r="G291" t="n">
        <v/>
      </c>
      <c r="H291" t="n">
        <v/>
      </c>
      <c r="I291" t="n">
        <v/>
      </c>
      <c r="J291" t="n">
        <v/>
      </c>
      <c r="K291" t="n">
        <v/>
      </c>
      <c r="L291" t="n">
        <v>34.84169</v>
      </c>
      <c r="M291" t="n">
        <v>16.70003</v>
      </c>
      <c r="N291" t="n">
        <v/>
      </c>
      <c r="O291" t="n">
        <v/>
      </c>
      <c r="P291" t="n">
        <v/>
      </c>
      <c r="Q291" t="n">
        <v/>
      </c>
      <c r="R291" t="n">
        <v>14.42755</v>
      </c>
      <c r="S291" t="n">
        <v>17.6697</v>
      </c>
      <c r="T291" t="n">
        <v/>
      </c>
      <c r="U291" t="n">
        <v>19.16438</v>
      </c>
      <c r="V291" t="n">
        <v>11.27182</v>
      </c>
      <c r="W291" t="n">
        <v>1.575517</v>
      </c>
      <c r="X291" t="n">
        <v/>
      </c>
      <c r="Y291" t="n">
        <v/>
      </c>
      <c r="Z291" t="n">
        <v/>
      </c>
      <c r="AA291" t="n">
        <v/>
      </c>
      <c r="AB291" t="n">
        <v/>
      </c>
      <c r="AC291" t="n">
        <v>0.002158994</v>
      </c>
      <c r="AD291" t="n">
        <v>6.567809</v>
      </c>
      <c r="AE291" t="n">
        <v>37.33875</v>
      </c>
      <c r="AF291" t="n">
        <v/>
      </c>
      <c r="AG291" t="n">
        <v/>
      </c>
      <c r="AH291" t="n">
        <v>22.99677</v>
      </c>
      <c r="AI291" t="n">
        <v/>
      </c>
      <c r="AJ291" t="n">
        <v/>
      </c>
      <c r="AK291" t="n">
        <v>26.57283</v>
      </c>
      <c r="AL291" t="n">
        <v/>
      </c>
      <c r="AM291" t="n">
        <v>8.624209</v>
      </c>
      <c r="AN291" t="n">
        <v>6.443584</v>
      </c>
      <c r="AO291" t="n">
        <v/>
      </c>
      <c r="AP291" t="n">
        <v>2.246251</v>
      </c>
      <c r="AQ291" t="n">
        <v/>
      </c>
      <c r="AR291" t="n">
        <v/>
      </c>
      <c r="AS291" t="n">
        <v/>
      </c>
      <c r="AT291" t="n">
        <v/>
      </c>
      <c r="AU291" t="n">
        <v>17.16576</v>
      </c>
      <c r="AV291" t="n">
        <v/>
      </c>
      <c r="AW291" t="n">
        <v>18.45228</v>
      </c>
      <c r="AX291" t="n">
        <v/>
      </c>
    </row>
    <row r="292">
      <c r="A292" s="92" t="n">
        <v>26724</v>
      </c>
      <c r="B292" t="n">
        <v>25.55349</v>
      </c>
      <c r="C292" t="n">
        <v/>
      </c>
      <c r="D292" t="n">
        <v/>
      </c>
      <c r="E292" t="n">
        <v>19.29883</v>
      </c>
      <c r="F292" t="n">
        <v>40.44978</v>
      </c>
      <c r="G292" t="n">
        <v/>
      </c>
      <c r="H292" t="n">
        <v/>
      </c>
      <c r="I292" t="n">
        <v/>
      </c>
      <c r="J292" t="n">
        <v/>
      </c>
      <c r="K292" t="n">
        <v/>
      </c>
      <c r="L292" t="n">
        <v>35.12989</v>
      </c>
      <c r="M292" t="n">
        <v>16.80165</v>
      </c>
      <c r="N292" t="n">
        <v/>
      </c>
      <c r="O292" t="n">
        <v/>
      </c>
      <c r="P292" t="n">
        <v/>
      </c>
      <c r="Q292" t="n">
        <v/>
      </c>
      <c r="R292" t="n">
        <v>14.46708</v>
      </c>
      <c r="S292" t="n">
        <v>17.75739</v>
      </c>
      <c r="T292" t="n">
        <v/>
      </c>
      <c r="U292" t="n">
        <v>19.30032</v>
      </c>
      <c r="V292" t="n">
        <v>11.30896</v>
      </c>
      <c r="W292" t="n">
        <v>1.63378</v>
      </c>
      <c r="X292" t="n">
        <v/>
      </c>
      <c r="Y292" t="n">
        <v/>
      </c>
      <c r="Z292" t="n">
        <v/>
      </c>
      <c r="AA292" t="n">
        <v/>
      </c>
      <c r="AB292" t="n">
        <v/>
      </c>
      <c r="AC292" t="n">
        <v>0.00220068</v>
      </c>
      <c r="AD292" t="n">
        <v>6.638696</v>
      </c>
      <c r="AE292" t="n">
        <v>38.07446</v>
      </c>
      <c r="AF292" t="n">
        <v/>
      </c>
      <c r="AG292" t="n">
        <v/>
      </c>
      <c r="AH292" t="n">
        <v>23.10254</v>
      </c>
      <c r="AI292" t="n">
        <v/>
      </c>
      <c r="AJ292" t="n">
        <v/>
      </c>
      <c r="AK292" t="n">
        <v>26.89659</v>
      </c>
      <c r="AL292" t="n">
        <v/>
      </c>
      <c r="AM292" t="n">
        <v>8.682798</v>
      </c>
      <c r="AN292" t="n">
        <v>6.48711</v>
      </c>
      <c r="AO292" t="n">
        <v/>
      </c>
      <c r="AP292" t="n">
        <v>2.200142</v>
      </c>
      <c r="AQ292" t="n">
        <v/>
      </c>
      <c r="AR292" t="n">
        <v/>
      </c>
      <c r="AS292" t="n">
        <v/>
      </c>
      <c r="AT292" t="n">
        <v/>
      </c>
      <c r="AU292" t="n">
        <v>17.23874</v>
      </c>
      <c r="AV292" t="n">
        <v/>
      </c>
      <c r="AW292" t="n">
        <v>18.53484</v>
      </c>
      <c r="AX292" t="n">
        <v/>
      </c>
    </row>
    <row r="293">
      <c r="A293" s="92" t="n">
        <v>26755</v>
      </c>
      <c r="B293" t="n">
        <v>25.66352</v>
      </c>
      <c r="C293" t="n">
        <v/>
      </c>
      <c r="D293" t="n">
        <v/>
      </c>
      <c r="E293" t="n">
        <v>19.53119</v>
      </c>
      <c r="F293" t="n">
        <v>40.57784</v>
      </c>
      <c r="G293" t="n">
        <v/>
      </c>
      <c r="H293" t="n">
        <v/>
      </c>
      <c r="I293" t="n">
        <v/>
      </c>
      <c r="J293" t="n">
        <v/>
      </c>
      <c r="K293" t="n">
        <v/>
      </c>
      <c r="L293" t="n">
        <v>35.30359</v>
      </c>
      <c r="M293" t="n">
        <v>17.00755</v>
      </c>
      <c r="N293" t="n">
        <v/>
      </c>
      <c r="O293" t="n">
        <v/>
      </c>
      <c r="P293" t="n">
        <v/>
      </c>
      <c r="Q293" t="n">
        <v/>
      </c>
      <c r="R293" t="n">
        <v>14.68336</v>
      </c>
      <c r="S293" t="n">
        <v>17.87589</v>
      </c>
      <c r="T293" t="n">
        <v/>
      </c>
      <c r="U293" t="n">
        <v>19.47018</v>
      </c>
      <c r="V293" t="n">
        <v>11.57234</v>
      </c>
      <c r="W293" t="n">
        <v>1.645223</v>
      </c>
      <c r="X293" t="n">
        <v/>
      </c>
      <c r="Y293" t="n">
        <v/>
      </c>
      <c r="Z293" t="n">
        <v/>
      </c>
      <c r="AA293" t="n">
        <v/>
      </c>
      <c r="AB293" t="n">
        <v/>
      </c>
      <c r="AC293" t="n">
        <v>0.002296992</v>
      </c>
      <c r="AD293" t="n">
        <v>6.694238</v>
      </c>
      <c r="AE293" t="n">
        <v>38.87736</v>
      </c>
      <c r="AF293" t="n">
        <v/>
      </c>
      <c r="AG293" t="n">
        <v/>
      </c>
      <c r="AH293" t="n">
        <v>23.32138</v>
      </c>
      <c r="AI293" t="n">
        <v/>
      </c>
      <c r="AJ293" t="n">
        <v/>
      </c>
      <c r="AK293" t="n">
        <v>27.41016</v>
      </c>
      <c r="AL293" t="n">
        <v/>
      </c>
      <c r="AM293" t="n">
        <v>8.761239</v>
      </c>
      <c r="AN293" t="n">
        <v>6.542253</v>
      </c>
      <c r="AO293" t="n">
        <v/>
      </c>
      <c r="AP293" t="n">
        <v>2.21705</v>
      </c>
      <c r="AQ293" t="n">
        <v/>
      </c>
      <c r="AR293" t="n">
        <v/>
      </c>
      <c r="AS293" t="n">
        <v/>
      </c>
      <c r="AT293" t="n">
        <v/>
      </c>
      <c r="AU293" t="n">
        <v>17.34361</v>
      </c>
      <c r="AV293" t="n">
        <v/>
      </c>
      <c r="AW293" t="n">
        <v>18.6174</v>
      </c>
      <c r="AX293" t="n">
        <v/>
      </c>
    </row>
    <row r="294">
      <c r="A294" s="92" t="n">
        <v>26785</v>
      </c>
      <c r="B294" t="n">
        <v>25.72672</v>
      </c>
      <c r="C294" t="n">
        <v/>
      </c>
      <c r="D294" t="n">
        <v/>
      </c>
      <c r="E294" t="n">
        <v>19.59229</v>
      </c>
      <c r="F294" t="n">
        <v>40.96428</v>
      </c>
      <c r="G294" t="n">
        <v/>
      </c>
      <c r="H294" t="n">
        <v/>
      </c>
      <c r="I294" t="n">
        <v/>
      </c>
      <c r="J294" t="n">
        <v/>
      </c>
      <c r="K294" t="n">
        <v/>
      </c>
      <c r="L294" t="n">
        <v>35.53724</v>
      </c>
      <c r="M294" t="n">
        <v>17.21436</v>
      </c>
      <c r="N294" t="n">
        <v/>
      </c>
      <c r="O294" t="n">
        <v/>
      </c>
      <c r="P294" t="n">
        <v/>
      </c>
      <c r="Q294" t="n">
        <v/>
      </c>
      <c r="R294" t="n">
        <v>14.85266</v>
      </c>
      <c r="S294" t="n">
        <v>18.05072</v>
      </c>
      <c r="T294" t="n">
        <v/>
      </c>
      <c r="U294" t="n">
        <v>19.61692</v>
      </c>
      <c r="V294" t="n">
        <v>11.63625</v>
      </c>
      <c r="W294" t="n">
        <v>1.685127</v>
      </c>
      <c r="X294" t="n">
        <v/>
      </c>
      <c r="Y294" t="n">
        <v/>
      </c>
      <c r="Z294" t="n">
        <v/>
      </c>
      <c r="AA294" t="n">
        <v/>
      </c>
      <c r="AB294" t="n">
        <v/>
      </c>
      <c r="AC294" t="n">
        <v>0.002337239</v>
      </c>
      <c r="AD294" t="n">
        <v>6.794217</v>
      </c>
      <c r="AE294" t="n">
        <v>39.53651</v>
      </c>
      <c r="AF294" t="n">
        <v/>
      </c>
      <c r="AG294" t="n">
        <v/>
      </c>
      <c r="AH294" t="n">
        <v>23.61048</v>
      </c>
      <c r="AI294" t="n">
        <v/>
      </c>
      <c r="AJ294" t="n">
        <v/>
      </c>
      <c r="AK294" t="n">
        <v>27.52447</v>
      </c>
      <c r="AL294" t="n">
        <v/>
      </c>
      <c r="AM294" t="n">
        <v>8.830446999999999</v>
      </c>
      <c r="AN294" t="n">
        <v>6.605677</v>
      </c>
      <c r="AO294" t="n">
        <v/>
      </c>
      <c r="AP294" t="n">
        <v>2.285856</v>
      </c>
      <c r="AQ294" t="n">
        <v/>
      </c>
      <c r="AR294" t="n">
        <v/>
      </c>
      <c r="AS294" t="n">
        <v/>
      </c>
      <c r="AT294" t="n">
        <v/>
      </c>
      <c r="AU294" t="n">
        <v>17.40546</v>
      </c>
      <c r="AV294" t="n">
        <v/>
      </c>
      <c r="AW294" t="n">
        <v>18.69996</v>
      </c>
      <c r="AX294" t="n">
        <v/>
      </c>
    </row>
    <row r="295">
      <c r="A295" s="92" t="n">
        <v>26816</v>
      </c>
      <c r="B295" t="n">
        <v>25.73307</v>
      </c>
      <c r="C295" t="n">
        <v/>
      </c>
      <c r="D295" t="n">
        <v/>
      </c>
      <c r="E295" t="n">
        <v>19.71842</v>
      </c>
      <c r="F295" t="n">
        <v>41.2154</v>
      </c>
      <c r="G295" t="n">
        <v/>
      </c>
      <c r="H295" t="n">
        <v/>
      </c>
      <c r="I295" t="n">
        <v/>
      </c>
      <c r="J295" t="n">
        <v/>
      </c>
      <c r="K295" t="n">
        <v/>
      </c>
      <c r="L295" t="n">
        <v>35.67885</v>
      </c>
      <c r="M295" t="n">
        <v>17.32231</v>
      </c>
      <c r="N295" t="n">
        <v/>
      </c>
      <c r="O295" t="n">
        <v/>
      </c>
      <c r="P295" t="n">
        <v/>
      </c>
      <c r="Q295" t="n">
        <v/>
      </c>
      <c r="R295" t="n">
        <v>14.97563</v>
      </c>
      <c r="S295" t="n">
        <v>18.16112</v>
      </c>
      <c r="T295" t="n">
        <v/>
      </c>
      <c r="U295" t="n">
        <v>19.71036</v>
      </c>
      <c r="V295" t="n">
        <v>11.70413</v>
      </c>
      <c r="W295" t="n">
        <v>1.714283</v>
      </c>
      <c r="X295" t="n">
        <v/>
      </c>
      <c r="Y295" t="n">
        <v/>
      </c>
      <c r="Z295" t="n">
        <v/>
      </c>
      <c r="AA295" t="n">
        <v/>
      </c>
      <c r="AB295" t="n">
        <v/>
      </c>
      <c r="AC295" t="n">
        <v>0.002365986</v>
      </c>
      <c r="AD295" t="n">
        <v>6.853496</v>
      </c>
      <c r="AE295" t="n">
        <v>39.96055</v>
      </c>
      <c r="AF295" t="n">
        <v/>
      </c>
      <c r="AG295" t="n">
        <v/>
      </c>
      <c r="AH295" t="n">
        <v>23.64868</v>
      </c>
      <c r="AI295" t="n">
        <v/>
      </c>
      <c r="AJ295" t="n">
        <v/>
      </c>
      <c r="AK295" t="n">
        <v>27.56209</v>
      </c>
      <c r="AL295" t="n">
        <v/>
      </c>
      <c r="AM295" t="n">
        <v>8.881008</v>
      </c>
      <c r="AN295" t="n">
        <v>6.657491</v>
      </c>
      <c r="AO295" t="n">
        <v/>
      </c>
      <c r="AP295" t="n">
        <v>2.308385</v>
      </c>
      <c r="AQ295" t="n">
        <v/>
      </c>
      <c r="AR295" t="n">
        <v/>
      </c>
      <c r="AS295" t="n">
        <v/>
      </c>
      <c r="AT295" t="n">
        <v/>
      </c>
      <c r="AU295" t="n">
        <v>17.52028</v>
      </c>
      <c r="AV295" t="n">
        <v/>
      </c>
      <c r="AW295" t="n">
        <v>18.74124</v>
      </c>
      <c r="AX295" t="n">
        <v/>
      </c>
    </row>
    <row r="296">
      <c r="A296" s="92" t="n">
        <v>26846</v>
      </c>
      <c r="B296" t="n">
        <v>25.8763</v>
      </c>
      <c r="C296" t="n">
        <v/>
      </c>
      <c r="D296" t="n">
        <v/>
      </c>
      <c r="E296" t="n">
        <v>19.94686</v>
      </c>
      <c r="F296" t="n">
        <v>41.25376</v>
      </c>
      <c r="G296" t="n">
        <v/>
      </c>
      <c r="H296" t="n">
        <v/>
      </c>
      <c r="I296" t="n">
        <v/>
      </c>
      <c r="J296" t="n">
        <v/>
      </c>
      <c r="K296" t="n">
        <v/>
      </c>
      <c r="L296" t="n">
        <v>35.83083</v>
      </c>
      <c r="M296" t="n">
        <v>17.38635</v>
      </c>
      <c r="N296" t="n">
        <v/>
      </c>
      <c r="O296" t="n">
        <v/>
      </c>
      <c r="P296" t="n">
        <v/>
      </c>
      <c r="Q296" t="n">
        <v/>
      </c>
      <c r="R296" t="n">
        <v>15.42395</v>
      </c>
      <c r="S296" t="n">
        <v>18.32266</v>
      </c>
      <c r="T296" t="n">
        <v/>
      </c>
      <c r="U296" t="n">
        <v>19.80019</v>
      </c>
      <c r="V296" t="n">
        <v>11.77363</v>
      </c>
      <c r="W296" t="n">
        <v>1.695423</v>
      </c>
      <c r="X296" t="n">
        <v/>
      </c>
      <c r="Y296" t="n">
        <v/>
      </c>
      <c r="Z296" t="n">
        <v/>
      </c>
      <c r="AA296" t="n">
        <v/>
      </c>
      <c r="AB296" t="n">
        <v/>
      </c>
      <c r="AC296" t="n">
        <v>0.002410542</v>
      </c>
      <c r="AD296" t="n">
        <v>6.888724</v>
      </c>
      <c r="AE296" t="n">
        <v>40.27006</v>
      </c>
      <c r="AF296" t="n">
        <v/>
      </c>
      <c r="AG296" t="n">
        <v/>
      </c>
      <c r="AH296" t="n">
        <v>23.63114</v>
      </c>
      <c r="AI296" t="n">
        <v/>
      </c>
      <c r="AJ296" t="n">
        <v/>
      </c>
      <c r="AK296" t="n">
        <v>27.47424</v>
      </c>
      <c r="AL296" t="n">
        <v/>
      </c>
      <c r="AM296" t="n">
        <v>8.925858</v>
      </c>
      <c r="AN296" t="n">
        <v>6.687059</v>
      </c>
      <c r="AO296" t="n">
        <v/>
      </c>
      <c r="AP296" t="n">
        <v>2.310895</v>
      </c>
      <c r="AQ296" t="n">
        <v/>
      </c>
      <c r="AR296" t="n">
        <v/>
      </c>
      <c r="AS296" t="n">
        <v/>
      </c>
      <c r="AT296" t="n">
        <v/>
      </c>
      <c r="AU296" t="n">
        <v>17.56657</v>
      </c>
      <c r="AV296" t="n">
        <v/>
      </c>
      <c r="AW296" t="n">
        <v>18.78252</v>
      </c>
      <c r="AX296" t="n">
        <v/>
      </c>
    </row>
    <row r="297">
      <c r="A297" s="92" t="n">
        <v>26877</v>
      </c>
      <c r="B297" t="n">
        <v>25.94703</v>
      </c>
      <c r="C297" t="n">
        <v/>
      </c>
      <c r="D297" t="n">
        <v/>
      </c>
      <c r="E297" t="n">
        <v>20.12166</v>
      </c>
      <c r="F297" t="n">
        <v>41.3888</v>
      </c>
      <c r="G297" t="n">
        <v/>
      </c>
      <c r="H297" t="n">
        <v/>
      </c>
      <c r="I297" t="n">
        <v/>
      </c>
      <c r="J297" t="n">
        <v/>
      </c>
      <c r="K297" t="n">
        <v/>
      </c>
      <c r="L297" t="n">
        <v>35.9077</v>
      </c>
      <c r="M297" t="n">
        <v>17.48533</v>
      </c>
      <c r="N297" t="n">
        <v/>
      </c>
      <c r="O297" t="n">
        <v/>
      </c>
      <c r="P297" t="n">
        <v/>
      </c>
      <c r="Q297" t="n">
        <v/>
      </c>
      <c r="R297" t="n">
        <v>15.64402</v>
      </c>
      <c r="S297" t="n">
        <v>18.42318</v>
      </c>
      <c r="T297" t="n">
        <v/>
      </c>
      <c r="U297" t="n">
        <v>19.88904</v>
      </c>
      <c r="V297" t="n">
        <v>11.82398</v>
      </c>
      <c r="W297" t="n">
        <v>1.719407</v>
      </c>
      <c r="X297" t="n">
        <v/>
      </c>
      <c r="Y297" t="n">
        <v/>
      </c>
      <c r="Z297" t="n">
        <v/>
      </c>
      <c r="AA297" t="n">
        <v/>
      </c>
      <c r="AB297" t="n">
        <v/>
      </c>
      <c r="AC297" t="n">
        <v>0.002420601</v>
      </c>
      <c r="AD297" t="n">
        <v>6.930609</v>
      </c>
      <c r="AE297" t="n">
        <v>40.44736</v>
      </c>
      <c r="AF297" t="n">
        <v/>
      </c>
      <c r="AG297" t="n">
        <v/>
      </c>
      <c r="AH297" t="n">
        <v>23.66102</v>
      </c>
      <c r="AI297" t="n">
        <v/>
      </c>
      <c r="AJ297" t="n">
        <v/>
      </c>
      <c r="AK297" t="n">
        <v>27.62837</v>
      </c>
      <c r="AL297" t="n">
        <v/>
      </c>
      <c r="AM297" t="n">
        <v>8.974482</v>
      </c>
      <c r="AN297" t="n">
        <v>6.725506</v>
      </c>
      <c r="AO297" t="n">
        <v/>
      </c>
      <c r="AP297" t="n">
        <v>2.340525</v>
      </c>
      <c r="AQ297" t="n">
        <v/>
      </c>
      <c r="AR297" t="n">
        <v/>
      </c>
      <c r="AS297" t="n">
        <v/>
      </c>
      <c r="AT297" t="n">
        <v/>
      </c>
      <c r="AU297" t="n">
        <v>17.60089</v>
      </c>
      <c r="AV297" t="n">
        <v/>
      </c>
      <c r="AW297" t="n">
        <v>18.86508</v>
      </c>
      <c r="AX297" t="n">
        <v/>
      </c>
    </row>
    <row r="298">
      <c r="A298" s="92" t="n">
        <v>26908</v>
      </c>
      <c r="B298" t="n">
        <v>26.06949</v>
      </c>
      <c r="C298" t="n">
        <v/>
      </c>
      <c r="D298" t="n">
        <v/>
      </c>
      <c r="E298" t="n">
        <v>20.20337</v>
      </c>
      <c r="F298" t="n">
        <v>41.80255</v>
      </c>
      <c r="G298" t="n">
        <v/>
      </c>
      <c r="H298" t="n">
        <v/>
      </c>
      <c r="I298" t="n">
        <v/>
      </c>
      <c r="J298" t="n">
        <v/>
      </c>
      <c r="K298" t="n">
        <v/>
      </c>
      <c r="L298" t="n">
        <v>35.90449</v>
      </c>
      <c r="M298" t="n">
        <v>17.65742</v>
      </c>
      <c r="N298" t="n">
        <v/>
      </c>
      <c r="O298" t="n">
        <v/>
      </c>
      <c r="P298" t="n">
        <v/>
      </c>
      <c r="Q298" t="n">
        <v/>
      </c>
      <c r="R298" t="n">
        <v>15.75355</v>
      </c>
      <c r="S298" t="n">
        <v>18.58662</v>
      </c>
      <c r="T298" t="n">
        <v/>
      </c>
      <c r="U298" t="n">
        <v>20.04488</v>
      </c>
      <c r="V298" t="n">
        <v>11.90581</v>
      </c>
      <c r="W298" t="n">
        <v>1.969819</v>
      </c>
      <c r="X298" t="n">
        <v/>
      </c>
      <c r="Y298" t="n">
        <v/>
      </c>
      <c r="Z298" t="n">
        <v/>
      </c>
      <c r="AA298" t="n">
        <v/>
      </c>
      <c r="AB298" t="n">
        <v/>
      </c>
      <c r="AC298" t="n">
        <v>0.002462288</v>
      </c>
      <c r="AD298" t="n">
        <v>6.970933</v>
      </c>
      <c r="AE298" t="n">
        <v>41.36092</v>
      </c>
      <c r="AF298" t="n">
        <v/>
      </c>
      <c r="AG298" t="n">
        <v/>
      </c>
      <c r="AH298" t="n">
        <v>23.74332</v>
      </c>
      <c r="AI298" t="n">
        <v/>
      </c>
      <c r="AJ298" t="n">
        <v/>
      </c>
      <c r="AK298" t="n">
        <v>27.92241</v>
      </c>
      <c r="AL298" t="n">
        <v/>
      </c>
      <c r="AM298" t="n">
        <v>9.071683</v>
      </c>
      <c r="AN298" t="n">
        <v>6.807793</v>
      </c>
      <c r="AO298" t="n">
        <v/>
      </c>
      <c r="AP298" t="n">
        <v>2.403265</v>
      </c>
      <c r="AQ298" t="n">
        <v/>
      </c>
      <c r="AR298" t="n">
        <v/>
      </c>
      <c r="AS298" t="n">
        <v/>
      </c>
      <c r="AT298" t="n">
        <v/>
      </c>
      <c r="AU298" t="n">
        <v>17.66142</v>
      </c>
      <c r="AV298" t="n">
        <v/>
      </c>
      <c r="AW298" t="n">
        <v>18.98892</v>
      </c>
      <c r="AX298" t="n">
        <v/>
      </c>
    </row>
    <row r="299">
      <c r="A299" s="92" t="n">
        <v>26938</v>
      </c>
      <c r="B299" t="n">
        <v>26.37822</v>
      </c>
      <c r="C299" t="n">
        <v/>
      </c>
      <c r="D299" t="n">
        <v/>
      </c>
      <c r="E299" t="n">
        <v>20.30175</v>
      </c>
      <c r="F299" t="n">
        <v>42.43942</v>
      </c>
      <c r="G299" t="n">
        <v/>
      </c>
      <c r="H299" t="n">
        <v/>
      </c>
      <c r="I299" t="n">
        <v/>
      </c>
      <c r="J299" t="n">
        <v/>
      </c>
      <c r="K299" t="n">
        <v/>
      </c>
      <c r="L299" t="n">
        <v>36.10415</v>
      </c>
      <c r="M299" t="n">
        <v>17.84066</v>
      </c>
      <c r="N299" t="n">
        <v/>
      </c>
      <c r="O299" t="n">
        <v/>
      </c>
      <c r="P299" t="n">
        <v/>
      </c>
      <c r="Q299" t="n">
        <v/>
      </c>
      <c r="R299" t="n">
        <v>15.88032</v>
      </c>
      <c r="S299" t="n">
        <v>18.7724</v>
      </c>
      <c r="T299" t="n">
        <v/>
      </c>
      <c r="U299" t="n">
        <v>20.21455</v>
      </c>
      <c r="V299" t="n">
        <v>12.07791</v>
      </c>
      <c r="W299" t="n">
        <v>2.05858</v>
      </c>
      <c r="X299" t="n">
        <v/>
      </c>
      <c r="Y299" t="n">
        <v/>
      </c>
      <c r="Z299" t="n">
        <v/>
      </c>
      <c r="AA299" t="n">
        <v/>
      </c>
      <c r="AB299" t="n">
        <v/>
      </c>
      <c r="AC299" t="n">
        <v>0.002495355</v>
      </c>
      <c r="AD299" t="n">
        <v>7.002206</v>
      </c>
      <c r="AE299" t="n">
        <v>41.75018</v>
      </c>
      <c r="AF299" t="n">
        <v/>
      </c>
      <c r="AG299" t="n">
        <v/>
      </c>
      <c r="AH299" t="n">
        <v>23.91958</v>
      </c>
      <c r="AI299" t="n">
        <v/>
      </c>
      <c r="AJ299" t="n">
        <v/>
      </c>
      <c r="AK299" t="n">
        <v>28.2404</v>
      </c>
      <c r="AL299" t="n">
        <v/>
      </c>
      <c r="AM299" t="n">
        <v>9.163462000000001</v>
      </c>
      <c r="AN299" t="n">
        <v>6.882244</v>
      </c>
      <c r="AO299" t="n">
        <v/>
      </c>
      <c r="AP299" t="n">
        <v>2.463535</v>
      </c>
      <c r="AQ299" t="n">
        <v/>
      </c>
      <c r="AR299" t="n">
        <v/>
      </c>
      <c r="AS299" t="n">
        <v/>
      </c>
      <c r="AT299" t="n">
        <v/>
      </c>
      <c r="AU299" t="n">
        <v>17.8026</v>
      </c>
      <c r="AV299" t="n">
        <v/>
      </c>
      <c r="AW299" t="n">
        <v>19.15404</v>
      </c>
      <c r="AX299" t="n">
        <v/>
      </c>
    </row>
    <row r="300">
      <c r="A300" s="92" t="n">
        <v>26969</v>
      </c>
      <c r="B300" t="n">
        <v>26.63608</v>
      </c>
      <c r="C300" t="n">
        <v/>
      </c>
      <c r="D300" t="n">
        <v/>
      </c>
      <c r="E300" t="n">
        <v>20.46515</v>
      </c>
      <c r="F300" t="n">
        <v>43.24087</v>
      </c>
      <c r="G300" t="n">
        <v/>
      </c>
      <c r="H300" t="n">
        <v/>
      </c>
      <c r="I300" t="n">
        <v/>
      </c>
      <c r="J300" t="n">
        <v/>
      </c>
      <c r="K300" t="n">
        <v/>
      </c>
      <c r="L300" t="n">
        <v>36.33837</v>
      </c>
      <c r="M300" t="n">
        <v>18.13071</v>
      </c>
      <c r="N300" t="n">
        <v/>
      </c>
      <c r="O300" t="n">
        <v/>
      </c>
      <c r="P300" t="n">
        <v/>
      </c>
      <c r="Q300" t="n">
        <v/>
      </c>
      <c r="R300" t="n">
        <v>16.00039</v>
      </c>
      <c r="S300" t="n">
        <v>18.88818</v>
      </c>
      <c r="T300" t="n">
        <v/>
      </c>
      <c r="U300" t="n">
        <v>20.34338</v>
      </c>
      <c r="V300" t="n">
        <v>12.15863</v>
      </c>
      <c r="W300" t="n">
        <v>1.997586</v>
      </c>
      <c r="X300" t="n">
        <v/>
      </c>
      <c r="Y300" t="n">
        <v/>
      </c>
      <c r="Z300" t="n">
        <v/>
      </c>
      <c r="AA300" t="n">
        <v/>
      </c>
      <c r="AB300" t="n">
        <v/>
      </c>
      <c r="AC300" t="n">
        <v>0.002583037</v>
      </c>
      <c r="AD300" t="n">
        <v>7.092102</v>
      </c>
      <c r="AE300" t="n">
        <v>42.14005</v>
      </c>
      <c r="AF300" t="n">
        <v/>
      </c>
      <c r="AG300" t="n">
        <v/>
      </c>
      <c r="AH300" t="n">
        <v>24.06233</v>
      </c>
      <c r="AI300" t="n">
        <v/>
      </c>
      <c r="AJ300" t="n">
        <v/>
      </c>
      <c r="AK300" t="n">
        <v>28.31174</v>
      </c>
      <c r="AL300" t="n">
        <v/>
      </c>
      <c r="AM300" t="n">
        <v>9.224178999999999</v>
      </c>
      <c r="AN300" t="n">
        <v>6.935013</v>
      </c>
      <c r="AO300" t="n">
        <v/>
      </c>
      <c r="AP300" t="n">
        <v>2.473531</v>
      </c>
      <c r="AQ300" t="n">
        <v/>
      </c>
      <c r="AR300" t="n">
        <v/>
      </c>
      <c r="AS300" t="n">
        <v/>
      </c>
      <c r="AT300" t="n">
        <v/>
      </c>
      <c r="AU300" t="n">
        <v>17.95342</v>
      </c>
      <c r="AV300" t="n">
        <v/>
      </c>
      <c r="AW300" t="n">
        <v>19.2366</v>
      </c>
      <c r="AX300" t="n">
        <v/>
      </c>
    </row>
    <row r="301">
      <c r="A301" s="92" t="n">
        <v>26999</v>
      </c>
      <c r="B301" t="n">
        <v>26.75878</v>
      </c>
      <c r="C301" t="n">
        <v/>
      </c>
      <c r="D301" t="n">
        <v/>
      </c>
      <c r="E301" t="n">
        <v>20.52658</v>
      </c>
      <c r="F301" t="n">
        <v>43.74158</v>
      </c>
      <c r="G301" t="n">
        <v/>
      </c>
      <c r="H301" t="n">
        <v/>
      </c>
      <c r="I301" t="n">
        <v/>
      </c>
      <c r="J301" t="n">
        <v/>
      </c>
      <c r="K301" t="n">
        <v/>
      </c>
      <c r="L301" t="n">
        <v>36.50243</v>
      </c>
      <c r="M301" t="n">
        <v>18.36578</v>
      </c>
      <c r="N301" t="n">
        <v/>
      </c>
      <c r="O301" t="n">
        <v/>
      </c>
      <c r="P301" t="n">
        <v/>
      </c>
      <c r="Q301" t="n">
        <v/>
      </c>
      <c r="R301" t="n">
        <v>16.12386</v>
      </c>
      <c r="S301" t="n">
        <v>19.0235</v>
      </c>
      <c r="T301" t="n">
        <v/>
      </c>
      <c r="U301" t="n">
        <v>20.48982</v>
      </c>
      <c r="V301" t="n">
        <v>12.21262</v>
      </c>
      <c r="W301" t="n">
        <v>2.057887</v>
      </c>
      <c r="X301" t="n">
        <v/>
      </c>
      <c r="Y301" t="n">
        <v/>
      </c>
      <c r="Z301" t="n">
        <v/>
      </c>
      <c r="AA301" t="n">
        <v/>
      </c>
      <c r="AB301" t="n">
        <v/>
      </c>
      <c r="AC301" t="n">
        <v>0.002652031</v>
      </c>
      <c r="AD301" t="n">
        <v>7.159688</v>
      </c>
      <c r="AE301" t="n">
        <v>43.05652</v>
      </c>
      <c r="AF301" t="n">
        <v/>
      </c>
      <c r="AG301" t="n">
        <v/>
      </c>
      <c r="AH301" t="n">
        <v>24.20677</v>
      </c>
      <c r="AI301" t="n">
        <v/>
      </c>
      <c r="AJ301" t="n">
        <v/>
      </c>
      <c r="AK301" t="n">
        <v>28.43737</v>
      </c>
      <c r="AL301" t="n">
        <v/>
      </c>
      <c r="AM301" t="n">
        <v>9.314676</v>
      </c>
      <c r="AN301" t="n">
        <v>6.999921</v>
      </c>
      <c r="AO301" t="n">
        <v/>
      </c>
      <c r="AP301" t="n">
        <v>2.58884</v>
      </c>
      <c r="AQ301" t="n">
        <v/>
      </c>
      <c r="AR301" t="n">
        <v/>
      </c>
      <c r="AS301" t="n">
        <v/>
      </c>
      <c r="AT301" t="n">
        <v/>
      </c>
      <c r="AU301" t="n">
        <v>18.08332</v>
      </c>
      <c r="AV301" t="n">
        <v/>
      </c>
      <c r="AW301" t="n">
        <v>19.31916</v>
      </c>
      <c r="AX301" t="n">
        <v/>
      </c>
    </row>
    <row r="302">
      <c r="A302" s="92" t="n">
        <v>27030</v>
      </c>
      <c r="B302" t="n">
        <v>27.13143</v>
      </c>
      <c r="C302" t="n">
        <v/>
      </c>
      <c r="D302" t="n">
        <v/>
      </c>
      <c r="E302" t="n">
        <v>20.68149</v>
      </c>
      <c r="F302" t="n">
        <v>43.94737</v>
      </c>
      <c r="G302" t="n">
        <v/>
      </c>
      <c r="H302" t="n">
        <v/>
      </c>
      <c r="I302" t="n">
        <v/>
      </c>
      <c r="J302" t="n">
        <v/>
      </c>
      <c r="K302" t="n">
        <v/>
      </c>
      <c r="L302" t="n">
        <v>36.89084</v>
      </c>
      <c r="M302" t="n">
        <v>18.55803</v>
      </c>
      <c r="N302" t="n">
        <v/>
      </c>
      <c r="O302" t="n">
        <v/>
      </c>
      <c r="P302" t="n">
        <v/>
      </c>
      <c r="Q302" t="n">
        <v/>
      </c>
      <c r="R302" t="n">
        <v>16.26692</v>
      </c>
      <c r="S302" t="n">
        <v>19.18423</v>
      </c>
      <c r="T302" t="n">
        <v/>
      </c>
      <c r="U302" t="n">
        <v>20.65994</v>
      </c>
      <c r="V302" t="n">
        <v>12.3681</v>
      </c>
      <c r="W302" t="n">
        <v>2.106149</v>
      </c>
      <c r="X302" t="n">
        <v/>
      </c>
      <c r="Y302" t="n">
        <v/>
      </c>
      <c r="Z302" t="n">
        <v/>
      </c>
      <c r="AA302" t="n">
        <v/>
      </c>
      <c r="AB302" t="n">
        <v/>
      </c>
      <c r="AC302" t="n">
        <v>0.002721025</v>
      </c>
      <c r="AD302" t="n">
        <v>7.254416</v>
      </c>
      <c r="AE302" t="n">
        <v>44.44269</v>
      </c>
      <c r="AF302" t="n">
        <v/>
      </c>
      <c r="AG302" t="n">
        <v/>
      </c>
      <c r="AH302" t="n">
        <v>24.41068</v>
      </c>
      <c r="AI302" t="n">
        <v/>
      </c>
      <c r="AJ302" t="n">
        <v/>
      </c>
      <c r="AK302" t="n">
        <v>28.51211</v>
      </c>
      <c r="AL302" t="n">
        <v/>
      </c>
      <c r="AM302" t="n">
        <v>9.403575999999999</v>
      </c>
      <c r="AN302" t="n">
        <v>7.072208</v>
      </c>
      <c r="AO302" t="n">
        <v/>
      </c>
      <c r="AP302" t="n">
        <v>2.614269</v>
      </c>
      <c r="AQ302" t="n">
        <v/>
      </c>
      <c r="AR302" t="n">
        <v/>
      </c>
      <c r="AS302" t="n">
        <v/>
      </c>
      <c r="AT302" t="n">
        <v/>
      </c>
      <c r="AU302" t="n">
        <v>18.28255</v>
      </c>
      <c r="AV302" t="n">
        <v/>
      </c>
      <c r="AW302" t="n">
        <v>19.31916</v>
      </c>
      <c r="AX302" t="n">
        <v/>
      </c>
    </row>
    <row r="303">
      <c r="A303" s="92" t="n">
        <v>27061</v>
      </c>
      <c r="B303" t="n">
        <v>27.36086</v>
      </c>
      <c r="C303" t="n">
        <v/>
      </c>
      <c r="D303" t="n">
        <v/>
      </c>
      <c r="E303" t="n">
        <v>20.81154</v>
      </c>
      <c r="F303" t="n">
        <v>43.76081</v>
      </c>
      <c r="G303" t="n">
        <v/>
      </c>
      <c r="H303" t="n">
        <v/>
      </c>
      <c r="I303" t="n">
        <v/>
      </c>
      <c r="J303" t="n">
        <v/>
      </c>
      <c r="K303" t="n">
        <v/>
      </c>
      <c r="L303" t="n">
        <v>37.23884</v>
      </c>
      <c r="M303" t="n">
        <v>18.60452</v>
      </c>
      <c r="N303" t="n">
        <v/>
      </c>
      <c r="O303" t="n">
        <v/>
      </c>
      <c r="P303" t="n">
        <v/>
      </c>
      <c r="Q303" t="n">
        <v/>
      </c>
      <c r="R303" t="n">
        <v>16.54373</v>
      </c>
      <c r="S303" t="n">
        <v>19.37736</v>
      </c>
      <c r="T303" t="n">
        <v/>
      </c>
      <c r="U303" t="n">
        <v>20.89298</v>
      </c>
      <c r="V303" t="n">
        <v>12.46571</v>
      </c>
      <c r="W303" t="n">
        <v>2.060746</v>
      </c>
      <c r="X303" t="n">
        <v/>
      </c>
      <c r="Y303" t="n">
        <v/>
      </c>
      <c r="Z303" t="n">
        <v/>
      </c>
      <c r="AA303" t="n">
        <v/>
      </c>
      <c r="AB303" t="n">
        <v/>
      </c>
      <c r="AC303" t="n">
        <v>0.002836016</v>
      </c>
      <c r="AD303" t="n">
        <v>7.403389</v>
      </c>
      <c r="AE303" t="n">
        <v>45.76696</v>
      </c>
      <c r="AF303" t="n">
        <v/>
      </c>
      <c r="AG303" t="n">
        <v/>
      </c>
      <c r="AH303" t="n">
        <v>24.8454</v>
      </c>
      <c r="AI303" t="n">
        <v/>
      </c>
      <c r="AJ303" t="n">
        <v/>
      </c>
      <c r="AK303" t="n">
        <v>28.88448</v>
      </c>
      <c r="AL303" t="n">
        <v/>
      </c>
      <c r="AM303" t="n">
        <v>9.508998</v>
      </c>
      <c r="AN303" t="n">
        <v>7.146144</v>
      </c>
      <c r="AO303" t="n">
        <v/>
      </c>
      <c r="AP303" t="n">
        <v>2.771899</v>
      </c>
      <c r="AQ303" t="n">
        <v/>
      </c>
      <c r="AR303" t="n">
        <v/>
      </c>
      <c r="AS303" t="n">
        <v/>
      </c>
      <c r="AT303" t="n">
        <v/>
      </c>
      <c r="AU303" t="n">
        <v>18.58894</v>
      </c>
      <c r="AV303" t="n">
        <v/>
      </c>
      <c r="AW303" t="n">
        <v>19.443</v>
      </c>
      <c r="AX303" t="n">
        <v/>
      </c>
    </row>
    <row r="304">
      <c r="A304" s="92" t="n">
        <v>27089</v>
      </c>
      <c r="B304" t="n">
        <v>27.67917</v>
      </c>
      <c r="C304" t="n">
        <v/>
      </c>
      <c r="D304" t="n">
        <v/>
      </c>
      <c r="E304" t="n">
        <v>21.06875</v>
      </c>
      <c r="F304" t="n">
        <v>43.96046</v>
      </c>
      <c r="G304" t="n">
        <v/>
      </c>
      <c r="H304" t="n">
        <v/>
      </c>
      <c r="I304" t="n">
        <v/>
      </c>
      <c r="J304" t="n">
        <v/>
      </c>
      <c r="K304" t="n">
        <v/>
      </c>
      <c r="L304" t="n">
        <v>37.38863</v>
      </c>
      <c r="M304" t="n">
        <v>18.79995</v>
      </c>
      <c r="N304" t="n">
        <v/>
      </c>
      <c r="O304" t="n">
        <v/>
      </c>
      <c r="P304" t="n">
        <v/>
      </c>
      <c r="Q304" t="n">
        <v/>
      </c>
      <c r="R304" t="n">
        <v>16.75127</v>
      </c>
      <c r="S304" t="n">
        <v>19.58549</v>
      </c>
      <c r="T304" t="n">
        <v/>
      </c>
      <c r="U304" t="n">
        <v>21.07752</v>
      </c>
      <c r="V304" t="n">
        <v>12.5804</v>
      </c>
      <c r="W304" t="n">
        <v>2.153589</v>
      </c>
      <c r="X304" t="n">
        <v/>
      </c>
      <c r="Y304" t="n">
        <v/>
      </c>
      <c r="Z304" t="n">
        <v/>
      </c>
      <c r="AA304" t="n">
        <v/>
      </c>
      <c r="AB304" t="n">
        <v/>
      </c>
      <c r="AC304" t="n">
        <v>0.002935197</v>
      </c>
      <c r="AD304" t="n">
        <v>7.519249</v>
      </c>
      <c r="AE304" t="n">
        <v>46.14295</v>
      </c>
      <c r="AF304" t="n">
        <v/>
      </c>
      <c r="AG304" t="n">
        <v/>
      </c>
      <c r="AH304" t="n">
        <v>25.06977</v>
      </c>
      <c r="AI304" t="n">
        <v/>
      </c>
      <c r="AJ304" t="n">
        <v/>
      </c>
      <c r="AK304" t="n">
        <v>29.34053</v>
      </c>
      <c r="AL304" t="n">
        <v/>
      </c>
      <c r="AM304" t="n">
        <v>9.615477</v>
      </c>
      <c r="AN304" t="n">
        <v>7.250198</v>
      </c>
      <c r="AO304" t="n">
        <v/>
      </c>
      <c r="AP304" t="n">
        <v>2.890587</v>
      </c>
      <c r="AQ304" t="n">
        <v/>
      </c>
      <c r="AR304" t="n">
        <v/>
      </c>
      <c r="AS304" t="n">
        <v/>
      </c>
      <c r="AT304" t="n">
        <v/>
      </c>
      <c r="AU304" t="n">
        <v>18.73614</v>
      </c>
      <c r="AV304" t="n">
        <v/>
      </c>
      <c r="AW304" t="n">
        <v>19.60813</v>
      </c>
      <c r="AX304" t="n">
        <v/>
      </c>
    </row>
    <row r="305">
      <c r="A305" s="92" t="n">
        <v>27120</v>
      </c>
      <c r="B305" t="n">
        <v>28.1646</v>
      </c>
      <c r="C305" t="n">
        <v/>
      </c>
      <c r="D305" t="n">
        <v/>
      </c>
      <c r="E305" t="n">
        <v>21.27336</v>
      </c>
      <c r="F305" t="n">
        <v>43.78817</v>
      </c>
      <c r="G305" t="n">
        <v/>
      </c>
      <c r="H305" t="n">
        <v/>
      </c>
      <c r="I305" t="n">
        <v/>
      </c>
      <c r="J305" t="n">
        <v/>
      </c>
      <c r="K305" t="n">
        <v/>
      </c>
      <c r="L305" t="n">
        <v>37.78054</v>
      </c>
      <c r="M305" t="n">
        <v>19.07717</v>
      </c>
      <c r="N305" t="n">
        <v/>
      </c>
      <c r="O305" t="n">
        <v/>
      </c>
      <c r="P305" t="n">
        <v/>
      </c>
      <c r="Q305" t="n">
        <v/>
      </c>
      <c r="R305" t="n">
        <v>17.03391</v>
      </c>
      <c r="S305" t="n">
        <v>19.89759</v>
      </c>
      <c r="T305" t="n">
        <v/>
      </c>
      <c r="U305" t="n">
        <v>21.35244</v>
      </c>
      <c r="V305" t="n">
        <v>13.07772</v>
      </c>
      <c r="W305" t="n">
        <v>2.169602</v>
      </c>
      <c r="X305" t="n">
        <v/>
      </c>
      <c r="Y305" t="n">
        <v/>
      </c>
      <c r="Z305" t="n">
        <v/>
      </c>
      <c r="AA305" t="n">
        <v/>
      </c>
      <c r="AB305" t="n">
        <v/>
      </c>
      <c r="AC305" t="n">
        <v>0.003057376</v>
      </c>
      <c r="AD305" t="n">
        <v>7.599558</v>
      </c>
      <c r="AE305" t="n">
        <v>46.94479</v>
      </c>
      <c r="AF305" t="n">
        <v/>
      </c>
      <c r="AG305" t="n">
        <v/>
      </c>
      <c r="AH305" t="n">
        <v>25.40192</v>
      </c>
      <c r="AI305" t="n">
        <v/>
      </c>
      <c r="AJ305" t="n">
        <v/>
      </c>
      <c r="AK305" t="n">
        <v>29.8316</v>
      </c>
      <c r="AL305" t="n">
        <v/>
      </c>
      <c r="AM305" t="n">
        <v>9.743312</v>
      </c>
      <c r="AN305" t="n">
        <v>7.361248</v>
      </c>
      <c r="AO305" t="n">
        <v/>
      </c>
      <c r="AP305" t="n">
        <v>2.779651</v>
      </c>
      <c r="AQ305" t="n">
        <v/>
      </c>
      <c r="AR305" t="n">
        <v/>
      </c>
      <c r="AS305" t="n">
        <v/>
      </c>
      <c r="AT305" t="n">
        <v/>
      </c>
      <c r="AU305" t="n">
        <v>18.70904</v>
      </c>
      <c r="AV305" t="n">
        <v/>
      </c>
      <c r="AW305" t="n">
        <v>19.77325</v>
      </c>
      <c r="AX305" t="n">
        <v/>
      </c>
    </row>
    <row r="306">
      <c r="A306" s="92" t="n">
        <v>27150</v>
      </c>
      <c r="B306" t="n">
        <v>28.36805</v>
      </c>
      <c r="C306" t="n">
        <v/>
      </c>
      <c r="D306" t="n">
        <v/>
      </c>
      <c r="E306" t="n">
        <v>21.60373</v>
      </c>
      <c r="F306" t="n">
        <v>44.52361</v>
      </c>
      <c r="G306" t="n">
        <v/>
      </c>
      <c r="H306" t="n">
        <v/>
      </c>
      <c r="I306" t="n">
        <v/>
      </c>
      <c r="J306" t="n">
        <v/>
      </c>
      <c r="K306" t="n">
        <v/>
      </c>
      <c r="L306" t="n">
        <v>37.93396</v>
      </c>
      <c r="M306" t="n">
        <v>19.38598</v>
      </c>
      <c r="N306" t="n">
        <v/>
      </c>
      <c r="O306" t="n">
        <v/>
      </c>
      <c r="P306" t="n">
        <v/>
      </c>
      <c r="Q306" t="n">
        <v/>
      </c>
      <c r="R306" t="n">
        <v>17.2003</v>
      </c>
      <c r="S306" t="n">
        <v>20.15718</v>
      </c>
      <c r="T306" t="n">
        <v/>
      </c>
      <c r="U306" t="n">
        <v>21.59884</v>
      </c>
      <c r="V306" t="n">
        <v>13.26248</v>
      </c>
      <c r="W306" t="n">
        <v>2.203067</v>
      </c>
      <c r="X306" t="n">
        <v/>
      </c>
      <c r="Y306" t="n">
        <v/>
      </c>
      <c r="Z306" t="n">
        <v/>
      </c>
      <c r="AA306" t="n">
        <v/>
      </c>
      <c r="AB306" t="n">
        <v/>
      </c>
      <c r="AC306" t="n">
        <v>0.003143629</v>
      </c>
      <c r="AD306" t="n">
        <v>7.726353</v>
      </c>
      <c r="AE306" t="n">
        <v>47.68525</v>
      </c>
      <c r="AF306" t="n">
        <v/>
      </c>
      <c r="AG306" t="n">
        <v/>
      </c>
      <c r="AH306" t="n">
        <v>25.64955</v>
      </c>
      <c r="AI306" t="n">
        <v/>
      </c>
      <c r="AJ306" t="n">
        <v/>
      </c>
      <c r="AK306" t="n">
        <v>29.98542</v>
      </c>
      <c r="AL306" t="n">
        <v/>
      </c>
      <c r="AM306" t="n">
        <v>9.850387</v>
      </c>
      <c r="AN306" t="n">
        <v>7.442753</v>
      </c>
      <c r="AO306" t="n">
        <v/>
      </c>
      <c r="AP306" t="n">
        <v>2.817988</v>
      </c>
      <c r="AQ306" t="n">
        <v/>
      </c>
      <c r="AR306" t="n">
        <v/>
      </c>
      <c r="AS306" t="n">
        <v/>
      </c>
      <c r="AT306" t="n">
        <v/>
      </c>
      <c r="AU306" t="n">
        <v>18.70022</v>
      </c>
      <c r="AV306" t="n">
        <v/>
      </c>
      <c r="AW306" t="n">
        <v>19.97965</v>
      </c>
      <c r="AX306" t="n">
        <v/>
      </c>
    </row>
    <row r="307">
      <c r="A307" s="92" t="n">
        <v>27181</v>
      </c>
      <c r="B307" t="n">
        <v>28.43214</v>
      </c>
      <c r="C307" t="n">
        <v/>
      </c>
      <c r="D307" t="n">
        <v/>
      </c>
      <c r="E307" t="n">
        <v>21.73018</v>
      </c>
      <c r="F307" t="n">
        <v>44.70334</v>
      </c>
      <c r="G307" t="n">
        <v/>
      </c>
      <c r="H307" t="n">
        <v/>
      </c>
      <c r="I307" t="n">
        <v/>
      </c>
      <c r="J307" t="n">
        <v/>
      </c>
      <c r="K307" t="n">
        <v/>
      </c>
      <c r="L307" t="n">
        <v>38.07719</v>
      </c>
      <c r="M307" t="n">
        <v>19.79337</v>
      </c>
      <c r="N307" t="n">
        <v/>
      </c>
      <c r="O307" t="n">
        <v/>
      </c>
      <c r="P307" t="n">
        <v/>
      </c>
      <c r="Q307" t="n">
        <v/>
      </c>
      <c r="R307" t="n">
        <v>17.33461</v>
      </c>
      <c r="S307" t="n">
        <v>20.40333</v>
      </c>
      <c r="T307" t="n">
        <v/>
      </c>
      <c r="U307" t="n">
        <v>21.81403</v>
      </c>
      <c r="V307" t="n">
        <v>13.36636</v>
      </c>
      <c r="W307" t="n">
        <v>2.222162</v>
      </c>
      <c r="X307" t="n">
        <v/>
      </c>
      <c r="Y307" t="n">
        <v/>
      </c>
      <c r="Z307" t="n">
        <v/>
      </c>
      <c r="AA307" t="n">
        <v/>
      </c>
      <c r="AB307" t="n">
        <v/>
      </c>
      <c r="AC307" t="n">
        <v>0.003188185</v>
      </c>
      <c r="AD307" t="n">
        <v>7.843844</v>
      </c>
      <c r="AE307" t="n">
        <v>47.92654</v>
      </c>
      <c r="AF307" t="n">
        <v/>
      </c>
      <c r="AG307" t="n">
        <v/>
      </c>
      <c r="AH307" t="n">
        <v>25.73558</v>
      </c>
      <c r="AI307" t="n">
        <v/>
      </c>
      <c r="AJ307" t="n">
        <v/>
      </c>
      <c r="AK307" t="n">
        <v>30.06017</v>
      </c>
      <c r="AL307" t="n">
        <v/>
      </c>
      <c r="AM307" t="n">
        <v>9.945862</v>
      </c>
      <c r="AN307" t="n">
        <v>7.515661</v>
      </c>
      <c r="AO307" t="n">
        <v/>
      </c>
      <c r="AP307" t="n">
        <v>2.833333</v>
      </c>
      <c r="AQ307" t="n">
        <v/>
      </c>
      <c r="AR307" t="n">
        <v/>
      </c>
      <c r="AS307" t="n">
        <v/>
      </c>
      <c r="AT307" t="n">
        <v/>
      </c>
      <c r="AU307" t="n">
        <v>18.86441</v>
      </c>
      <c r="AV307" t="n">
        <v/>
      </c>
      <c r="AW307" t="n">
        <v>20.22733</v>
      </c>
      <c r="AX307" t="n">
        <v/>
      </c>
    </row>
    <row r="308">
      <c r="A308" s="92" t="n">
        <v>27211</v>
      </c>
      <c r="B308" t="n">
        <v>28.54175</v>
      </c>
      <c r="C308" t="n">
        <v/>
      </c>
      <c r="D308" t="n">
        <v/>
      </c>
      <c r="E308" t="n">
        <v>21.89751</v>
      </c>
      <c r="F308" t="n">
        <v>44.83147</v>
      </c>
      <c r="G308" t="n">
        <v/>
      </c>
      <c r="H308" t="n">
        <v/>
      </c>
      <c r="I308" t="n">
        <v/>
      </c>
      <c r="J308" t="n">
        <v/>
      </c>
      <c r="K308" t="n">
        <v/>
      </c>
      <c r="L308" t="n">
        <v>38.25134</v>
      </c>
      <c r="M308" t="n">
        <v>20.02696</v>
      </c>
      <c r="N308" t="n">
        <v/>
      </c>
      <c r="O308" t="n">
        <v/>
      </c>
      <c r="P308" t="n">
        <v/>
      </c>
      <c r="Q308" t="n">
        <v/>
      </c>
      <c r="R308" t="n">
        <v>17.73069</v>
      </c>
      <c r="S308" t="n">
        <v>20.65212</v>
      </c>
      <c r="T308" t="n">
        <v/>
      </c>
      <c r="U308" t="n">
        <v>22.04485</v>
      </c>
      <c r="V308" t="n">
        <v>13.50974</v>
      </c>
      <c r="W308" t="n">
        <v>2.233056</v>
      </c>
      <c r="X308" t="n">
        <v/>
      </c>
      <c r="Y308" t="n">
        <v/>
      </c>
      <c r="Z308" t="n">
        <v/>
      </c>
      <c r="AA308" t="n">
        <v/>
      </c>
      <c r="AB308" t="n">
        <v/>
      </c>
      <c r="AC308" t="n">
        <v>0.003265808</v>
      </c>
      <c r="AD308" t="n">
        <v>7.944287</v>
      </c>
      <c r="AE308" t="n">
        <v>48.68902</v>
      </c>
      <c r="AF308" t="n">
        <v/>
      </c>
      <c r="AG308" t="n">
        <v/>
      </c>
      <c r="AH308" t="n">
        <v>26.0197</v>
      </c>
      <c r="AI308" t="n">
        <v/>
      </c>
      <c r="AJ308" t="n">
        <v/>
      </c>
      <c r="AK308" t="n">
        <v>30.15013</v>
      </c>
      <c r="AL308" t="n">
        <v/>
      </c>
      <c r="AM308" t="n">
        <v>10.05945</v>
      </c>
      <c r="AN308" t="n">
        <v>7.581265</v>
      </c>
      <c r="AO308" t="n">
        <v/>
      </c>
      <c r="AP308" t="n">
        <v>2.821515</v>
      </c>
      <c r="AQ308" t="n">
        <v/>
      </c>
      <c r="AR308" t="n">
        <v/>
      </c>
      <c r="AS308" t="n">
        <v/>
      </c>
      <c r="AT308" t="n">
        <v/>
      </c>
      <c r="AU308" t="n">
        <v>18.91948</v>
      </c>
      <c r="AV308" t="n">
        <v/>
      </c>
      <c r="AW308" t="n">
        <v>20.43373</v>
      </c>
      <c r="AX308" t="n">
        <v/>
      </c>
    </row>
    <row r="309">
      <c r="A309" s="92" t="n">
        <v>27242</v>
      </c>
      <c r="B309" t="n">
        <v>28.6191</v>
      </c>
      <c r="C309" t="n">
        <v/>
      </c>
      <c r="D309" t="n">
        <v/>
      </c>
      <c r="E309" t="n">
        <v>22.15472</v>
      </c>
      <c r="F309" t="n">
        <v>45.23466</v>
      </c>
      <c r="G309" t="n">
        <v/>
      </c>
      <c r="H309" t="n">
        <v/>
      </c>
      <c r="I309" t="n">
        <v/>
      </c>
      <c r="J309" t="n">
        <v/>
      </c>
      <c r="K309" t="n">
        <v/>
      </c>
      <c r="L309" t="n">
        <v>38.36233</v>
      </c>
      <c r="M309" t="n">
        <v>20.14675</v>
      </c>
      <c r="N309" t="n">
        <v/>
      </c>
      <c r="O309" t="n">
        <v/>
      </c>
      <c r="P309" t="n">
        <v/>
      </c>
      <c r="Q309" t="n">
        <v/>
      </c>
      <c r="R309" t="n">
        <v>17.72208</v>
      </c>
      <c r="S309" t="n">
        <v>20.81457</v>
      </c>
      <c r="T309" t="n">
        <v/>
      </c>
      <c r="U309" t="n">
        <v>22.24886</v>
      </c>
      <c r="V309" t="n">
        <v>13.49406</v>
      </c>
      <c r="W309" t="n">
        <v>2.157271</v>
      </c>
      <c r="X309" t="n">
        <v/>
      </c>
      <c r="Y309" t="n">
        <v/>
      </c>
      <c r="Z309" t="n">
        <v/>
      </c>
      <c r="AA309" t="n">
        <v/>
      </c>
      <c r="AB309" t="n">
        <v/>
      </c>
      <c r="AC309" t="n">
        <v>0.003306055</v>
      </c>
      <c r="AD309" t="n">
        <v>8.1134</v>
      </c>
      <c r="AE309" t="n">
        <v>48.8791</v>
      </c>
      <c r="AF309" t="n">
        <v/>
      </c>
      <c r="AG309" t="n">
        <v/>
      </c>
      <c r="AH309" t="n">
        <v>26.08809</v>
      </c>
      <c r="AI309" t="n">
        <v/>
      </c>
      <c r="AJ309" t="n">
        <v/>
      </c>
      <c r="AK309" t="n">
        <v>30.39525</v>
      </c>
      <c r="AL309" t="n">
        <v/>
      </c>
      <c r="AM309" t="n">
        <v>10.15015</v>
      </c>
      <c r="AN309" t="n">
        <v>7.636706</v>
      </c>
      <c r="AO309" t="n">
        <v/>
      </c>
      <c r="AP309" t="n">
        <v>2.963217</v>
      </c>
      <c r="AQ309" t="n">
        <v/>
      </c>
      <c r="AR309" t="n">
        <v/>
      </c>
      <c r="AS309" t="n">
        <v/>
      </c>
      <c r="AT309" t="n">
        <v/>
      </c>
      <c r="AU309" t="n">
        <v>19.09414</v>
      </c>
      <c r="AV309" t="n">
        <v/>
      </c>
      <c r="AW309" t="n">
        <v>20.68141</v>
      </c>
      <c r="AX309" t="n">
        <v/>
      </c>
    </row>
    <row r="310">
      <c r="A310" s="92" t="n">
        <v>27273</v>
      </c>
      <c r="B310" t="n">
        <v>28.77166</v>
      </c>
      <c r="C310" t="n">
        <v/>
      </c>
      <c r="D310" t="n">
        <v/>
      </c>
      <c r="E310" t="n">
        <v>22.35933</v>
      </c>
      <c r="F310" t="n">
        <v>45.88121</v>
      </c>
      <c r="G310" t="n">
        <v/>
      </c>
      <c r="H310" t="n">
        <v/>
      </c>
      <c r="I310" t="n">
        <v/>
      </c>
      <c r="J310" t="n">
        <v/>
      </c>
      <c r="K310" t="n">
        <v/>
      </c>
      <c r="L310" t="n">
        <v>38.41528</v>
      </c>
      <c r="M310" t="n">
        <v>20.47581</v>
      </c>
      <c r="N310" t="n">
        <v/>
      </c>
      <c r="O310" t="n">
        <v/>
      </c>
      <c r="P310" t="n">
        <v/>
      </c>
      <c r="Q310" t="n">
        <v/>
      </c>
      <c r="R310" t="n">
        <v>17.97715</v>
      </c>
      <c r="S310" t="n">
        <v>21.0731</v>
      </c>
      <c r="T310" t="n">
        <v/>
      </c>
      <c r="U310" t="n">
        <v>22.51006</v>
      </c>
      <c r="V310" t="n">
        <v>13.6584</v>
      </c>
      <c r="W310" t="n">
        <v>2.256279</v>
      </c>
      <c r="X310" t="n">
        <v/>
      </c>
      <c r="Y310" t="n">
        <v/>
      </c>
      <c r="Z310" t="n">
        <v/>
      </c>
      <c r="AA310" t="n">
        <v/>
      </c>
      <c r="AB310" t="n">
        <v/>
      </c>
      <c r="AC310" t="n">
        <v>0.00336786</v>
      </c>
      <c r="AD310" t="n">
        <v>8.339789</v>
      </c>
      <c r="AE310" t="n">
        <v>49.39732</v>
      </c>
      <c r="AF310" t="n">
        <v/>
      </c>
      <c r="AG310" t="n">
        <v/>
      </c>
      <c r="AH310" t="n">
        <v>26.29394</v>
      </c>
      <c r="AI310" t="n">
        <v/>
      </c>
      <c r="AJ310" t="n">
        <v/>
      </c>
      <c r="AK310" t="n">
        <v>30.91654</v>
      </c>
      <c r="AL310" t="n">
        <v/>
      </c>
      <c r="AM310" t="n">
        <v>10.27629</v>
      </c>
      <c r="AN310" t="n">
        <v>7.74275</v>
      </c>
      <c r="AO310" t="n">
        <v/>
      </c>
      <c r="AP310" t="n">
        <v>3.012624</v>
      </c>
      <c r="AQ310" t="n">
        <v/>
      </c>
      <c r="AR310" t="n">
        <v/>
      </c>
      <c r="AS310" t="n">
        <v/>
      </c>
      <c r="AT310" t="n">
        <v/>
      </c>
      <c r="AU310" t="n">
        <v>19.28671</v>
      </c>
      <c r="AV310" t="n">
        <v/>
      </c>
      <c r="AW310" t="n">
        <v>20.92909</v>
      </c>
      <c r="AX310" t="n">
        <v/>
      </c>
    </row>
    <row r="311">
      <c r="A311" s="92" t="n">
        <v>27303</v>
      </c>
      <c r="B311" t="n">
        <v>29.18571</v>
      </c>
      <c r="C311" t="n">
        <v/>
      </c>
      <c r="D311" t="n">
        <v/>
      </c>
      <c r="E311" t="n">
        <v>22.61654</v>
      </c>
      <c r="F311" t="n">
        <v>46.08487</v>
      </c>
      <c r="G311" t="n">
        <v/>
      </c>
      <c r="H311" t="n">
        <v/>
      </c>
      <c r="I311" t="n">
        <v/>
      </c>
      <c r="J311" t="n">
        <v/>
      </c>
      <c r="K311" t="n">
        <v/>
      </c>
      <c r="L311" t="n">
        <v>38.67459</v>
      </c>
      <c r="M311" t="n">
        <v>20.74096</v>
      </c>
      <c r="N311" t="n">
        <v/>
      </c>
      <c r="O311" t="n">
        <v/>
      </c>
      <c r="P311" t="n">
        <v/>
      </c>
      <c r="Q311" t="n">
        <v/>
      </c>
      <c r="R311" t="n">
        <v>18.28284</v>
      </c>
      <c r="S311" t="n">
        <v>21.34666</v>
      </c>
      <c r="T311" t="n">
        <v/>
      </c>
      <c r="U311" t="n">
        <v>22.83268</v>
      </c>
      <c r="V311" t="n">
        <v>13.94738</v>
      </c>
      <c r="W311" t="n">
        <v>2.272293</v>
      </c>
      <c r="X311" t="n">
        <v/>
      </c>
      <c r="Y311" t="n">
        <v/>
      </c>
      <c r="Z311" t="n">
        <v/>
      </c>
      <c r="AA311" t="n">
        <v/>
      </c>
      <c r="AB311" t="n">
        <v/>
      </c>
      <c r="AC311" t="n">
        <v>0.003431104</v>
      </c>
      <c r="AD311" t="n">
        <v>8.493611</v>
      </c>
      <c r="AE311" t="n">
        <v>50.6383</v>
      </c>
      <c r="AF311" t="n">
        <v/>
      </c>
      <c r="AG311" t="n">
        <v/>
      </c>
      <c r="AH311" t="n">
        <v>26.55166</v>
      </c>
      <c r="AI311" t="n">
        <v/>
      </c>
      <c r="AJ311" t="n">
        <v/>
      </c>
      <c r="AK311" t="n">
        <v>31.33248</v>
      </c>
      <c r="AL311" t="n">
        <v/>
      </c>
      <c r="AM311" t="n">
        <v>10.4269</v>
      </c>
      <c r="AN311" t="n">
        <v>7.844685</v>
      </c>
      <c r="AO311" t="n">
        <v/>
      </c>
      <c r="AP311" t="n">
        <v>2.882706</v>
      </c>
      <c r="AQ311" t="n">
        <v/>
      </c>
      <c r="AR311" t="n">
        <v/>
      </c>
      <c r="AS311" t="n">
        <v/>
      </c>
      <c r="AT311" t="n">
        <v/>
      </c>
      <c r="AU311" t="n">
        <v>19.92859</v>
      </c>
      <c r="AV311" t="n">
        <v/>
      </c>
      <c r="AW311" t="n">
        <v>21.17678</v>
      </c>
      <c r="AX311" t="n">
        <v/>
      </c>
    </row>
    <row r="312">
      <c r="A312" s="92" t="n">
        <v>27334</v>
      </c>
      <c r="B312" t="n">
        <v>29.52618</v>
      </c>
      <c r="C312" t="n">
        <v/>
      </c>
      <c r="D312" t="n">
        <v/>
      </c>
      <c r="E312" t="n">
        <v>22.78388</v>
      </c>
      <c r="F312" t="n">
        <v>46.84391</v>
      </c>
      <c r="G312" t="n">
        <v/>
      </c>
      <c r="H312" t="n">
        <v/>
      </c>
      <c r="I312" t="n">
        <v/>
      </c>
      <c r="J312" t="n">
        <v/>
      </c>
      <c r="K312" t="n">
        <v/>
      </c>
      <c r="L312" t="n">
        <v>38.93201</v>
      </c>
      <c r="M312" t="n">
        <v>21.04581</v>
      </c>
      <c r="N312" t="n">
        <v/>
      </c>
      <c r="O312" t="n">
        <v/>
      </c>
      <c r="P312" t="n">
        <v/>
      </c>
      <c r="Q312" t="n">
        <v/>
      </c>
      <c r="R312" t="n">
        <v>18.47272</v>
      </c>
      <c r="S312" t="n">
        <v>21.55791</v>
      </c>
      <c r="T312" t="n">
        <v/>
      </c>
      <c r="U312" t="n">
        <v>23.06903</v>
      </c>
      <c r="V312" t="n">
        <v>14.14631</v>
      </c>
      <c r="W312" t="n">
        <v>2.319733</v>
      </c>
      <c r="X312" t="n">
        <v/>
      </c>
      <c r="Y312" t="n">
        <v/>
      </c>
      <c r="Z312" t="n">
        <v/>
      </c>
      <c r="AA312" t="n">
        <v/>
      </c>
      <c r="AB312" t="n">
        <v/>
      </c>
      <c r="AC312" t="n">
        <v>0.003695591</v>
      </c>
      <c r="AD312" t="n">
        <v>8.676470999999999</v>
      </c>
      <c r="AE312" t="n">
        <v>51.03239</v>
      </c>
      <c r="AF312" t="n">
        <v/>
      </c>
      <c r="AG312" t="n">
        <v/>
      </c>
      <c r="AH312" t="n">
        <v>26.83501</v>
      </c>
      <c r="AI312" t="n">
        <v/>
      </c>
      <c r="AJ312" t="n">
        <v/>
      </c>
      <c r="AK312" t="n">
        <v>31.5404</v>
      </c>
      <c r="AL312" t="n">
        <v/>
      </c>
      <c r="AM312" t="n">
        <v>10.54622</v>
      </c>
      <c r="AN312" t="n">
        <v>7.944963</v>
      </c>
      <c r="AO312" t="n">
        <v/>
      </c>
      <c r="AP312" t="n">
        <v>2.827102</v>
      </c>
      <c r="AQ312" t="n">
        <v/>
      </c>
      <c r="AR312" t="n">
        <v/>
      </c>
      <c r="AS312" t="n">
        <v/>
      </c>
      <c r="AT312" t="n">
        <v/>
      </c>
      <c r="AU312" t="n">
        <v>20.10742</v>
      </c>
      <c r="AV312" t="n">
        <v/>
      </c>
      <c r="AW312" t="n">
        <v>21.38318</v>
      </c>
      <c r="AX312" t="n">
        <v/>
      </c>
    </row>
    <row r="313">
      <c r="A313" s="92" t="n">
        <v>27364</v>
      </c>
      <c r="B313" t="n">
        <v>29.78979</v>
      </c>
      <c r="C313" t="n">
        <v/>
      </c>
      <c r="D313" t="n">
        <v/>
      </c>
      <c r="E313" t="n">
        <v>23.02049</v>
      </c>
      <c r="F313" t="n">
        <v>46.99837</v>
      </c>
      <c r="G313" t="n">
        <v/>
      </c>
      <c r="H313" t="n">
        <v/>
      </c>
      <c r="I313" t="n">
        <v/>
      </c>
      <c r="J313" t="n">
        <v/>
      </c>
      <c r="K313" t="n">
        <v/>
      </c>
      <c r="L313" t="n">
        <v>38.98481</v>
      </c>
      <c r="M313" t="n">
        <v>21.15296</v>
      </c>
      <c r="N313" t="n">
        <v/>
      </c>
      <c r="O313" t="n">
        <v/>
      </c>
      <c r="P313" t="n">
        <v/>
      </c>
      <c r="Q313" t="n">
        <v/>
      </c>
      <c r="R313" t="n">
        <v>18.51269</v>
      </c>
      <c r="S313" t="n">
        <v>21.75706</v>
      </c>
      <c r="T313" t="n">
        <v/>
      </c>
      <c r="U313" t="n">
        <v>23.17307</v>
      </c>
      <c r="V313" t="n">
        <v>14.24438</v>
      </c>
      <c r="W313" t="n">
        <v>2.324853</v>
      </c>
      <c r="X313" t="n">
        <v/>
      </c>
      <c r="Y313" t="n">
        <v/>
      </c>
      <c r="Z313" t="n">
        <v/>
      </c>
      <c r="AA313" t="n">
        <v/>
      </c>
      <c r="AB313" t="n">
        <v/>
      </c>
      <c r="AC313" t="n">
        <v>0.00394714</v>
      </c>
      <c r="AD313" t="n">
        <v>8.743225000000001</v>
      </c>
      <c r="AE313" t="n">
        <v>51.12381</v>
      </c>
      <c r="AF313" t="n">
        <v/>
      </c>
      <c r="AG313" t="n">
        <v/>
      </c>
      <c r="AH313" t="n">
        <v>26.95303</v>
      </c>
      <c r="AI313" t="n">
        <v/>
      </c>
      <c r="AJ313" t="n">
        <v/>
      </c>
      <c r="AK313" t="n">
        <v>31.6422</v>
      </c>
      <c r="AL313" t="n">
        <v/>
      </c>
      <c r="AM313" t="n">
        <v>10.60899</v>
      </c>
      <c r="AN313" t="n">
        <v>8.010464000000001</v>
      </c>
      <c r="AO313" t="n">
        <v/>
      </c>
      <c r="AP313" t="n">
        <v>2.832072</v>
      </c>
      <c r="AQ313" t="n">
        <v/>
      </c>
      <c r="AR313" t="n">
        <v/>
      </c>
      <c r="AS313" t="n">
        <v/>
      </c>
      <c r="AT313" t="n">
        <v/>
      </c>
      <c r="AU313" t="n">
        <v>20.18669</v>
      </c>
      <c r="AV313" t="n">
        <v/>
      </c>
      <c r="AW313" t="n">
        <v>21.46574</v>
      </c>
      <c r="AX313" t="n">
        <v/>
      </c>
    </row>
    <row r="314">
      <c r="A314" s="92" t="n">
        <v>27395</v>
      </c>
      <c r="B314" t="n">
        <v>30.09859</v>
      </c>
      <c r="C314" t="n">
        <v/>
      </c>
      <c r="D314" t="n">
        <v/>
      </c>
      <c r="E314" t="n">
        <v>22.99596</v>
      </c>
      <c r="F314" t="n">
        <v>47.25108</v>
      </c>
      <c r="G314" t="n">
        <v/>
      </c>
      <c r="H314" t="n">
        <v/>
      </c>
      <c r="I314" t="n">
        <v/>
      </c>
      <c r="J314" t="n">
        <v/>
      </c>
      <c r="K314" t="n">
        <v/>
      </c>
      <c r="L314" t="n">
        <v>39.32434</v>
      </c>
      <c r="M314" t="n">
        <v>21.1494</v>
      </c>
      <c r="N314" t="n">
        <v/>
      </c>
      <c r="O314" t="n">
        <v/>
      </c>
      <c r="P314" t="n">
        <v/>
      </c>
      <c r="Q314" t="n">
        <v/>
      </c>
      <c r="R314" t="n">
        <v>19.14764</v>
      </c>
      <c r="S314" t="n">
        <v>21.97746</v>
      </c>
      <c r="T314" t="n">
        <v/>
      </c>
      <c r="U314" t="n">
        <v>23.34119</v>
      </c>
      <c r="V314" t="n">
        <v>14.43135</v>
      </c>
      <c r="W314" t="n">
        <v>2.379302</v>
      </c>
      <c r="X314" t="n">
        <v/>
      </c>
      <c r="Y314" t="n">
        <v/>
      </c>
      <c r="Z314" t="n">
        <v/>
      </c>
      <c r="AA314" t="n">
        <v/>
      </c>
      <c r="AB314" t="n">
        <v/>
      </c>
      <c r="AC314" t="n">
        <v>0.004016133</v>
      </c>
      <c r="AD314" t="n">
        <v>8.864482000000001</v>
      </c>
      <c r="AE314" t="n">
        <v>51.74277</v>
      </c>
      <c r="AF314" t="n">
        <v/>
      </c>
      <c r="AG314" t="n">
        <v/>
      </c>
      <c r="AH314" t="n">
        <v>27.14767</v>
      </c>
      <c r="AI314" t="n">
        <v/>
      </c>
      <c r="AJ314" t="n">
        <v/>
      </c>
      <c r="AK314" t="n">
        <v>31.84188</v>
      </c>
      <c r="AL314" t="n">
        <v/>
      </c>
      <c r="AM314" t="n">
        <v>10.71115</v>
      </c>
      <c r="AN314" t="n">
        <v>8.106159999999999</v>
      </c>
      <c r="AO314" t="n">
        <v/>
      </c>
      <c r="AP314" t="n">
        <v>3.060816</v>
      </c>
      <c r="AQ314" t="n">
        <v/>
      </c>
      <c r="AR314" t="n">
        <v/>
      </c>
      <c r="AS314" t="n">
        <v/>
      </c>
      <c r="AT314" t="n">
        <v/>
      </c>
      <c r="AU314" t="n">
        <v>20.06447</v>
      </c>
      <c r="AV314" t="n">
        <v/>
      </c>
      <c r="AW314" t="n">
        <v>21.5483</v>
      </c>
      <c r="AX314" t="n">
        <v/>
      </c>
    </row>
    <row r="315">
      <c r="A315" s="92" t="n">
        <v>27426</v>
      </c>
      <c r="B315" t="n">
        <v>30.47485</v>
      </c>
      <c r="C315" t="n">
        <v/>
      </c>
      <c r="D315" t="n">
        <v/>
      </c>
      <c r="E315" t="n">
        <v>23.2656</v>
      </c>
      <c r="F315" t="n">
        <v>47.40326</v>
      </c>
      <c r="G315" t="n">
        <v/>
      </c>
      <c r="H315" t="n">
        <v/>
      </c>
      <c r="I315" t="n">
        <v/>
      </c>
      <c r="J315" t="n">
        <v/>
      </c>
      <c r="K315" t="n">
        <v/>
      </c>
      <c r="L315" t="n">
        <v>39.5545</v>
      </c>
      <c r="M315" t="n">
        <v>21.22648</v>
      </c>
      <c r="N315" t="n">
        <v/>
      </c>
      <c r="O315" t="n">
        <v/>
      </c>
      <c r="P315" t="n">
        <v/>
      </c>
      <c r="Q315" t="n">
        <v/>
      </c>
      <c r="R315" t="n">
        <v>19.39057</v>
      </c>
      <c r="S315" t="n">
        <v>22.14533</v>
      </c>
      <c r="T315" t="n">
        <v/>
      </c>
      <c r="U315" t="n">
        <v>23.5293</v>
      </c>
      <c r="V315" t="n">
        <v>14.64594</v>
      </c>
      <c r="W315" t="n">
        <v>2.352049</v>
      </c>
      <c r="X315" t="n">
        <v/>
      </c>
      <c r="Y315" t="n">
        <v/>
      </c>
      <c r="Z315" t="n">
        <v/>
      </c>
      <c r="AA315" t="n">
        <v/>
      </c>
      <c r="AB315" t="n">
        <v/>
      </c>
      <c r="AC315" t="n">
        <v>0.00405351</v>
      </c>
      <c r="AD315" t="n">
        <v>9.021122</v>
      </c>
      <c r="AE315" t="n">
        <v>51.78055</v>
      </c>
      <c r="AF315" t="n">
        <v/>
      </c>
      <c r="AG315" t="n">
        <v/>
      </c>
      <c r="AH315" t="n">
        <v>27.46976</v>
      </c>
      <c r="AI315" t="n">
        <v/>
      </c>
      <c r="AJ315" t="n">
        <v/>
      </c>
      <c r="AK315" t="n">
        <v>31.96961</v>
      </c>
      <c r="AL315" t="n">
        <v/>
      </c>
      <c r="AM315" t="n">
        <v>10.79237</v>
      </c>
      <c r="AN315" t="n">
        <v>8.179173</v>
      </c>
      <c r="AO315" t="n">
        <v/>
      </c>
      <c r="AP315" t="n">
        <v>2.910148</v>
      </c>
      <c r="AQ315" t="n">
        <v/>
      </c>
      <c r="AR315" t="n">
        <v/>
      </c>
      <c r="AS315" t="n">
        <v/>
      </c>
      <c r="AT315" t="n">
        <v/>
      </c>
      <c r="AU315" t="n">
        <v>20.29441</v>
      </c>
      <c r="AV315" t="n">
        <v/>
      </c>
      <c r="AW315" t="n">
        <v>21.71342</v>
      </c>
      <c r="AX315" t="n">
        <v/>
      </c>
    </row>
    <row r="316">
      <c r="A316" s="92" t="n">
        <v>27454</v>
      </c>
      <c r="B316" t="n">
        <v>30.73992</v>
      </c>
      <c r="C316" t="n">
        <v/>
      </c>
      <c r="D316" t="n">
        <v/>
      </c>
      <c r="E316" t="n">
        <v>23.34763</v>
      </c>
      <c r="F316" t="n">
        <v>47.71414</v>
      </c>
      <c r="G316" t="n">
        <v/>
      </c>
      <c r="H316" t="n">
        <v/>
      </c>
      <c r="I316" t="n">
        <v/>
      </c>
      <c r="J316" t="n">
        <v/>
      </c>
      <c r="K316" t="n">
        <v/>
      </c>
      <c r="L316" t="n">
        <v>39.75737</v>
      </c>
      <c r="M316" t="n">
        <v>21.41673</v>
      </c>
      <c r="N316" t="n">
        <v/>
      </c>
      <c r="O316" t="n">
        <v/>
      </c>
      <c r="P316" t="n">
        <v/>
      </c>
      <c r="Q316" t="n">
        <v/>
      </c>
      <c r="R316" t="n">
        <v>19.63128</v>
      </c>
      <c r="S316" t="n">
        <v>22.3275</v>
      </c>
      <c r="T316" t="n">
        <v/>
      </c>
      <c r="U316" t="n">
        <v>23.66333</v>
      </c>
      <c r="V316" t="n">
        <v>14.87252</v>
      </c>
      <c r="W316" t="n">
        <v>2.466975</v>
      </c>
      <c r="X316" t="n">
        <v/>
      </c>
      <c r="Y316" t="n">
        <v/>
      </c>
      <c r="Z316" t="n">
        <v/>
      </c>
      <c r="AA316" t="n">
        <v/>
      </c>
      <c r="AB316" t="n">
        <v/>
      </c>
      <c r="AC316" t="n">
        <v>0.004152692</v>
      </c>
      <c r="AD316" t="n">
        <v>9.01341</v>
      </c>
      <c r="AE316" t="n">
        <v>51.96546</v>
      </c>
      <c r="AF316" t="n">
        <v/>
      </c>
      <c r="AG316" t="n">
        <v/>
      </c>
      <c r="AH316" t="n">
        <v>27.69286</v>
      </c>
      <c r="AI316" t="n">
        <v/>
      </c>
      <c r="AJ316" t="n">
        <v/>
      </c>
      <c r="AK316" t="n">
        <v>32.55526</v>
      </c>
      <c r="AL316" t="n">
        <v/>
      </c>
      <c r="AM316" t="n">
        <v>10.87077</v>
      </c>
      <c r="AN316" t="n">
        <v>8.259675</v>
      </c>
      <c r="AO316" t="n">
        <v/>
      </c>
      <c r="AP316" t="n">
        <v>3.095944</v>
      </c>
      <c r="AQ316" t="n">
        <v/>
      </c>
      <c r="AR316" t="n">
        <v/>
      </c>
      <c r="AS316" t="n">
        <v/>
      </c>
      <c r="AT316" t="n">
        <v/>
      </c>
      <c r="AU316" t="n">
        <v>20.4091</v>
      </c>
      <c r="AV316" t="n">
        <v/>
      </c>
      <c r="AW316" t="n">
        <v>21.83726</v>
      </c>
      <c r="AX316" t="n">
        <v/>
      </c>
    </row>
    <row r="317">
      <c r="A317" s="92" t="n">
        <v>27485</v>
      </c>
      <c r="B317" t="n">
        <v>30.97037</v>
      </c>
      <c r="C317" t="n">
        <v/>
      </c>
      <c r="D317" t="n">
        <v/>
      </c>
      <c r="E317" t="n">
        <v>23.53164</v>
      </c>
      <c r="F317" t="n">
        <v>47.85561</v>
      </c>
      <c r="G317" t="n">
        <v/>
      </c>
      <c r="H317" t="n">
        <v/>
      </c>
      <c r="I317" t="n">
        <v/>
      </c>
      <c r="J317" t="n">
        <v/>
      </c>
      <c r="K317" t="n">
        <v/>
      </c>
      <c r="L317" t="n">
        <v>40.04717</v>
      </c>
      <c r="M317" t="n">
        <v>21.47536</v>
      </c>
      <c r="N317" t="n">
        <v/>
      </c>
      <c r="O317" t="n">
        <v/>
      </c>
      <c r="P317" t="n">
        <v/>
      </c>
      <c r="Q317" t="n">
        <v/>
      </c>
      <c r="R317" t="n">
        <v>19.99115</v>
      </c>
      <c r="S317" t="n">
        <v>22.5406</v>
      </c>
      <c r="T317" t="n">
        <v/>
      </c>
      <c r="U317" t="n">
        <v>23.96529</v>
      </c>
      <c r="V317" t="n">
        <v>15.489</v>
      </c>
      <c r="W317" t="n">
        <v>2.473039</v>
      </c>
      <c r="X317" t="n">
        <v/>
      </c>
      <c r="Y317" t="n">
        <v/>
      </c>
      <c r="Z317" t="n">
        <v/>
      </c>
      <c r="AA317" t="n">
        <v/>
      </c>
      <c r="AB317" t="n">
        <v/>
      </c>
      <c r="AC317" t="n">
        <v>0.004237494</v>
      </c>
      <c r="AD317" t="n">
        <v>9.141251</v>
      </c>
      <c r="AE317" t="n">
        <v>53.15152</v>
      </c>
      <c r="AF317" t="n">
        <v/>
      </c>
      <c r="AG317" t="n">
        <v/>
      </c>
      <c r="AH317" t="n">
        <v>28.03113</v>
      </c>
      <c r="AI317" t="n">
        <v/>
      </c>
      <c r="AJ317" t="n">
        <v/>
      </c>
      <c r="AK317" t="n">
        <v>32.99539</v>
      </c>
      <c r="AL317" t="n">
        <v/>
      </c>
      <c r="AM317" t="n">
        <v>11.0072</v>
      </c>
      <c r="AN317" t="n">
        <v>8.370571</v>
      </c>
      <c r="AO317" t="n">
        <v/>
      </c>
      <c r="AP317" t="n">
        <v>2.997766</v>
      </c>
      <c r="AQ317" t="n">
        <v/>
      </c>
      <c r="AR317" t="n">
        <v/>
      </c>
      <c r="AS317" t="n">
        <v/>
      </c>
      <c r="AT317" t="n">
        <v/>
      </c>
      <c r="AU317" t="n">
        <v>20.4584</v>
      </c>
      <c r="AV317" t="n">
        <v/>
      </c>
      <c r="AW317" t="n">
        <v>22.00238</v>
      </c>
      <c r="AX317" t="n">
        <v/>
      </c>
    </row>
    <row r="318">
      <c r="A318" s="92" t="n">
        <v>27515</v>
      </c>
      <c r="B318" t="n">
        <v>31.08074</v>
      </c>
      <c r="C318" t="n">
        <v/>
      </c>
      <c r="D318" t="n">
        <v/>
      </c>
      <c r="E318" t="n">
        <v>23.7931</v>
      </c>
      <c r="F318" t="n">
        <v>48.39606</v>
      </c>
      <c r="G318" t="n">
        <v/>
      </c>
      <c r="H318" t="n">
        <v/>
      </c>
      <c r="I318" t="n">
        <v/>
      </c>
      <c r="J318" t="n">
        <v/>
      </c>
      <c r="K318" t="n">
        <v/>
      </c>
      <c r="L318" t="n">
        <v>40.23123</v>
      </c>
      <c r="M318" t="n">
        <v>21.75213</v>
      </c>
      <c r="N318" t="n">
        <v/>
      </c>
      <c r="O318" t="n">
        <v/>
      </c>
      <c r="P318" t="n">
        <v/>
      </c>
      <c r="Q318" t="n">
        <v/>
      </c>
      <c r="R318" t="n">
        <v>20.21736</v>
      </c>
      <c r="S318" t="n">
        <v>22.71305</v>
      </c>
      <c r="T318" t="n">
        <v/>
      </c>
      <c r="U318" t="n">
        <v>24.18827</v>
      </c>
      <c r="V318" t="n">
        <v>16.29626</v>
      </c>
      <c r="W318" t="n">
        <v>2.470025</v>
      </c>
      <c r="X318" t="n">
        <v/>
      </c>
      <c r="Y318" t="n">
        <v/>
      </c>
      <c r="Z318" t="n">
        <v/>
      </c>
      <c r="AA318" t="n">
        <v/>
      </c>
      <c r="AB318" t="n">
        <v/>
      </c>
      <c r="AC318" t="n">
        <v>0.004270562</v>
      </c>
      <c r="AD318" t="n">
        <v>9.227465</v>
      </c>
      <c r="AE318" t="n">
        <v>53.58279</v>
      </c>
      <c r="AF318" t="n">
        <v/>
      </c>
      <c r="AG318" t="n">
        <v/>
      </c>
      <c r="AH318" t="n">
        <v>28.19812</v>
      </c>
      <c r="AI318" t="n">
        <v/>
      </c>
      <c r="AJ318" t="n">
        <v/>
      </c>
      <c r="AK318" t="n">
        <v>33.13929</v>
      </c>
      <c r="AL318" t="n">
        <v/>
      </c>
      <c r="AM318" t="n">
        <v>11.10645</v>
      </c>
      <c r="AN318" t="n">
        <v>8.484356</v>
      </c>
      <c r="AO318" t="n">
        <v/>
      </c>
      <c r="AP318" t="n">
        <v>3.036909</v>
      </c>
      <c r="AQ318" t="n">
        <v/>
      </c>
      <c r="AR318" t="n">
        <v/>
      </c>
      <c r="AS318" t="n">
        <v/>
      </c>
      <c r="AT318" t="n">
        <v/>
      </c>
      <c r="AU318" t="n">
        <v>20.82027</v>
      </c>
      <c r="AV318" t="n">
        <v/>
      </c>
      <c r="AW318" t="n">
        <v>22.08494</v>
      </c>
      <c r="AX318" t="n">
        <v/>
      </c>
    </row>
    <row r="319">
      <c r="A319" s="92" t="n">
        <v>27546</v>
      </c>
      <c r="B319" t="n">
        <v>31.02785</v>
      </c>
      <c r="C319" t="n">
        <v/>
      </c>
      <c r="D319" t="n">
        <v/>
      </c>
      <c r="E319" t="n">
        <v>23.9509</v>
      </c>
      <c r="F319" t="n">
        <v>48.51059</v>
      </c>
      <c r="G319" t="n">
        <v/>
      </c>
      <c r="H319" t="n">
        <v/>
      </c>
      <c r="I319" t="n">
        <v/>
      </c>
      <c r="J319" t="n">
        <v/>
      </c>
      <c r="K319" t="n">
        <v/>
      </c>
      <c r="L319" t="n">
        <v>40.45116</v>
      </c>
      <c r="M319" t="n">
        <v>21.88766</v>
      </c>
      <c r="N319" t="n">
        <v/>
      </c>
      <c r="O319" t="n">
        <v/>
      </c>
      <c r="P319" t="n">
        <v/>
      </c>
      <c r="Q319" t="n">
        <v/>
      </c>
      <c r="R319" t="n">
        <v>20.31727</v>
      </c>
      <c r="S319" t="n">
        <v>22.8894</v>
      </c>
      <c r="T319" t="n">
        <v/>
      </c>
      <c r="U319" t="n">
        <v>24.32588</v>
      </c>
      <c r="V319" t="n">
        <v>16.55394</v>
      </c>
      <c r="W319" t="n">
        <v>2.509369</v>
      </c>
      <c r="X319" t="n">
        <v/>
      </c>
      <c r="Y319" t="n">
        <v/>
      </c>
      <c r="Z319" t="n">
        <v/>
      </c>
      <c r="AA319" t="n">
        <v/>
      </c>
      <c r="AB319" t="n">
        <v/>
      </c>
      <c r="AC319" t="n">
        <v>0.004310808</v>
      </c>
      <c r="AD319" t="n">
        <v>9.300831000000001</v>
      </c>
      <c r="AE319" t="n">
        <v>53.77435</v>
      </c>
      <c r="AF319" t="n">
        <v/>
      </c>
      <c r="AG319" t="n">
        <v/>
      </c>
      <c r="AH319" t="n">
        <v>28.36178</v>
      </c>
      <c r="AI319" t="n">
        <v/>
      </c>
      <c r="AJ319" t="n">
        <v/>
      </c>
      <c r="AK319" t="n">
        <v>33.15602</v>
      </c>
      <c r="AL319" t="n">
        <v/>
      </c>
      <c r="AM319" t="n">
        <v>11.17717</v>
      </c>
      <c r="AN319" t="n">
        <v>8.558545000000001</v>
      </c>
      <c r="AO319" t="n">
        <v/>
      </c>
      <c r="AP319" t="n">
        <v>3.168318</v>
      </c>
      <c r="AQ319" t="n">
        <v/>
      </c>
      <c r="AR319" t="n">
        <v/>
      </c>
      <c r="AS319" t="n">
        <v/>
      </c>
      <c r="AT319" t="n">
        <v/>
      </c>
      <c r="AU319" t="n">
        <v>20.93828</v>
      </c>
      <c r="AV319" t="n">
        <v/>
      </c>
      <c r="AW319" t="n">
        <v>22.1675</v>
      </c>
      <c r="AX319" t="n">
        <v/>
      </c>
    </row>
    <row r="320">
      <c r="A320" s="92" t="n">
        <v>27576</v>
      </c>
      <c r="B320" t="n">
        <v>31.08643</v>
      </c>
      <c r="C320" t="n">
        <v/>
      </c>
      <c r="D320" t="n">
        <v/>
      </c>
      <c r="E320" t="n">
        <v>24.15443</v>
      </c>
      <c r="F320" t="n">
        <v>48.44317</v>
      </c>
      <c r="G320" t="n">
        <v/>
      </c>
      <c r="H320" t="n">
        <v/>
      </c>
      <c r="I320" t="n">
        <v/>
      </c>
      <c r="J320" t="n">
        <v/>
      </c>
      <c r="K320" t="n">
        <v/>
      </c>
      <c r="L320" t="n">
        <v>40.45131</v>
      </c>
      <c r="M320" t="n">
        <v>21.95049</v>
      </c>
      <c r="N320" t="n">
        <v/>
      </c>
      <c r="O320" t="n">
        <v/>
      </c>
      <c r="P320" t="n">
        <v/>
      </c>
      <c r="Q320" t="n">
        <v/>
      </c>
      <c r="R320" t="n">
        <v>20.66693</v>
      </c>
      <c r="S320" t="n">
        <v>23.07679</v>
      </c>
      <c r="T320" t="n">
        <v/>
      </c>
      <c r="U320" t="n">
        <v>24.45724</v>
      </c>
      <c r="V320" t="n">
        <v>16.74686</v>
      </c>
      <c r="W320" t="n">
        <v>2.516537</v>
      </c>
      <c r="X320" t="n">
        <v/>
      </c>
      <c r="Y320" t="n">
        <v/>
      </c>
      <c r="Z320" t="n">
        <v/>
      </c>
      <c r="AA320" t="n">
        <v/>
      </c>
      <c r="AB320" t="n">
        <v/>
      </c>
      <c r="AC320" t="n">
        <v>0.004356804</v>
      </c>
      <c r="AD320" t="n">
        <v>9.337418</v>
      </c>
      <c r="AE320" t="n">
        <v>53.98616</v>
      </c>
      <c r="AF320" t="n">
        <v/>
      </c>
      <c r="AG320" t="n">
        <v/>
      </c>
      <c r="AH320" t="n">
        <v>28.55794</v>
      </c>
      <c r="AI320" t="n">
        <v/>
      </c>
      <c r="AJ320" t="n">
        <v/>
      </c>
      <c r="AK320" t="n">
        <v>33.37078</v>
      </c>
      <c r="AL320" t="n">
        <v/>
      </c>
      <c r="AM320" t="n">
        <v>11.24282</v>
      </c>
      <c r="AN320" t="n">
        <v>8.607644000000001</v>
      </c>
      <c r="AO320" t="n">
        <v/>
      </c>
      <c r="AP320" t="n">
        <v>3.21232</v>
      </c>
      <c r="AQ320" t="n">
        <v/>
      </c>
      <c r="AR320" t="n">
        <v/>
      </c>
      <c r="AS320" t="n">
        <v/>
      </c>
      <c r="AT320" t="n">
        <v/>
      </c>
      <c r="AU320" t="n">
        <v>21.07595</v>
      </c>
      <c r="AV320" t="n">
        <v/>
      </c>
      <c r="AW320" t="n">
        <v>22.29134</v>
      </c>
      <c r="AX320" t="n">
        <v/>
      </c>
    </row>
    <row r="321">
      <c r="A321" s="92" t="n">
        <v>27607</v>
      </c>
      <c r="B321" t="n">
        <v>31.28916</v>
      </c>
      <c r="C321" t="n">
        <v/>
      </c>
      <c r="D321" t="n">
        <v/>
      </c>
      <c r="E321" t="n">
        <v>24.39954</v>
      </c>
      <c r="F321" t="n">
        <v>48.57072</v>
      </c>
      <c r="G321" t="n">
        <v/>
      </c>
      <c r="H321" t="n">
        <v/>
      </c>
      <c r="I321" t="n">
        <v/>
      </c>
      <c r="J321" t="n">
        <v/>
      </c>
      <c r="K321" t="n">
        <v/>
      </c>
      <c r="L321" t="n">
        <v>40.43279</v>
      </c>
      <c r="M321" t="n">
        <v>21.99331</v>
      </c>
      <c r="N321" t="n">
        <v/>
      </c>
      <c r="O321" t="n">
        <v/>
      </c>
      <c r="P321" t="n">
        <v/>
      </c>
      <c r="Q321" t="n">
        <v/>
      </c>
      <c r="R321" t="n">
        <v>20.86821</v>
      </c>
      <c r="S321" t="n">
        <v>23.22152</v>
      </c>
      <c r="T321" t="n">
        <v/>
      </c>
      <c r="U321" t="n">
        <v>24.53313</v>
      </c>
      <c r="V321" t="n">
        <v>16.88981</v>
      </c>
      <c r="W321" t="n">
        <v>2.455013</v>
      </c>
      <c r="X321" t="n">
        <v/>
      </c>
      <c r="Y321" t="n">
        <v/>
      </c>
      <c r="Z321" t="n">
        <v/>
      </c>
      <c r="AA321" t="n">
        <v/>
      </c>
      <c r="AB321" t="n">
        <v/>
      </c>
      <c r="AC321" t="n">
        <v>0.004381242</v>
      </c>
      <c r="AD321" t="n">
        <v>9.399946999999999</v>
      </c>
      <c r="AE321" t="n">
        <v>53.67147</v>
      </c>
      <c r="AF321" t="n">
        <v/>
      </c>
      <c r="AG321" t="n">
        <v/>
      </c>
      <c r="AH321" t="n">
        <v>28.65521</v>
      </c>
      <c r="AI321" t="n">
        <v/>
      </c>
      <c r="AJ321" t="n">
        <v/>
      </c>
      <c r="AK321" t="n">
        <v>33.75598</v>
      </c>
      <c r="AL321" t="n">
        <v/>
      </c>
      <c r="AM321" t="n">
        <v>11.28211</v>
      </c>
      <c r="AN321" t="n">
        <v>8.642541</v>
      </c>
      <c r="AO321" t="n">
        <v/>
      </c>
      <c r="AP321" t="n">
        <v>3.059196</v>
      </c>
      <c r="AQ321" t="n">
        <v/>
      </c>
      <c r="AR321" t="n">
        <v/>
      </c>
      <c r="AS321" t="n">
        <v/>
      </c>
      <c r="AT321" t="n">
        <v/>
      </c>
      <c r="AU321" t="n">
        <v>21.31634</v>
      </c>
      <c r="AV321" t="n">
        <v/>
      </c>
      <c r="AW321" t="n">
        <v>22.37391</v>
      </c>
      <c r="AX321" t="n">
        <v/>
      </c>
    </row>
    <row r="322">
      <c r="A322" s="92" t="n">
        <v>27638</v>
      </c>
      <c r="B322" t="n">
        <v>31.4967</v>
      </c>
      <c r="C322" t="n">
        <v/>
      </c>
      <c r="D322" t="n">
        <v/>
      </c>
      <c r="E322" t="n">
        <v>24.50642</v>
      </c>
      <c r="F322" t="n">
        <v>48.77118</v>
      </c>
      <c r="G322" t="n">
        <v/>
      </c>
      <c r="H322" t="n">
        <v/>
      </c>
      <c r="I322" t="n">
        <v/>
      </c>
      <c r="J322" t="n">
        <v/>
      </c>
      <c r="K322" t="n">
        <v/>
      </c>
      <c r="L322" t="n">
        <v>40.57294</v>
      </c>
      <c r="M322" t="n">
        <v>22.1842</v>
      </c>
      <c r="N322" t="n">
        <v/>
      </c>
      <c r="O322" t="n">
        <v/>
      </c>
      <c r="P322" t="n">
        <v/>
      </c>
      <c r="Q322" t="n">
        <v/>
      </c>
      <c r="R322" t="n">
        <v>21.13548</v>
      </c>
      <c r="S322" t="n">
        <v>23.40493</v>
      </c>
      <c r="T322" t="n">
        <v/>
      </c>
      <c r="U322" t="n">
        <v>24.74136</v>
      </c>
      <c r="V322" t="n">
        <v>17.06221</v>
      </c>
      <c r="W322" t="n">
        <v>2.594085</v>
      </c>
      <c r="X322" t="n">
        <v/>
      </c>
      <c r="Y322" t="n">
        <v/>
      </c>
      <c r="Z322" t="n">
        <v/>
      </c>
      <c r="AA322" t="n">
        <v/>
      </c>
      <c r="AB322" t="n">
        <v/>
      </c>
      <c r="AC322" t="n">
        <v>0.004461735</v>
      </c>
      <c r="AD322" t="n">
        <v>9.467840000000001</v>
      </c>
      <c r="AE322" t="n">
        <v>54.68022</v>
      </c>
      <c r="AF322" t="n">
        <v/>
      </c>
      <c r="AG322" t="n">
        <v/>
      </c>
      <c r="AH322" t="n">
        <v>28.80916</v>
      </c>
      <c r="AI322" t="n">
        <v/>
      </c>
      <c r="AJ322" t="n">
        <v/>
      </c>
      <c r="AK322" t="n">
        <v>34.15973</v>
      </c>
      <c r="AL322" t="n">
        <v/>
      </c>
      <c r="AM322" t="n">
        <v>11.3893</v>
      </c>
      <c r="AN322" t="n">
        <v>8.72494</v>
      </c>
      <c r="AO322" t="n">
        <v/>
      </c>
      <c r="AP322" t="n">
        <v>3.275576</v>
      </c>
      <c r="AQ322" t="n">
        <v/>
      </c>
      <c r="AR322" t="n">
        <v/>
      </c>
      <c r="AS322" t="n">
        <v/>
      </c>
      <c r="AT322" t="n">
        <v/>
      </c>
      <c r="AU322" t="n">
        <v>21.37774</v>
      </c>
      <c r="AV322" t="n">
        <v/>
      </c>
      <c r="AW322" t="n">
        <v>22.53903</v>
      </c>
      <c r="AX322" t="n">
        <v/>
      </c>
    </row>
    <row r="323">
      <c r="A323" s="92" t="n">
        <v>27668</v>
      </c>
      <c r="B323" t="n">
        <v>31.66246</v>
      </c>
      <c r="C323" t="n">
        <v/>
      </c>
      <c r="D323" t="n">
        <v/>
      </c>
      <c r="E323" t="n">
        <v>24.69861</v>
      </c>
      <c r="F323" t="n">
        <v>48.818</v>
      </c>
      <c r="G323" t="n">
        <v/>
      </c>
      <c r="H323" t="n">
        <v/>
      </c>
      <c r="I323" t="n">
        <v/>
      </c>
      <c r="J323" t="n">
        <v/>
      </c>
      <c r="K323" t="n">
        <v/>
      </c>
      <c r="L323" t="n">
        <v>40.60372</v>
      </c>
      <c r="M323" t="n">
        <v>21.62802</v>
      </c>
      <c r="N323" t="n">
        <v/>
      </c>
      <c r="O323" t="n">
        <v/>
      </c>
      <c r="P323" t="n">
        <v/>
      </c>
      <c r="Q323" t="n">
        <v/>
      </c>
      <c r="R323" t="n">
        <v>21.53258</v>
      </c>
      <c r="S323" t="n">
        <v>23.58778</v>
      </c>
      <c r="T323" t="n">
        <v/>
      </c>
      <c r="U323" t="n">
        <v>24.91429</v>
      </c>
      <c r="V323" t="n">
        <v>17.33904</v>
      </c>
      <c r="W323" t="n">
        <v>2.647523</v>
      </c>
      <c r="X323" t="n">
        <v/>
      </c>
      <c r="Y323" t="n">
        <v/>
      </c>
      <c r="Z323" t="n">
        <v/>
      </c>
      <c r="AA323" t="n">
        <v/>
      </c>
      <c r="AB323" t="n">
        <v/>
      </c>
      <c r="AC323" t="n">
        <v>0.004716153</v>
      </c>
      <c r="AD323" t="n">
        <v>9.577700999999999</v>
      </c>
      <c r="AE323" t="n">
        <v>55.14806</v>
      </c>
      <c r="AF323" t="n">
        <v/>
      </c>
      <c r="AG323" t="n">
        <v/>
      </c>
      <c r="AH323" t="n">
        <v>29.24068</v>
      </c>
      <c r="AI323" t="n">
        <v/>
      </c>
      <c r="AJ323" t="n">
        <v/>
      </c>
      <c r="AK323" t="n">
        <v>34.43114</v>
      </c>
      <c r="AL323" t="n">
        <v/>
      </c>
      <c r="AM323" t="n">
        <v>11.48545</v>
      </c>
      <c r="AN323" t="n">
        <v>8.797591000000001</v>
      </c>
      <c r="AO323" t="n">
        <v/>
      </c>
      <c r="AP323" t="n">
        <v>3.244262</v>
      </c>
      <c r="AQ323" t="n">
        <v/>
      </c>
      <c r="AR323" t="n">
        <v/>
      </c>
      <c r="AS323" t="n">
        <v/>
      </c>
      <c r="AT323" t="n">
        <v/>
      </c>
      <c r="AU323" t="n">
        <v>21.55783</v>
      </c>
      <c r="AV323" t="n">
        <v/>
      </c>
      <c r="AW323" t="n">
        <v>22.66287</v>
      </c>
      <c r="AX323" t="n">
        <v/>
      </c>
    </row>
    <row r="324">
      <c r="A324" s="92" t="n">
        <v>27699</v>
      </c>
      <c r="B324" t="n">
        <v>31.75622</v>
      </c>
      <c r="C324" t="n">
        <v/>
      </c>
      <c r="D324" t="n">
        <v/>
      </c>
      <c r="E324" t="n">
        <v>24.94797</v>
      </c>
      <c r="F324" t="n">
        <v>49.03836</v>
      </c>
      <c r="G324" t="n">
        <v/>
      </c>
      <c r="H324" t="n">
        <v/>
      </c>
      <c r="I324" t="n">
        <v/>
      </c>
      <c r="J324" t="n">
        <v/>
      </c>
      <c r="K324" t="n">
        <v/>
      </c>
      <c r="L324" t="n">
        <v>40.77597</v>
      </c>
      <c r="M324" t="n">
        <v>22.01386</v>
      </c>
      <c r="N324" t="n">
        <v/>
      </c>
      <c r="O324" t="n">
        <v/>
      </c>
      <c r="P324" t="n">
        <v/>
      </c>
      <c r="Q324" t="n">
        <v/>
      </c>
      <c r="R324" t="n">
        <v>21.75141</v>
      </c>
      <c r="S324" t="n">
        <v>23.7517</v>
      </c>
      <c r="T324" t="n">
        <v/>
      </c>
      <c r="U324" t="n">
        <v>25.08856</v>
      </c>
      <c r="V324" t="n">
        <v>17.50001</v>
      </c>
      <c r="W324" t="n">
        <v>2.681794</v>
      </c>
      <c r="X324" t="n">
        <v/>
      </c>
      <c r="Y324" t="n">
        <v/>
      </c>
      <c r="Z324" t="n">
        <v/>
      </c>
      <c r="AA324" t="n">
        <v>13.7499</v>
      </c>
      <c r="AB324" t="n">
        <v/>
      </c>
      <c r="AC324" t="n">
        <v>0.004861331</v>
      </c>
      <c r="AD324" t="n">
        <v>9.697020999999999</v>
      </c>
      <c r="AE324" t="n">
        <v>55.28805</v>
      </c>
      <c r="AF324" t="n">
        <v/>
      </c>
      <c r="AG324" t="n">
        <v/>
      </c>
      <c r="AH324" t="n">
        <v>29.43826</v>
      </c>
      <c r="AI324" t="n">
        <v/>
      </c>
      <c r="AJ324" t="n">
        <v/>
      </c>
      <c r="AK324" t="n">
        <v>34.50387</v>
      </c>
      <c r="AL324" t="n">
        <v/>
      </c>
      <c r="AM324" t="n">
        <v>11.56344</v>
      </c>
      <c r="AN324" t="n">
        <v>8.865091</v>
      </c>
      <c r="AO324" t="n">
        <v/>
      </c>
      <c r="AP324" t="n">
        <v>3.174836</v>
      </c>
      <c r="AQ324" t="n">
        <v/>
      </c>
      <c r="AR324" t="n">
        <v/>
      </c>
      <c r="AS324" t="n">
        <v/>
      </c>
      <c r="AT324" t="n">
        <v/>
      </c>
      <c r="AU324" t="n">
        <v>21.77091</v>
      </c>
      <c r="AV324" t="n">
        <v/>
      </c>
      <c r="AW324" t="n">
        <v>22.82799</v>
      </c>
      <c r="AX324" t="n">
        <v/>
      </c>
    </row>
    <row r="325">
      <c r="A325" s="92" t="n">
        <v>27729</v>
      </c>
      <c r="B325" t="n">
        <v>31.83212</v>
      </c>
      <c r="C325" t="n">
        <v/>
      </c>
      <c r="D325" t="n">
        <v/>
      </c>
      <c r="E325" t="n">
        <v>25.06303</v>
      </c>
      <c r="F325" t="n">
        <v>48.9952</v>
      </c>
      <c r="G325" t="n">
        <v/>
      </c>
      <c r="H325" t="n">
        <v/>
      </c>
      <c r="I325" t="n">
        <v/>
      </c>
      <c r="J325" t="n">
        <v/>
      </c>
      <c r="K325" t="n">
        <v/>
      </c>
      <c r="L325" t="n">
        <v>40.88667</v>
      </c>
      <c r="M325" t="n">
        <v>22.03876</v>
      </c>
      <c r="N325" t="n">
        <v/>
      </c>
      <c r="O325" t="n">
        <v/>
      </c>
      <c r="P325" t="n">
        <v/>
      </c>
      <c r="Q325" t="n">
        <v/>
      </c>
      <c r="R325" t="n">
        <v>21.89322</v>
      </c>
      <c r="S325" t="n">
        <v>23.8543</v>
      </c>
      <c r="T325" t="n">
        <v/>
      </c>
      <c r="U325" t="n">
        <v>25.18375</v>
      </c>
      <c r="V325" t="n">
        <v>17.60718</v>
      </c>
      <c r="W325" t="n">
        <v>2.712004</v>
      </c>
      <c r="X325" t="n">
        <v/>
      </c>
      <c r="Y325" t="n">
        <v/>
      </c>
      <c r="Z325" t="n">
        <v/>
      </c>
      <c r="AA325" t="n">
        <v>13.7499</v>
      </c>
      <c r="AB325" t="n">
        <v/>
      </c>
      <c r="AC325" t="n">
        <v>0.005137317</v>
      </c>
      <c r="AD325" t="n">
        <v>9.748034000000001</v>
      </c>
      <c r="AE325" t="n">
        <v>55.41875</v>
      </c>
      <c r="AF325" t="n">
        <v/>
      </c>
      <c r="AG325" t="n">
        <v/>
      </c>
      <c r="AH325" t="n">
        <v>29.6141</v>
      </c>
      <c r="AI325" t="n">
        <v/>
      </c>
      <c r="AJ325" t="n">
        <v/>
      </c>
      <c r="AK325" t="n">
        <v>34.56326</v>
      </c>
      <c r="AL325" t="n">
        <v/>
      </c>
      <c r="AM325" t="n">
        <v>11.62395</v>
      </c>
      <c r="AN325" t="n">
        <v>8.927922000000001</v>
      </c>
      <c r="AO325" t="n">
        <v/>
      </c>
      <c r="AP325" t="n">
        <v>3.428672</v>
      </c>
      <c r="AQ325" t="n">
        <v/>
      </c>
      <c r="AR325" t="n">
        <v/>
      </c>
      <c r="AS325" t="n">
        <v/>
      </c>
      <c r="AT325" t="n">
        <v/>
      </c>
      <c r="AU325" t="n">
        <v>21.85493</v>
      </c>
      <c r="AV325" t="n">
        <v/>
      </c>
      <c r="AW325" t="n">
        <v>22.91055</v>
      </c>
      <c r="AX325" t="n">
        <v/>
      </c>
    </row>
    <row r="326">
      <c r="A326" s="92" t="n">
        <v>27760</v>
      </c>
      <c r="B326" t="n">
        <v>33.33768</v>
      </c>
      <c r="C326" t="n">
        <v/>
      </c>
      <c r="D326" t="n">
        <v/>
      </c>
      <c r="E326" t="n">
        <v>25.14506</v>
      </c>
      <c r="F326" t="n">
        <v>49.29585</v>
      </c>
      <c r="G326" t="n">
        <v/>
      </c>
      <c r="H326" t="n">
        <v/>
      </c>
      <c r="I326" t="n">
        <v/>
      </c>
      <c r="J326" t="n">
        <v/>
      </c>
      <c r="K326" t="n">
        <v/>
      </c>
      <c r="L326" t="n">
        <v>41.18507</v>
      </c>
      <c r="M326" t="n">
        <v>22.12425</v>
      </c>
      <c r="N326" t="n">
        <v/>
      </c>
      <c r="O326" t="n">
        <v>8.525299</v>
      </c>
      <c r="P326" t="n">
        <v/>
      </c>
      <c r="Q326" t="n">
        <v/>
      </c>
      <c r="R326" t="n">
        <v>22.55958</v>
      </c>
      <c r="S326" t="n">
        <v>24.1559</v>
      </c>
      <c r="T326" t="n">
        <v/>
      </c>
      <c r="U326" t="n">
        <v>25.3912</v>
      </c>
      <c r="V326" t="n">
        <v>17.76169</v>
      </c>
      <c r="W326" t="n">
        <v>2.698739</v>
      </c>
      <c r="X326" t="n">
        <v/>
      </c>
      <c r="Y326" t="n">
        <v/>
      </c>
      <c r="Z326" t="n">
        <v/>
      </c>
      <c r="AA326" t="n">
        <v>14.8248</v>
      </c>
      <c r="AB326" t="n">
        <v/>
      </c>
      <c r="AC326" t="n">
        <v>0.005007948</v>
      </c>
      <c r="AD326" t="n">
        <v>9.950183000000001</v>
      </c>
      <c r="AE326" t="n">
        <v>56.39194</v>
      </c>
      <c r="AF326" t="n">
        <v/>
      </c>
      <c r="AG326" t="n">
        <v/>
      </c>
      <c r="AH326" t="n">
        <v>30.04614</v>
      </c>
      <c r="AI326" t="n">
        <v/>
      </c>
      <c r="AJ326" t="n">
        <v/>
      </c>
      <c r="AK326" t="n">
        <v>34.8366</v>
      </c>
      <c r="AL326" t="n">
        <v/>
      </c>
      <c r="AM326" t="n">
        <v>11.72656</v>
      </c>
      <c r="AN326" t="n">
        <v>9.010578000000001</v>
      </c>
      <c r="AO326" t="n">
        <v/>
      </c>
      <c r="AP326" t="n">
        <v>3.627667</v>
      </c>
      <c r="AQ326" t="n">
        <v/>
      </c>
      <c r="AR326" t="n">
        <v/>
      </c>
      <c r="AS326" t="n">
        <v/>
      </c>
      <c r="AT326" t="n">
        <v/>
      </c>
      <c r="AU326" t="n">
        <v>22.07961</v>
      </c>
      <c r="AV326" t="n">
        <v/>
      </c>
      <c r="AW326" t="n">
        <v>22.99311</v>
      </c>
      <c r="AX326" t="n">
        <v/>
      </c>
    </row>
    <row r="327">
      <c r="A327" s="92" t="n">
        <v>27791</v>
      </c>
      <c r="B327" t="n">
        <v>33.68732</v>
      </c>
      <c r="C327" t="n">
        <v/>
      </c>
      <c r="D327" t="n">
        <v/>
      </c>
      <c r="E327" t="n">
        <v>25.35817</v>
      </c>
      <c r="F327" t="n">
        <v>49.3095</v>
      </c>
      <c r="G327" t="n">
        <v/>
      </c>
      <c r="H327" t="n">
        <v/>
      </c>
      <c r="I327" t="n">
        <v/>
      </c>
      <c r="J327" t="n">
        <v/>
      </c>
      <c r="K327" t="n">
        <v/>
      </c>
      <c r="L327" t="n">
        <v>41.41857</v>
      </c>
      <c r="M327" t="n">
        <v>22.23518</v>
      </c>
      <c r="N327" t="n">
        <v/>
      </c>
      <c r="O327" t="n">
        <v>8.644605</v>
      </c>
      <c r="P327" t="n">
        <v/>
      </c>
      <c r="Q327" t="n">
        <v/>
      </c>
      <c r="R327" t="n">
        <v>22.89033</v>
      </c>
      <c r="S327" t="n">
        <v>24.2628</v>
      </c>
      <c r="T327" t="n">
        <v/>
      </c>
      <c r="U327" t="n">
        <v>25.57723</v>
      </c>
      <c r="V327" t="n">
        <v>17.9801</v>
      </c>
      <c r="W327" t="n">
        <v>2.670055</v>
      </c>
      <c r="X327" t="n">
        <v/>
      </c>
      <c r="Y327" t="n">
        <v/>
      </c>
      <c r="Z327" t="n">
        <v/>
      </c>
      <c r="AA327" t="n">
        <v>14.8248</v>
      </c>
      <c r="AB327" t="n">
        <v/>
      </c>
      <c r="AC327" t="n">
        <v>0.005041015</v>
      </c>
      <c r="AD327" t="n">
        <v>10.17434</v>
      </c>
      <c r="AE327" t="n">
        <v>56.70111</v>
      </c>
      <c r="AF327" t="n">
        <v/>
      </c>
      <c r="AG327" t="n">
        <v/>
      </c>
      <c r="AH327" t="n">
        <v>30.2209</v>
      </c>
      <c r="AI327" t="n">
        <v/>
      </c>
      <c r="AJ327" t="n">
        <v/>
      </c>
      <c r="AK327" t="n">
        <v>35.04774</v>
      </c>
      <c r="AL327" t="n">
        <v/>
      </c>
      <c r="AM327" t="n">
        <v>11.8132</v>
      </c>
      <c r="AN327" t="n">
        <v>9.088067000000001</v>
      </c>
      <c r="AO327" t="n">
        <v/>
      </c>
      <c r="AP327" t="n">
        <v>3.464159</v>
      </c>
      <c r="AQ327" t="n">
        <v/>
      </c>
      <c r="AR327" t="n">
        <v/>
      </c>
      <c r="AS327" t="n">
        <v/>
      </c>
      <c r="AT327" t="n">
        <v/>
      </c>
      <c r="AU327" t="n">
        <v>22.25178</v>
      </c>
      <c r="AV327" t="n">
        <v/>
      </c>
      <c r="AW327" t="n">
        <v>23.11695</v>
      </c>
      <c r="AX327" t="n">
        <v/>
      </c>
    </row>
    <row r="328">
      <c r="A328" s="92" t="n">
        <v>27820</v>
      </c>
      <c r="B328" t="n">
        <v>33.87911</v>
      </c>
      <c r="C328" t="n">
        <v/>
      </c>
      <c r="D328" t="n">
        <v/>
      </c>
      <c r="E328" t="n">
        <v>25.48958</v>
      </c>
      <c r="F328" t="n">
        <v>49.24516</v>
      </c>
      <c r="G328" t="n">
        <v/>
      </c>
      <c r="H328" t="n">
        <v/>
      </c>
      <c r="I328" t="n">
        <v/>
      </c>
      <c r="J328" t="n">
        <v/>
      </c>
      <c r="K328" t="n">
        <v/>
      </c>
      <c r="L328" t="n">
        <v>41.58046</v>
      </c>
      <c r="M328" t="n">
        <v>23.16133</v>
      </c>
      <c r="N328" t="n">
        <v/>
      </c>
      <c r="O328" t="n">
        <v>8.854469999999999</v>
      </c>
      <c r="P328" t="n">
        <v/>
      </c>
      <c r="Q328" t="n">
        <v/>
      </c>
      <c r="R328" t="n">
        <v>23.00428</v>
      </c>
      <c r="S328" t="n">
        <v>24.40298</v>
      </c>
      <c r="T328" t="n">
        <v/>
      </c>
      <c r="U328" t="n">
        <v>25.74847</v>
      </c>
      <c r="V328" t="n">
        <v>18.07391</v>
      </c>
      <c r="W328" t="n">
        <v>2.792475</v>
      </c>
      <c r="X328" t="n">
        <v/>
      </c>
      <c r="Y328" t="n">
        <v/>
      </c>
      <c r="Z328" t="n">
        <v/>
      </c>
      <c r="AA328" t="n">
        <v>14.8248</v>
      </c>
      <c r="AB328" t="n">
        <v/>
      </c>
      <c r="AC328" t="n">
        <v>0.005153126</v>
      </c>
      <c r="AD328" t="n">
        <v>10.3269</v>
      </c>
      <c r="AE328" t="n">
        <v>56.95923</v>
      </c>
      <c r="AF328" t="n">
        <v/>
      </c>
      <c r="AG328" t="n">
        <v/>
      </c>
      <c r="AH328" t="n">
        <v>30.30216</v>
      </c>
      <c r="AI328" t="n">
        <v/>
      </c>
      <c r="AJ328" t="n">
        <v/>
      </c>
      <c r="AK328" t="n">
        <v>35.22859</v>
      </c>
      <c r="AL328" t="n">
        <v/>
      </c>
      <c r="AM328" t="n">
        <v>11.90756</v>
      </c>
      <c r="AN328" t="n">
        <v>9.174875999999999</v>
      </c>
      <c r="AO328" t="n">
        <v/>
      </c>
      <c r="AP328" t="n">
        <v>3.566249</v>
      </c>
      <c r="AQ328" t="n">
        <v/>
      </c>
      <c r="AR328" t="n">
        <v/>
      </c>
      <c r="AS328" t="n">
        <v/>
      </c>
      <c r="AT328" t="n">
        <v/>
      </c>
      <c r="AU328" t="n">
        <v>22.42274</v>
      </c>
      <c r="AV328" t="n">
        <v/>
      </c>
      <c r="AW328" t="n">
        <v>23.28207</v>
      </c>
      <c r="AX328" t="n">
        <v/>
      </c>
    </row>
    <row r="329">
      <c r="A329" s="92" t="n">
        <v>27851</v>
      </c>
      <c r="B329" t="n">
        <v>33.83946</v>
      </c>
      <c r="C329" t="n">
        <v/>
      </c>
      <c r="D329" t="n">
        <v/>
      </c>
      <c r="E329" t="n">
        <v>25.61674</v>
      </c>
      <c r="F329" t="n">
        <v>49.24866</v>
      </c>
      <c r="G329" t="n">
        <v/>
      </c>
      <c r="H329" t="n">
        <v/>
      </c>
      <c r="I329" t="n">
        <v/>
      </c>
      <c r="J329" t="n">
        <v/>
      </c>
      <c r="K329" t="n">
        <v/>
      </c>
      <c r="L329" t="n">
        <v>41.72368</v>
      </c>
      <c r="M329" t="n">
        <v>23.24842</v>
      </c>
      <c r="N329" t="n">
        <v/>
      </c>
      <c r="O329" t="n">
        <v>9.104543</v>
      </c>
      <c r="P329" t="n">
        <v/>
      </c>
      <c r="Q329" t="n">
        <v/>
      </c>
      <c r="R329" t="n">
        <v>23.13469</v>
      </c>
      <c r="S329" t="n">
        <v>24.62819</v>
      </c>
      <c r="T329" t="n">
        <v/>
      </c>
      <c r="U329" t="n">
        <v>26.00446</v>
      </c>
      <c r="V329" t="n">
        <v>18.41364</v>
      </c>
      <c r="W329" t="n">
        <v>2.798342</v>
      </c>
      <c r="X329" t="n">
        <v/>
      </c>
      <c r="Y329" t="n">
        <v/>
      </c>
      <c r="Z329" t="n">
        <v/>
      </c>
      <c r="AA329" t="n">
        <v>15.70816</v>
      </c>
      <c r="AB329" t="n">
        <v/>
      </c>
      <c r="AC329" t="n">
        <v>0.005490927</v>
      </c>
      <c r="AD329" t="n">
        <v>10.52971</v>
      </c>
      <c r="AE329" t="n">
        <v>58.33062</v>
      </c>
      <c r="AF329" t="n">
        <v/>
      </c>
      <c r="AG329" t="n">
        <v/>
      </c>
      <c r="AH329" t="n">
        <v>30.75008</v>
      </c>
      <c r="AI329" t="n">
        <v/>
      </c>
      <c r="AJ329" t="n">
        <v/>
      </c>
      <c r="AK329" t="n">
        <v>36.08995</v>
      </c>
      <c r="AL329" t="n">
        <v/>
      </c>
      <c r="AM329" t="n">
        <v>12.0249</v>
      </c>
      <c r="AN329" t="n">
        <v>9.264538999999999</v>
      </c>
      <c r="AO329" t="n">
        <v/>
      </c>
      <c r="AP329" t="n">
        <v>3.228235</v>
      </c>
      <c r="AQ329" t="n">
        <v/>
      </c>
      <c r="AR329" t="n">
        <v/>
      </c>
      <c r="AS329" t="n">
        <v/>
      </c>
      <c r="AT329" t="n">
        <v/>
      </c>
      <c r="AU329" t="n">
        <v>22.59752</v>
      </c>
      <c r="AV329" t="n">
        <v/>
      </c>
      <c r="AW329" t="n">
        <v>23.40591</v>
      </c>
      <c r="AX329" t="n">
        <v/>
      </c>
    </row>
    <row r="330">
      <c r="A330" s="92" t="n">
        <v>27881</v>
      </c>
      <c r="B330" t="n">
        <v>33.94556</v>
      </c>
      <c r="C330" t="n">
        <v/>
      </c>
      <c r="D330" t="n">
        <v/>
      </c>
      <c r="E330" t="n">
        <v>25.75104</v>
      </c>
      <c r="F330" t="n">
        <v>49.25494</v>
      </c>
      <c r="G330" t="n">
        <v/>
      </c>
      <c r="H330" t="n">
        <v/>
      </c>
      <c r="I330" t="n">
        <v/>
      </c>
      <c r="J330" t="n">
        <v/>
      </c>
      <c r="K330" t="n">
        <v/>
      </c>
      <c r="L330" t="n">
        <v>41.79865</v>
      </c>
      <c r="M330" t="n">
        <v>23.51149</v>
      </c>
      <c r="N330" t="n">
        <v/>
      </c>
      <c r="O330" t="n">
        <v>9.680489</v>
      </c>
      <c r="P330" t="n">
        <v/>
      </c>
      <c r="Q330" t="n">
        <v/>
      </c>
      <c r="R330" t="n">
        <v>23.11961</v>
      </c>
      <c r="S330" t="n">
        <v>24.78282</v>
      </c>
      <c r="T330" t="n">
        <v/>
      </c>
      <c r="U330" t="n">
        <v>26.18377</v>
      </c>
      <c r="V330" t="n">
        <v>18.59864</v>
      </c>
      <c r="W330" t="n">
        <v>2.820522</v>
      </c>
      <c r="X330" t="n">
        <v/>
      </c>
      <c r="Y330" t="n">
        <v/>
      </c>
      <c r="Z330" t="n">
        <v/>
      </c>
      <c r="AA330" t="n">
        <v>15.70816</v>
      </c>
      <c r="AB330" t="n">
        <v/>
      </c>
      <c r="AC330" t="n">
        <v>0.005608786</v>
      </c>
      <c r="AD330" t="n">
        <v>10.75818</v>
      </c>
      <c r="AE330" t="n">
        <v>58.76728</v>
      </c>
      <c r="AF330" t="n">
        <v/>
      </c>
      <c r="AG330" t="n">
        <v/>
      </c>
      <c r="AH330" t="n">
        <v>30.97828</v>
      </c>
      <c r="AI330" t="n">
        <v/>
      </c>
      <c r="AJ330" t="n">
        <v/>
      </c>
      <c r="AK330" t="n">
        <v>36.23826</v>
      </c>
      <c r="AL330" t="n">
        <v/>
      </c>
      <c r="AM330" t="n">
        <v>12.12033</v>
      </c>
      <c r="AN330" t="n">
        <v>9.365615</v>
      </c>
      <c r="AO330" t="n">
        <v/>
      </c>
      <c r="AP330" t="n">
        <v>3.102803</v>
      </c>
      <c r="AQ330" t="n">
        <v/>
      </c>
      <c r="AR330" t="n">
        <v/>
      </c>
      <c r="AS330" t="n">
        <v/>
      </c>
      <c r="AT330" t="n">
        <v/>
      </c>
      <c r="AU330" t="n">
        <v>22.81964</v>
      </c>
      <c r="AV330" t="n">
        <v/>
      </c>
      <c r="AW330" t="n">
        <v>23.52975</v>
      </c>
      <c r="AX330" t="n">
        <v/>
      </c>
    </row>
    <row r="331">
      <c r="A331" s="92" t="n">
        <v>27912</v>
      </c>
      <c r="B331" t="n">
        <v>34.2415</v>
      </c>
      <c r="C331" t="n">
        <v>30.24529</v>
      </c>
      <c r="D331" t="n">
        <v/>
      </c>
      <c r="E331" t="n">
        <v>25.92687</v>
      </c>
      <c r="F331" t="n">
        <v>49.29732</v>
      </c>
      <c r="G331" t="n">
        <v/>
      </c>
      <c r="H331" t="n">
        <v/>
      </c>
      <c r="I331" t="n">
        <v/>
      </c>
      <c r="J331" t="n">
        <v/>
      </c>
      <c r="K331" t="n">
        <v/>
      </c>
      <c r="L331" t="n">
        <v>41.86691</v>
      </c>
      <c r="M331" t="n">
        <v>23.53468</v>
      </c>
      <c r="N331" t="n">
        <v/>
      </c>
      <c r="O331" t="n">
        <v>9.61467</v>
      </c>
      <c r="P331" t="n">
        <v/>
      </c>
      <c r="Q331" t="n">
        <v/>
      </c>
      <c r="R331" t="n">
        <v>23.18476</v>
      </c>
      <c r="S331" t="n">
        <v>24.87787</v>
      </c>
      <c r="T331" t="n">
        <v/>
      </c>
      <c r="U331" t="n">
        <v>26.28767</v>
      </c>
      <c r="V331" t="n">
        <v>18.70852</v>
      </c>
      <c r="W331" t="n">
        <v>2.867928</v>
      </c>
      <c r="X331" t="n">
        <v/>
      </c>
      <c r="Y331" t="n">
        <v/>
      </c>
      <c r="Z331" t="n">
        <v/>
      </c>
      <c r="AA331" t="n">
        <v>15.70816</v>
      </c>
      <c r="AB331" t="n">
        <v/>
      </c>
      <c r="AC331" t="n">
        <v>0.005695039</v>
      </c>
      <c r="AD331" t="n">
        <v>10.81775</v>
      </c>
      <c r="AE331" t="n">
        <v>59.05425</v>
      </c>
      <c r="AF331" t="n">
        <v/>
      </c>
      <c r="AG331" t="n">
        <v/>
      </c>
      <c r="AH331" t="n">
        <v>31.05589</v>
      </c>
      <c r="AI331" t="n">
        <v/>
      </c>
      <c r="AJ331" t="n">
        <v/>
      </c>
      <c r="AK331" t="n">
        <v>36.23257</v>
      </c>
      <c r="AL331" t="n">
        <v/>
      </c>
      <c r="AM331" t="n">
        <v>12.18945</v>
      </c>
      <c r="AN331" t="n">
        <v>9.440996</v>
      </c>
      <c r="AO331" t="n">
        <v/>
      </c>
      <c r="AP331" t="n">
        <v>3.465862</v>
      </c>
      <c r="AQ331" t="n">
        <v/>
      </c>
      <c r="AR331" t="n">
        <v/>
      </c>
      <c r="AS331" t="n">
        <v/>
      </c>
      <c r="AT331" t="n">
        <v/>
      </c>
      <c r="AU331" t="n">
        <v>22.99369</v>
      </c>
      <c r="AV331" t="n">
        <v/>
      </c>
      <c r="AW331" t="n">
        <v>23.61231</v>
      </c>
      <c r="AX331" t="n">
        <v/>
      </c>
    </row>
    <row r="332">
      <c r="A332" s="92" t="n">
        <v>27942</v>
      </c>
      <c r="B332" t="n">
        <v>34.28557</v>
      </c>
      <c r="C332" t="n">
        <v>30.58425</v>
      </c>
      <c r="D332" t="n">
        <v/>
      </c>
      <c r="E332" t="n">
        <v>26.11906</v>
      </c>
      <c r="F332" t="n">
        <v>49.34469</v>
      </c>
      <c r="G332" t="n">
        <v/>
      </c>
      <c r="H332" t="n">
        <v/>
      </c>
      <c r="I332" t="n">
        <v/>
      </c>
      <c r="J332" t="n">
        <v/>
      </c>
      <c r="K332" t="n">
        <v/>
      </c>
      <c r="L332" t="n">
        <v>41.87727</v>
      </c>
      <c r="M332" t="n">
        <v>23.53785</v>
      </c>
      <c r="N332" t="n">
        <v/>
      </c>
      <c r="O332" t="n">
        <v>9.683484999999999</v>
      </c>
      <c r="P332" t="n">
        <v/>
      </c>
      <c r="Q332" t="n">
        <v/>
      </c>
      <c r="R332" t="n">
        <v>23.49478</v>
      </c>
      <c r="S332" t="n">
        <v>25.15563</v>
      </c>
      <c r="T332" t="n">
        <v/>
      </c>
      <c r="U332" t="n">
        <v>26.4484</v>
      </c>
      <c r="V332" t="n">
        <v>18.85906</v>
      </c>
      <c r="W332" t="n">
        <v>2.82918</v>
      </c>
      <c r="X332" t="n">
        <v/>
      </c>
      <c r="Y332" t="n">
        <v/>
      </c>
      <c r="Z332" t="n">
        <v/>
      </c>
      <c r="AA332" t="n">
        <v>16.04036</v>
      </c>
      <c r="AB332" t="n">
        <v/>
      </c>
      <c r="AC332" t="n">
        <v>0.006014141</v>
      </c>
      <c r="AD332" t="n">
        <v>10.8824</v>
      </c>
      <c r="AE332" t="n">
        <v>59.29095</v>
      </c>
      <c r="AF332" t="n">
        <v/>
      </c>
      <c r="AG332" t="n">
        <v/>
      </c>
      <c r="AH332" t="n">
        <v>31.28049</v>
      </c>
      <c r="AI332" t="n">
        <v/>
      </c>
      <c r="AJ332" t="n">
        <v/>
      </c>
      <c r="AK332" t="n">
        <v>36.04998</v>
      </c>
      <c r="AL332" t="n">
        <v/>
      </c>
      <c r="AM332" t="n">
        <v>12.27731</v>
      </c>
      <c r="AN332" t="n">
        <v>9.505661999999999</v>
      </c>
      <c r="AO332" t="n">
        <v/>
      </c>
      <c r="AP332" t="n">
        <v>3.920298</v>
      </c>
      <c r="AQ332" t="n">
        <v/>
      </c>
      <c r="AR332" t="n">
        <v/>
      </c>
      <c r="AS332" t="n">
        <v/>
      </c>
      <c r="AT332" t="n">
        <v/>
      </c>
      <c r="AU332" t="n">
        <v>23.01771</v>
      </c>
      <c r="AV332" t="n">
        <v/>
      </c>
      <c r="AW332" t="n">
        <v>23.77743</v>
      </c>
      <c r="AX332" t="n">
        <v/>
      </c>
    </row>
    <row r="333">
      <c r="A333" s="92" t="n">
        <v>27973</v>
      </c>
      <c r="B333" t="n">
        <v>34.58133</v>
      </c>
      <c r="C333" t="n">
        <v>30.69931</v>
      </c>
      <c r="D333" t="n">
        <v/>
      </c>
      <c r="E333" t="n">
        <v>26.15634</v>
      </c>
      <c r="F333" t="n">
        <v>49.45487</v>
      </c>
      <c r="G333" t="n">
        <v/>
      </c>
      <c r="H333" t="n">
        <v/>
      </c>
      <c r="I333" t="n">
        <v/>
      </c>
      <c r="J333" t="n">
        <v/>
      </c>
      <c r="K333" t="n">
        <v/>
      </c>
      <c r="L333" t="n">
        <v>41.9744</v>
      </c>
      <c r="M333" t="n">
        <v>23.64449</v>
      </c>
      <c r="N333" t="n">
        <v/>
      </c>
      <c r="O333" t="n">
        <v>9.767343</v>
      </c>
      <c r="P333" t="n">
        <v/>
      </c>
      <c r="Q333" t="n">
        <v/>
      </c>
      <c r="R333" t="n">
        <v>23.69542</v>
      </c>
      <c r="S333" t="n">
        <v>25.313</v>
      </c>
      <c r="T333" t="n">
        <v/>
      </c>
      <c r="U333" t="n">
        <v>26.55629</v>
      </c>
      <c r="V333" t="n">
        <v>19.04148</v>
      </c>
      <c r="W333" t="n">
        <v>2.780697</v>
      </c>
      <c r="X333" t="n">
        <v/>
      </c>
      <c r="Y333" t="n">
        <v/>
      </c>
      <c r="Z333" t="n">
        <v/>
      </c>
      <c r="AA333" t="n">
        <v>16.04036</v>
      </c>
      <c r="AB333" t="n">
        <v/>
      </c>
      <c r="AC333" t="n">
        <v>0.006070197</v>
      </c>
      <c r="AD333" t="n">
        <v>11.00733</v>
      </c>
      <c r="AE333" t="n">
        <v>58.90041</v>
      </c>
      <c r="AF333" t="n">
        <v/>
      </c>
      <c r="AG333" t="n">
        <v/>
      </c>
      <c r="AH333" t="n">
        <v>31.51992</v>
      </c>
      <c r="AI333" t="n">
        <v/>
      </c>
      <c r="AJ333" t="n">
        <v/>
      </c>
      <c r="AK333" t="n">
        <v>36.28418</v>
      </c>
      <c r="AL333" t="n">
        <v/>
      </c>
      <c r="AM333" t="n">
        <v>12.33528</v>
      </c>
      <c r="AN333" t="n">
        <v>9.569049</v>
      </c>
      <c r="AO333" t="n">
        <v/>
      </c>
      <c r="AP333" t="n">
        <v>3.927312</v>
      </c>
      <c r="AQ333" t="n">
        <v/>
      </c>
      <c r="AR333" t="n">
        <v/>
      </c>
      <c r="AS333" t="n">
        <v/>
      </c>
      <c r="AT333" t="n">
        <v/>
      </c>
      <c r="AU333" t="n">
        <v>23.1395</v>
      </c>
      <c r="AV333" t="n">
        <v/>
      </c>
      <c r="AW333" t="n">
        <v>23.90127</v>
      </c>
      <c r="AX333" t="n">
        <v/>
      </c>
    </row>
    <row r="334">
      <c r="A334" s="92" t="n">
        <v>28004</v>
      </c>
      <c r="B334" t="n">
        <v>34.66238</v>
      </c>
      <c r="C334" t="n">
        <v>30.87817</v>
      </c>
      <c r="D334" t="n">
        <v/>
      </c>
      <c r="E334" t="n">
        <v>26.30404</v>
      </c>
      <c r="F334" t="n">
        <v>49.4174</v>
      </c>
      <c r="G334" t="n">
        <v/>
      </c>
      <c r="H334" t="n">
        <v/>
      </c>
      <c r="I334" t="n">
        <v/>
      </c>
      <c r="J334" t="n">
        <v/>
      </c>
      <c r="K334" t="n">
        <v/>
      </c>
      <c r="L334" t="n">
        <v>42.08364</v>
      </c>
      <c r="M334" t="n">
        <v>24.18032</v>
      </c>
      <c r="N334" t="n">
        <v/>
      </c>
      <c r="O334" t="n">
        <v>9.957314</v>
      </c>
      <c r="P334" t="n">
        <v/>
      </c>
      <c r="Q334" t="n">
        <v/>
      </c>
      <c r="R334" t="n">
        <v>23.88863</v>
      </c>
      <c r="S334" t="n">
        <v>25.56112</v>
      </c>
      <c r="T334" t="n">
        <v/>
      </c>
      <c r="U334" t="n">
        <v>26.79254</v>
      </c>
      <c r="V334" t="n">
        <v>19.1988</v>
      </c>
      <c r="W334" t="n">
        <v>2.90921</v>
      </c>
      <c r="X334" t="n">
        <v/>
      </c>
      <c r="Y334" t="n">
        <v/>
      </c>
      <c r="Z334" t="n">
        <v/>
      </c>
      <c r="AA334" t="n">
        <v>16.04036</v>
      </c>
      <c r="AB334" t="n">
        <v/>
      </c>
      <c r="AC334" t="n">
        <v>0.006192386</v>
      </c>
      <c r="AD334" t="n">
        <v>11.17039</v>
      </c>
      <c r="AE334" t="n">
        <v>60.02491</v>
      </c>
      <c r="AF334" t="n">
        <v/>
      </c>
      <c r="AG334" t="n">
        <v/>
      </c>
      <c r="AH334" t="n">
        <v>31.56567</v>
      </c>
      <c r="AI334" t="n">
        <v/>
      </c>
      <c r="AJ334" t="n">
        <v/>
      </c>
      <c r="AK334" t="n">
        <v>36.6692</v>
      </c>
      <c r="AL334" t="n">
        <v/>
      </c>
      <c r="AM334" t="n">
        <v>12.46632</v>
      </c>
      <c r="AN334" t="n">
        <v>9.668037999999999</v>
      </c>
      <c r="AO334" t="n">
        <v/>
      </c>
      <c r="AP334" t="n">
        <v>4.093121</v>
      </c>
      <c r="AQ334" t="n">
        <v/>
      </c>
      <c r="AR334" t="n">
        <v/>
      </c>
      <c r="AS334" t="n">
        <v/>
      </c>
      <c r="AT334" t="n">
        <v/>
      </c>
      <c r="AU334" t="n">
        <v>23.21492</v>
      </c>
      <c r="AV334" t="n">
        <v/>
      </c>
      <c r="AW334" t="n">
        <v>24.06639</v>
      </c>
      <c r="AX334" t="n">
        <v/>
      </c>
    </row>
    <row r="335">
      <c r="A335" s="92" t="n">
        <v>28034</v>
      </c>
      <c r="B335" t="n">
        <v>34.83029</v>
      </c>
      <c r="C335" t="n">
        <v>31.06688</v>
      </c>
      <c r="D335" t="n">
        <v/>
      </c>
      <c r="E335" t="n">
        <v>26.48413</v>
      </c>
      <c r="F335" t="n">
        <v>49.54684</v>
      </c>
      <c r="G335" t="n">
        <v/>
      </c>
      <c r="H335" t="n">
        <v/>
      </c>
      <c r="I335" t="n">
        <v/>
      </c>
      <c r="J335" t="n">
        <v/>
      </c>
      <c r="K335" t="n">
        <v/>
      </c>
      <c r="L335" t="n">
        <v>42.16722</v>
      </c>
      <c r="M335" t="n">
        <v>24.40921</v>
      </c>
      <c r="N335" t="n">
        <v/>
      </c>
      <c r="O335" t="n">
        <v>10.13335</v>
      </c>
      <c r="P335" t="n">
        <v/>
      </c>
      <c r="Q335" t="n">
        <v/>
      </c>
      <c r="R335" t="n">
        <v>24.20969</v>
      </c>
      <c r="S335" t="n">
        <v>25.79049</v>
      </c>
      <c r="T335" t="n">
        <v/>
      </c>
      <c r="U335" t="n">
        <v>26.97656</v>
      </c>
      <c r="V335" t="n">
        <v>19.49266</v>
      </c>
      <c r="W335" t="n">
        <v>2.940305</v>
      </c>
      <c r="X335" t="n">
        <v/>
      </c>
      <c r="Y335" t="n">
        <v/>
      </c>
      <c r="Z335" t="n">
        <v/>
      </c>
      <c r="AA335" t="n">
        <v>16.62937</v>
      </c>
      <c r="AB335" t="n">
        <v/>
      </c>
      <c r="AC335" t="n">
        <v>0.006410867</v>
      </c>
      <c r="AD335" t="n">
        <v>11.37062</v>
      </c>
      <c r="AE335" t="n">
        <v>60.29406</v>
      </c>
      <c r="AF335" t="n">
        <v/>
      </c>
      <c r="AG335" t="n">
        <v/>
      </c>
      <c r="AH335" t="n">
        <v>31.81825</v>
      </c>
      <c r="AI335" t="n">
        <v/>
      </c>
      <c r="AJ335" t="n">
        <v/>
      </c>
      <c r="AK335" t="n">
        <v>37.12909</v>
      </c>
      <c r="AL335" t="n">
        <v/>
      </c>
      <c r="AM335" t="n">
        <v>12.60039</v>
      </c>
      <c r="AN335" t="n">
        <v>9.771432000000001</v>
      </c>
      <c r="AO335" t="n">
        <v/>
      </c>
      <c r="AP335" t="n">
        <v>4.219022</v>
      </c>
      <c r="AQ335" t="n">
        <v/>
      </c>
      <c r="AR335" t="n">
        <v/>
      </c>
      <c r="AS335" t="n">
        <v/>
      </c>
      <c r="AT335" t="n">
        <v/>
      </c>
      <c r="AU335" t="n">
        <v>23.6229</v>
      </c>
      <c r="AV335" t="n">
        <v/>
      </c>
      <c r="AW335" t="n">
        <v>24.19024</v>
      </c>
      <c r="AX335" t="n">
        <v/>
      </c>
    </row>
    <row r="336">
      <c r="A336" s="92" t="n">
        <v>28065</v>
      </c>
      <c r="B336" t="n">
        <v>35.00436</v>
      </c>
      <c r="C336" t="n">
        <v>31.18227</v>
      </c>
      <c r="D336" t="n">
        <v/>
      </c>
      <c r="E336" t="n">
        <v>26.63189</v>
      </c>
      <c r="F336" t="n">
        <v>49.64544</v>
      </c>
      <c r="G336" t="n">
        <v/>
      </c>
      <c r="H336" t="n">
        <v/>
      </c>
      <c r="I336" t="n">
        <v/>
      </c>
      <c r="J336" t="n">
        <v/>
      </c>
      <c r="K336" t="n">
        <v/>
      </c>
      <c r="L336" t="n">
        <v>42.3103</v>
      </c>
      <c r="M336" t="n">
        <v>24.73252</v>
      </c>
      <c r="N336" t="n">
        <v/>
      </c>
      <c r="O336" t="n">
        <v>10.40633</v>
      </c>
      <c r="P336" t="n">
        <v/>
      </c>
      <c r="Q336" t="n">
        <v/>
      </c>
      <c r="R336" t="n">
        <v>24.35386</v>
      </c>
      <c r="S336" t="n">
        <v>25.90268</v>
      </c>
      <c r="T336" t="n">
        <v/>
      </c>
      <c r="U336" t="n">
        <v>27.15848</v>
      </c>
      <c r="V336" t="n">
        <v>19.6777</v>
      </c>
      <c r="W336" t="n">
        <v>2.977493</v>
      </c>
      <c r="X336" t="n">
        <v/>
      </c>
      <c r="Y336" t="n">
        <v/>
      </c>
      <c r="Z336" t="n">
        <v/>
      </c>
      <c r="AA336" t="n">
        <v>16.62937</v>
      </c>
      <c r="AB336" t="n">
        <v/>
      </c>
      <c r="AC336" t="n">
        <v>0.006620729</v>
      </c>
      <c r="AD336" t="n">
        <v>11.60929</v>
      </c>
      <c r="AE336" t="n">
        <v>60.70117</v>
      </c>
      <c r="AF336" t="n">
        <v/>
      </c>
      <c r="AG336" t="n">
        <v/>
      </c>
      <c r="AH336" t="n">
        <v>32.06254</v>
      </c>
      <c r="AI336" t="n">
        <v/>
      </c>
      <c r="AJ336" t="n">
        <v/>
      </c>
      <c r="AK336" t="n">
        <v>37.26871</v>
      </c>
      <c r="AL336" t="n">
        <v/>
      </c>
      <c r="AM336" t="n">
        <v>12.71456</v>
      </c>
      <c r="AN336" t="n">
        <v>9.865949000000001</v>
      </c>
      <c r="AO336" t="n">
        <v/>
      </c>
      <c r="AP336" t="n">
        <v>4.23291</v>
      </c>
      <c r="AQ336" t="n">
        <v/>
      </c>
      <c r="AR336" t="n">
        <v/>
      </c>
      <c r="AS336" t="n">
        <v/>
      </c>
      <c r="AT336" t="n">
        <v/>
      </c>
      <c r="AU336" t="n">
        <v>23.81435</v>
      </c>
      <c r="AV336" t="n">
        <v/>
      </c>
      <c r="AW336" t="n">
        <v>24.31408</v>
      </c>
      <c r="AX336" t="n">
        <v/>
      </c>
    </row>
    <row r="337">
      <c r="A337" s="92" t="n">
        <v>28095</v>
      </c>
      <c r="B337" t="n">
        <v>35.21498</v>
      </c>
      <c r="C337" t="n">
        <v>31.32432</v>
      </c>
      <c r="D337" t="n">
        <v/>
      </c>
      <c r="E337" t="n">
        <v>26.72177</v>
      </c>
      <c r="F337" t="n">
        <v>49.74926</v>
      </c>
      <c r="G337" t="n">
        <v/>
      </c>
      <c r="H337" t="n">
        <v/>
      </c>
      <c r="I337" t="n">
        <v/>
      </c>
      <c r="J337" t="n">
        <v/>
      </c>
      <c r="K337" t="n">
        <v/>
      </c>
      <c r="L337" t="n">
        <v>42.38015</v>
      </c>
      <c r="M337" t="n">
        <v>24.78144</v>
      </c>
      <c r="N337" t="n">
        <v/>
      </c>
      <c r="O337" t="n">
        <v>10.48188</v>
      </c>
      <c r="P337" t="n">
        <v/>
      </c>
      <c r="Q337" t="n">
        <v/>
      </c>
      <c r="R337" t="n">
        <v>24.42946</v>
      </c>
      <c r="S337" t="n">
        <v>25.98697</v>
      </c>
      <c r="T337" t="n">
        <v/>
      </c>
      <c r="U337" t="n">
        <v>27.24494</v>
      </c>
      <c r="V337" t="n">
        <v>19.92048</v>
      </c>
      <c r="W337" t="n">
        <v>3.025565</v>
      </c>
      <c r="X337" t="n">
        <v/>
      </c>
      <c r="Y337" t="n">
        <v/>
      </c>
      <c r="Z337" t="n">
        <v/>
      </c>
      <c r="AA337" t="n">
        <v>16.62937</v>
      </c>
      <c r="AB337" t="n">
        <v/>
      </c>
      <c r="AC337" t="n">
        <v>0.006760157</v>
      </c>
      <c r="AD337" t="n">
        <v>11.55296</v>
      </c>
      <c r="AE337" t="n">
        <v>61.65726</v>
      </c>
      <c r="AF337" t="n">
        <v/>
      </c>
      <c r="AG337" t="n">
        <v/>
      </c>
      <c r="AH337" t="n">
        <v>32.2636</v>
      </c>
      <c r="AI337" t="n">
        <v/>
      </c>
      <c r="AJ337" t="n">
        <v/>
      </c>
      <c r="AK337" t="n">
        <v>37.26116</v>
      </c>
      <c r="AL337" t="n">
        <v/>
      </c>
      <c r="AM337" t="n">
        <v>12.78224</v>
      </c>
      <c r="AN337" t="n">
        <v>9.926819999999999</v>
      </c>
      <c r="AO337" t="n">
        <v/>
      </c>
      <c r="AP337" t="n">
        <v>4.409562</v>
      </c>
      <c r="AQ337" t="n">
        <v/>
      </c>
      <c r="AR337" t="n">
        <v/>
      </c>
      <c r="AS337" t="n">
        <v/>
      </c>
      <c r="AT337" t="n">
        <v/>
      </c>
      <c r="AU337" t="n">
        <v>23.85207</v>
      </c>
      <c r="AV337" t="n">
        <v/>
      </c>
      <c r="AW337" t="n">
        <v>24.31408</v>
      </c>
      <c r="AX337" t="n">
        <v/>
      </c>
    </row>
    <row r="338">
      <c r="A338" s="92" t="n">
        <v>28126</v>
      </c>
      <c r="B338" t="n">
        <v>35.60808</v>
      </c>
      <c r="C338" t="n">
        <v>31.60219</v>
      </c>
      <c r="D338" t="n">
        <v/>
      </c>
      <c r="E338" t="n">
        <v>26.92567</v>
      </c>
      <c r="F338" t="n">
        <v>49.81601</v>
      </c>
      <c r="G338" t="n">
        <v/>
      </c>
      <c r="H338" t="n">
        <v/>
      </c>
      <c r="I338" t="n">
        <v/>
      </c>
      <c r="J338" t="n">
        <v/>
      </c>
      <c r="K338" t="n">
        <v/>
      </c>
      <c r="L338" t="n">
        <v>42.80122</v>
      </c>
      <c r="M338" t="n">
        <v>24.7621</v>
      </c>
      <c r="N338" t="n">
        <v/>
      </c>
      <c r="O338" t="n">
        <v>10.83334</v>
      </c>
      <c r="P338" t="n">
        <v/>
      </c>
      <c r="Q338" t="n">
        <v/>
      </c>
      <c r="R338" t="n">
        <v>24.84917</v>
      </c>
      <c r="S338" t="n">
        <v>26.04235</v>
      </c>
      <c r="T338" t="n">
        <v/>
      </c>
      <c r="U338" t="n">
        <v>27.45883</v>
      </c>
      <c r="V338" t="n">
        <v>20.4331</v>
      </c>
      <c r="W338" t="n">
        <v>3.009188</v>
      </c>
      <c r="X338" t="n">
        <v/>
      </c>
      <c r="Y338" t="n">
        <v/>
      </c>
      <c r="Z338" t="n">
        <v/>
      </c>
      <c r="AA338" t="n">
        <v>17.20096</v>
      </c>
      <c r="AB338" t="n">
        <v/>
      </c>
      <c r="AC338" t="n">
        <v>0.006749628</v>
      </c>
      <c r="AD338" t="n">
        <v>11.83336</v>
      </c>
      <c r="AE338" t="n">
        <v>61.65726</v>
      </c>
      <c r="AF338" t="n">
        <v/>
      </c>
      <c r="AG338" t="n">
        <v/>
      </c>
      <c r="AH338" t="n">
        <v>32.46339</v>
      </c>
      <c r="AI338" t="n">
        <v/>
      </c>
      <c r="AJ338" t="n">
        <v/>
      </c>
      <c r="AK338" t="n">
        <v>37.2952</v>
      </c>
      <c r="AL338" t="n">
        <v/>
      </c>
      <c r="AM338" t="n">
        <v>12.90181</v>
      </c>
      <c r="AN338" t="n">
        <v>10.05641</v>
      </c>
      <c r="AO338" t="n">
        <v/>
      </c>
      <c r="AP338" t="n">
        <v>4.324236</v>
      </c>
      <c r="AQ338" t="n">
        <v/>
      </c>
      <c r="AR338" t="n">
        <v/>
      </c>
      <c r="AS338" t="n">
        <v/>
      </c>
      <c r="AT338" t="n">
        <v/>
      </c>
      <c r="AU338" t="n">
        <v>24.05986</v>
      </c>
      <c r="AV338" t="n">
        <v/>
      </c>
      <c r="AW338" t="n">
        <v>24.43792</v>
      </c>
      <c r="AX338" t="n">
        <v/>
      </c>
    </row>
    <row r="339">
      <c r="A339" s="92" t="n">
        <v>28157</v>
      </c>
      <c r="B339" t="n">
        <v>35.76566</v>
      </c>
      <c r="C339" t="n">
        <v>31.85537</v>
      </c>
      <c r="D339" t="n">
        <v/>
      </c>
      <c r="E339" t="n">
        <v>27.0433</v>
      </c>
      <c r="F339" t="n">
        <v>49.86226</v>
      </c>
      <c r="G339" t="n">
        <v/>
      </c>
      <c r="H339" t="n">
        <v/>
      </c>
      <c r="I339" t="n">
        <v/>
      </c>
      <c r="J339" t="n">
        <v/>
      </c>
      <c r="K339" t="n">
        <v/>
      </c>
      <c r="L339" t="n">
        <v>42.97681</v>
      </c>
      <c r="M339" t="n">
        <v>24.78806</v>
      </c>
      <c r="N339" t="n">
        <v/>
      </c>
      <c r="O339" t="n">
        <v>11.05988</v>
      </c>
      <c r="P339" t="n">
        <v/>
      </c>
      <c r="Q339" t="n">
        <v/>
      </c>
      <c r="R339" t="n">
        <v>25.03677</v>
      </c>
      <c r="S339" t="n">
        <v>26.17767</v>
      </c>
      <c r="T339" t="n">
        <v/>
      </c>
      <c r="U339" t="n">
        <v>27.63953</v>
      </c>
      <c r="V339" t="n">
        <v>20.69914</v>
      </c>
      <c r="W339" t="n">
        <v>2.987658</v>
      </c>
      <c r="X339" t="n">
        <v/>
      </c>
      <c r="Y339" t="n">
        <v/>
      </c>
      <c r="Z339" t="n">
        <v/>
      </c>
      <c r="AA339" t="n">
        <v>17.20096</v>
      </c>
      <c r="AB339" t="n">
        <v/>
      </c>
      <c r="AC339" t="n">
        <v>0.006825531</v>
      </c>
      <c r="AD339" t="n">
        <v>12.07726</v>
      </c>
      <c r="AE339" t="n">
        <v>61.90625</v>
      </c>
      <c r="AF339" t="n">
        <v/>
      </c>
      <c r="AG339" t="n">
        <v/>
      </c>
      <c r="AH339" t="n">
        <v>32.70895</v>
      </c>
      <c r="AI339" t="n">
        <v/>
      </c>
      <c r="AJ339" t="n">
        <v/>
      </c>
      <c r="AK339" t="n">
        <v>37.56136</v>
      </c>
      <c r="AL339" t="n">
        <v/>
      </c>
      <c r="AM339" t="n">
        <v>13.00488</v>
      </c>
      <c r="AN339" t="n">
        <v>10.15956</v>
      </c>
      <c r="AO339" t="n">
        <v/>
      </c>
      <c r="AP339" t="n">
        <v>4.408835</v>
      </c>
      <c r="AQ339" t="n">
        <v/>
      </c>
      <c r="AR339" t="n">
        <v/>
      </c>
      <c r="AS339" t="n">
        <v/>
      </c>
      <c r="AT339" t="n">
        <v/>
      </c>
      <c r="AU339" t="n">
        <v>24.378</v>
      </c>
      <c r="AV339" t="n">
        <v/>
      </c>
      <c r="AW339" t="n">
        <v>24.56176</v>
      </c>
      <c r="AX339" t="n">
        <v/>
      </c>
    </row>
    <row r="340">
      <c r="A340" s="92" t="n">
        <v>28185</v>
      </c>
      <c r="B340" t="n">
        <v>35.94795</v>
      </c>
      <c r="C340" t="n">
        <v>32.0219</v>
      </c>
      <c r="D340" t="n">
        <v/>
      </c>
      <c r="E340" t="n">
        <v>27.33349</v>
      </c>
      <c r="F340" t="n">
        <v>49.84047</v>
      </c>
      <c r="G340" t="n">
        <v/>
      </c>
      <c r="H340" t="n">
        <v/>
      </c>
      <c r="I340" t="n">
        <v/>
      </c>
      <c r="J340" t="n">
        <v/>
      </c>
      <c r="K340" t="n">
        <v/>
      </c>
      <c r="L340" t="n">
        <v>43.06885</v>
      </c>
      <c r="M340" t="n">
        <v>25.19747</v>
      </c>
      <c r="N340" t="n">
        <v/>
      </c>
      <c r="O340" t="n">
        <v>11.34148</v>
      </c>
      <c r="P340" t="n">
        <v/>
      </c>
      <c r="Q340" t="n">
        <v/>
      </c>
      <c r="R340" t="n">
        <v>25.23324</v>
      </c>
      <c r="S340" t="n">
        <v>26.40246</v>
      </c>
      <c r="T340" t="n">
        <v/>
      </c>
      <c r="U340" t="n">
        <v>27.82631</v>
      </c>
      <c r="V340" t="n">
        <v>20.92417</v>
      </c>
      <c r="W340" t="n">
        <v>3.063397</v>
      </c>
      <c r="X340" t="n">
        <v/>
      </c>
      <c r="Y340" t="n">
        <v/>
      </c>
      <c r="Z340" t="n">
        <v/>
      </c>
      <c r="AA340" t="n">
        <v>17.20096</v>
      </c>
      <c r="AB340" t="n">
        <v/>
      </c>
      <c r="AC340" t="n">
        <v>0.006901435</v>
      </c>
      <c r="AD340" t="n">
        <v>12.23713</v>
      </c>
      <c r="AE340" t="n">
        <v>62.06357</v>
      </c>
      <c r="AF340" t="n">
        <v/>
      </c>
      <c r="AG340" t="n">
        <v/>
      </c>
      <c r="AH340" t="n">
        <v>32.85716</v>
      </c>
      <c r="AI340" t="n">
        <v/>
      </c>
      <c r="AJ340" t="n">
        <v/>
      </c>
      <c r="AK340" t="n">
        <v>37.77056</v>
      </c>
      <c r="AL340" t="n">
        <v/>
      </c>
      <c r="AM340" t="n">
        <v>13.11408</v>
      </c>
      <c r="AN340" t="n">
        <v>10.265</v>
      </c>
      <c r="AO340" t="n">
        <v/>
      </c>
      <c r="AP340" t="n">
        <v>4.555506</v>
      </c>
      <c r="AQ340" t="n">
        <v/>
      </c>
      <c r="AR340" t="n">
        <v/>
      </c>
      <c r="AS340" t="n">
        <v/>
      </c>
      <c r="AT340" t="n">
        <v/>
      </c>
      <c r="AU340" t="n">
        <v>24.59975</v>
      </c>
      <c r="AV340" t="n">
        <v/>
      </c>
      <c r="AW340" t="n">
        <v>24.72688</v>
      </c>
      <c r="AX340" t="n">
        <v/>
      </c>
    </row>
    <row r="341">
      <c r="A341" s="92" t="n">
        <v>28216</v>
      </c>
      <c r="B341" t="n">
        <v>36.08455</v>
      </c>
      <c r="C341" t="n">
        <v>32.36799</v>
      </c>
      <c r="D341" t="n">
        <v/>
      </c>
      <c r="E341" t="n">
        <v>27.45962</v>
      </c>
      <c r="F341" t="n">
        <v>49.8998</v>
      </c>
      <c r="G341" t="n">
        <v/>
      </c>
      <c r="H341" t="n">
        <v/>
      </c>
      <c r="I341" t="n">
        <v/>
      </c>
      <c r="J341" t="n">
        <v/>
      </c>
      <c r="K341" t="n">
        <v/>
      </c>
      <c r="L341" t="n">
        <v>43.23074</v>
      </c>
      <c r="M341" t="n">
        <v>25.45348</v>
      </c>
      <c r="N341" t="n">
        <v/>
      </c>
      <c r="O341" t="n">
        <v>11.61843</v>
      </c>
      <c r="P341" t="n">
        <v/>
      </c>
      <c r="Q341" t="n">
        <v/>
      </c>
      <c r="R341" t="n">
        <v>25.40985</v>
      </c>
      <c r="S341" t="n">
        <v>26.71771</v>
      </c>
      <c r="T341" t="n">
        <v/>
      </c>
      <c r="U341" t="n">
        <v>28.11419</v>
      </c>
      <c r="V341" t="n">
        <v>21.47893</v>
      </c>
      <c r="W341" t="n">
        <v>3.129934</v>
      </c>
      <c r="X341" t="n">
        <v/>
      </c>
      <c r="Y341" t="n">
        <v/>
      </c>
      <c r="Z341" t="n">
        <v/>
      </c>
      <c r="AA341" t="n">
        <v>17.76326</v>
      </c>
      <c r="AB341" t="n">
        <v/>
      </c>
      <c r="AC341" t="n">
        <v>0.007129145</v>
      </c>
      <c r="AD341" t="n">
        <v>12.39699</v>
      </c>
      <c r="AE341" t="n">
        <v>63.34902</v>
      </c>
      <c r="AF341" t="n">
        <v/>
      </c>
      <c r="AG341" t="n">
        <v/>
      </c>
      <c r="AH341" t="n">
        <v>33.18306</v>
      </c>
      <c r="AI341" t="n">
        <v/>
      </c>
      <c r="AJ341" t="n">
        <v/>
      </c>
      <c r="AK341" t="n">
        <v>38.58783</v>
      </c>
      <c r="AL341" t="n">
        <v/>
      </c>
      <c r="AM341" t="n">
        <v>13.26427</v>
      </c>
      <c r="AN341" t="n">
        <v>10.40337</v>
      </c>
      <c r="AO341" t="n">
        <v/>
      </c>
      <c r="AP341" t="n">
        <v>4.718025</v>
      </c>
      <c r="AQ341" t="n">
        <v/>
      </c>
      <c r="AR341" t="n">
        <v/>
      </c>
      <c r="AS341" t="n">
        <v/>
      </c>
      <c r="AT341" t="n">
        <v/>
      </c>
      <c r="AU341" t="n">
        <v>24.83757</v>
      </c>
      <c r="AV341" t="n">
        <v/>
      </c>
      <c r="AW341" t="n">
        <v>24.892</v>
      </c>
      <c r="AX341" t="n">
        <v/>
      </c>
    </row>
    <row r="342">
      <c r="A342" s="92" t="n">
        <v>28246</v>
      </c>
      <c r="B342" t="n">
        <v>36.27894</v>
      </c>
      <c r="C342" t="n">
        <v>32.60591</v>
      </c>
      <c r="D342" t="n">
        <v/>
      </c>
      <c r="E342" t="n">
        <v>27.79853</v>
      </c>
      <c r="F342" t="n">
        <v>49.91444</v>
      </c>
      <c r="G342" t="n">
        <v/>
      </c>
      <c r="H342" t="n">
        <v/>
      </c>
      <c r="I342" t="n">
        <v/>
      </c>
      <c r="J342" t="n">
        <v/>
      </c>
      <c r="K342" t="n">
        <v/>
      </c>
      <c r="L342" t="n">
        <v>43.37221</v>
      </c>
      <c r="M342" t="n">
        <v>25.81157</v>
      </c>
      <c r="N342" t="n">
        <v/>
      </c>
      <c r="O342" t="n">
        <v>11.7663</v>
      </c>
      <c r="P342" t="n">
        <v/>
      </c>
      <c r="Q342" t="n">
        <v/>
      </c>
      <c r="R342" t="n">
        <v>25.76602</v>
      </c>
      <c r="S342" t="n">
        <v>26.94846</v>
      </c>
      <c r="T342" t="n">
        <v/>
      </c>
      <c r="U342" t="n">
        <v>28.30659</v>
      </c>
      <c r="V342" t="n">
        <v>21.60151</v>
      </c>
      <c r="W342" t="n">
        <v>3.178402</v>
      </c>
      <c r="X342" t="n">
        <v/>
      </c>
      <c r="Y342" t="n">
        <v/>
      </c>
      <c r="Z342" t="n">
        <v/>
      </c>
      <c r="AA342" t="n">
        <v>17.76326</v>
      </c>
      <c r="AB342" t="n">
        <v/>
      </c>
      <c r="AC342" t="n">
        <v>0.007286792</v>
      </c>
      <c r="AD342" t="n">
        <v>12.56199</v>
      </c>
      <c r="AE342" t="n">
        <v>64.04894</v>
      </c>
      <c r="AF342" t="n">
        <v/>
      </c>
      <c r="AG342" t="n">
        <v/>
      </c>
      <c r="AH342" t="n">
        <v>33.32087</v>
      </c>
      <c r="AI342" t="n">
        <v/>
      </c>
      <c r="AJ342" t="n">
        <v/>
      </c>
      <c r="AK342" t="n">
        <v>38.67001</v>
      </c>
      <c r="AL342" t="n">
        <v/>
      </c>
      <c r="AM342" t="n">
        <v>13.35632</v>
      </c>
      <c r="AN342" t="n">
        <v>10.4795</v>
      </c>
      <c r="AO342" t="n">
        <v/>
      </c>
      <c r="AP342" t="n">
        <v>4.740865</v>
      </c>
      <c r="AQ342" t="n">
        <v/>
      </c>
      <c r="AR342" t="n">
        <v/>
      </c>
      <c r="AS342" t="n">
        <v/>
      </c>
      <c r="AT342" t="n">
        <v/>
      </c>
      <c r="AU342" t="n">
        <v>25.17904</v>
      </c>
      <c r="AV342" t="n">
        <v/>
      </c>
      <c r="AW342" t="n">
        <v>25.01584</v>
      </c>
      <c r="AX342" t="n">
        <v/>
      </c>
    </row>
    <row r="343">
      <c r="A343" s="92" t="n">
        <v>28277</v>
      </c>
      <c r="B343" t="n">
        <v>36.4937</v>
      </c>
      <c r="C343" t="n">
        <v>32.80462</v>
      </c>
      <c r="D343" t="n">
        <v/>
      </c>
      <c r="E343" t="n">
        <v>27.83871</v>
      </c>
      <c r="F343" t="n">
        <v>50.11962</v>
      </c>
      <c r="G343" t="n">
        <v/>
      </c>
      <c r="H343" t="n">
        <v/>
      </c>
      <c r="I343" t="n">
        <v/>
      </c>
      <c r="J343" t="n">
        <v/>
      </c>
      <c r="K343" t="n">
        <v/>
      </c>
      <c r="L343" t="n">
        <v>43.56998</v>
      </c>
      <c r="M343" t="n">
        <v>25.92339</v>
      </c>
      <c r="N343" t="n">
        <v/>
      </c>
      <c r="O343" t="n">
        <v>12.02842</v>
      </c>
      <c r="P343" t="n">
        <v/>
      </c>
      <c r="Q343" t="n">
        <v/>
      </c>
      <c r="R343" t="n">
        <v>25.83122</v>
      </c>
      <c r="S343" t="n">
        <v>27.1426</v>
      </c>
      <c r="T343" t="n">
        <v/>
      </c>
      <c r="U343" t="n">
        <v>28.46337</v>
      </c>
      <c r="V343" t="n">
        <v>21.75365</v>
      </c>
      <c r="W343" t="n">
        <v>3.190338</v>
      </c>
      <c r="X343" t="n">
        <v/>
      </c>
      <c r="Y343" t="n">
        <v/>
      </c>
      <c r="Z343" t="n">
        <v/>
      </c>
      <c r="AA343" t="n">
        <v>17.76326</v>
      </c>
      <c r="AB343" t="n">
        <v/>
      </c>
      <c r="AC343" t="n">
        <v>0.007403572</v>
      </c>
      <c r="AD343" t="n">
        <v>12.62811</v>
      </c>
      <c r="AE343" t="n">
        <v>64.18436</v>
      </c>
      <c r="AF343" t="n">
        <v/>
      </c>
      <c r="AG343" t="n">
        <v/>
      </c>
      <c r="AH343" t="n">
        <v>33.52569</v>
      </c>
      <c r="AI343" t="n">
        <v/>
      </c>
      <c r="AJ343" t="n">
        <v/>
      </c>
      <c r="AK343" t="n">
        <v>38.61463</v>
      </c>
      <c r="AL343" t="n">
        <v/>
      </c>
      <c r="AM343" t="n">
        <v>13.44547</v>
      </c>
      <c r="AN343" t="n">
        <v>10.56068</v>
      </c>
      <c r="AO343" t="n">
        <v/>
      </c>
      <c r="AP343" t="n">
        <v>4.757581</v>
      </c>
      <c r="AQ343" t="n">
        <v/>
      </c>
      <c r="AR343" t="n">
        <v/>
      </c>
      <c r="AS343" t="n">
        <v/>
      </c>
      <c r="AT343" t="n">
        <v/>
      </c>
      <c r="AU343" t="n">
        <v>25.70252</v>
      </c>
      <c r="AV343" t="n">
        <v/>
      </c>
      <c r="AW343" t="n">
        <v>25.18096</v>
      </c>
      <c r="AX343" t="n">
        <v/>
      </c>
    </row>
    <row r="344">
      <c r="A344" s="92" t="n">
        <v>28307</v>
      </c>
      <c r="B344" t="n">
        <v>36.56484</v>
      </c>
      <c r="C344" t="n">
        <v>33.03565</v>
      </c>
      <c r="D344" t="n">
        <v/>
      </c>
      <c r="E344" t="n">
        <v>28.16095</v>
      </c>
      <c r="F344" t="n">
        <v>50.15189</v>
      </c>
      <c r="G344" t="n">
        <v/>
      </c>
      <c r="H344" t="n">
        <v/>
      </c>
      <c r="I344" t="n">
        <v/>
      </c>
      <c r="J344" t="n">
        <v/>
      </c>
      <c r="K344" t="n">
        <v/>
      </c>
      <c r="L344" t="n">
        <v>43.52229</v>
      </c>
      <c r="M344" t="n">
        <v>26.05569</v>
      </c>
      <c r="N344" t="n">
        <v/>
      </c>
      <c r="O344" t="n">
        <v>12.2325</v>
      </c>
      <c r="P344" t="n">
        <v/>
      </c>
      <c r="Q344" t="n">
        <v/>
      </c>
      <c r="R344" t="n">
        <v>25.99349</v>
      </c>
      <c r="S344" t="n">
        <v>27.38811</v>
      </c>
      <c r="T344" t="n">
        <v/>
      </c>
      <c r="U344" t="n">
        <v>28.55831</v>
      </c>
      <c r="V344" t="n">
        <v>21.83936</v>
      </c>
      <c r="W344" t="n">
        <v>3.197907</v>
      </c>
      <c r="X344" t="n">
        <v/>
      </c>
      <c r="Y344" t="n">
        <v/>
      </c>
      <c r="Z344" t="n">
        <v/>
      </c>
      <c r="AA344" t="n">
        <v>17.86672</v>
      </c>
      <c r="AB344" t="n">
        <v/>
      </c>
      <c r="AC344" t="n">
        <v>0.007508672</v>
      </c>
      <c r="AD344" t="n">
        <v>12.70623</v>
      </c>
      <c r="AE344" t="n">
        <v>64.14716</v>
      </c>
      <c r="AF344" t="n">
        <v/>
      </c>
      <c r="AG344" t="n">
        <v/>
      </c>
      <c r="AH344" t="n">
        <v>33.65616</v>
      </c>
      <c r="AI344" t="n">
        <v/>
      </c>
      <c r="AJ344" t="n">
        <v/>
      </c>
      <c r="AK344" t="n">
        <v>38.46199</v>
      </c>
      <c r="AL344" t="n">
        <v/>
      </c>
      <c r="AM344" t="n">
        <v>13.51582</v>
      </c>
      <c r="AN344" t="n">
        <v>10.62492</v>
      </c>
      <c r="AO344" t="n">
        <v/>
      </c>
      <c r="AP344" t="n">
        <v>4.841893</v>
      </c>
      <c r="AQ344" t="n">
        <v/>
      </c>
      <c r="AR344" t="n">
        <v/>
      </c>
      <c r="AS344" t="n">
        <v/>
      </c>
      <c r="AT344" t="n">
        <v/>
      </c>
      <c r="AU344" t="n">
        <v>25.89281</v>
      </c>
      <c r="AV344" t="n">
        <v/>
      </c>
      <c r="AW344" t="n">
        <v>25.26352</v>
      </c>
      <c r="AX344" t="n">
        <v/>
      </c>
    </row>
    <row r="345">
      <c r="A345" s="92" t="n">
        <v>28338</v>
      </c>
      <c r="B345" t="n">
        <v>36.6471</v>
      </c>
      <c r="C345" t="n">
        <v>33.15083</v>
      </c>
      <c r="D345" t="n">
        <v/>
      </c>
      <c r="E345" t="n">
        <v>28.12367</v>
      </c>
      <c r="F345" t="n">
        <v>50.14637</v>
      </c>
      <c r="G345" t="n">
        <v/>
      </c>
      <c r="H345" t="n">
        <v/>
      </c>
      <c r="I345" t="n">
        <v/>
      </c>
      <c r="J345" t="n">
        <v/>
      </c>
      <c r="K345" t="n">
        <v/>
      </c>
      <c r="L345" t="n">
        <v>43.55132</v>
      </c>
      <c r="M345" t="n">
        <v>26.24105</v>
      </c>
      <c r="N345" t="n">
        <v/>
      </c>
      <c r="O345" t="n">
        <v>12.36662</v>
      </c>
      <c r="P345" t="n">
        <v/>
      </c>
      <c r="Q345" t="n">
        <v/>
      </c>
      <c r="R345" t="n">
        <v>26.46761</v>
      </c>
      <c r="S345" t="n">
        <v>27.56001</v>
      </c>
      <c r="T345" t="n">
        <v/>
      </c>
      <c r="U345" t="n">
        <v>28.6756</v>
      </c>
      <c r="V345" t="n">
        <v>22.11655</v>
      </c>
      <c r="W345" t="n">
        <v>3.143305</v>
      </c>
      <c r="X345" t="n">
        <v/>
      </c>
      <c r="Y345" t="n">
        <v/>
      </c>
      <c r="Z345" t="n">
        <v/>
      </c>
      <c r="AA345" t="n">
        <v>17.86672</v>
      </c>
      <c r="AB345" t="n">
        <v/>
      </c>
      <c r="AC345" t="n">
        <v>0.00776557</v>
      </c>
      <c r="AD345" t="n">
        <v>12.81286</v>
      </c>
      <c r="AE345" t="n">
        <v>63.96093</v>
      </c>
      <c r="AF345" t="n">
        <v/>
      </c>
      <c r="AG345" t="n">
        <v/>
      </c>
      <c r="AH345" t="n">
        <v>33.62638</v>
      </c>
      <c r="AI345" t="n">
        <v/>
      </c>
      <c r="AJ345" t="n">
        <v/>
      </c>
      <c r="AK345" t="n">
        <v>38.69518</v>
      </c>
      <c r="AL345" t="n">
        <v/>
      </c>
      <c r="AM345" t="n">
        <v>13.58182</v>
      </c>
      <c r="AN345" t="n">
        <v>10.6844</v>
      </c>
      <c r="AO345" t="n">
        <v/>
      </c>
      <c r="AP345" t="n">
        <v>4.920019</v>
      </c>
      <c r="AQ345" t="n">
        <v/>
      </c>
      <c r="AR345" t="n">
        <v/>
      </c>
      <c r="AS345" t="n">
        <v/>
      </c>
      <c r="AT345" t="n">
        <v/>
      </c>
      <c r="AU345" t="n">
        <v>25.98546</v>
      </c>
      <c r="AV345" t="n">
        <v/>
      </c>
      <c r="AW345" t="n">
        <v>25.38736</v>
      </c>
      <c r="AX345" t="n">
        <v/>
      </c>
    </row>
    <row r="346">
      <c r="A346" s="92" t="n">
        <v>28369</v>
      </c>
      <c r="B346" t="n">
        <v>36.7276</v>
      </c>
      <c r="C346" t="n">
        <v>33.31342</v>
      </c>
      <c r="D346" t="n">
        <v/>
      </c>
      <c r="E346" t="n">
        <v>28.36093</v>
      </c>
      <c r="F346" t="n">
        <v>50.23099</v>
      </c>
      <c r="G346" t="n">
        <v/>
      </c>
      <c r="H346" t="n">
        <v/>
      </c>
      <c r="I346" t="n">
        <v/>
      </c>
      <c r="J346" t="n">
        <v/>
      </c>
      <c r="K346" t="n">
        <v/>
      </c>
      <c r="L346" t="n">
        <v>43.64175</v>
      </c>
      <c r="M346" t="n">
        <v>26.47265</v>
      </c>
      <c r="N346" t="n">
        <v/>
      </c>
      <c r="O346" t="n">
        <v>12.62293</v>
      </c>
      <c r="P346" t="n">
        <v/>
      </c>
      <c r="Q346" t="n">
        <v/>
      </c>
      <c r="R346" t="n">
        <v>26.58556</v>
      </c>
      <c r="S346" t="n">
        <v>27.75727</v>
      </c>
      <c r="T346" t="n">
        <v/>
      </c>
      <c r="U346" t="n">
        <v>28.88509</v>
      </c>
      <c r="V346" t="n">
        <v>22.27253</v>
      </c>
      <c r="W346" t="n">
        <v>3.225178</v>
      </c>
      <c r="X346" t="n">
        <v/>
      </c>
      <c r="Y346" t="n">
        <v/>
      </c>
      <c r="Z346" t="n">
        <v/>
      </c>
      <c r="AA346" t="n">
        <v>17.86672</v>
      </c>
      <c r="AB346" t="n">
        <v/>
      </c>
      <c r="AC346" t="n">
        <v>0.008034158</v>
      </c>
      <c r="AD346" t="n">
        <v>12.96626</v>
      </c>
      <c r="AE346" t="n">
        <v>64.74554999999999</v>
      </c>
      <c r="AF346" t="n">
        <v/>
      </c>
      <c r="AG346" t="n">
        <v/>
      </c>
      <c r="AH346" t="n">
        <v>33.56481</v>
      </c>
      <c r="AI346" t="n">
        <v/>
      </c>
      <c r="AJ346" t="n">
        <v/>
      </c>
      <c r="AK346" t="n">
        <v>39.03411</v>
      </c>
      <c r="AL346" t="n">
        <v/>
      </c>
      <c r="AM346" t="n">
        <v>13.69918</v>
      </c>
      <c r="AN346" t="n">
        <v>10.78753</v>
      </c>
      <c r="AO346" t="n">
        <v/>
      </c>
      <c r="AP346" t="n">
        <v>4.937829</v>
      </c>
      <c r="AQ346" t="n">
        <v/>
      </c>
      <c r="AR346" t="n">
        <v/>
      </c>
      <c r="AS346" t="n">
        <v/>
      </c>
      <c r="AT346" t="n">
        <v/>
      </c>
      <c r="AU346" t="n">
        <v>26.20392</v>
      </c>
      <c r="AV346" t="n">
        <v/>
      </c>
      <c r="AW346" t="n">
        <v>25.55248</v>
      </c>
      <c r="AX346" t="n">
        <v/>
      </c>
    </row>
    <row r="347">
      <c r="A347" s="92" t="n">
        <v>28399</v>
      </c>
      <c r="B347" t="n">
        <v>36.75674</v>
      </c>
      <c r="C347" t="n">
        <v>33.44822</v>
      </c>
      <c r="D347" t="n">
        <v/>
      </c>
      <c r="E347" t="n">
        <v>28.57694</v>
      </c>
      <c r="F347" t="n">
        <v>50.31052</v>
      </c>
      <c r="G347" t="n">
        <v/>
      </c>
      <c r="H347" t="n">
        <v/>
      </c>
      <c r="I347" t="n">
        <v/>
      </c>
      <c r="J347" t="n">
        <v/>
      </c>
      <c r="K347" t="n">
        <v/>
      </c>
      <c r="L347" t="n">
        <v>43.66056</v>
      </c>
      <c r="M347" t="n">
        <v>26.66366</v>
      </c>
      <c r="N347" t="n">
        <v/>
      </c>
      <c r="O347" t="n">
        <v>12.89173</v>
      </c>
      <c r="P347" t="n">
        <v/>
      </c>
      <c r="Q347" t="n">
        <v/>
      </c>
      <c r="R347" t="n">
        <v>26.65644</v>
      </c>
      <c r="S347" t="n">
        <v>27.99883</v>
      </c>
      <c r="T347" t="n">
        <v/>
      </c>
      <c r="U347" t="n">
        <v>29.03253</v>
      </c>
      <c r="V347" t="n">
        <v>22.38911</v>
      </c>
      <c r="W347" t="n">
        <v>3.316961</v>
      </c>
      <c r="X347" t="n">
        <v/>
      </c>
      <c r="Y347" t="n">
        <v/>
      </c>
      <c r="Z347" t="n">
        <v/>
      </c>
      <c r="AA347" t="n">
        <v>18.34422</v>
      </c>
      <c r="AB347" t="n">
        <v/>
      </c>
      <c r="AC347" t="n">
        <v>0.008337771000000001</v>
      </c>
      <c r="AD347" t="n">
        <v>13.16166</v>
      </c>
      <c r="AE347" t="n">
        <v>65.20638</v>
      </c>
      <c r="AF347" t="n">
        <v/>
      </c>
      <c r="AG347" t="n">
        <v/>
      </c>
      <c r="AH347" t="n">
        <v>33.73428</v>
      </c>
      <c r="AI347" t="n">
        <v/>
      </c>
      <c r="AJ347" t="n">
        <v/>
      </c>
      <c r="AK347" t="n">
        <v>39.28074</v>
      </c>
      <c r="AL347" t="n">
        <v/>
      </c>
      <c r="AM347" t="n">
        <v>13.81701</v>
      </c>
      <c r="AN347" t="n">
        <v>10.92785</v>
      </c>
      <c r="AO347" t="n">
        <v/>
      </c>
      <c r="AP347" t="n">
        <v>5.106463</v>
      </c>
      <c r="AQ347" t="n">
        <v/>
      </c>
      <c r="AR347" t="n">
        <v/>
      </c>
      <c r="AS347" t="n">
        <v/>
      </c>
      <c r="AT347" t="n">
        <v/>
      </c>
      <c r="AU347" t="n">
        <v>26.40955</v>
      </c>
      <c r="AV347" t="n">
        <v/>
      </c>
      <c r="AW347" t="n">
        <v>25.63505</v>
      </c>
      <c r="AX347" t="n">
        <v/>
      </c>
    </row>
    <row r="348">
      <c r="A348" s="92" t="n">
        <v>28430</v>
      </c>
      <c r="B348" t="n">
        <v>36.77099</v>
      </c>
      <c r="C348" t="n">
        <v>33.61078</v>
      </c>
      <c r="D348" t="n">
        <v/>
      </c>
      <c r="E348" t="n">
        <v>28.73609</v>
      </c>
      <c r="F348" t="n">
        <v>50.31669</v>
      </c>
      <c r="G348" t="n">
        <v/>
      </c>
      <c r="H348" t="n">
        <v/>
      </c>
      <c r="I348" t="n">
        <v/>
      </c>
      <c r="J348" t="n">
        <v/>
      </c>
      <c r="K348" t="n">
        <v/>
      </c>
      <c r="L348" t="n">
        <v>43.74414</v>
      </c>
      <c r="M348" t="n">
        <v>27.69912</v>
      </c>
      <c r="N348" t="n">
        <v/>
      </c>
      <c r="O348" t="n">
        <v>13.14382</v>
      </c>
      <c r="P348" t="n">
        <v/>
      </c>
      <c r="Q348" t="n">
        <v/>
      </c>
      <c r="R348" t="n">
        <v>26.75622</v>
      </c>
      <c r="S348" t="n">
        <v>28.12426</v>
      </c>
      <c r="T348" t="n">
        <v/>
      </c>
      <c r="U348" t="n">
        <v>29.15229</v>
      </c>
      <c r="V348" t="n">
        <v>22.54357</v>
      </c>
      <c r="W348" t="n">
        <v>3.340833</v>
      </c>
      <c r="X348" t="n">
        <v/>
      </c>
      <c r="Y348" t="n">
        <v/>
      </c>
      <c r="Z348" t="n">
        <v/>
      </c>
      <c r="AA348" t="n">
        <v>18.34422</v>
      </c>
      <c r="AB348" t="n">
        <v/>
      </c>
      <c r="AC348" t="n">
        <v>0.009295329</v>
      </c>
      <c r="AD348" t="n">
        <v>13.31049</v>
      </c>
      <c r="AE348" t="n">
        <v>64.98035</v>
      </c>
      <c r="AF348" t="n">
        <v/>
      </c>
      <c r="AG348" t="n">
        <v/>
      </c>
      <c r="AH348" t="n">
        <v>33.94261</v>
      </c>
      <c r="AI348" t="n">
        <v/>
      </c>
      <c r="AJ348" t="n">
        <v/>
      </c>
      <c r="AK348" t="n">
        <v>39.32791</v>
      </c>
      <c r="AL348" t="n">
        <v/>
      </c>
      <c r="AM348" t="n">
        <v>13.91395</v>
      </c>
      <c r="AN348" t="n">
        <v>11.05053</v>
      </c>
      <c r="AO348" t="n">
        <v/>
      </c>
      <c r="AP348" t="n">
        <v>5.165935</v>
      </c>
      <c r="AQ348" t="n">
        <v/>
      </c>
      <c r="AR348" t="n">
        <v/>
      </c>
      <c r="AS348" t="n">
        <v/>
      </c>
      <c r="AT348" t="n">
        <v/>
      </c>
      <c r="AU348" t="n">
        <v>26.6585</v>
      </c>
      <c r="AV348" t="n">
        <v/>
      </c>
      <c r="AW348" t="n">
        <v>25.75889</v>
      </c>
      <c r="AX348" t="n">
        <v/>
      </c>
    </row>
    <row r="349">
      <c r="A349" s="92" t="n">
        <v>28460</v>
      </c>
      <c r="B349" t="n">
        <v>36.86271</v>
      </c>
      <c r="C349" t="n">
        <v>33.79266</v>
      </c>
      <c r="D349" t="n">
        <v/>
      </c>
      <c r="E349" t="n">
        <v>28.8619</v>
      </c>
      <c r="F349" t="n">
        <v>50.41433</v>
      </c>
      <c r="G349" t="n">
        <v/>
      </c>
      <c r="H349" t="n">
        <v/>
      </c>
      <c r="I349" t="n">
        <v/>
      </c>
      <c r="J349" t="n">
        <v/>
      </c>
      <c r="K349" t="n">
        <v/>
      </c>
      <c r="L349" t="n">
        <v>43.86008</v>
      </c>
      <c r="M349" t="n">
        <v>27.72711</v>
      </c>
      <c r="N349" t="n">
        <v/>
      </c>
      <c r="O349" t="n">
        <v>13.28537</v>
      </c>
      <c r="P349" t="n">
        <v/>
      </c>
      <c r="Q349" t="n">
        <v/>
      </c>
      <c r="R349" t="n">
        <v>26.87075</v>
      </c>
      <c r="S349" t="n">
        <v>28.21021</v>
      </c>
      <c r="T349" t="n">
        <v/>
      </c>
      <c r="U349" t="n">
        <v>29.26785</v>
      </c>
      <c r="V349" t="n">
        <v>22.66639</v>
      </c>
      <c r="W349" t="n">
        <v>3.363661</v>
      </c>
      <c r="X349" t="n">
        <v/>
      </c>
      <c r="Y349" t="n">
        <v/>
      </c>
      <c r="Z349" t="n">
        <v/>
      </c>
      <c r="AA349" t="n">
        <v>18.34422</v>
      </c>
      <c r="AB349" t="n">
        <v/>
      </c>
      <c r="AC349" t="n">
        <v>0.009523049</v>
      </c>
      <c r="AD349" t="n">
        <v>13.36751</v>
      </c>
      <c r="AE349" t="n">
        <v>65.06629</v>
      </c>
      <c r="AF349" t="n">
        <v/>
      </c>
      <c r="AG349" t="n">
        <v/>
      </c>
      <c r="AH349" t="n">
        <v>33.86623</v>
      </c>
      <c r="AI349" t="n">
        <v/>
      </c>
      <c r="AJ349" t="n">
        <v/>
      </c>
      <c r="AK349" t="n">
        <v>39.32791</v>
      </c>
      <c r="AL349" t="n">
        <v/>
      </c>
      <c r="AM349" t="n">
        <v>13.99995</v>
      </c>
      <c r="AN349" t="n">
        <v>11.13939</v>
      </c>
      <c r="AO349" t="n">
        <v/>
      </c>
      <c r="AP349" t="n">
        <v>5.241305</v>
      </c>
      <c r="AQ349" t="n">
        <v/>
      </c>
      <c r="AR349" t="n">
        <v/>
      </c>
      <c r="AS349" t="n">
        <v/>
      </c>
      <c r="AT349" t="n">
        <v/>
      </c>
      <c r="AU349" t="n">
        <v>26.88535</v>
      </c>
      <c r="AV349" t="n">
        <v/>
      </c>
      <c r="AW349" t="n">
        <v>25.88273</v>
      </c>
      <c r="AX349" t="n">
        <v/>
      </c>
    </row>
    <row r="350">
      <c r="A350" s="92" t="n">
        <v>28491</v>
      </c>
      <c r="B350" t="n">
        <v>37.2686</v>
      </c>
      <c r="C350" t="n">
        <v>34.02153</v>
      </c>
      <c r="D350" t="n">
        <v/>
      </c>
      <c r="E350" t="n">
        <v>29.02105</v>
      </c>
      <c r="F350" t="n">
        <v>50.42818</v>
      </c>
      <c r="G350" t="n">
        <v/>
      </c>
      <c r="H350" t="n">
        <v/>
      </c>
      <c r="I350" t="n">
        <v/>
      </c>
      <c r="J350" t="n">
        <v/>
      </c>
      <c r="K350" t="n">
        <v/>
      </c>
      <c r="L350" t="n">
        <v>44.22165</v>
      </c>
      <c r="M350" t="n">
        <v>27.86503</v>
      </c>
      <c r="N350" t="n">
        <v/>
      </c>
      <c r="O350" t="n">
        <v>13.505</v>
      </c>
      <c r="P350" t="n">
        <v/>
      </c>
      <c r="Q350" t="n">
        <v/>
      </c>
      <c r="R350" t="n">
        <v>27.03467</v>
      </c>
      <c r="S350" t="n">
        <v>28.35541</v>
      </c>
      <c r="T350" t="n">
        <v/>
      </c>
      <c r="U350" t="n">
        <v>29.41597</v>
      </c>
      <c r="V350" t="n">
        <v>22.81889</v>
      </c>
      <c r="W350" t="n">
        <v>3.408001</v>
      </c>
      <c r="X350" t="n">
        <v/>
      </c>
      <c r="Y350" t="n">
        <v/>
      </c>
      <c r="Z350" t="n">
        <v/>
      </c>
      <c r="AA350" t="n">
        <v>18.61526</v>
      </c>
      <c r="AB350" t="n">
        <v/>
      </c>
      <c r="AC350" t="n">
        <v>0.009750758999999999</v>
      </c>
      <c r="AD350" t="n">
        <v>13.48026</v>
      </c>
      <c r="AE350" t="n">
        <v>65.06031</v>
      </c>
      <c r="AF350" t="n">
        <v/>
      </c>
      <c r="AG350" t="n">
        <v/>
      </c>
      <c r="AH350" t="n">
        <v>34.00047</v>
      </c>
      <c r="AI350" t="n">
        <v/>
      </c>
      <c r="AJ350" t="n">
        <v/>
      </c>
      <c r="AK350" t="n">
        <v>39.23851</v>
      </c>
      <c r="AL350" t="n">
        <v/>
      </c>
      <c r="AM350" t="n">
        <v>14.11479</v>
      </c>
      <c r="AN350" t="n">
        <v>11.25517</v>
      </c>
      <c r="AO350" t="n">
        <v/>
      </c>
      <c r="AP350" t="n">
        <v>5.395052</v>
      </c>
      <c r="AQ350" t="n">
        <v/>
      </c>
      <c r="AR350" t="n">
        <v/>
      </c>
      <c r="AS350" t="n">
        <v/>
      </c>
      <c r="AT350" t="n">
        <v/>
      </c>
      <c r="AU350" t="n">
        <v>27.331</v>
      </c>
      <c r="AV350" t="n">
        <v/>
      </c>
      <c r="AW350" t="n">
        <v>26.00657</v>
      </c>
      <c r="AX350" t="n">
        <v/>
      </c>
    </row>
    <row r="351">
      <c r="A351" s="92" t="n">
        <v>28522</v>
      </c>
      <c r="B351" t="n">
        <v>37.38838</v>
      </c>
      <c r="C351" t="n">
        <v>34.18499</v>
      </c>
      <c r="D351" t="n">
        <v/>
      </c>
      <c r="E351" t="n">
        <v>29.26616</v>
      </c>
      <c r="F351" t="n">
        <v>50.48171</v>
      </c>
      <c r="G351" t="n">
        <v/>
      </c>
      <c r="H351" t="n">
        <v/>
      </c>
      <c r="I351" t="n">
        <v/>
      </c>
      <c r="J351" t="n">
        <v/>
      </c>
      <c r="K351" t="n">
        <v/>
      </c>
      <c r="L351" t="n">
        <v>44.32899</v>
      </c>
      <c r="M351" t="n">
        <v>28.02469</v>
      </c>
      <c r="N351" t="n">
        <v/>
      </c>
      <c r="O351" t="n">
        <v>13.69228</v>
      </c>
      <c r="P351" t="n">
        <v/>
      </c>
      <c r="Q351" t="n">
        <v/>
      </c>
      <c r="R351" t="n">
        <v>27.47649</v>
      </c>
      <c r="S351" t="n">
        <v>28.57079</v>
      </c>
      <c r="T351" t="n">
        <v/>
      </c>
      <c r="U351" t="n">
        <v>29.55842</v>
      </c>
      <c r="V351" t="n">
        <v>22.9583</v>
      </c>
      <c r="W351" t="n">
        <v>3.335616</v>
      </c>
      <c r="X351" t="n">
        <v/>
      </c>
      <c r="Y351" t="n">
        <v/>
      </c>
      <c r="Z351" t="n">
        <v/>
      </c>
      <c r="AA351" t="n">
        <v>18.61526</v>
      </c>
      <c r="AB351" t="n">
        <v/>
      </c>
      <c r="AC351" t="n">
        <v>0.009908405</v>
      </c>
      <c r="AD351" t="n">
        <v>13.63137</v>
      </c>
      <c r="AE351" t="n">
        <v>65.46606</v>
      </c>
      <c r="AF351" t="n">
        <v/>
      </c>
      <c r="AG351" t="n">
        <v/>
      </c>
      <c r="AH351" t="n">
        <v>34.08923</v>
      </c>
      <c r="AI351" t="n">
        <v/>
      </c>
      <c r="AJ351" t="n">
        <v/>
      </c>
      <c r="AK351" t="n">
        <v>39.44568</v>
      </c>
      <c r="AL351" t="n">
        <v/>
      </c>
      <c r="AM351" t="n">
        <v>14.20817</v>
      </c>
      <c r="AN351" t="n">
        <v>11.35119</v>
      </c>
      <c r="AO351" t="n">
        <v/>
      </c>
      <c r="AP351" t="n">
        <v>5.412135</v>
      </c>
      <c r="AQ351" t="n">
        <v/>
      </c>
      <c r="AR351" t="n">
        <v/>
      </c>
      <c r="AS351" t="n">
        <v/>
      </c>
      <c r="AT351" t="n">
        <v/>
      </c>
      <c r="AU351" t="n">
        <v>27.67277</v>
      </c>
      <c r="AV351" t="n">
        <v/>
      </c>
      <c r="AW351" t="n">
        <v>26.08913</v>
      </c>
      <c r="AX351" t="n">
        <v/>
      </c>
    </row>
    <row r="352">
      <c r="A352" s="92" t="n">
        <v>28550</v>
      </c>
      <c r="B352" t="n">
        <v>37.44688</v>
      </c>
      <c r="C352" t="n">
        <v>34.3346</v>
      </c>
      <c r="D352" t="n">
        <v/>
      </c>
      <c r="E352" t="n">
        <v>29.41677</v>
      </c>
      <c r="F352" t="n">
        <v>50.52367</v>
      </c>
      <c r="G352" t="n">
        <v/>
      </c>
      <c r="H352" t="n">
        <v/>
      </c>
      <c r="I352" t="n">
        <v/>
      </c>
      <c r="J352" t="n">
        <v/>
      </c>
      <c r="K352" t="n">
        <v/>
      </c>
      <c r="L352" t="n">
        <v>44.44158</v>
      </c>
      <c r="M352" t="n">
        <v>28.23078</v>
      </c>
      <c r="N352" t="n">
        <v/>
      </c>
      <c r="O352" t="n">
        <v>13.96363</v>
      </c>
      <c r="P352" t="n">
        <v/>
      </c>
      <c r="Q352" t="n">
        <v/>
      </c>
      <c r="R352" t="n">
        <v>27.52778</v>
      </c>
      <c r="S352" t="n">
        <v>28.8423</v>
      </c>
      <c r="T352" t="n">
        <v/>
      </c>
      <c r="U352" t="n">
        <v>29.77645</v>
      </c>
      <c r="V352" t="n">
        <v>23.12321</v>
      </c>
      <c r="W352" t="n">
        <v>3.453047</v>
      </c>
      <c r="X352" t="n">
        <v/>
      </c>
      <c r="Y352" t="n">
        <v/>
      </c>
      <c r="Z352" t="n">
        <v/>
      </c>
      <c r="AA352" t="n">
        <v>18.61526</v>
      </c>
      <c r="AB352" t="n">
        <v/>
      </c>
      <c r="AC352" t="n">
        <v>0.01020034</v>
      </c>
      <c r="AD352" t="n">
        <v>13.82678</v>
      </c>
      <c r="AE352" t="n">
        <v>65.82040000000001</v>
      </c>
      <c r="AF352" t="n">
        <v/>
      </c>
      <c r="AG352" t="n">
        <v/>
      </c>
      <c r="AH352" t="n">
        <v>34.20433</v>
      </c>
      <c r="AI352" t="n">
        <v/>
      </c>
      <c r="AJ352" t="n">
        <v/>
      </c>
      <c r="AK352" t="n">
        <v>39.85477</v>
      </c>
      <c r="AL352" t="n">
        <v/>
      </c>
      <c r="AM352" t="n">
        <v>14.32025</v>
      </c>
      <c r="AN352" t="n">
        <v>11.44966</v>
      </c>
      <c r="AO352" t="n">
        <v/>
      </c>
      <c r="AP352" t="n">
        <v>5.428582</v>
      </c>
      <c r="AQ352" t="n">
        <v/>
      </c>
      <c r="AR352" t="n">
        <v/>
      </c>
      <c r="AS352" t="n">
        <v/>
      </c>
      <c r="AT352" t="n">
        <v/>
      </c>
      <c r="AU352" t="n">
        <v>27.71265</v>
      </c>
      <c r="AV352" t="n">
        <v/>
      </c>
      <c r="AW352" t="n">
        <v>26.29553</v>
      </c>
      <c r="AX352" t="n">
        <v/>
      </c>
    </row>
    <row r="353">
      <c r="A353" s="92" t="n">
        <v>28581</v>
      </c>
      <c r="B353" t="n">
        <v>37.52453</v>
      </c>
      <c r="C353" t="n">
        <v>34.47641</v>
      </c>
      <c r="D353" t="n">
        <v/>
      </c>
      <c r="E353" t="n">
        <v>29.42784</v>
      </c>
      <c r="F353" t="n">
        <v>50.58192</v>
      </c>
      <c r="G353" t="n">
        <v/>
      </c>
      <c r="H353" t="n">
        <v/>
      </c>
      <c r="I353" t="n">
        <v/>
      </c>
      <c r="J353" t="n">
        <v/>
      </c>
      <c r="K353" t="n">
        <v/>
      </c>
      <c r="L353" t="n">
        <v>44.6376</v>
      </c>
      <c r="M353" t="n">
        <v>28.32491</v>
      </c>
      <c r="N353" t="n">
        <v/>
      </c>
      <c r="O353" t="n">
        <v>14.32413</v>
      </c>
      <c r="P353" t="n">
        <v/>
      </c>
      <c r="Q353" t="n">
        <v/>
      </c>
      <c r="R353" t="n">
        <v>27.69046</v>
      </c>
      <c r="S353" t="n">
        <v>29.16951</v>
      </c>
      <c r="T353" t="n">
        <v/>
      </c>
      <c r="U353" t="n">
        <v>30.03879</v>
      </c>
      <c r="V353" t="n">
        <v>23.50654</v>
      </c>
      <c r="W353" t="n">
        <v>3.502818</v>
      </c>
      <c r="X353" t="n">
        <v/>
      </c>
      <c r="Y353" t="n">
        <v/>
      </c>
      <c r="Z353" t="n">
        <v/>
      </c>
      <c r="AA353" t="n">
        <v>18.93894</v>
      </c>
      <c r="AB353" t="n">
        <v/>
      </c>
      <c r="AC353" t="n">
        <v>0.01090684</v>
      </c>
      <c r="AD353" t="n">
        <v>13.96328</v>
      </c>
      <c r="AE353" t="n">
        <v>66.68819000000001</v>
      </c>
      <c r="AF353" t="n">
        <v/>
      </c>
      <c r="AG353" t="n">
        <v/>
      </c>
      <c r="AH353" t="n">
        <v>34.39133</v>
      </c>
      <c r="AI353" t="n">
        <v/>
      </c>
      <c r="AJ353" t="n">
        <v/>
      </c>
      <c r="AK353" t="n">
        <v>40.07182</v>
      </c>
      <c r="AL353" t="n">
        <v/>
      </c>
      <c r="AM353" t="n">
        <v>14.46147</v>
      </c>
      <c r="AN353" t="n">
        <v>11.58284</v>
      </c>
      <c r="AO353" t="n">
        <v/>
      </c>
      <c r="AP353" t="n">
        <v>5.65634</v>
      </c>
      <c r="AQ353" t="n">
        <v/>
      </c>
      <c r="AR353" t="n">
        <v/>
      </c>
      <c r="AS353" t="n">
        <v/>
      </c>
      <c r="AT353" t="n">
        <v/>
      </c>
      <c r="AU353" t="n">
        <v>27.77486</v>
      </c>
      <c r="AV353" t="n">
        <v/>
      </c>
      <c r="AW353" t="n">
        <v>26.50193</v>
      </c>
      <c r="AX353" t="n">
        <v/>
      </c>
    </row>
    <row r="354">
      <c r="A354" s="92" t="n">
        <v>28611</v>
      </c>
      <c r="B354" t="n">
        <v>37.57609</v>
      </c>
      <c r="C354" t="n">
        <v>34.64907</v>
      </c>
      <c r="D354" t="n">
        <v/>
      </c>
      <c r="E354" t="n">
        <v>29.75297</v>
      </c>
      <c r="F354" t="n">
        <v>50.50913</v>
      </c>
      <c r="G354" t="n">
        <v/>
      </c>
      <c r="H354" t="n">
        <v/>
      </c>
      <c r="I354" t="n">
        <v/>
      </c>
      <c r="J354" t="n">
        <v/>
      </c>
      <c r="K354" t="n">
        <v/>
      </c>
      <c r="L354" t="n">
        <v>44.72803</v>
      </c>
      <c r="M354" t="n">
        <v>28.63279</v>
      </c>
      <c r="N354" t="n">
        <v/>
      </c>
      <c r="O354" t="n">
        <v>14.46945</v>
      </c>
      <c r="P354" t="n">
        <v/>
      </c>
      <c r="Q354" t="n">
        <v/>
      </c>
      <c r="R354" t="n">
        <v>28.26922</v>
      </c>
      <c r="S354" t="n">
        <v>29.45761</v>
      </c>
      <c r="T354" t="n">
        <v/>
      </c>
      <c r="U354" t="n">
        <v>30.26086</v>
      </c>
      <c r="V354" t="n">
        <v>23.61089</v>
      </c>
      <c r="W354" t="n">
        <v>3.505246</v>
      </c>
      <c r="X354" t="n">
        <v/>
      </c>
      <c r="Y354" t="n">
        <v/>
      </c>
      <c r="Z354" t="n">
        <v/>
      </c>
      <c r="AA354" t="n">
        <v>18.93894</v>
      </c>
      <c r="AB354" t="n">
        <v/>
      </c>
      <c r="AC354" t="n">
        <v>0.01122213</v>
      </c>
      <c r="AD354" t="n">
        <v>14.08684</v>
      </c>
      <c r="AE354" t="n">
        <v>67.29482</v>
      </c>
      <c r="AF354" t="n">
        <v/>
      </c>
      <c r="AG354" t="n">
        <v/>
      </c>
      <c r="AH354" t="n">
        <v>34.46429</v>
      </c>
      <c r="AI354" t="n">
        <v/>
      </c>
      <c r="AJ354" t="n">
        <v/>
      </c>
      <c r="AK354" t="n">
        <v>40.15142</v>
      </c>
      <c r="AL354" t="n">
        <v/>
      </c>
      <c r="AM354" t="n">
        <v>14.58267</v>
      </c>
      <c r="AN354" t="n">
        <v>11.6859</v>
      </c>
      <c r="AO354" t="n">
        <v/>
      </c>
      <c r="AP354" t="n">
        <v>5.708475</v>
      </c>
      <c r="AQ354" t="n">
        <v/>
      </c>
      <c r="AR354" t="n">
        <v/>
      </c>
      <c r="AS354" t="n">
        <v/>
      </c>
      <c r="AT354" t="n">
        <v/>
      </c>
      <c r="AU354" t="n">
        <v>27.96652</v>
      </c>
      <c r="AV354" t="n">
        <v/>
      </c>
      <c r="AW354" t="n">
        <v>26.70833</v>
      </c>
      <c r="AX354" t="n">
        <v/>
      </c>
    </row>
    <row r="355">
      <c r="A355" s="92" t="n">
        <v>28642</v>
      </c>
      <c r="B355" t="n">
        <v>37.59029</v>
      </c>
      <c r="C355" t="n">
        <v>34.71213</v>
      </c>
      <c r="D355" t="n">
        <v/>
      </c>
      <c r="E355" t="n">
        <v>29.95623</v>
      </c>
      <c r="F355" t="n">
        <v>50.56563</v>
      </c>
      <c r="G355" t="n">
        <v/>
      </c>
      <c r="H355" t="n">
        <v/>
      </c>
      <c r="I355" t="n">
        <v/>
      </c>
      <c r="J355" t="n">
        <v/>
      </c>
      <c r="K355" t="n">
        <v/>
      </c>
      <c r="L355" t="n">
        <v>44.91224</v>
      </c>
      <c r="M355" t="n">
        <v>28.7243</v>
      </c>
      <c r="N355" t="n">
        <v/>
      </c>
      <c r="O355" t="n">
        <v>14.60554</v>
      </c>
      <c r="P355" t="n">
        <v/>
      </c>
      <c r="Q355" t="n">
        <v/>
      </c>
      <c r="R355" t="n">
        <v>28.31943</v>
      </c>
      <c r="S355" t="n">
        <v>29.67474</v>
      </c>
      <c r="T355" t="n">
        <v/>
      </c>
      <c r="U355" t="n">
        <v>30.46375</v>
      </c>
      <c r="V355" t="n">
        <v>23.72236</v>
      </c>
      <c r="W355" t="n">
        <v>3.598365</v>
      </c>
      <c r="X355" t="n">
        <v/>
      </c>
      <c r="Y355" t="n">
        <v/>
      </c>
      <c r="Z355" t="n">
        <v/>
      </c>
      <c r="AA355" t="n">
        <v>18.93894</v>
      </c>
      <c r="AB355" t="n">
        <v/>
      </c>
      <c r="AC355" t="n">
        <v>0.01151991</v>
      </c>
      <c r="AD355" t="n">
        <v>14.19879</v>
      </c>
      <c r="AE355" t="n">
        <v>67.24747000000001</v>
      </c>
      <c r="AF355" t="n">
        <v/>
      </c>
      <c r="AG355" t="n">
        <v/>
      </c>
      <c r="AH355" t="n">
        <v>34.57085</v>
      </c>
      <c r="AI355" t="n">
        <v/>
      </c>
      <c r="AJ355" t="n">
        <v/>
      </c>
      <c r="AK355" t="n">
        <v>40.08538</v>
      </c>
      <c r="AL355" t="n">
        <v/>
      </c>
      <c r="AM355" t="n">
        <v>14.70748</v>
      </c>
      <c r="AN355" t="n">
        <v>11.80356</v>
      </c>
      <c r="AO355" t="n">
        <v/>
      </c>
      <c r="AP355" t="n">
        <v>5.782465</v>
      </c>
      <c r="AQ355" t="n">
        <v/>
      </c>
      <c r="AR355" t="n">
        <v/>
      </c>
      <c r="AS355" t="n">
        <v/>
      </c>
      <c r="AT355" t="n">
        <v/>
      </c>
      <c r="AU355" t="n">
        <v>28.01095</v>
      </c>
      <c r="AV355" t="n">
        <v/>
      </c>
      <c r="AW355" t="n">
        <v>26.95601</v>
      </c>
      <c r="AX355" t="n">
        <v/>
      </c>
    </row>
    <row r="356">
      <c r="A356" s="92" t="n">
        <v>28672</v>
      </c>
      <c r="B356" t="n">
        <v>37.75187</v>
      </c>
      <c r="C356" t="n">
        <v>34.89951</v>
      </c>
      <c r="D356" t="n">
        <v/>
      </c>
      <c r="E356" t="n">
        <v>30.22348</v>
      </c>
      <c r="F356" t="n">
        <v>50.56018</v>
      </c>
      <c r="G356" t="n">
        <v/>
      </c>
      <c r="H356" t="n">
        <v/>
      </c>
      <c r="I356" t="n">
        <v/>
      </c>
      <c r="J356" t="n">
        <v/>
      </c>
      <c r="K356" t="n">
        <v/>
      </c>
      <c r="L356" t="n">
        <v>44.84063</v>
      </c>
      <c r="M356" t="n">
        <v>28.75492</v>
      </c>
      <c r="N356" t="n">
        <v/>
      </c>
      <c r="O356" t="n">
        <v>14.81225</v>
      </c>
      <c r="P356" t="n">
        <v/>
      </c>
      <c r="Q356" t="n">
        <v/>
      </c>
      <c r="R356" t="n">
        <v>28.37133</v>
      </c>
      <c r="S356" t="n">
        <v>29.97073</v>
      </c>
      <c r="T356" t="n">
        <v/>
      </c>
      <c r="U356" t="n">
        <v>30.61926</v>
      </c>
      <c r="V356" t="n">
        <v>23.88451</v>
      </c>
      <c r="W356" t="n">
        <v>3.550471</v>
      </c>
      <c r="X356" t="n">
        <v/>
      </c>
      <c r="Y356" t="n">
        <v/>
      </c>
      <c r="Z356" t="n">
        <v/>
      </c>
      <c r="AA356" t="n">
        <v>19.34015</v>
      </c>
      <c r="AB356" t="n">
        <v/>
      </c>
      <c r="AC356" t="n">
        <v>0.0118352</v>
      </c>
      <c r="AD356" t="n">
        <v>14.26322</v>
      </c>
      <c r="AE356" t="n">
        <v>67.43805</v>
      </c>
      <c r="AF356" t="n">
        <v/>
      </c>
      <c r="AG356" t="n">
        <v/>
      </c>
      <c r="AH356" t="n">
        <v>34.5952</v>
      </c>
      <c r="AI356" t="n">
        <v/>
      </c>
      <c r="AJ356" t="n">
        <v/>
      </c>
      <c r="AK356" t="n">
        <v>40.47105</v>
      </c>
      <c r="AL356" t="n">
        <v/>
      </c>
      <c r="AM356" t="n">
        <v>14.8015</v>
      </c>
      <c r="AN356" t="n">
        <v>11.87202</v>
      </c>
      <c r="AO356" t="n">
        <v/>
      </c>
      <c r="AP356" t="n">
        <v>5.897885</v>
      </c>
      <c r="AQ356" t="n">
        <v/>
      </c>
      <c r="AR356" t="n">
        <v/>
      </c>
      <c r="AS356" t="n">
        <v/>
      </c>
      <c r="AT356" t="n">
        <v/>
      </c>
      <c r="AU356" t="n">
        <v>28.10753</v>
      </c>
      <c r="AV356" t="n">
        <v/>
      </c>
      <c r="AW356" t="n">
        <v>27.12114</v>
      </c>
      <c r="AX356" t="n">
        <v/>
      </c>
    </row>
    <row r="357">
      <c r="A357" s="92" t="n">
        <v>28703</v>
      </c>
      <c r="B357" t="n">
        <v>37.87206</v>
      </c>
      <c r="C357" t="n">
        <v>35.04066</v>
      </c>
      <c r="D357" t="n">
        <v/>
      </c>
      <c r="E357" t="n">
        <v>30.39249</v>
      </c>
      <c r="F357" t="n">
        <v>50.68943</v>
      </c>
      <c r="G357" t="n">
        <v/>
      </c>
      <c r="H357" t="n">
        <v/>
      </c>
      <c r="I357" t="n">
        <v/>
      </c>
      <c r="J357" t="n">
        <v/>
      </c>
      <c r="K357" t="n">
        <v/>
      </c>
      <c r="L357" t="n">
        <v>44.81351</v>
      </c>
      <c r="M357" t="n">
        <v>28.91182</v>
      </c>
      <c r="N357" t="n">
        <v/>
      </c>
      <c r="O357" t="n">
        <v>14.94678</v>
      </c>
      <c r="P357" t="n">
        <v/>
      </c>
      <c r="Q357" t="n">
        <v/>
      </c>
      <c r="R357" t="n">
        <v>28.56311</v>
      </c>
      <c r="S357" t="n">
        <v>30.14356</v>
      </c>
      <c r="T357" t="n">
        <v/>
      </c>
      <c r="U357" t="n">
        <v>30.7552</v>
      </c>
      <c r="V357" t="n">
        <v>24.11527</v>
      </c>
      <c r="W357" t="n">
        <v>3.50527</v>
      </c>
      <c r="X357" t="n">
        <v/>
      </c>
      <c r="Y357" t="n">
        <v/>
      </c>
      <c r="Z357" t="n">
        <v/>
      </c>
      <c r="AA357" t="n">
        <v>19.34015</v>
      </c>
      <c r="AB357" t="n">
        <v/>
      </c>
      <c r="AC357" t="n">
        <v>0.01209795</v>
      </c>
      <c r="AD357" t="n">
        <v>14.34895</v>
      </c>
      <c r="AE357" t="n">
        <v>67.29935999999999</v>
      </c>
      <c r="AF357" t="n">
        <v/>
      </c>
      <c r="AG357" t="n">
        <v/>
      </c>
      <c r="AH357" t="n">
        <v>34.62949</v>
      </c>
      <c r="AI357" t="n">
        <v/>
      </c>
      <c r="AJ357" t="n">
        <v/>
      </c>
      <c r="AK357" t="n">
        <v>40.65731</v>
      </c>
      <c r="AL357" t="n">
        <v/>
      </c>
      <c r="AM357" t="n">
        <v>14.88513</v>
      </c>
      <c r="AN357" t="n">
        <v>11.95226</v>
      </c>
      <c r="AO357" t="n">
        <v/>
      </c>
      <c r="AP357" t="n">
        <v>6.012494</v>
      </c>
      <c r="AQ357" t="n">
        <v/>
      </c>
      <c r="AR357" t="n">
        <v/>
      </c>
      <c r="AS357" t="n">
        <v/>
      </c>
      <c r="AT357" t="n">
        <v/>
      </c>
      <c r="AU357" t="n">
        <v>28.07119</v>
      </c>
      <c r="AV357" t="n">
        <v/>
      </c>
      <c r="AW357" t="n">
        <v>27.28626</v>
      </c>
      <c r="AX357" t="n">
        <v/>
      </c>
    </row>
    <row r="358">
      <c r="A358" s="92" t="n">
        <v>28734</v>
      </c>
      <c r="B358" t="n">
        <v>37.92836</v>
      </c>
      <c r="C358" t="n">
        <v>35.16908</v>
      </c>
      <c r="D358" t="n">
        <v/>
      </c>
      <c r="E358" t="n">
        <v>30.3945</v>
      </c>
      <c r="F358" t="n">
        <v>50.60505</v>
      </c>
      <c r="G358" t="n">
        <v/>
      </c>
      <c r="H358" t="n">
        <v/>
      </c>
      <c r="I358" t="n">
        <v/>
      </c>
      <c r="J358" t="n">
        <v/>
      </c>
      <c r="K358" t="n">
        <v/>
      </c>
      <c r="L358" t="n">
        <v>44.78288</v>
      </c>
      <c r="M358" t="n">
        <v>29.10485</v>
      </c>
      <c r="N358" t="n">
        <v/>
      </c>
      <c r="O358" t="n">
        <v>15.17534</v>
      </c>
      <c r="P358" t="n">
        <v/>
      </c>
      <c r="Q358" t="n">
        <v/>
      </c>
      <c r="R358" t="n">
        <v>28.70598</v>
      </c>
      <c r="S358" t="n">
        <v>30.33442</v>
      </c>
      <c r="T358" t="n">
        <v/>
      </c>
      <c r="U358" t="n">
        <v>31.0211</v>
      </c>
      <c r="V358" t="n">
        <v>24.25588</v>
      </c>
      <c r="W358" t="n">
        <v>3.632572</v>
      </c>
      <c r="X358" t="n">
        <v/>
      </c>
      <c r="Y358" t="n">
        <v/>
      </c>
      <c r="Z358" t="n">
        <v/>
      </c>
      <c r="AA358" t="n">
        <v>19.34015</v>
      </c>
      <c r="AB358" t="n">
        <v/>
      </c>
      <c r="AC358" t="n">
        <v>0.01238988</v>
      </c>
      <c r="AD358" t="n">
        <v>14.60634</v>
      </c>
      <c r="AE358" t="n">
        <v>67.98406</v>
      </c>
      <c r="AF358" t="n">
        <v/>
      </c>
      <c r="AG358" t="n">
        <v/>
      </c>
      <c r="AH358" t="n">
        <v>34.69418</v>
      </c>
      <c r="AI358" t="n">
        <v/>
      </c>
      <c r="AJ358" t="n">
        <v/>
      </c>
      <c r="AK358" t="n">
        <v>41.0606</v>
      </c>
      <c r="AL358" t="n">
        <v/>
      </c>
      <c r="AM358" t="n">
        <v>15.03731</v>
      </c>
      <c r="AN358" t="n">
        <v>12.07796</v>
      </c>
      <c r="AO358" t="n">
        <v/>
      </c>
      <c r="AP358" t="n">
        <v>6.092613</v>
      </c>
      <c r="AQ358" t="n">
        <v/>
      </c>
      <c r="AR358" t="n">
        <v/>
      </c>
      <c r="AS358" t="n">
        <v/>
      </c>
      <c r="AT358" t="n">
        <v/>
      </c>
      <c r="AU358" t="n">
        <v>28.26802</v>
      </c>
      <c r="AV358" t="n">
        <v/>
      </c>
      <c r="AW358" t="n">
        <v>27.57522</v>
      </c>
      <c r="AX358" t="n">
        <v/>
      </c>
    </row>
    <row r="359">
      <c r="A359" s="92" t="n">
        <v>28764</v>
      </c>
      <c r="B359" t="n">
        <v>38.02517</v>
      </c>
      <c r="C359" t="n">
        <v>35.31575</v>
      </c>
      <c r="D359" t="n">
        <v/>
      </c>
      <c r="E359" t="n">
        <v>30.8439</v>
      </c>
      <c r="F359" t="n">
        <v>50.54554</v>
      </c>
      <c r="G359" t="n">
        <v/>
      </c>
      <c r="H359" t="n">
        <v/>
      </c>
      <c r="I359" t="n">
        <v/>
      </c>
      <c r="J359" t="n">
        <v/>
      </c>
      <c r="K359" t="n">
        <v/>
      </c>
      <c r="L359" t="n">
        <v>44.88017</v>
      </c>
      <c r="M359" t="n">
        <v>29.62246</v>
      </c>
      <c r="N359" t="n">
        <v/>
      </c>
      <c r="O359" t="n">
        <v>15.44081</v>
      </c>
      <c r="P359" t="n">
        <v/>
      </c>
      <c r="Q359" t="n">
        <v/>
      </c>
      <c r="R359" t="n">
        <v>28.84906</v>
      </c>
      <c r="S359" t="n">
        <v>30.65255</v>
      </c>
      <c r="T359" t="n">
        <v/>
      </c>
      <c r="U359" t="n">
        <v>31.24525</v>
      </c>
      <c r="V359" t="n">
        <v>24.44737</v>
      </c>
      <c r="W359" t="n">
        <v>3.702946</v>
      </c>
      <c r="X359" t="n">
        <v/>
      </c>
      <c r="Y359" t="n">
        <v/>
      </c>
      <c r="Z359" t="n">
        <v/>
      </c>
      <c r="AA359" t="n">
        <v>19.73704</v>
      </c>
      <c r="AB359" t="n">
        <v/>
      </c>
      <c r="AC359" t="n">
        <v>0.01323651</v>
      </c>
      <c r="AD359" t="n">
        <v>14.74169</v>
      </c>
      <c r="AE359" t="n">
        <v>68.31592999999999</v>
      </c>
      <c r="AF359" t="n">
        <v/>
      </c>
      <c r="AG359" t="n">
        <v/>
      </c>
      <c r="AH359" t="n">
        <v>34.91304</v>
      </c>
      <c r="AI359" t="n">
        <v/>
      </c>
      <c r="AJ359" t="n">
        <v/>
      </c>
      <c r="AK359" t="n">
        <v>41.24643</v>
      </c>
      <c r="AL359" t="n">
        <v/>
      </c>
      <c r="AM359" t="n">
        <v>15.18351</v>
      </c>
      <c r="AN359" t="n">
        <v>12.21943</v>
      </c>
      <c r="AO359" t="n">
        <v/>
      </c>
      <c r="AP359" t="n">
        <v>6.257731</v>
      </c>
      <c r="AQ359" t="n">
        <v/>
      </c>
      <c r="AR359" t="n">
        <v/>
      </c>
      <c r="AS359" t="n">
        <v/>
      </c>
      <c r="AT359" t="n">
        <v/>
      </c>
      <c r="AU359" t="n">
        <v>28.44445</v>
      </c>
      <c r="AV359" t="n">
        <v/>
      </c>
      <c r="AW359" t="n">
        <v>27.78162</v>
      </c>
      <c r="AX359" t="n">
        <v/>
      </c>
    </row>
    <row r="360">
      <c r="A360" s="92" t="n">
        <v>28795</v>
      </c>
      <c r="B360" t="n">
        <v>38.16941</v>
      </c>
      <c r="C360" t="n">
        <v>35.42624</v>
      </c>
      <c r="D360" t="n">
        <v/>
      </c>
      <c r="E360" t="n">
        <v>31.03608</v>
      </c>
      <c r="F360" t="n">
        <v>50.53561</v>
      </c>
      <c r="G360" t="n">
        <v/>
      </c>
      <c r="H360" t="n">
        <v/>
      </c>
      <c r="I360" t="n">
        <v/>
      </c>
      <c r="J360" t="n">
        <v/>
      </c>
      <c r="K360" t="n">
        <v/>
      </c>
      <c r="L360" t="n">
        <v>44.97744</v>
      </c>
      <c r="M360" t="n">
        <v>29.8819</v>
      </c>
      <c r="N360" t="n">
        <v/>
      </c>
      <c r="O360" t="n">
        <v>15.68177</v>
      </c>
      <c r="P360" t="n">
        <v/>
      </c>
      <c r="Q360" t="n">
        <v/>
      </c>
      <c r="R360" t="n">
        <v>29.10497</v>
      </c>
      <c r="S360" t="n">
        <v>30.83519</v>
      </c>
      <c r="T360" t="n">
        <v/>
      </c>
      <c r="U360" t="n">
        <v>31.42654</v>
      </c>
      <c r="V360" t="n">
        <v>24.54265</v>
      </c>
      <c r="W360" t="n">
        <v>3.737415</v>
      </c>
      <c r="X360" t="n">
        <v/>
      </c>
      <c r="Y360" t="n">
        <v/>
      </c>
      <c r="Z360" t="n">
        <v/>
      </c>
      <c r="AA360" t="n">
        <v>19.73704</v>
      </c>
      <c r="AB360" t="n">
        <v/>
      </c>
      <c r="AC360" t="n">
        <v>0.01384958</v>
      </c>
      <c r="AD360" t="n">
        <v>14.92019</v>
      </c>
      <c r="AE360" t="n">
        <v>68.30043999999999</v>
      </c>
      <c r="AF360" t="n">
        <v/>
      </c>
      <c r="AG360" t="n">
        <v/>
      </c>
      <c r="AH360" t="n">
        <v>35.05701</v>
      </c>
      <c r="AI360" t="n">
        <v/>
      </c>
      <c r="AJ360" t="n">
        <v/>
      </c>
      <c r="AK360" t="n">
        <v>41.26999</v>
      </c>
      <c r="AL360" t="n">
        <v/>
      </c>
      <c r="AM360" t="n">
        <v>15.28859</v>
      </c>
      <c r="AN360" t="n">
        <v>12.31798</v>
      </c>
      <c r="AO360" t="n">
        <v/>
      </c>
      <c r="AP360" t="n">
        <v>6.454953</v>
      </c>
      <c r="AQ360" t="n">
        <v/>
      </c>
      <c r="AR360" t="n">
        <v/>
      </c>
      <c r="AS360" t="n">
        <v/>
      </c>
      <c r="AT360" t="n">
        <v/>
      </c>
      <c r="AU360" t="n">
        <v>28.54827</v>
      </c>
      <c r="AV360" t="n">
        <v/>
      </c>
      <c r="AW360" t="n">
        <v>27.98802</v>
      </c>
      <c r="AX360" t="n">
        <v/>
      </c>
    </row>
    <row r="361">
      <c r="A361" s="92" t="n">
        <v>28825</v>
      </c>
      <c r="B361" t="n">
        <v>38.27164</v>
      </c>
      <c r="C361" t="n">
        <v>35.58038</v>
      </c>
      <c r="D361" t="n">
        <v/>
      </c>
      <c r="E361" t="n">
        <v>31.08476</v>
      </c>
      <c r="F361" t="n">
        <v>50.53546</v>
      </c>
      <c r="G361" t="n">
        <v/>
      </c>
      <c r="H361" t="n">
        <v/>
      </c>
      <c r="I361" t="n">
        <v/>
      </c>
      <c r="J361" t="n">
        <v/>
      </c>
      <c r="K361" t="n">
        <v/>
      </c>
      <c r="L361" t="n">
        <v>45.05255</v>
      </c>
      <c r="M361" t="n">
        <v>29.90235</v>
      </c>
      <c r="N361" t="n">
        <v/>
      </c>
      <c r="O361" t="n">
        <v>15.90476</v>
      </c>
      <c r="P361" t="n">
        <v/>
      </c>
      <c r="Q361" t="n">
        <v/>
      </c>
      <c r="R361" t="n">
        <v>29.11065</v>
      </c>
      <c r="S361" t="n">
        <v>31.00472</v>
      </c>
      <c r="T361" t="n">
        <v/>
      </c>
      <c r="U361" t="n">
        <v>31.52679</v>
      </c>
      <c r="V361" t="n">
        <v>24.75897</v>
      </c>
      <c r="W361" t="n">
        <v>3.793193</v>
      </c>
      <c r="X361" t="n">
        <v/>
      </c>
      <c r="Y361" t="n">
        <v/>
      </c>
      <c r="Z361" t="n">
        <v/>
      </c>
      <c r="AA361" t="n">
        <v>19.73704</v>
      </c>
      <c r="AB361" t="n">
        <v/>
      </c>
      <c r="AC361" t="n">
        <v>0.01428165</v>
      </c>
      <c r="AD361" t="n">
        <v>14.98465</v>
      </c>
      <c r="AE361" t="n">
        <v>68.35917999999999</v>
      </c>
      <c r="AF361" t="n">
        <v/>
      </c>
      <c r="AG361" t="n">
        <v/>
      </c>
      <c r="AH361" t="n">
        <v>35.04238</v>
      </c>
      <c r="AI361" t="n">
        <v/>
      </c>
      <c r="AJ361" t="n">
        <v/>
      </c>
      <c r="AK361" t="n">
        <v>41.20099</v>
      </c>
      <c r="AL361" t="n">
        <v/>
      </c>
      <c r="AM361" t="n">
        <v>15.35883</v>
      </c>
      <c r="AN361" t="n">
        <v>12.40425</v>
      </c>
      <c r="AO361" t="n">
        <v/>
      </c>
      <c r="AP361" t="n">
        <v>6.548171</v>
      </c>
      <c r="AQ361" t="n">
        <v/>
      </c>
      <c r="AR361" t="n">
        <v/>
      </c>
      <c r="AS361" t="n">
        <v/>
      </c>
      <c r="AT361" t="n">
        <v/>
      </c>
      <c r="AU361" t="n">
        <v>28.73501</v>
      </c>
      <c r="AV361" t="n">
        <v/>
      </c>
      <c r="AW361" t="n">
        <v>28.07058</v>
      </c>
      <c r="AX361" t="n">
        <v/>
      </c>
    </row>
    <row r="362">
      <c r="A362" s="92" t="n">
        <v>28856</v>
      </c>
      <c r="B362" t="n">
        <v>38.58256</v>
      </c>
      <c r="C362" t="n">
        <v>35.76559</v>
      </c>
      <c r="D362" t="n">
        <v/>
      </c>
      <c r="E362" t="n">
        <v>31.11605</v>
      </c>
      <c r="F362" t="n">
        <v>50.639</v>
      </c>
      <c r="G362" t="n">
        <v/>
      </c>
      <c r="H362" t="n">
        <v/>
      </c>
      <c r="I362" t="n">
        <v/>
      </c>
      <c r="J362" t="n">
        <v/>
      </c>
      <c r="K362" t="n">
        <v/>
      </c>
      <c r="L362" t="n">
        <v>45.45013</v>
      </c>
      <c r="M362" t="n">
        <v>29.90235</v>
      </c>
      <c r="N362" t="n">
        <v/>
      </c>
      <c r="O362" t="n">
        <v>16.2731</v>
      </c>
      <c r="P362" t="n">
        <v/>
      </c>
      <c r="Q362" t="n">
        <v/>
      </c>
      <c r="R362" t="n">
        <v>29.45836</v>
      </c>
      <c r="S362" t="n">
        <v>31.27668</v>
      </c>
      <c r="T362" t="n">
        <v/>
      </c>
      <c r="U362" t="n">
        <v>31.73783</v>
      </c>
      <c r="V362" t="n">
        <v>25.02729</v>
      </c>
      <c r="W362" t="n">
        <v>3.924992</v>
      </c>
      <c r="X362" t="n">
        <v/>
      </c>
      <c r="Y362" t="n">
        <v/>
      </c>
      <c r="Z362" t="n">
        <v/>
      </c>
      <c r="AA362" t="n">
        <v>20.34163</v>
      </c>
      <c r="AB362" t="n">
        <v/>
      </c>
      <c r="AC362" t="n">
        <v>0.01506988</v>
      </c>
      <c r="AD362" t="n">
        <v>15.26012</v>
      </c>
      <c r="AE362" t="n">
        <v>68.31037999999999</v>
      </c>
      <c r="AF362" t="n">
        <v/>
      </c>
      <c r="AG362" t="n">
        <v/>
      </c>
      <c r="AH362" t="n">
        <v>35.28502</v>
      </c>
      <c r="AI362" t="n">
        <v/>
      </c>
      <c r="AJ362" t="n">
        <v/>
      </c>
      <c r="AK362" t="n">
        <v>41.00698</v>
      </c>
      <c r="AL362" t="n">
        <v>25.93657</v>
      </c>
      <c r="AM362" t="n">
        <v>15.49026</v>
      </c>
      <c r="AN362" t="n">
        <v>12.5432</v>
      </c>
      <c r="AO362" t="n">
        <v/>
      </c>
      <c r="AP362" t="n">
        <v>6.577179</v>
      </c>
      <c r="AQ362" t="n">
        <v/>
      </c>
      <c r="AR362" t="n">
        <v/>
      </c>
      <c r="AS362" t="n">
        <v/>
      </c>
      <c r="AT362" t="n">
        <v/>
      </c>
      <c r="AU362" t="n">
        <v>28.86243</v>
      </c>
      <c r="AV362" t="n">
        <v/>
      </c>
      <c r="AW362" t="n">
        <v>28.2357</v>
      </c>
      <c r="AX362" t="n">
        <v/>
      </c>
    </row>
    <row r="363">
      <c r="A363" s="92" t="n">
        <v>28887</v>
      </c>
      <c r="B363" t="n">
        <v>38.71169</v>
      </c>
      <c r="C363" t="n">
        <v>35.8539</v>
      </c>
      <c r="D363" t="n">
        <v/>
      </c>
      <c r="E363" t="n">
        <v>31.48272</v>
      </c>
      <c r="F363" t="n">
        <v>50.92579</v>
      </c>
      <c r="G363" t="n">
        <v/>
      </c>
      <c r="H363" t="n">
        <v/>
      </c>
      <c r="I363" t="n">
        <v/>
      </c>
      <c r="J363" t="n">
        <v/>
      </c>
      <c r="K363" t="n">
        <v/>
      </c>
      <c r="L363" t="n">
        <v>45.44356</v>
      </c>
      <c r="M363" t="n">
        <v>29.99807</v>
      </c>
      <c r="N363" t="n">
        <v/>
      </c>
      <c r="O363" t="n">
        <v>16.4957</v>
      </c>
      <c r="P363" t="n">
        <v/>
      </c>
      <c r="Q363" t="n">
        <v/>
      </c>
      <c r="R363" t="n">
        <v>29.77805</v>
      </c>
      <c r="S363" t="n">
        <v>31.46998</v>
      </c>
      <c r="T363" t="n">
        <v/>
      </c>
      <c r="U363" t="n">
        <v>31.94823</v>
      </c>
      <c r="V363" t="n">
        <v>25.25855</v>
      </c>
      <c r="W363" t="n">
        <v>3.853885</v>
      </c>
      <c r="X363" t="n">
        <v/>
      </c>
      <c r="Y363" t="n">
        <v/>
      </c>
      <c r="Z363" t="n">
        <v/>
      </c>
      <c r="AA363" t="n">
        <v>20.34163</v>
      </c>
      <c r="AB363" t="n">
        <v/>
      </c>
      <c r="AC363" t="n">
        <v>0.01537934</v>
      </c>
      <c r="AD363" t="n">
        <v>15.48654</v>
      </c>
      <c r="AE363" t="n">
        <v>68.13194</v>
      </c>
      <c r="AF363" t="n">
        <v/>
      </c>
      <c r="AG363" t="n">
        <v/>
      </c>
      <c r="AH363" t="n">
        <v>35.443</v>
      </c>
      <c r="AI363" t="n">
        <v/>
      </c>
      <c r="AJ363" t="n">
        <v/>
      </c>
      <c r="AK363" t="n">
        <v>41.18251</v>
      </c>
      <c r="AL363" t="n">
        <v>26.06522</v>
      </c>
      <c r="AM363" t="n">
        <v>15.60409</v>
      </c>
      <c r="AN363" t="n">
        <v>12.6284</v>
      </c>
      <c r="AO363" t="n">
        <v/>
      </c>
      <c r="AP363" t="n">
        <v>6.63958</v>
      </c>
      <c r="AQ363" t="n">
        <v/>
      </c>
      <c r="AR363" t="n">
        <v/>
      </c>
      <c r="AS363" t="n">
        <v/>
      </c>
      <c r="AT363" t="n">
        <v/>
      </c>
      <c r="AU363" t="n">
        <v>29.1069</v>
      </c>
      <c r="AV363" t="n">
        <v/>
      </c>
      <c r="AW363" t="n">
        <v>28.48338</v>
      </c>
      <c r="AX363" t="n">
        <v/>
      </c>
    </row>
    <row r="364">
      <c r="A364" s="92" t="n">
        <v>28915</v>
      </c>
      <c r="B364" t="n">
        <v>38.72735</v>
      </c>
      <c r="C364" t="n">
        <v>35.87613</v>
      </c>
      <c r="D364" t="n">
        <v/>
      </c>
      <c r="E364" t="n">
        <v>31.7304</v>
      </c>
      <c r="F364" t="n">
        <v>50.97886</v>
      </c>
      <c r="G364" t="n">
        <v/>
      </c>
      <c r="H364" t="n">
        <v/>
      </c>
      <c r="I364" t="n">
        <v/>
      </c>
      <c r="J364" t="n">
        <v/>
      </c>
      <c r="K364" t="n">
        <v/>
      </c>
      <c r="L364" t="n">
        <v>45.61945</v>
      </c>
      <c r="M364" t="n">
        <v>30.2303</v>
      </c>
      <c r="N364" t="n">
        <v/>
      </c>
      <c r="O364" t="n">
        <v>16.70812</v>
      </c>
      <c r="P364" t="n">
        <v/>
      </c>
      <c r="Q364" t="n">
        <v/>
      </c>
      <c r="R364" t="n">
        <v>29.95527</v>
      </c>
      <c r="S364" t="n">
        <v>31.75347</v>
      </c>
      <c r="T364" t="n">
        <v/>
      </c>
      <c r="U364" t="n">
        <v>32.20948</v>
      </c>
      <c r="V364" t="n">
        <v>25.44116</v>
      </c>
      <c r="W364" t="n">
        <v>4.026515</v>
      </c>
      <c r="X364" t="n">
        <v/>
      </c>
      <c r="Y364" t="n">
        <v/>
      </c>
      <c r="Z364" t="n">
        <v/>
      </c>
      <c r="AA364" t="n">
        <v>20.34163</v>
      </c>
      <c r="AB364" t="n">
        <v/>
      </c>
      <c r="AC364" t="n">
        <v>0.01606832</v>
      </c>
      <c r="AD364" t="n">
        <v>15.68691</v>
      </c>
      <c r="AE364" t="n">
        <v>68.65054000000001</v>
      </c>
      <c r="AF364" t="n">
        <v/>
      </c>
      <c r="AG364" t="n">
        <v/>
      </c>
      <c r="AH364" t="n">
        <v>35.4562</v>
      </c>
      <c r="AI364" t="n">
        <v/>
      </c>
      <c r="AJ364" t="n">
        <v/>
      </c>
      <c r="AK364" t="n">
        <v>41.58863</v>
      </c>
      <c r="AL364" t="n">
        <v>26.13101</v>
      </c>
      <c r="AM364" t="n">
        <v>15.74165</v>
      </c>
      <c r="AN364" t="n">
        <v>12.73712</v>
      </c>
      <c r="AO364" t="n">
        <v/>
      </c>
      <c r="AP364" t="n">
        <v>6.699527</v>
      </c>
      <c r="AQ364" t="n">
        <v/>
      </c>
      <c r="AR364" t="n">
        <v/>
      </c>
      <c r="AS364" t="n">
        <v/>
      </c>
      <c r="AT364" t="n">
        <v/>
      </c>
      <c r="AU364" t="n">
        <v>29.23518</v>
      </c>
      <c r="AV364" t="n">
        <v/>
      </c>
      <c r="AW364" t="n">
        <v>28.73107</v>
      </c>
      <c r="AX364" t="n">
        <v/>
      </c>
    </row>
    <row r="365">
      <c r="A365" s="92" t="n">
        <v>28946</v>
      </c>
      <c r="B365" t="n">
        <v>38.78326</v>
      </c>
      <c r="C365" t="n">
        <v>36.02108</v>
      </c>
      <c r="D365" t="n">
        <v/>
      </c>
      <c r="E365" t="n">
        <v>31.95883</v>
      </c>
      <c r="F365" t="n">
        <v>51.11257</v>
      </c>
      <c r="G365" t="n">
        <v/>
      </c>
      <c r="H365" t="n">
        <v/>
      </c>
      <c r="I365" t="n">
        <v/>
      </c>
      <c r="J365" t="n">
        <v/>
      </c>
      <c r="K365" t="n">
        <v/>
      </c>
      <c r="L365" t="n">
        <v>45.78148</v>
      </c>
      <c r="M365" t="n">
        <v>30.34418</v>
      </c>
      <c r="N365" t="n">
        <v/>
      </c>
      <c r="O365" t="n">
        <v>17.03127</v>
      </c>
      <c r="P365" t="n">
        <v/>
      </c>
      <c r="Q365" t="n">
        <v/>
      </c>
      <c r="R365" t="n">
        <v>30.29055</v>
      </c>
      <c r="S365" t="n">
        <v>32.09868</v>
      </c>
      <c r="T365" t="n">
        <v/>
      </c>
      <c r="U365" t="n">
        <v>32.50185</v>
      </c>
      <c r="V365" t="n">
        <v>25.95272</v>
      </c>
      <c r="W365" t="n">
        <v>4.083895</v>
      </c>
      <c r="X365" t="n">
        <v/>
      </c>
      <c r="Y365" t="n">
        <v/>
      </c>
      <c r="Z365" t="n">
        <v/>
      </c>
      <c r="AA365" t="n">
        <v>21.11414</v>
      </c>
      <c r="AB365" t="n">
        <v/>
      </c>
      <c r="AC365" t="n">
        <v>0.01769149</v>
      </c>
      <c r="AD365" t="n">
        <v>15.88901</v>
      </c>
      <c r="AE365" t="n">
        <v>69.15588</v>
      </c>
      <c r="AF365" t="n">
        <v/>
      </c>
      <c r="AG365" t="n">
        <v/>
      </c>
      <c r="AH365" t="n">
        <v>35.5568</v>
      </c>
      <c r="AI365" t="n">
        <v/>
      </c>
      <c r="AJ365" t="n">
        <v/>
      </c>
      <c r="AK365" t="n">
        <v>41.93384</v>
      </c>
      <c r="AL365" t="n">
        <v>26.24854</v>
      </c>
      <c r="AM365" t="n">
        <v>15.90747</v>
      </c>
      <c r="AN365" t="n">
        <v>12.89482</v>
      </c>
      <c r="AO365" t="n">
        <v/>
      </c>
      <c r="AP365" t="n">
        <v>6.799205</v>
      </c>
      <c r="AQ365" t="n">
        <v/>
      </c>
      <c r="AR365" t="n">
        <v/>
      </c>
      <c r="AS365" t="n">
        <v/>
      </c>
      <c r="AT365" t="n">
        <v/>
      </c>
      <c r="AU365" t="n">
        <v>29.44687</v>
      </c>
      <c r="AV365" t="n">
        <v/>
      </c>
      <c r="AW365" t="n">
        <v>28.97875</v>
      </c>
      <c r="AX365" t="n">
        <v/>
      </c>
    </row>
    <row r="366">
      <c r="A366" s="92" t="n">
        <v>28976</v>
      </c>
      <c r="B366" t="n">
        <v>38.89686</v>
      </c>
      <c r="C366" t="n">
        <v>36.11712</v>
      </c>
      <c r="D366" t="n">
        <v/>
      </c>
      <c r="E366" t="n">
        <v>32.34745</v>
      </c>
      <c r="F366" t="n">
        <v>51.1351</v>
      </c>
      <c r="G366" t="n">
        <v/>
      </c>
      <c r="H366" t="n">
        <v/>
      </c>
      <c r="I366" t="n">
        <v/>
      </c>
      <c r="J366" t="n">
        <v/>
      </c>
      <c r="K366" t="n">
        <v/>
      </c>
      <c r="L366" t="n">
        <v>45.88211</v>
      </c>
      <c r="M366" t="n">
        <v>30.92483</v>
      </c>
      <c r="N366" t="n">
        <v/>
      </c>
      <c r="O366" t="n">
        <v>17.27708</v>
      </c>
      <c r="P366" t="n">
        <v/>
      </c>
      <c r="Q366" t="n">
        <v/>
      </c>
      <c r="R366" t="n">
        <v>30.42516</v>
      </c>
      <c r="S366" t="n">
        <v>32.37745</v>
      </c>
      <c r="T366" t="n">
        <v/>
      </c>
      <c r="U366" t="n">
        <v>32.76771</v>
      </c>
      <c r="V366" t="n">
        <v>26.13189</v>
      </c>
      <c r="W366" t="n">
        <v>4.110964</v>
      </c>
      <c r="X366" t="n">
        <v/>
      </c>
      <c r="Y366" t="n">
        <v/>
      </c>
      <c r="Z366" t="n">
        <v/>
      </c>
      <c r="AA366" t="n">
        <v>21.11414</v>
      </c>
      <c r="AB366" t="n">
        <v/>
      </c>
      <c r="AC366" t="n">
        <v>0.01866657</v>
      </c>
      <c r="AD366" t="n">
        <v>16.06013</v>
      </c>
      <c r="AE366" t="n">
        <v>69.85145</v>
      </c>
      <c r="AF366" t="n">
        <v/>
      </c>
      <c r="AG366" t="n">
        <v/>
      </c>
      <c r="AH366" t="n">
        <v>35.72509</v>
      </c>
      <c r="AI366" t="n">
        <v/>
      </c>
      <c r="AJ366" t="n">
        <v/>
      </c>
      <c r="AK366" t="n">
        <v>41.97022</v>
      </c>
      <c r="AL366" t="n">
        <v>26.32011</v>
      </c>
      <c r="AM366" t="n">
        <v>16.05537</v>
      </c>
      <c r="AN366" t="n">
        <v>13.00962</v>
      </c>
      <c r="AO366" t="n">
        <v/>
      </c>
      <c r="AP366" t="n">
        <v>6.888835</v>
      </c>
      <c r="AQ366" t="n">
        <v/>
      </c>
      <c r="AR366" t="n">
        <v/>
      </c>
      <c r="AS366" t="n">
        <v/>
      </c>
      <c r="AT366" t="n">
        <v/>
      </c>
      <c r="AU366" t="n">
        <v>29.61333</v>
      </c>
      <c r="AV366" t="n">
        <v/>
      </c>
      <c r="AW366" t="n">
        <v>29.22643</v>
      </c>
      <c r="AX366" t="n">
        <v/>
      </c>
    </row>
    <row r="367">
      <c r="A367" s="92" t="n">
        <v>29007</v>
      </c>
      <c r="B367" t="n">
        <v>38.96995</v>
      </c>
      <c r="C367" t="n">
        <v>36.21946</v>
      </c>
      <c r="D367" t="n">
        <v/>
      </c>
      <c r="E367" t="n">
        <v>32.55206</v>
      </c>
      <c r="F367" t="n">
        <v>51.3588</v>
      </c>
      <c r="G367" t="n">
        <v/>
      </c>
      <c r="H367" t="n">
        <v/>
      </c>
      <c r="I367" t="n">
        <v/>
      </c>
      <c r="J367" t="n">
        <v/>
      </c>
      <c r="K367" t="n">
        <v/>
      </c>
      <c r="L367" t="n">
        <v>46.03612</v>
      </c>
      <c r="M367" t="n">
        <v>31.11057</v>
      </c>
      <c r="N367" t="n">
        <v/>
      </c>
      <c r="O367" t="n">
        <v>17.45988</v>
      </c>
      <c r="P367" t="n">
        <v/>
      </c>
      <c r="Q367" t="n">
        <v/>
      </c>
      <c r="R367" t="n">
        <v>30.56897</v>
      </c>
      <c r="S367" t="n">
        <v>32.63903</v>
      </c>
      <c r="T367" t="n">
        <v/>
      </c>
      <c r="U367" t="n">
        <v>32.99025</v>
      </c>
      <c r="V367" t="n">
        <v>26.38875</v>
      </c>
      <c r="W367" t="n">
        <v>4.277506</v>
      </c>
      <c r="X367" t="n">
        <v/>
      </c>
      <c r="Y367" t="n">
        <v/>
      </c>
      <c r="Z367" t="n">
        <v/>
      </c>
      <c r="AA367" t="n">
        <v>21.11414</v>
      </c>
      <c r="AB367" t="n">
        <v/>
      </c>
      <c r="AC367" t="n">
        <v>0.01970003</v>
      </c>
      <c r="AD367" t="n">
        <v>16.18351</v>
      </c>
      <c r="AE367" t="n">
        <v>69.90371</v>
      </c>
      <c r="AF367" t="n">
        <v/>
      </c>
      <c r="AG367" t="n">
        <v/>
      </c>
      <c r="AH367" t="n">
        <v>35.84184</v>
      </c>
      <c r="AI367" t="n">
        <v/>
      </c>
      <c r="AJ367" t="n">
        <v/>
      </c>
      <c r="AK367" t="n">
        <v>41.98131</v>
      </c>
      <c r="AL367" t="n">
        <v>26.4029</v>
      </c>
      <c r="AM367" t="n">
        <v>16.21214</v>
      </c>
      <c r="AN367" t="n">
        <v>13.1846</v>
      </c>
      <c r="AO367" t="n">
        <v/>
      </c>
      <c r="AP367" t="n">
        <v>6.918721</v>
      </c>
      <c r="AQ367" t="n">
        <v/>
      </c>
      <c r="AR367" t="n">
        <v/>
      </c>
      <c r="AS367" t="n">
        <v/>
      </c>
      <c r="AT367" t="n">
        <v/>
      </c>
      <c r="AU367" t="n">
        <v>29.68359</v>
      </c>
      <c r="AV367" t="n">
        <v/>
      </c>
      <c r="AW367" t="n">
        <v>29.47411</v>
      </c>
      <c r="AX367" t="n">
        <v/>
      </c>
    </row>
    <row r="368">
      <c r="A368" s="92" t="n">
        <v>29037</v>
      </c>
      <c r="B368" t="n">
        <v>39.0757</v>
      </c>
      <c r="C368" t="n">
        <v>36.42122</v>
      </c>
      <c r="D368" t="n">
        <v/>
      </c>
      <c r="E368" t="n">
        <v>32.71019</v>
      </c>
      <c r="F368" t="n">
        <v>51.45776</v>
      </c>
      <c r="G368" t="n">
        <v/>
      </c>
      <c r="H368" t="n">
        <v/>
      </c>
      <c r="I368" t="n">
        <v/>
      </c>
      <c r="J368" t="n">
        <v/>
      </c>
      <c r="K368" t="n">
        <v/>
      </c>
      <c r="L368" t="n">
        <v>46.23928</v>
      </c>
      <c r="M368" t="n">
        <v>31.49461</v>
      </c>
      <c r="N368" t="n">
        <v/>
      </c>
      <c r="O368" t="n">
        <v>17.50338</v>
      </c>
      <c r="P368" t="n">
        <v/>
      </c>
      <c r="Q368" t="n">
        <v/>
      </c>
      <c r="R368" t="n">
        <v>30.696</v>
      </c>
      <c r="S368" t="n">
        <v>33.08155</v>
      </c>
      <c r="T368" t="n">
        <v/>
      </c>
      <c r="U368" t="n">
        <v>33.32452</v>
      </c>
      <c r="V368" t="n">
        <v>27.54971</v>
      </c>
      <c r="W368" t="n">
        <v>4.305169</v>
      </c>
      <c r="X368" t="n">
        <v/>
      </c>
      <c r="Y368" t="n">
        <v/>
      </c>
      <c r="Z368" t="n">
        <v/>
      </c>
      <c r="AA368" t="n">
        <v>21.97535</v>
      </c>
      <c r="AB368" t="n">
        <v/>
      </c>
      <c r="AC368" t="n">
        <v>0.02092034</v>
      </c>
      <c r="AD368" t="n">
        <v>16.33751</v>
      </c>
      <c r="AE368" t="n">
        <v>70.14593000000001</v>
      </c>
      <c r="AF368" t="n">
        <v/>
      </c>
      <c r="AG368" t="n">
        <v/>
      </c>
      <c r="AH368" t="n">
        <v>35.97384</v>
      </c>
      <c r="AI368" t="n">
        <v/>
      </c>
      <c r="AJ368" t="n">
        <v/>
      </c>
      <c r="AK368" t="n">
        <v>42.1664</v>
      </c>
      <c r="AL368" t="n">
        <v>26.53426</v>
      </c>
      <c r="AM368" t="n">
        <v>16.40168</v>
      </c>
      <c r="AN368" t="n">
        <v>13.40257</v>
      </c>
      <c r="AO368" t="n">
        <v/>
      </c>
      <c r="AP368" t="n">
        <v>6.897349</v>
      </c>
      <c r="AQ368" t="n">
        <v/>
      </c>
      <c r="AR368" t="n">
        <v/>
      </c>
      <c r="AS368" t="n">
        <v/>
      </c>
      <c r="AT368" t="n">
        <v/>
      </c>
      <c r="AU368" t="n">
        <v>29.81228</v>
      </c>
      <c r="AV368" t="n">
        <v/>
      </c>
      <c r="AW368" t="n">
        <v>29.72179</v>
      </c>
      <c r="AX368" t="n">
        <v/>
      </c>
    </row>
    <row r="369">
      <c r="A369" s="92" t="n">
        <v>29068</v>
      </c>
      <c r="B369" t="n">
        <v>39.17088</v>
      </c>
      <c r="C369" t="n">
        <v>36.45392</v>
      </c>
      <c r="D369" t="n">
        <v/>
      </c>
      <c r="E369" t="n">
        <v>32.86645</v>
      </c>
      <c r="F369" t="n">
        <v>51.60575</v>
      </c>
      <c r="G369" t="n">
        <v/>
      </c>
      <c r="H369" t="n">
        <v/>
      </c>
      <c r="I369" t="n">
        <v/>
      </c>
      <c r="J369" t="n">
        <v/>
      </c>
      <c r="K369" t="n">
        <v/>
      </c>
      <c r="L369" t="n">
        <v>46.38251</v>
      </c>
      <c r="M369" t="n">
        <v>31.98588</v>
      </c>
      <c r="N369" t="n">
        <v/>
      </c>
      <c r="O369" t="n">
        <v>17.66321</v>
      </c>
      <c r="P369" t="n">
        <v/>
      </c>
      <c r="Q369" t="n">
        <v/>
      </c>
      <c r="R369" t="n">
        <v>30.87576</v>
      </c>
      <c r="S369" t="n">
        <v>33.34863</v>
      </c>
      <c r="T369" t="n">
        <v/>
      </c>
      <c r="U369" t="n">
        <v>33.52387</v>
      </c>
      <c r="V369" t="n">
        <v>27.78051</v>
      </c>
      <c r="W369" t="n">
        <v>4.250669</v>
      </c>
      <c r="X369" t="n">
        <v/>
      </c>
      <c r="Y369" t="n">
        <v/>
      </c>
      <c r="Z369" t="n">
        <v/>
      </c>
      <c r="AA369" t="n">
        <v>21.97535</v>
      </c>
      <c r="AB369" t="n">
        <v/>
      </c>
      <c r="AC369" t="n">
        <v>0.02202971</v>
      </c>
      <c r="AD369" t="n">
        <v>16.51754</v>
      </c>
      <c r="AE369" t="n">
        <v>69.35893</v>
      </c>
      <c r="AF369" t="n">
        <v/>
      </c>
      <c r="AG369" t="n">
        <v/>
      </c>
      <c r="AH369" t="n">
        <v>36.06551</v>
      </c>
      <c r="AI369" t="n">
        <v/>
      </c>
      <c r="AJ369" t="n">
        <v/>
      </c>
      <c r="AK369" t="n">
        <v>42.30276</v>
      </c>
      <c r="AL369" t="n">
        <v>26.56869</v>
      </c>
      <c r="AM369" t="n">
        <v>16.51748</v>
      </c>
      <c r="AN369" t="n">
        <v>13.52509</v>
      </c>
      <c r="AO369" t="n">
        <v/>
      </c>
      <c r="AP369" t="n">
        <v>6.993186</v>
      </c>
      <c r="AQ369" t="n">
        <v/>
      </c>
      <c r="AR369" t="n">
        <v/>
      </c>
      <c r="AS369" t="n">
        <v/>
      </c>
      <c r="AT369" t="n">
        <v/>
      </c>
      <c r="AU369" t="n">
        <v>30.08652</v>
      </c>
      <c r="AV369" t="n">
        <v/>
      </c>
      <c r="AW369" t="n">
        <v>30.01075</v>
      </c>
      <c r="AX369" t="n">
        <v/>
      </c>
    </row>
    <row r="370">
      <c r="A370" s="92" t="n">
        <v>29099</v>
      </c>
      <c r="B370" t="n">
        <v>39.3924</v>
      </c>
      <c r="C370" t="n">
        <v>36.47702</v>
      </c>
      <c r="D370" t="n">
        <v/>
      </c>
      <c r="E370" t="n">
        <v>33.16939</v>
      </c>
      <c r="F370" t="n">
        <v>51.73664</v>
      </c>
      <c r="G370" t="n">
        <v/>
      </c>
      <c r="H370" t="n">
        <v/>
      </c>
      <c r="I370" t="n">
        <v/>
      </c>
      <c r="J370" t="n">
        <v/>
      </c>
      <c r="K370" t="n">
        <v/>
      </c>
      <c r="L370" t="n">
        <v>46.66562</v>
      </c>
      <c r="M370" t="n">
        <v>32.35475</v>
      </c>
      <c r="N370" t="n">
        <v/>
      </c>
      <c r="O370" t="n">
        <v>18.01009</v>
      </c>
      <c r="P370" t="n">
        <v/>
      </c>
      <c r="Q370" t="n">
        <v/>
      </c>
      <c r="R370" t="n">
        <v>31.04742</v>
      </c>
      <c r="S370" t="n">
        <v>33.61344</v>
      </c>
      <c r="T370" t="n">
        <v/>
      </c>
      <c r="U370" t="n">
        <v>33.89458</v>
      </c>
      <c r="V370" t="n">
        <v>28.11072</v>
      </c>
      <c r="W370" t="n">
        <v>4.36473</v>
      </c>
      <c r="X370" t="n">
        <v/>
      </c>
      <c r="Y370" t="n">
        <v/>
      </c>
      <c r="Z370" t="n">
        <v/>
      </c>
      <c r="AA370" t="n">
        <v>21.97535</v>
      </c>
      <c r="AB370" t="n">
        <v/>
      </c>
      <c r="AC370" t="n">
        <v>0.02365289</v>
      </c>
      <c r="AD370" t="n">
        <v>16.95661</v>
      </c>
      <c r="AE370" t="n">
        <v>70.31937000000001</v>
      </c>
      <c r="AF370" t="n">
        <v/>
      </c>
      <c r="AG370" t="n">
        <v/>
      </c>
      <c r="AH370" t="n">
        <v>36.24163</v>
      </c>
      <c r="AI370" t="n">
        <v/>
      </c>
      <c r="AJ370" t="n">
        <v/>
      </c>
      <c r="AK370" t="n">
        <v>42.72806</v>
      </c>
      <c r="AL370" t="n">
        <v>26.76606</v>
      </c>
      <c r="AM370" t="n">
        <v>16.70991</v>
      </c>
      <c r="AN370" t="n">
        <v>13.71033</v>
      </c>
      <c r="AO370" t="n">
        <v/>
      </c>
      <c r="AP370" t="n">
        <v>7.178833</v>
      </c>
      <c r="AQ370" t="n">
        <v/>
      </c>
      <c r="AR370" t="n">
        <v/>
      </c>
      <c r="AS370" t="n">
        <v/>
      </c>
      <c r="AT370" t="n">
        <v/>
      </c>
      <c r="AU370" t="n">
        <v>30.23134</v>
      </c>
      <c r="AV370" t="n">
        <v/>
      </c>
      <c r="AW370" t="n">
        <v>30.29972</v>
      </c>
      <c r="AX370" t="n">
        <v/>
      </c>
    </row>
    <row r="371">
      <c r="A371" s="92" t="n">
        <v>29129</v>
      </c>
      <c r="B371" t="n">
        <v>39.59663</v>
      </c>
      <c r="C371" t="n">
        <v>36.57614</v>
      </c>
      <c r="D371" t="n">
        <v/>
      </c>
      <c r="E371" t="n">
        <v>33.40207</v>
      </c>
      <c r="F371" t="n">
        <v>51.75425</v>
      </c>
      <c r="G371" t="n">
        <v/>
      </c>
      <c r="H371" t="n">
        <v/>
      </c>
      <c r="I371" t="n">
        <v/>
      </c>
      <c r="J371" t="n">
        <v/>
      </c>
      <c r="K371" t="n">
        <v/>
      </c>
      <c r="L371" t="n">
        <v>46.75925</v>
      </c>
      <c r="M371" t="n">
        <v>32.54927</v>
      </c>
      <c r="N371" t="n">
        <v/>
      </c>
      <c r="O371" t="n">
        <v>18.35861</v>
      </c>
      <c r="P371" t="n">
        <v/>
      </c>
      <c r="Q371" t="n">
        <v/>
      </c>
      <c r="R371" t="n">
        <v>31.18353</v>
      </c>
      <c r="S371" t="n">
        <v>34.04413</v>
      </c>
      <c r="T371" t="n">
        <v/>
      </c>
      <c r="U371" t="n">
        <v>34.2168</v>
      </c>
      <c r="V371" t="n">
        <v>28.42752</v>
      </c>
      <c r="W371" t="n">
        <v>4.518071</v>
      </c>
      <c r="X371" t="n">
        <v/>
      </c>
      <c r="Y371" t="n">
        <v/>
      </c>
      <c r="Z371" t="n">
        <v/>
      </c>
      <c r="AA371" t="n">
        <v>22.89781</v>
      </c>
      <c r="AB371" t="n">
        <v/>
      </c>
      <c r="AC371" t="n">
        <v>0.02570813</v>
      </c>
      <c r="AD371" t="n">
        <v>17.32299</v>
      </c>
      <c r="AE371" t="n">
        <v>70.78400000000001</v>
      </c>
      <c r="AF371" t="n">
        <v/>
      </c>
      <c r="AG371" t="n">
        <v/>
      </c>
      <c r="AH371" t="n">
        <v>36.52969</v>
      </c>
      <c r="AI371" t="n">
        <v/>
      </c>
      <c r="AJ371" t="n">
        <v/>
      </c>
      <c r="AK371" t="n">
        <v>43.15417</v>
      </c>
      <c r="AL371" t="n">
        <v>26.97215</v>
      </c>
      <c r="AM371" t="n">
        <v>16.91766</v>
      </c>
      <c r="AN371" t="n">
        <v>13.92783</v>
      </c>
      <c r="AO371" t="n">
        <v/>
      </c>
      <c r="AP371" t="n">
        <v>7.366835</v>
      </c>
      <c r="AQ371" t="n">
        <v/>
      </c>
      <c r="AR371" t="n">
        <v/>
      </c>
      <c r="AS371" t="n">
        <v/>
      </c>
      <c r="AT371" t="n">
        <v/>
      </c>
      <c r="AU371" t="n">
        <v>30.60582</v>
      </c>
      <c r="AV371" t="n">
        <v/>
      </c>
      <c r="AW371" t="n">
        <v>30.58868</v>
      </c>
      <c r="AX371" t="n">
        <v/>
      </c>
    </row>
    <row r="372">
      <c r="A372" s="92" t="n">
        <v>29160</v>
      </c>
      <c r="B372" t="n">
        <v>39.87176</v>
      </c>
      <c r="C372" t="n">
        <v>36.67696</v>
      </c>
      <c r="D372" t="n">
        <v/>
      </c>
      <c r="E372" t="n">
        <v>33.78677</v>
      </c>
      <c r="F372" t="n">
        <v>51.93913</v>
      </c>
      <c r="G372" t="n">
        <v/>
      </c>
      <c r="H372" t="n">
        <v/>
      </c>
      <c r="I372" t="n">
        <v/>
      </c>
      <c r="J372" t="n">
        <v/>
      </c>
      <c r="K372" t="n">
        <v/>
      </c>
      <c r="L372" t="n">
        <v>47.02368</v>
      </c>
      <c r="M372" t="n">
        <v>32.85142</v>
      </c>
      <c r="N372" t="n">
        <v/>
      </c>
      <c r="O372" t="n">
        <v>18.57515</v>
      </c>
      <c r="P372" t="n">
        <v/>
      </c>
      <c r="Q372" t="n">
        <v/>
      </c>
      <c r="R372" t="n">
        <v>31.41437</v>
      </c>
      <c r="S372" t="n">
        <v>34.30063</v>
      </c>
      <c r="T372" t="n">
        <v/>
      </c>
      <c r="U372" t="n">
        <v>34.53481</v>
      </c>
      <c r="V372" t="n">
        <v>28.63109</v>
      </c>
      <c r="W372" t="n">
        <v>4.579322</v>
      </c>
      <c r="X372" t="n">
        <v/>
      </c>
      <c r="Y372" t="n">
        <v/>
      </c>
      <c r="Z372" t="n">
        <v/>
      </c>
      <c r="AA372" t="n">
        <v>22.89781</v>
      </c>
      <c r="AB372" t="n">
        <v/>
      </c>
      <c r="AC372" t="n">
        <v>0.02747145</v>
      </c>
      <c r="AD372" t="n">
        <v>17.59122</v>
      </c>
      <c r="AE372" t="n">
        <v>70.71869</v>
      </c>
      <c r="AF372" t="n">
        <v/>
      </c>
      <c r="AG372" t="n">
        <v/>
      </c>
      <c r="AH372" t="n">
        <v>36.81454</v>
      </c>
      <c r="AI372" t="n">
        <v/>
      </c>
      <c r="AJ372" t="n">
        <v/>
      </c>
      <c r="AK372" t="n">
        <v>43.20078</v>
      </c>
      <c r="AL372" t="n">
        <v>27.16637</v>
      </c>
      <c r="AM372" t="n">
        <v>17.11016</v>
      </c>
      <c r="AN372" t="n">
        <v>14.11697</v>
      </c>
      <c r="AO372" t="n">
        <v/>
      </c>
      <c r="AP372" t="n">
        <v>7.437991</v>
      </c>
      <c r="AQ372" t="n">
        <v/>
      </c>
      <c r="AR372" t="n">
        <v/>
      </c>
      <c r="AS372" t="n">
        <v/>
      </c>
      <c r="AT372" t="n">
        <v/>
      </c>
      <c r="AU372" t="n">
        <v>31.12265</v>
      </c>
      <c r="AV372" t="n">
        <v/>
      </c>
      <c r="AW372" t="n">
        <v>30.9602</v>
      </c>
      <c r="AX372" t="n">
        <v/>
      </c>
    </row>
    <row r="373">
      <c r="A373" s="92" t="n">
        <v>29190</v>
      </c>
      <c r="B373" t="n">
        <v>40.12891</v>
      </c>
      <c r="C373" t="n">
        <v>36.77229</v>
      </c>
      <c r="D373" t="n">
        <v/>
      </c>
      <c r="E373" t="n">
        <v>33.8717</v>
      </c>
      <c r="F373" t="n">
        <v>51.99094</v>
      </c>
      <c r="G373" t="n">
        <v/>
      </c>
      <c r="H373" t="n">
        <v/>
      </c>
      <c r="I373" t="n">
        <v/>
      </c>
      <c r="J373" t="n">
        <v/>
      </c>
      <c r="K373" t="n">
        <v/>
      </c>
      <c r="L373" t="n">
        <v>47.10389</v>
      </c>
      <c r="M373" t="n">
        <v>32.86265</v>
      </c>
      <c r="N373" t="n">
        <v/>
      </c>
      <c r="O373" t="n">
        <v>18.82668</v>
      </c>
      <c r="P373" t="n">
        <v/>
      </c>
      <c r="Q373" t="n">
        <v/>
      </c>
      <c r="R373" t="n">
        <v>31.57869</v>
      </c>
      <c r="S373" t="n">
        <v>34.54268</v>
      </c>
      <c r="T373" t="n">
        <v/>
      </c>
      <c r="U373" t="n">
        <v>34.80979</v>
      </c>
      <c r="V373" t="n">
        <v>28.78789</v>
      </c>
      <c r="W373" t="n">
        <v>4.686736</v>
      </c>
      <c r="X373" t="n">
        <v/>
      </c>
      <c r="Y373" t="n">
        <v/>
      </c>
      <c r="Z373" t="n">
        <v/>
      </c>
      <c r="AA373" t="n">
        <v>22.89781</v>
      </c>
      <c r="AB373" t="n">
        <v/>
      </c>
      <c r="AC373" t="n">
        <v>0.02918804</v>
      </c>
      <c r="AD373" t="n">
        <v>17.94065</v>
      </c>
      <c r="AE373" t="n">
        <v>71.03946999999999</v>
      </c>
      <c r="AF373" t="n">
        <v/>
      </c>
      <c r="AG373" t="n">
        <v/>
      </c>
      <c r="AH373" t="n">
        <v>36.96357</v>
      </c>
      <c r="AI373" t="n">
        <v/>
      </c>
      <c r="AJ373" t="n">
        <v/>
      </c>
      <c r="AK373" t="n">
        <v>43.22869</v>
      </c>
      <c r="AL373" t="n">
        <v>27.16081</v>
      </c>
      <c r="AM373" t="n">
        <v>17.27222</v>
      </c>
      <c r="AN373" t="n">
        <v>14.26486</v>
      </c>
      <c r="AO373" t="n">
        <v/>
      </c>
      <c r="AP373" t="n">
        <v>7.502101</v>
      </c>
      <c r="AQ373" t="n">
        <v/>
      </c>
      <c r="AR373" t="n">
        <v/>
      </c>
      <c r="AS373" t="n">
        <v/>
      </c>
      <c r="AT373" t="n">
        <v/>
      </c>
      <c r="AU373" t="n">
        <v>31.44073</v>
      </c>
      <c r="AV373" t="n">
        <v/>
      </c>
      <c r="AW373" t="n">
        <v>31.24916</v>
      </c>
      <c r="AX373" t="n">
        <v/>
      </c>
    </row>
    <row r="374">
      <c r="A374" s="92" t="n">
        <v>29221</v>
      </c>
      <c r="B374" t="n">
        <v>40.43211</v>
      </c>
      <c r="C374" t="n">
        <v>36.99482</v>
      </c>
      <c r="D374" t="n">
        <v/>
      </c>
      <c r="E374" t="n">
        <v>34.01482</v>
      </c>
      <c r="F374" t="n">
        <v>52.08432</v>
      </c>
      <c r="G374" t="n">
        <v/>
      </c>
      <c r="H374" t="n">
        <v/>
      </c>
      <c r="I374" t="n">
        <v/>
      </c>
      <c r="J374" t="n">
        <v/>
      </c>
      <c r="K374" t="n">
        <v/>
      </c>
      <c r="L374" t="n">
        <v>47.20451</v>
      </c>
      <c r="M374" t="n">
        <v>33.07094</v>
      </c>
      <c r="N374" t="n">
        <v/>
      </c>
      <c r="O374" t="n">
        <v>19.04731</v>
      </c>
      <c r="P374" t="n">
        <v/>
      </c>
      <c r="Q374" t="n">
        <v/>
      </c>
      <c r="R374" t="n">
        <v>31.97494</v>
      </c>
      <c r="S374" t="n">
        <v>35.06067</v>
      </c>
      <c r="T374" t="n">
        <v/>
      </c>
      <c r="U374" t="n">
        <v>35.24166</v>
      </c>
      <c r="V374" t="n">
        <v>29.61975</v>
      </c>
      <c r="W374" t="n">
        <v>4.800806</v>
      </c>
      <c r="X374" t="n">
        <v/>
      </c>
      <c r="Y374" t="n">
        <v/>
      </c>
      <c r="Z374" t="n">
        <v/>
      </c>
      <c r="AA374" t="n">
        <v>23.79138</v>
      </c>
      <c r="AB374" t="n">
        <v/>
      </c>
      <c r="AC374" t="n">
        <v>0.03116155</v>
      </c>
      <c r="AD374" t="n">
        <v>18.51401</v>
      </c>
      <c r="AE374" t="n">
        <v>71.38217</v>
      </c>
      <c r="AF374" t="n">
        <v/>
      </c>
      <c r="AG374" t="n">
        <v/>
      </c>
      <c r="AH374" t="n">
        <v>37.10241</v>
      </c>
      <c r="AI374" t="n">
        <v/>
      </c>
      <c r="AJ374" t="n">
        <v>0.06246145</v>
      </c>
      <c r="AK374" t="n">
        <v>43.19789</v>
      </c>
      <c r="AL374" t="n">
        <v>27.53853</v>
      </c>
      <c r="AM374" t="n">
        <v>17.55419</v>
      </c>
      <c r="AN374" t="n">
        <v>14.52986</v>
      </c>
      <c r="AO374" t="n">
        <v/>
      </c>
      <c r="AP374" t="n">
        <v>7.568699</v>
      </c>
      <c r="AQ374" t="n">
        <v/>
      </c>
      <c r="AR374" t="n">
        <v/>
      </c>
      <c r="AS374" t="n">
        <v/>
      </c>
      <c r="AT374" t="n">
        <v/>
      </c>
      <c r="AU374" t="n">
        <v>32.14358</v>
      </c>
      <c r="AV374" t="n">
        <v/>
      </c>
      <c r="AW374" t="n">
        <v>31.62068</v>
      </c>
      <c r="AX374" t="n">
        <v/>
      </c>
    </row>
    <row r="375">
      <c r="A375" s="92" t="n">
        <v>29252</v>
      </c>
      <c r="B375" t="n">
        <v>40.64419</v>
      </c>
      <c r="C375" t="n">
        <v>37.13763</v>
      </c>
      <c r="D375" t="n">
        <v/>
      </c>
      <c r="E375" t="n">
        <v>34.41877</v>
      </c>
      <c r="F375" t="n">
        <v>52.29073</v>
      </c>
      <c r="G375" t="n">
        <v/>
      </c>
      <c r="H375" t="n">
        <v/>
      </c>
      <c r="I375" t="n">
        <v/>
      </c>
      <c r="J375" t="n">
        <v/>
      </c>
      <c r="K375" t="n">
        <v/>
      </c>
      <c r="L375" t="n">
        <v>47.89861</v>
      </c>
      <c r="M375" t="n">
        <v>33.33667</v>
      </c>
      <c r="N375" t="n">
        <v/>
      </c>
      <c r="O375" t="n">
        <v>19.31022</v>
      </c>
      <c r="P375" t="n">
        <v/>
      </c>
      <c r="Q375" t="n">
        <v/>
      </c>
      <c r="R375" t="n">
        <v>32.39938</v>
      </c>
      <c r="S375" t="n">
        <v>35.43218</v>
      </c>
      <c r="T375" t="n">
        <v/>
      </c>
      <c r="U375" t="n">
        <v>35.60132</v>
      </c>
      <c r="V375" t="n">
        <v>30.11515</v>
      </c>
      <c r="W375" t="n">
        <v>4.75197</v>
      </c>
      <c r="X375" t="n">
        <v/>
      </c>
      <c r="Y375" t="n">
        <v/>
      </c>
      <c r="Z375" t="n">
        <v/>
      </c>
      <c r="AA375" t="n">
        <v>23.79138</v>
      </c>
      <c r="AB375" t="n">
        <v/>
      </c>
      <c r="AC375" t="n">
        <v>0.03234683</v>
      </c>
      <c r="AD375" t="n">
        <v>18.8393</v>
      </c>
      <c r="AE375" t="n">
        <v>71.47382</v>
      </c>
      <c r="AF375" t="n">
        <v/>
      </c>
      <c r="AG375" t="n">
        <v/>
      </c>
      <c r="AH375" t="n">
        <v>37.25987</v>
      </c>
      <c r="AI375" t="n">
        <v/>
      </c>
      <c r="AJ375" t="n">
        <v>0.06403271000000001</v>
      </c>
      <c r="AK375" t="n">
        <v>43.66578</v>
      </c>
      <c r="AL375" t="n">
        <v>28.11922</v>
      </c>
      <c r="AM375" t="n">
        <v>17.7826</v>
      </c>
      <c r="AN375" t="n">
        <v>14.79125</v>
      </c>
      <c r="AO375" t="n">
        <v/>
      </c>
      <c r="AP375" t="n">
        <v>7.703434</v>
      </c>
      <c r="AQ375" t="n">
        <v/>
      </c>
      <c r="AR375" t="n">
        <v/>
      </c>
      <c r="AS375" t="n">
        <v/>
      </c>
      <c r="AT375" t="n">
        <v/>
      </c>
      <c r="AU375" t="n">
        <v>32.61518</v>
      </c>
      <c r="AV375" t="n">
        <v/>
      </c>
      <c r="AW375" t="n">
        <v>31.90965</v>
      </c>
      <c r="AX375" t="n">
        <v/>
      </c>
    </row>
    <row r="376">
      <c r="A376" s="92" t="n">
        <v>29281</v>
      </c>
      <c r="B376" t="n">
        <v>40.82814</v>
      </c>
      <c r="C376" t="n">
        <v>37.20369</v>
      </c>
      <c r="D376" t="n">
        <v/>
      </c>
      <c r="E376" t="n">
        <v>34.58997</v>
      </c>
      <c r="F376" t="n">
        <v>52.45455</v>
      </c>
      <c r="G376" t="n">
        <v/>
      </c>
      <c r="H376" t="n">
        <v/>
      </c>
      <c r="I376" t="n">
        <v/>
      </c>
      <c r="J376" t="n">
        <v/>
      </c>
      <c r="K376" t="n">
        <v/>
      </c>
      <c r="L376" t="n">
        <v>48.12031</v>
      </c>
      <c r="M376" t="n">
        <v>33.68535</v>
      </c>
      <c r="N376" t="n">
        <v/>
      </c>
      <c r="O376" t="n">
        <v>19.50464</v>
      </c>
      <c r="P376" t="n">
        <v/>
      </c>
      <c r="Q376" t="n">
        <v/>
      </c>
      <c r="R376" t="n">
        <v>32.68102</v>
      </c>
      <c r="S376" t="n">
        <v>35.8468</v>
      </c>
      <c r="T376" t="n">
        <v/>
      </c>
      <c r="U376" t="n">
        <v>35.97273</v>
      </c>
      <c r="V376" t="n">
        <v>30.48591</v>
      </c>
      <c r="W376" t="n">
        <v>4.908035</v>
      </c>
      <c r="X376" t="n">
        <v/>
      </c>
      <c r="Y376" t="n">
        <v/>
      </c>
      <c r="Z376" t="n">
        <v/>
      </c>
      <c r="AA376" t="n">
        <v>23.79138</v>
      </c>
      <c r="AB376" t="n">
        <v/>
      </c>
      <c r="AC376" t="n">
        <v>0.03340365</v>
      </c>
      <c r="AD376" t="n">
        <v>19.057</v>
      </c>
      <c r="AE376" t="n">
        <v>71.89584000000001</v>
      </c>
      <c r="AF376" t="n">
        <v/>
      </c>
      <c r="AG376" t="n">
        <v/>
      </c>
      <c r="AH376" t="n">
        <v>37.42334</v>
      </c>
      <c r="AI376" t="n">
        <v/>
      </c>
      <c r="AJ376" t="n">
        <v>0.06545388000000001</v>
      </c>
      <c r="AK376" t="n">
        <v>44.11333</v>
      </c>
      <c r="AL376" t="n">
        <v>28.53118</v>
      </c>
      <c r="AM376" t="n">
        <v>17.97888</v>
      </c>
      <c r="AN376" t="n">
        <v>14.93266</v>
      </c>
      <c r="AO376" t="n">
        <v/>
      </c>
      <c r="AP376" t="n">
        <v>7.779152</v>
      </c>
      <c r="AQ376" t="n">
        <v/>
      </c>
      <c r="AR376" t="n">
        <v/>
      </c>
      <c r="AS376" t="n">
        <v/>
      </c>
      <c r="AT376" t="n">
        <v/>
      </c>
      <c r="AU376" t="n">
        <v>32.78769</v>
      </c>
      <c r="AV376" t="n">
        <v/>
      </c>
      <c r="AW376" t="n">
        <v>32.32245</v>
      </c>
      <c r="AX376" t="n">
        <v/>
      </c>
    </row>
    <row r="377">
      <c r="A377" s="92" t="n">
        <v>29312</v>
      </c>
      <c r="B377" t="n">
        <v>40.92865</v>
      </c>
      <c r="C377" t="n">
        <v>37.30285</v>
      </c>
      <c r="D377" t="n">
        <v/>
      </c>
      <c r="E377" t="n">
        <v>34.87236</v>
      </c>
      <c r="F377" t="n">
        <v>52.61295</v>
      </c>
      <c r="G377" t="n">
        <v/>
      </c>
      <c r="H377" t="n">
        <v/>
      </c>
      <c r="I377" t="n">
        <v/>
      </c>
      <c r="J377" t="n">
        <v/>
      </c>
      <c r="K377" t="n">
        <v/>
      </c>
      <c r="L377" t="n">
        <v>48.35395</v>
      </c>
      <c r="M377" t="n">
        <v>33.88559</v>
      </c>
      <c r="N377" t="n">
        <v/>
      </c>
      <c r="O377" t="n">
        <v>19.79657</v>
      </c>
      <c r="P377" t="n">
        <v/>
      </c>
      <c r="Q377" t="n">
        <v/>
      </c>
      <c r="R377" t="n">
        <v>33.17336</v>
      </c>
      <c r="S377" t="n">
        <v>36.36968</v>
      </c>
      <c r="T377" t="n">
        <v/>
      </c>
      <c r="U377" t="n">
        <v>36.47907</v>
      </c>
      <c r="V377" t="n">
        <v>31.6749</v>
      </c>
      <c r="W377" t="n">
        <v>5.083676</v>
      </c>
      <c r="X377" t="n">
        <v/>
      </c>
      <c r="Y377" t="n">
        <v/>
      </c>
      <c r="Z377" t="n">
        <v/>
      </c>
      <c r="AA377" t="n">
        <v>25.67033</v>
      </c>
      <c r="AB377" t="n">
        <v/>
      </c>
      <c r="AC377" t="n">
        <v>0.03687188</v>
      </c>
      <c r="AD377" t="n">
        <v>19.40414</v>
      </c>
      <c r="AE377" t="n">
        <v>72.82388</v>
      </c>
      <c r="AF377" t="n">
        <v/>
      </c>
      <c r="AG377" t="n">
        <v/>
      </c>
      <c r="AH377" t="n">
        <v>37.63795</v>
      </c>
      <c r="AI377" t="n">
        <v/>
      </c>
      <c r="AJ377" t="n">
        <v>0.0665796</v>
      </c>
      <c r="AK377" t="n">
        <v>44.62914</v>
      </c>
      <c r="AL377" t="n">
        <v>28.6339</v>
      </c>
      <c r="AM377" t="n">
        <v>18.24003</v>
      </c>
      <c r="AN377" t="n">
        <v>15.17314</v>
      </c>
      <c r="AO377" t="n">
        <v/>
      </c>
      <c r="AP377" t="n">
        <v>7.829904</v>
      </c>
      <c r="AQ377" t="n">
        <v/>
      </c>
      <c r="AR377" t="n">
        <v/>
      </c>
      <c r="AS377" t="n">
        <v/>
      </c>
      <c r="AT377" t="n">
        <v/>
      </c>
      <c r="AU377" t="n">
        <v>33.03462</v>
      </c>
      <c r="AV377" t="n">
        <v/>
      </c>
      <c r="AW377" t="n">
        <v>32.73525</v>
      </c>
      <c r="AX377" t="n">
        <v/>
      </c>
    </row>
    <row r="378">
      <c r="A378" s="92" t="n">
        <v>29342</v>
      </c>
      <c r="B378" t="n">
        <v>41.09522</v>
      </c>
      <c r="C378" t="n">
        <v>37.47794</v>
      </c>
      <c r="D378" t="n">
        <v/>
      </c>
      <c r="E378" t="n">
        <v>35.30116</v>
      </c>
      <c r="F378" t="n">
        <v>52.84087</v>
      </c>
      <c r="G378" t="n">
        <v/>
      </c>
      <c r="H378" t="n">
        <v/>
      </c>
      <c r="I378" t="n">
        <v/>
      </c>
      <c r="J378" t="n">
        <v/>
      </c>
      <c r="K378" t="n">
        <v/>
      </c>
      <c r="L378" t="n">
        <v>48.55362</v>
      </c>
      <c r="M378" t="n">
        <v>34.39375</v>
      </c>
      <c r="N378" t="n">
        <v/>
      </c>
      <c r="O378" t="n">
        <v>20.04221</v>
      </c>
      <c r="P378" t="n">
        <v/>
      </c>
      <c r="Q378" t="n">
        <v/>
      </c>
      <c r="R378" t="n">
        <v>33.31461</v>
      </c>
      <c r="S378" t="n">
        <v>36.63717</v>
      </c>
      <c r="T378" t="n">
        <v/>
      </c>
      <c r="U378" t="n">
        <v>36.85599</v>
      </c>
      <c r="V378" t="n">
        <v>31.89193</v>
      </c>
      <c r="W378" t="n">
        <v>5.131044</v>
      </c>
      <c r="X378" t="n">
        <v/>
      </c>
      <c r="Y378" t="n">
        <v/>
      </c>
      <c r="Z378" t="n">
        <v/>
      </c>
      <c r="AA378" t="n">
        <v>25.67033</v>
      </c>
      <c r="AB378" t="n">
        <v/>
      </c>
      <c r="AC378" t="n">
        <v>0.03988469</v>
      </c>
      <c r="AD378" t="n">
        <v>19.63817</v>
      </c>
      <c r="AE378" t="n">
        <v>73.87194</v>
      </c>
      <c r="AF378" t="n">
        <v/>
      </c>
      <c r="AG378" t="n">
        <v/>
      </c>
      <c r="AH378" t="n">
        <v>37.87328</v>
      </c>
      <c r="AI378" t="n">
        <v/>
      </c>
      <c r="AJ378" t="n">
        <v>0.06767099</v>
      </c>
      <c r="AK378" t="n">
        <v>44.71641</v>
      </c>
      <c r="AL378" t="n">
        <v>28.86616</v>
      </c>
      <c r="AM378" t="n">
        <v>18.41303</v>
      </c>
      <c r="AN378" t="n">
        <v>15.25574</v>
      </c>
      <c r="AO378" t="n">
        <v/>
      </c>
      <c r="AP378" t="n">
        <v>7.898306</v>
      </c>
      <c r="AQ378" t="n">
        <v/>
      </c>
      <c r="AR378" t="n">
        <v/>
      </c>
      <c r="AS378" t="n">
        <v/>
      </c>
      <c r="AT378" t="n">
        <v/>
      </c>
      <c r="AU378" t="n">
        <v>33.13284</v>
      </c>
      <c r="AV378" t="n">
        <v/>
      </c>
      <c r="AW378" t="n">
        <v>33.10677</v>
      </c>
      <c r="AX378" t="n">
        <v/>
      </c>
    </row>
    <row r="379">
      <c r="A379" s="92" t="n">
        <v>29373</v>
      </c>
      <c r="B379" t="n">
        <v>41.19339</v>
      </c>
      <c r="C379" t="n">
        <v>37.64165</v>
      </c>
      <c r="D379" t="n">
        <v/>
      </c>
      <c r="E379" t="n">
        <v>35.62237</v>
      </c>
      <c r="F379" t="n">
        <v>52.91557</v>
      </c>
      <c r="G379" t="n">
        <v/>
      </c>
      <c r="H379" t="n">
        <v/>
      </c>
      <c r="I379" t="n">
        <v/>
      </c>
      <c r="J379" t="n">
        <v/>
      </c>
      <c r="K379" t="n">
        <v/>
      </c>
      <c r="L379" t="n">
        <v>48.70866</v>
      </c>
      <c r="M379" t="n">
        <v>34.47085</v>
      </c>
      <c r="N379" t="n">
        <v/>
      </c>
      <c r="O379" t="n">
        <v>20.15601</v>
      </c>
      <c r="P379" t="n">
        <v/>
      </c>
      <c r="Q379" t="n">
        <v/>
      </c>
      <c r="R379" t="n">
        <v>33.46356</v>
      </c>
      <c r="S379" t="n">
        <v>36.91077</v>
      </c>
      <c r="T379" t="n">
        <v/>
      </c>
      <c r="U379" t="n">
        <v>37.16668</v>
      </c>
      <c r="V379" t="n">
        <v>32.01979</v>
      </c>
      <c r="W379" t="n">
        <v>5.305272</v>
      </c>
      <c r="X379" t="n">
        <v/>
      </c>
      <c r="Y379" t="n">
        <v/>
      </c>
      <c r="Z379" t="n">
        <v/>
      </c>
      <c r="AA379" t="n">
        <v>25.67033</v>
      </c>
      <c r="AB379" t="n">
        <v/>
      </c>
      <c r="AC379" t="n">
        <v>0.042191</v>
      </c>
      <c r="AD379" t="n">
        <v>19.79687</v>
      </c>
      <c r="AE379" t="n">
        <v>74.31327</v>
      </c>
      <c r="AF379" t="n">
        <v/>
      </c>
      <c r="AG379" t="n">
        <v/>
      </c>
      <c r="AH379" t="n">
        <v>37.93565</v>
      </c>
      <c r="AI379" t="n">
        <v/>
      </c>
      <c r="AJ379" t="n">
        <v>0.06871035</v>
      </c>
      <c r="AK379" t="n">
        <v>44.69773</v>
      </c>
      <c r="AL379" t="n">
        <v>29.30632</v>
      </c>
      <c r="AM379" t="n">
        <v>18.60499</v>
      </c>
      <c r="AN379" t="n">
        <v>15.41918</v>
      </c>
      <c r="AO379" t="n">
        <v/>
      </c>
      <c r="AP379" t="n">
        <v>7.983877</v>
      </c>
      <c r="AQ379" t="n">
        <v/>
      </c>
      <c r="AR379" t="n">
        <v/>
      </c>
      <c r="AS379" t="n">
        <v/>
      </c>
      <c r="AT379" t="n">
        <v/>
      </c>
      <c r="AU379" t="n">
        <v>33.17541</v>
      </c>
      <c r="AV379" t="n">
        <v/>
      </c>
      <c r="AW379" t="n">
        <v>33.47829</v>
      </c>
      <c r="AX379" t="n">
        <v/>
      </c>
    </row>
    <row r="380">
      <c r="A380" s="92" t="n">
        <v>29403</v>
      </c>
      <c r="B380" t="n">
        <v>41.52286</v>
      </c>
      <c r="C380" t="n">
        <v>37.95742</v>
      </c>
      <c r="D380" t="n">
        <v/>
      </c>
      <c r="E380" t="n">
        <v>35.84687</v>
      </c>
      <c r="F380" t="n">
        <v>53.03847</v>
      </c>
      <c r="G380" t="n">
        <v/>
      </c>
      <c r="H380" t="n">
        <v/>
      </c>
      <c r="I380" t="n">
        <v/>
      </c>
      <c r="J380" t="n">
        <v/>
      </c>
      <c r="K380" t="n">
        <v/>
      </c>
      <c r="L380" t="n">
        <v>48.79223</v>
      </c>
      <c r="M380" t="n">
        <v>34.97151</v>
      </c>
      <c r="N380" t="n">
        <v/>
      </c>
      <c r="O380" t="n">
        <v>20.32313</v>
      </c>
      <c r="P380" t="n">
        <v/>
      </c>
      <c r="Q380" t="n">
        <v/>
      </c>
      <c r="R380" t="n">
        <v>33.60643</v>
      </c>
      <c r="S380" t="n">
        <v>37.49349</v>
      </c>
      <c r="T380" t="n">
        <v/>
      </c>
      <c r="U380" t="n">
        <v>37.26902</v>
      </c>
      <c r="V380" t="n">
        <v>32.26648</v>
      </c>
      <c r="W380" t="n">
        <v>5.297054</v>
      </c>
      <c r="X380" t="n">
        <v/>
      </c>
      <c r="Y380" t="n">
        <v/>
      </c>
      <c r="Z380" t="n">
        <v/>
      </c>
      <c r="AA380" t="n">
        <v>26.34277</v>
      </c>
      <c r="AB380" t="n">
        <v/>
      </c>
      <c r="AC380" t="n">
        <v>0.04418787</v>
      </c>
      <c r="AD380" t="n">
        <v>20.14859</v>
      </c>
      <c r="AE380" t="n">
        <v>74.48736</v>
      </c>
      <c r="AF380" t="n">
        <v/>
      </c>
      <c r="AG380" t="n">
        <v/>
      </c>
      <c r="AH380" t="n">
        <v>38.1264</v>
      </c>
      <c r="AI380" t="n">
        <v/>
      </c>
      <c r="AJ380" t="n">
        <v>0.07030145</v>
      </c>
      <c r="AK380" t="n">
        <v>44.98962</v>
      </c>
      <c r="AL380" t="n">
        <v>29.54956</v>
      </c>
      <c r="AM380" t="n">
        <v>18.70077</v>
      </c>
      <c r="AN380" t="n">
        <v>15.56878</v>
      </c>
      <c r="AO380" t="n">
        <v/>
      </c>
      <c r="AP380" t="n">
        <v>8.067923</v>
      </c>
      <c r="AQ380" t="n">
        <v/>
      </c>
      <c r="AR380" t="n">
        <v/>
      </c>
      <c r="AS380" t="n">
        <v/>
      </c>
      <c r="AT380" t="n">
        <v/>
      </c>
      <c r="AU380" t="n">
        <v>33.40414</v>
      </c>
      <c r="AV380" t="n">
        <v/>
      </c>
      <c r="AW380" t="n">
        <v>33.39574</v>
      </c>
      <c r="AX380" t="n">
        <v/>
      </c>
    </row>
    <row r="381">
      <c r="A381" s="92" t="n">
        <v>29434</v>
      </c>
      <c r="B381" t="n">
        <v>41.50819</v>
      </c>
      <c r="C381" t="n">
        <v>38.14997</v>
      </c>
      <c r="D381" t="n">
        <v/>
      </c>
      <c r="E381" t="n">
        <v>36.21386</v>
      </c>
      <c r="F381" t="n">
        <v>53.35452</v>
      </c>
      <c r="G381" t="n">
        <v/>
      </c>
      <c r="H381" t="n">
        <v/>
      </c>
      <c r="I381" t="n">
        <v/>
      </c>
      <c r="J381" t="n">
        <v/>
      </c>
      <c r="K381" t="n">
        <v/>
      </c>
      <c r="L381" t="n">
        <v>48.9712</v>
      </c>
      <c r="M381" t="n">
        <v>35.09514</v>
      </c>
      <c r="N381" t="n">
        <v/>
      </c>
      <c r="O381" t="n">
        <v>20.47387</v>
      </c>
      <c r="P381" t="n">
        <v/>
      </c>
      <c r="Q381" t="n">
        <v/>
      </c>
      <c r="R381" t="n">
        <v>34.17569</v>
      </c>
      <c r="S381" t="n">
        <v>37.86515</v>
      </c>
      <c r="T381" t="n">
        <v/>
      </c>
      <c r="U381" t="n">
        <v>37.43973</v>
      </c>
      <c r="V381" t="n">
        <v>32.4056</v>
      </c>
      <c r="W381" t="n">
        <v>5.237416</v>
      </c>
      <c r="X381" t="n">
        <v/>
      </c>
      <c r="Y381" t="n">
        <v/>
      </c>
      <c r="Z381" t="n">
        <v/>
      </c>
      <c r="AA381" t="n">
        <v>26.34277</v>
      </c>
      <c r="AB381" t="n">
        <v/>
      </c>
      <c r="AC381" t="n">
        <v>0.04731161</v>
      </c>
      <c r="AD381" t="n">
        <v>20.41396</v>
      </c>
      <c r="AE381" t="n">
        <v>74.03436000000001</v>
      </c>
      <c r="AF381" t="n">
        <v/>
      </c>
      <c r="AG381" t="n">
        <v/>
      </c>
      <c r="AH381" t="n">
        <v>38.27732</v>
      </c>
      <c r="AI381" t="n">
        <v/>
      </c>
      <c r="AJ381" t="n">
        <v>0.07164851999999999</v>
      </c>
      <c r="AK381" t="n">
        <v>45.20375</v>
      </c>
      <c r="AL381" t="n">
        <v>29.65228</v>
      </c>
      <c r="AM381" t="n">
        <v>18.82054</v>
      </c>
      <c r="AN381" t="n">
        <v>15.70806</v>
      </c>
      <c r="AO381" t="n">
        <v/>
      </c>
      <c r="AP381" t="n">
        <v>8.145925999999999</v>
      </c>
      <c r="AQ381" t="n">
        <v/>
      </c>
      <c r="AR381" t="n">
        <v/>
      </c>
      <c r="AS381" t="n">
        <v/>
      </c>
      <c r="AT381" t="n">
        <v/>
      </c>
      <c r="AU381" t="n">
        <v>33.58451</v>
      </c>
      <c r="AV381" t="n">
        <v/>
      </c>
      <c r="AW381" t="n">
        <v>33.56086</v>
      </c>
      <c r="AX381" t="n">
        <v/>
      </c>
    </row>
    <row r="382">
      <c r="A382" s="92" t="n">
        <v>29465</v>
      </c>
      <c r="B382" t="n">
        <v>41.64868</v>
      </c>
      <c r="C382" t="n">
        <v>38.33665</v>
      </c>
      <c r="D382" t="n">
        <v/>
      </c>
      <c r="E382" t="n">
        <v>36.40894</v>
      </c>
      <c r="F382" t="n">
        <v>53.49562</v>
      </c>
      <c r="G382" t="n">
        <v/>
      </c>
      <c r="H382" t="n">
        <v/>
      </c>
      <c r="I382" t="n">
        <v/>
      </c>
      <c r="J382" t="n">
        <v/>
      </c>
      <c r="K382" t="n">
        <v/>
      </c>
      <c r="L382" t="n">
        <v>49.05827</v>
      </c>
      <c r="M382" t="n">
        <v>35.28481</v>
      </c>
      <c r="N382" t="n">
        <v/>
      </c>
      <c r="O382" t="n">
        <v>20.74123</v>
      </c>
      <c r="P382" t="n">
        <v/>
      </c>
      <c r="Q382" t="n">
        <v/>
      </c>
      <c r="R382" t="n">
        <v>34.57536</v>
      </c>
      <c r="S382" t="n">
        <v>38.18677</v>
      </c>
      <c r="T382" t="n">
        <v/>
      </c>
      <c r="U382" t="n">
        <v>37.83889</v>
      </c>
      <c r="V382" t="n">
        <v>32.66357</v>
      </c>
      <c r="W382" t="n">
        <v>5.411662</v>
      </c>
      <c r="X382" t="n">
        <v/>
      </c>
      <c r="Y382" t="n">
        <v/>
      </c>
      <c r="Z382" t="n">
        <v/>
      </c>
      <c r="AA382" t="n">
        <v>26.34277</v>
      </c>
      <c r="AB382" t="n">
        <v/>
      </c>
      <c r="AC382" t="n">
        <v>0.05091998</v>
      </c>
      <c r="AD382" t="n">
        <v>20.86543</v>
      </c>
      <c r="AE382" t="n">
        <v>75.11467</v>
      </c>
      <c r="AF382" t="n">
        <v/>
      </c>
      <c r="AG382" t="n">
        <v/>
      </c>
      <c r="AH382" t="n">
        <v>38.37066</v>
      </c>
      <c r="AI382" t="n">
        <v/>
      </c>
      <c r="AJ382" t="n">
        <v>0.07263752</v>
      </c>
      <c r="AK382" t="n">
        <v>45.53516</v>
      </c>
      <c r="AL382" t="n">
        <v>30.04386</v>
      </c>
      <c r="AM382" t="n">
        <v>19.03903</v>
      </c>
      <c r="AN382" t="n">
        <v>15.8965</v>
      </c>
      <c r="AO382" t="n">
        <v/>
      </c>
      <c r="AP382" t="n">
        <v>8.131494999999999</v>
      </c>
      <c r="AQ382" t="n">
        <v/>
      </c>
      <c r="AR382" t="n">
        <v/>
      </c>
      <c r="AS382" t="n">
        <v/>
      </c>
      <c r="AT382" t="n">
        <v/>
      </c>
      <c r="AU382" t="n">
        <v>34.63556</v>
      </c>
      <c r="AV382" t="n">
        <v/>
      </c>
      <c r="AW382" t="n">
        <v>33.93238</v>
      </c>
      <c r="AX382" t="n">
        <v/>
      </c>
    </row>
    <row r="383">
      <c r="A383" s="92" t="n">
        <v>29495</v>
      </c>
      <c r="B383" t="n">
        <v>41.85946</v>
      </c>
      <c r="C383" t="n">
        <v>38.45008</v>
      </c>
      <c r="D383" t="n">
        <v/>
      </c>
      <c r="E383" t="n">
        <v>36.59285</v>
      </c>
      <c r="F383" t="n">
        <v>53.52012</v>
      </c>
      <c r="G383" t="n">
        <v/>
      </c>
      <c r="H383" t="n">
        <v/>
      </c>
      <c r="I383" t="n">
        <v/>
      </c>
      <c r="J383" t="n">
        <v/>
      </c>
      <c r="K383" t="n">
        <v/>
      </c>
      <c r="L383" t="n">
        <v>49.05856</v>
      </c>
      <c r="M383" t="n">
        <v>35.57188</v>
      </c>
      <c r="N383" t="n">
        <v/>
      </c>
      <c r="O383" t="n">
        <v>20.97129</v>
      </c>
      <c r="P383" t="n">
        <v/>
      </c>
      <c r="Q383" t="n">
        <v/>
      </c>
      <c r="R383" t="n">
        <v>34.74285</v>
      </c>
      <c r="S383" t="n">
        <v>38.60942</v>
      </c>
      <c r="T383" t="n">
        <v/>
      </c>
      <c r="U383" t="n">
        <v>38.21197</v>
      </c>
      <c r="V383" t="n">
        <v>32.88939</v>
      </c>
      <c r="W383" t="n">
        <v>5.59037</v>
      </c>
      <c r="X383" t="n">
        <v/>
      </c>
      <c r="Y383" t="n">
        <v/>
      </c>
      <c r="Z383" t="n">
        <v/>
      </c>
      <c r="AA383" t="n">
        <v>27.32992</v>
      </c>
      <c r="AB383" t="n">
        <v/>
      </c>
      <c r="AC383" t="n">
        <v>0.05646097</v>
      </c>
      <c r="AD383" t="n">
        <v>21.31452</v>
      </c>
      <c r="AE383" t="n">
        <v>75.50832</v>
      </c>
      <c r="AF383" t="n">
        <v/>
      </c>
      <c r="AG383" t="n">
        <v/>
      </c>
      <c r="AH383" t="n">
        <v>38.72617</v>
      </c>
      <c r="AI383" t="n">
        <v/>
      </c>
      <c r="AJ383" t="n">
        <v>0.07401613999999999</v>
      </c>
      <c r="AK383" t="n">
        <v>45.80386</v>
      </c>
      <c r="AL383" t="n">
        <v>30.18679</v>
      </c>
      <c r="AM383" t="n">
        <v>19.2649</v>
      </c>
      <c r="AN383" t="n">
        <v>16.0863</v>
      </c>
      <c r="AO383" t="n">
        <v/>
      </c>
      <c r="AP383" t="n">
        <v>8.271064000000001</v>
      </c>
      <c r="AQ383" t="n">
        <v/>
      </c>
      <c r="AR383" t="n">
        <v/>
      </c>
      <c r="AS383" t="n">
        <v/>
      </c>
      <c r="AT383" t="n">
        <v/>
      </c>
      <c r="AU383" t="n">
        <v>34.98829</v>
      </c>
      <c r="AV383" t="n">
        <v/>
      </c>
      <c r="AW383" t="n">
        <v>34.34518</v>
      </c>
      <c r="AX383" t="n">
        <v/>
      </c>
    </row>
    <row r="384">
      <c r="A384" s="92" t="n">
        <v>29526</v>
      </c>
      <c r="B384" t="n">
        <v>41.96818</v>
      </c>
      <c r="C384" t="n">
        <v>38.62898</v>
      </c>
      <c r="D384" t="n">
        <v/>
      </c>
      <c r="E384" t="n">
        <v>37.05037</v>
      </c>
      <c r="F384" t="n">
        <v>53.95547</v>
      </c>
      <c r="G384" t="n">
        <v/>
      </c>
      <c r="H384" t="n">
        <v/>
      </c>
      <c r="I384" t="n">
        <v/>
      </c>
      <c r="J384" t="n">
        <v/>
      </c>
      <c r="K384" t="n">
        <v/>
      </c>
      <c r="L384" t="n">
        <v>49.30606</v>
      </c>
      <c r="M384" t="n">
        <v>35.90051</v>
      </c>
      <c r="N384" t="n">
        <v/>
      </c>
      <c r="O384" t="n">
        <v>21.20308</v>
      </c>
      <c r="P384" t="n">
        <v/>
      </c>
      <c r="Q384" t="n">
        <v/>
      </c>
      <c r="R384" t="n">
        <v>35.21609</v>
      </c>
      <c r="S384" t="n">
        <v>38.83774</v>
      </c>
      <c r="T384" t="n">
        <v/>
      </c>
      <c r="U384" t="n">
        <v>38.56617</v>
      </c>
      <c r="V384" t="n">
        <v>33.15172</v>
      </c>
      <c r="W384" t="n">
        <v>5.72753</v>
      </c>
      <c r="X384" t="n">
        <v/>
      </c>
      <c r="Y384" t="n">
        <v/>
      </c>
      <c r="Z384" t="n">
        <v/>
      </c>
      <c r="AA384" t="n">
        <v>27.32992</v>
      </c>
      <c r="AB384" t="n">
        <v/>
      </c>
      <c r="AC384" t="n">
        <v>0.06119038</v>
      </c>
      <c r="AD384" t="n">
        <v>21.75042</v>
      </c>
      <c r="AE384" t="n">
        <v>75.6426</v>
      </c>
      <c r="AF384" t="n">
        <v/>
      </c>
      <c r="AG384" t="n">
        <v/>
      </c>
      <c r="AH384" t="n">
        <v>39.04018</v>
      </c>
      <c r="AI384" t="n">
        <v/>
      </c>
      <c r="AJ384" t="n">
        <v>0.07538904</v>
      </c>
      <c r="AK384" t="n">
        <v>45.86174</v>
      </c>
      <c r="AL384" t="n">
        <v>30.31785</v>
      </c>
      <c r="AM384" t="n">
        <v>19.45258</v>
      </c>
      <c r="AN384" t="n">
        <v>16.24784</v>
      </c>
      <c r="AO384" t="n">
        <v/>
      </c>
      <c r="AP384" t="n">
        <v>8.367466</v>
      </c>
      <c r="AQ384" t="n">
        <v/>
      </c>
      <c r="AR384" t="n">
        <v/>
      </c>
      <c r="AS384" t="n">
        <v/>
      </c>
      <c r="AT384" t="n">
        <v/>
      </c>
      <c r="AU384" t="n">
        <v>35.18744</v>
      </c>
      <c r="AV384" t="n">
        <v/>
      </c>
      <c r="AW384" t="n">
        <v>34.71671</v>
      </c>
      <c r="AX384" t="n">
        <v/>
      </c>
    </row>
    <row r="385">
      <c r="A385" s="92" t="n">
        <v>29556</v>
      </c>
      <c r="B385" t="n">
        <v>42.15253</v>
      </c>
      <c r="C385" t="n">
        <v>38.74125</v>
      </c>
      <c r="D385" t="n">
        <v/>
      </c>
      <c r="E385" t="n">
        <v>37.15982</v>
      </c>
      <c r="F385" t="n">
        <v>54.0776</v>
      </c>
      <c r="G385" t="n">
        <v/>
      </c>
      <c r="H385" t="n">
        <v/>
      </c>
      <c r="I385" t="n">
        <v/>
      </c>
      <c r="J385" t="n">
        <v/>
      </c>
      <c r="K385" t="n">
        <v/>
      </c>
      <c r="L385" t="n">
        <v>49.63028</v>
      </c>
      <c r="M385" t="n">
        <v>36.00245</v>
      </c>
      <c r="N385" t="n">
        <v/>
      </c>
      <c r="O385" t="n">
        <v>21.30148</v>
      </c>
      <c r="P385" t="n">
        <v/>
      </c>
      <c r="Q385" t="n">
        <v/>
      </c>
      <c r="R385" t="n">
        <v>35.60088</v>
      </c>
      <c r="S385" t="n">
        <v>39.15309</v>
      </c>
      <c r="T385" t="n">
        <v/>
      </c>
      <c r="U385" t="n">
        <v>38.7809</v>
      </c>
      <c r="V385" t="n">
        <v>33.28337</v>
      </c>
      <c r="W385" t="n">
        <v>5.844873</v>
      </c>
      <c r="X385" t="n">
        <v/>
      </c>
      <c r="Y385" t="n">
        <v/>
      </c>
      <c r="Z385" t="n">
        <v/>
      </c>
      <c r="AA385" t="n">
        <v>27.32992</v>
      </c>
      <c r="AB385" t="n">
        <v/>
      </c>
      <c r="AC385" t="n">
        <v>0.06477539</v>
      </c>
      <c r="AD385" t="n">
        <v>21.51728</v>
      </c>
      <c r="AE385" t="n">
        <v>75.69490999999999</v>
      </c>
      <c r="AF385" t="n">
        <v/>
      </c>
      <c r="AG385" t="n">
        <v/>
      </c>
      <c r="AH385" t="n">
        <v>39.31906</v>
      </c>
      <c r="AI385" t="n">
        <v/>
      </c>
      <c r="AJ385" t="n">
        <v>0.07723480000000001</v>
      </c>
      <c r="AK385" t="n">
        <v>45.9063</v>
      </c>
      <c r="AL385" t="n">
        <v>30.54071</v>
      </c>
      <c r="AM385" t="n">
        <v>19.61522</v>
      </c>
      <c r="AN385" t="n">
        <v>16.36914</v>
      </c>
      <c r="AO385" t="n">
        <v/>
      </c>
      <c r="AP385" t="n">
        <v>8.595618</v>
      </c>
      <c r="AQ385" t="n">
        <v/>
      </c>
      <c r="AR385" t="n">
        <v/>
      </c>
      <c r="AS385" t="n">
        <v/>
      </c>
      <c r="AT385" t="n">
        <v/>
      </c>
      <c r="AU385" t="n">
        <v>35.36195</v>
      </c>
      <c r="AV385" t="n">
        <v/>
      </c>
      <c r="AW385" t="n">
        <v>35.04695</v>
      </c>
      <c r="AX385" t="n">
        <v/>
      </c>
    </row>
    <row r="386">
      <c r="A386" s="92" t="n">
        <v>29587</v>
      </c>
      <c r="B386" t="n">
        <v>42.44384</v>
      </c>
      <c r="C386" t="n">
        <v>39.03784</v>
      </c>
      <c r="D386" t="n">
        <v/>
      </c>
      <c r="E386" t="n">
        <v>37.63429</v>
      </c>
      <c r="F386" t="n">
        <v>54.40281</v>
      </c>
      <c r="G386" t="n">
        <v/>
      </c>
      <c r="H386" t="n">
        <v/>
      </c>
      <c r="I386" t="n">
        <v/>
      </c>
      <c r="J386" t="n">
        <v/>
      </c>
      <c r="K386" t="n">
        <v/>
      </c>
      <c r="L386" t="n">
        <v>49.98497</v>
      </c>
      <c r="M386" t="n">
        <v>36.11753</v>
      </c>
      <c r="N386" t="n">
        <v/>
      </c>
      <c r="O386" t="n">
        <v>21.57005</v>
      </c>
      <c r="P386" t="n">
        <v/>
      </c>
      <c r="Q386" t="n">
        <v/>
      </c>
      <c r="R386" t="n">
        <v>35.97453</v>
      </c>
      <c r="S386" t="n">
        <v>39.59029</v>
      </c>
      <c r="T386" t="n">
        <v/>
      </c>
      <c r="U386" t="n">
        <v>39.0612</v>
      </c>
      <c r="V386" t="n">
        <v>33.37461</v>
      </c>
      <c r="W386" t="n">
        <v>5.941738</v>
      </c>
      <c r="X386" t="n">
        <v/>
      </c>
      <c r="Y386" t="n">
        <v/>
      </c>
      <c r="Z386" t="n">
        <v/>
      </c>
      <c r="AA386" t="n">
        <v>29.06999</v>
      </c>
      <c r="AB386" t="n">
        <v/>
      </c>
      <c r="AC386" t="n">
        <v>0.07033681</v>
      </c>
      <c r="AD386" t="n">
        <v>22.06261</v>
      </c>
      <c r="AE386" t="n">
        <v>75.96529</v>
      </c>
      <c r="AF386" t="n">
        <v/>
      </c>
      <c r="AG386" t="n">
        <v/>
      </c>
      <c r="AH386" t="n">
        <v>39.51966</v>
      </c>
      <c r="AI386" t="n">
        <v/>
      </c>
      <c r="AJ386" t="n">
        <v>0.08011372999999999</v>
      </c>
      <c r="AK386" t="n">
        <v>45.97705</v>
      </c>
      <c r="AL386" t="n">
        <v>31.37089</v>
      </c>
      <c r="AM386" t="n">
        <v>19.80321</v>
      </c>
      <c r="AN386" t="n">
        <v>16.55489</v>
      </c>
      <c r="AO386" t="n">
        <v/>
      </c>
      <c r="AP386" t="n">
        <v>8.886937</v>
      </c>
      <c r="AQ386" t="n">
        <v/>
      </c>
      <c r="AR386" t="n">
        <v/>
      </c>
      <c r="AS386" t="n">
        <v/>
      </c>
      <c r="AT386" t="n">
        <v/>
      </c>
      <c r="AU386" t="n">
        <v>35.77637</v>
      </c>
      <c r="AV386" t="n">
        <v/>
      </c>
      <c r="AW386" t="n">
        <v>35.21207</v>
      </c>
      <c r="AX386" t="n">
        <v/>
      </c>
    </row>
    <row r="387">
      <c r="A387" s="92" t="n">
        <v>29618</v>
      </c>
      <c r="B387" t="n">
        <v>42.65639</v>
      </c>
      <c r="C387" t="n">
        <v>39.23293</v>
      </c>
      <c r="D387" t="n">
        <v/>
      </c>
      <c r="E387" t="n">
        <v>38.0052</v>
      </c>
      <c r="F387" t="n">
        <v>54.79367</v>
      </c>
      <c r="G387" t="n">
        <v/>
      </c>
      <c r="H387" t="n">
        <v/>
      </c>
      <c r="I387" t="n">
        <v/>
      </c>
      <c r="J387" t="n">
        <v/>
      </c>
      <c r="K387" t="n">
        <v/>
      </c>
      <c r="L387" t="n">
        <v>50.33471</v>
      </c>
      <c r="M387" t="n">
        <v>36.44816</v>
      </c>
      <c r="N387" t="n">
        <v/>
      </c>
      <c r="O387" t="n">
        <v>21.79929</v>
      </c>
      <c r="P387" t="n">
        <v/>
      </c>
      <c r="Q387" t="n">
        <v/>
      </c>
      <c r="R387" t="n">
        <v>36.09124</v>
      </c>
      <c r="S387" t="n">
        <v>39.89204</v>
      </c>
      <c r="T387" t="n">
        <v/>
      </c>
      <c r="U387" t="n">
        <v>39.29137</v>
      </c>
      <c r="V387" t="n">
        <v>33.66361</v>
      </c>
      <c r="W387" t="n">
        <v>5.983015</v>
      </c>
      <c r="X387" t="n">
        <v/>
      </c>
      <c r="Y387" t="n">
        <v/>
      </c>
      <c r="Z387" t="n">
        <v/>
      </c>
      <c r="AA387" t="n">
        <v>29.06999</v>
      </c>
      <c r="AB387" t="n">
        <v/>
      </c>
      <c r="AC387" t="n">
        <v>0.07326563</v>
      </c>
      <c r="AD387" t="n">
        <v>22.50126</v>
      </c>
      <c r="AE387" t="n">
        <v>75.71878</v>
      </c>
      <c r="AF387" t="n">
        <v/>
      </c>
      <c r="AG387" t="n">
        <v/>
      </c>
      <c r="AH387" t="n">
        <v>39.70216</v>
      </c>
      <c r="AI387" t="n">
        <v/>
      </c>
      <c r="AJ387" t="n">
        <v>0.08236106999999999</v>
      </c>
      <c r="AK387" t="n">
        <v>46.16971</v>
      </c>
      <c r="AL387" t="n">
        <v>31.69931</v>
      </c>
      <c r="AM387" t="n">
        <v>19.9447</v>
      </c>
      <c r="AN387" t="n">
        <v>16.71392</v>
      </c>
      <c r="AO387" t="n">
        <v/>
      </c>
      <c r="AP387" t="n">
        <v>8.984508999999999</v>
      </c>
      <c r="AQ387" t="n">
        <v/>
      </c>
      <c r="AR387" t="n">
        <v/>
      </c>
      <c r="AS387" t="n">
        <v/>
      </c>
      <c r="AT387" t="n">
        <v/>
      </c>
      <c r="AU387" t="n">
        <v>36.50258</v>
      </c>
      <c r="AV387" t="n">
        <v/>
      </c>
      <c r="AW387" t="n">
        <v>35.37719</v>
      </c>
      <c r="AX387" t="n">
        <v/>
      </c>
    </row>
    <row r="388">
      <c r="A388" s="92" t="n">
        <v>29646</v>
      </c>
      <c r="B388" t="n">
        <v>42.79497</v>
      </c>
      <c r="C388" t="n">
        <v>39.43153</v>
      </c>
      <c r="D388" t="n">
        <v/>
      </c>
      <c r="E388" t="n">
        <v>38.40582</v>
      </c>
      <c r="F388" t="n">
        <v>55.01102</v>
      </c>
      <c r="G388" t="n">
        <v/>
      </c>
      <c r="H388" t="n">
        <v/>
      </c>
      <c r="I388" t="n">
        <v/>
      </c>
      <c r="J388" t="n">
        <v/>
      </c>
      <c r="K388" t="n">
        <v/>
      </c>
      <c r="L388" t="n">
        <v>50.63501</v>
      </c>
      <c r="M388" t="n">
        <v>37.01889</v>
      </c>
      <c r="N388" t="n">
        <v/>
      </c>
      <c r="O388" t="n">
        <v>21.95918</v>
      </c>
      <c r="P388" t="n">
        <v/>
      </c>
      <c r="Q388" t="n">
        <v/>
      </c>
      <c r="R388" t="n">
        <v>36.2433</v>
      </c>
      <c r="S388" t="n">
        <v>40.22835</v>
      </c>
      <c r="T388" t="n">
        <v/>
      </c>
      <c r="U388" t="n">
        <v>39.52972</v>
      </c>
      <c r="V388" t="n">
        <v>34.04969</v>
      </c>
      <c r="W388" t="n">
        <v>6.137916</v>
      </c>
      <c r="X388" t="n">
        <v/>
      </c>
      <c r="Y388" t="n">
        <v/>
      </c>
      <c r="Z388" t="n">
        <v/>
      </c>
      <c r="AA388" t="n">
        <v>29.06999</v>
      </c>
      <c r="AB388" t="n">
        <v/>
      </c>
      <c r="AC388" t="n">
        <v>0.07655492999999999</v>
      </c>
      <c r="AD388" t="n">
        <v>22.79471</v>
      </c>
      <c r="AE388" t="n">
        <v>75.80368</v>
      </c>
      <c r="AF388" t="n">
        <v/>
      </c>
      <c r="AG388" t="n">
        <v/>
      </c>
      <c r="AH388" t="n">
        <v>39.99715</v>
      </c>
      <c r="AI388" t="n">
        <v/>
      </c>
      <c r="AJ388" t="n">
        <v>0.08428761</v>
      </c>
      <c r="AK388" t="n">
        <v>46.47717</v>
      </c>
      <c r="AL388" t="n">
        <v>32.31759</v>
      </c>
      <c r="AM388" t="n">
        <v>20.0921</v>
      </c>
      <c r="AN388" t="n">
        <v>16.86694</v>
      </c>
      <c r="AO388" t="n">
        <v/>
      </c>
      <c r="AP388" t="n">
        <v>9.072374999999999</v>
      </c>
      <c r="AQ388" t="n">
        <v/>
      </c>
      <c r="AR388" t="n">
        <v/>
      </c>
      <c r="AS388" t="n">
        <v/>
      </c>
      <c r="AT388" t="n">
        <v/>
      </c>
      <c r="AU388" t="n">
        <v>36.73513</v>
      </c>
      <c r="AV388" t="n">
        <v/>
      </c>
      <c r="AW388" t="n">
        <v>35.54231</v>
      </c>
      <c r="AX388" t="n">
        <v/>
      </c>
    </row>
    <row r="389">
      <c r="A389" s="92" t="n">
        <v>29677</v>
      </c>
      <c r="B389" t="n">
        <v>43.14697</v>
      </c>
      <c r="C389" t="n">
        <v>39.583</v>
      </c>
      <c r="D389" t="n">
        <v/>
      </c>
      <c r="E389" t="n">
        <v>38.65061</v>
      </c>
      <c r="F389" t="n">
        <v>55.11247</v>
      </c>
      <c r="G389" t="n">
        <v/>
      </c>
      <c r="H389" t="n">
        <v/>
      </c>
      <c r="I389" t="n">
        <v/>
      </c>
      <c r="J389" t="n">
        <v/>
      </c>
      <c r="K389" t="n">
        <v/>
      </c>
      <c r="L389" t="n">
        <v>50.89914</v>
      </c>
      <c r="M389" t="n">
        <v>37.38328</v>
      </c>
      <c r="N389" t="n">
        <v/>
      </c>
      <c r="O389" t="n">
        <v>22.30411</v>
      </c>
      <c r="P389" t="n">
        <v/>
      </c>
      <c r="Q389" t="n">
        <v/>
      </c>
      <c r="R389" t="n">
        <v>36.36791</v>
      </c>
      <c r="S389" t="n">
        <v>40.79216</v>
      </c>
      <c r="T389" t="n">
        <v/>
      </c>
      <c r="U389" t="n">
        <v>39.95402</v>
      </c>
      <c r="V389" t="n">
        <v>35.28934</v>
      </c>
      <c r="W389" t="n">
        <v>6.277224</v>
      </c>
      <c r="X389" t="n">
        <v/>
      </c>
      <c r="Y389" t="n">
        <v/>
      </c>
      <c r="Z389" t="n">
        <v/>
      </c>
      <c r="AA389" t="n">
        <v>30.21331</v>
      </c>
      <c r="AB389" t="n">
        <v/>
      </c>
      <c r="AC389" t="n">
        <v>0.08804492999999999</v>
      </c>
      <c r="AD389" t="n">
        <v>23.07906</v>
      </c>
      <c r="AE389" t="n">
        <v>76.57426</v>
      </c>
      <c r="AF389" t="n">
        <v/>
      </c>
      <c r="AG389" t="n">
        <v/>
      </c>
      <c r="AH389" t="n">
        <v>40.287</v>
      </c>
      <c r="AI389" t="n">
        <v/>
      </c>
      <c r="AJ389" t="n">
        <v>0.08635002</v>
      </c>
      <c r="AK389" t="n">
        <v>46.89908</v>
      </c>
      <c r="AL389" t="n">
        <v>32.4776</v>
      </c>
      <c r="AM389" t="n">
        <v>20.32429</v>
      </c>
      <c r="AN389" t="n">
        <v>17.08966</v>
      </c>
      <c r="AO389" t="n">
        <v/>
      </c>
      <c r="AP389" t="n">
        <v>9.195392</v>
      </c>
      <c r="AQ389" t="n">
        <v/>
      </c>
      <c r="AR389" t="n">
        <v/>
      </c>
      <c r="AS389" t="n">
        <v/>
      </c>
      <c r="AT389" t="n">
        <v/>
      </c>
      <c r="AU389" t="n">
        <v>37.04183</v>
      </c>
      <c r="AV389" t="n">
        <v/>
      </c>
      <c r="AW389" t="n">
        <v>35.83127</v>
      </c>
      <c r="AX389" t="n">
        <v/>
      </c>
    </row>
    <row r="390">
      <c r="A390" s="92" t="n">
        <v>29707</v>
      </c>
      <c r="B390" t="n">
        <v>43.31289</v>
      </c>
      <c r="C390" t="n">
        <v>39.61109</v>
      </c>
      <c r="D390" t="n">
        <v/>
      </c>
      <c r="E390" t="n">
        <v>39.02778</v>
      </c>
      <c r="F390" t="n">
        <v>55.56615</v>
      </c>
      <c r="G390" t="n">
        <v/>
      </c>
      <c r="H390" t="n">
        <v/>
      </c>
      <c r="I390" t="n">
        <v/>
      </c>
      <c r="J390" t="n">
        <v/>
      </c>
      <c r="K390" t="n">
        <v/>
      </c>
      <c r="L390" t="n">
        <v>51.19405</v>
      </c>
      <c r="M390" t="n">
        <v>38.03542</v>
      </c>
      <c r="N390" t="n">
        <v/>
      </c>
      <c r="O390" t="n">
        <v>22.54018</v>
      </c>
      <c r="P390" t="n">
        <v/>
      </c>
      <c r="Q390" t="n">
        <v/>
      </c>
      <c r="R390" t="n">
        <v>36.89323</v>
      </c>
      <c r="S390" t="n">
        <v>41.1384</v>
      </c>
      <c r="T390" t="n">
        <v/>
      </c>
      <c r="U390" t="n">
        <v>40.37458</v>
      </c>
      <c r="V390" t="n">
        <v>35.43145</v>
      </c>
      <c r="W390" t="n">
        <v>6.328032</v>
      </c>
      <c r="X390" t="n">
        <v/>
      </c>
      <c r="Y390" t="n">
        <v/>
      </c>
      <c r="Z390" t="n">
        <v/>
      </c>
      <c r="AA390" t="n">
        <v>30.21331</v>
      </c>
      <c r="AB390" t="n">
        <v/>
      </c>
      <c r="AC390" t="n">
        <v>0.09196505000000001</v>
      </c>
      <c r="AD390" t="n">
        <v>23.42258</v>
      </c>
      <c r="AE390" t="n">
        <v>77.61321</v>
      </c>
      <c r="AF390" t="n">
        <v/>
      </c>
      <c r="AG390" t="n">
        <v/>
      </c>
      <c r="AH390" t="n">
        <v>40.59645</v>
      </c>
      <c r="AI390" t="n">
        <v/>
      </c>
      <c r="AJ390" t="n">
        <v>0.0877521</v>
      </c>
      <c r="AK390" t="n">
        <v>47.07718</v>
      </c>
      <c r="AL390" t="n">
        <v>32.58903</v>
      </c>
      <c r="AM390" t="n">
        <v>20.53993</v>
      </c>
      <c r="AN390" t="n">
        <v>17.23814</v>
      </c>
      <c r="AO390" t="n">
        <v/>
      </c>
      <c r="AP390" t="n">
        <v>9.256576000000001</v>
      </c>
      <c r="AQ390" t="n">
        <v/>
      </c>
      <c r="AR390" t="n">
        <v/>
      </c>
      <c r="AS390" t="n">
        <v/>
      </c>
      <c r="AT390" t="n">
        <v/>
      </c>
      <c r="AU390" t="n">
        <v>37.19513</v>
      </c>
      <c r="AV390" t="n">
        <v/>
      </c>
      <c r="AW390" t="n">
        <v>36.24407</v>
      </c>
      <c r="AX390" t="n">
        <v/>
      </c>
    </row>
    <row r="391">
      <c r="A391" s="92" t="n">
        <v>29738</v>
      </c>
      <c r="B391" t="n">
        <v>43.4025</v>
      </c>
      <c r="C391" t="n">
        <v>39.72753</v>
      </c>
      <c r="D391" t="n">
        <v/>
      </c>
      <c r="E391" t="n">
        <v>39.51724</v>
      </c>
      <c r="F391" t="n">
        <v>55.79407</v>
      </c>
      <c r="G391" t="n">
        <v/>
      </c>
      <c r="H391" t="n">
        <v/>
      </c>
      <c r="I391" t="n">
        <v/>
      </c>
      <c r="J391" t="n">
        <v/>
      </c>
      <c r="K391" t="n">
        <v/>
      </c>
      <c r="L391" t="n">
        <v>51.41414</v>
      </c>
      <c r="M391" t="n">
        <v>38.31275</v>
      </c>
      <c r="N391" t="n">
        <v/>
      </c>
      <c r="O391" t="n">
        <v>22.65346</v>
      </c>
      <c r="P391" t="n">
        <v/>
      </c>
      <c r="Q391" t="n">
        <v/>
      </c>
      <c r="R391" t="n">
        <v>37.38227</v>
      </c>
      <c r="S391" t="n">
        <v>41.47632</v>
      </c>
      <c r="T391" t="n">
        <v/>
      </c>
      <c r="U391" t="n">
        <v>40.68495</v>
      </c>
      <c r="V391" t="n">
        <v>35.44817</v>
      </c>
      <c r="W391" t="n">
        <v>6.482093</v>
      </c>
      <c r="X391" t="n">
        <v/>
      </c>
      <c r="Y391" t="n">
        <v/>
      </c>
      <c r="Z391" t="n">
        <v/>
      </c>
      <c r="AA391" t="n">
        <v>30.21331</v>
      </c>
      <c r="AB391" t="n">
        <v/>
      </c>
      <c r="AC391" t="n">
        <v>0.0958401</v>
      </c>
      <c r="AD391" t="n">
        <v>23.64641</v>
      </c>
      <c r="AE391" t="n">
        <v>77.80195999999999</v>
      </c>
      <c r="AF391" t="n">
        <v/>
      </c>
      <c r="AG391" t="n">
        <v/>
      </c>
      <c r="AH391" t="n">
        <v>41.03075</v>
      </c>
      <c r="AI391" t="n">
        <v/>
      </c>
      <c r="AJ391" t="n">
        <v>0.08900639</v>
      </c>
      <c r="AK391" t="n">
        <v>47.21978</v>
      </c>
      <c r="AL391" t="n">
        <v>33.00611</v>
      </c>
      <c r="AM391" t="n">
        <v>20.7273</v>
      </c>
      <c r="AN391" t="n">
        <v>17.39009</v>
      </c>
      <c r="AO391" t="n">
        <v/>
      </c>
      <c r="AP391" t="n">
        <v>9.345117</v>
      </c>
      <c r="AQ391" t="n">
        <v/>
      </c>
      <c r="AR391" t="n">
        <v/>
      </c>
      <c r="AS391" t="n">
        <v/>
      </c>
      <c r="AT391" t="n">
        <v/>
      </c>
      <c r="AU391" t="n">
        <v>37.33382</v>
      </c>
      <c r="AV391" t="n">
        <v/>
      </c>
      <c r="AW391" t="n">
        <v>36.6156</v>
      </c>
      <c r="AX391" t="n">
        <v/>
      </c>
    </row>
    <row r="392">
      <c r="A392" s="92" t="n">
        <v>29768</v>
      </c>
      <c r="B392" t="n">
        <v>43.66082</v>
      </c>
      <c r="C392" t="n">
        <v>39.95195</v>
      </c>
      <c r="D392" t="n">
        <v/>
      </c>
      <c r="E392" t="n">
        <v>39.78618</v>
      </c>
      <c r="F392" t="n">
        <v>55.87274</v>
      </c>
      <c r="G392" t="n">
        <v/>
      </c>
      <c r="H392" t="n">
        <v/>
      </c>
      <c r="I392" t="n">
        <v/>
      </c>
      <c r="J392" t="n">
        <v/>
      </c>
      <c r="K392" t="n">
        <v/>
      </c>
      <c r="L392" t="n">
        <v>51.69592</v>
      </c>
      <c r="M392" t="n">
        <v>38.49981</v>
      </c>
      <c r="N392" t="n">
        <v/>
      </c>
      <c r="O392" t="n">
        <v>22.78607</v>
      </c>
      <c r="P392" t="n">
        <v/>
      </c>
      <c r="Q392" t="n">
        <v/>
      </c>
      <c r="R392" t="n">
        <v>37.39832</v>
      </c>
      <c r="S392" t="n">
        <v>42.03425</v>
      </c>
      <c r="T392" t="n">
        <v/>
      </c>
      <c r="U392" t="n">
        <v>41.04581</v>
      </c>
      <c r="V392" t="n">
        <v>35.58767</v>
      </c>
      <c r="W392" t="n">
        <v>6.443897</v>
      </c>
      <c r="X392" t="n">
        <v/>
      </c>
      <c r="Y392" t="n">
        <v/>
      </c>
      <c r="Z392" t="n">
        <v/>
      </c>
      <c r="AA392" t="n">
        <v>31.83478</v>
      </c>
      <c r="AB392" t="n">
        <v/>
      </c>
      <c r="AC392" t="n">
        <v>0.1029143</v>
      </c>
      <c r="AD392" t="n">
        <v>23.77882</v>
      </c>
      <c r="AE392" t="n">
        <v>77.63239</v>
      </c>
      <c r="AF392" t="n">
        <v/>
      </c>
      <c r="AG392" t="n">
        <v/>
      </c>
      <c r="AH392" t="n">
        <v>41.1916</v>
      </c>
      <c r="AI392" t="n">
        <v/>
      </c>
      <c r="AJ392" t="n">
        <v>0.09067335999999999</v>
      </c>
      <c r="AK392" t="n">
        <v>47.64214</v>
      </c>
      <c r="AL392" t="n">
        <v>33.185</v>
      </c>
      <c r="AM392" t="n">
        <v>20.9084</v>
      </c>
      <c r="AN392" t="n">
        <v>17.48289</v>
      </c>
      <c r="AO392" t="n">
        <v/>
      </c>
      <c r="AP392" t="n">
        <v>9.484762</v>
      </c>
      <c r="AQ392" t="n">
        <v/>
      </c>
      <c r="AR392" t="n">
        <v/>
      </c>
      <c r="AS392" t="n">
        <v/>
      </c>
      <c r="AT392" t="n">
        <v/>
      </c>
      <c r="AU392" t="n">
        <v>37.49914</v>
      </c>
      <c r="AV392" t="n">
        <v/>
      </c>
      <c r="AW392" t="n">
        <v>37.11096</v>
      </c>
      <c r="AX392" t="n">
        <v/>
      </c>
    </row>
    <row r="393">
      <c r="A393" s="92" t="n">
        <v>29799</v>
      </c>
      <c r="B393" t="n">
        <v>43.806</v>
      </c>
      <c r="C393" t="n">
        <v>40.0424</v>
      </c>
      <c r="D393" t="n">
        <v/>
      </c>
      <c r="E393" t="n">
        <v>40.17905</v>
      </c>
      <c r="F393" t="n">
        <v>56.50561</v>
      </c>
      <c r="G393" t="n">
        <v/>
      </c>
      <c r="H393" t="n">
        <v/>
      </c>
      <c r="I393" t="n">
        <v/>
      </c>
      <c r="J393" t="n">
        <v/>
      </c>
      <c r="K393" t="n">
        <v/>
      </c>
      <c r="L393" t="n">
        <v>51.77321</v>
      </c>
      <c r="M393" t="n">
        <v>38.55877</v>
      </c>
      <c r="N393" t="n">
        <v/>
      </c>
      <c r="O393" t="n">
        <v>22.96508</v>
      </c>
      <c r="P393" t="n">
        <v/>
      </c>
      <c r="Q393" t="n">
        <v/>
      </c>
      <c r="R393" t="n">
        <v>37.47821</v>
      </c>
      <c r="S393" t="n">
        <v>42.49864</v>
      </c>
      <c r="T393" t="n">
        <v/>
      </c>
      <c r="U393" t="n">
        <v>41.29846</v>
      </c>
      <c r="V393" t="n">
        <v>35.80829</v>
      </c>
      <c r="W393" t="n">
        <v>6.351487</v>
      </c>
      <c r="X393" t="n">
        <v/>
      </c>
      <c r="Y393" t="n">
        <v/>
      </c>
      <c r="Z393" t="n">
        <v/>
      </c>
      <c r="AA393" t="n">
        <v>31.83478</v>
      </c>
      <c r="AB393" t="n">
        <v/>
      </c>
      <c r="AC393" t="n">
        <v>0.1066092</v>
      </c>
      <c r="AD393" t="n">
        <v>24.00082</v>
      </c>
      <c r="AE393" t="n">
        <v>77.17877</v>
      </c>
      <c r="AF393" t="n">
        <v/>
      </c>
      <c r="AG393" t="n">
        <v/>
      </c>
      <c r="AH393" t="n">
        <v>41.29274</v>
      </c>
      <c r="AI393" t="n">
        <v/>
      </c>
      <c r="AJ393" t="n">
        <v>0.09251773000000001</v>
      </c>
      <c r="AK393" t="n">
        <v>47.75348</v>
      </c>
      <c r="AL393" t="n">
        <v>33.185</v>
      </c>
      <c r="AM393" t="n">
        <v>21.05306</v>
      </c>
      <c r="AN393" t="n">
        <v>17.59838</v>
      </c>
      <c r="AO393" t="n">
        <v/>
      </c>
      <c r="AP393" t="n">
        <v>9.595794</v>
      </c>
      <c r="AQ393" t="n">
        <v/>
      </c>
      <c r="AR393" t="n">
        <v/>
      </c>
      <c r="AS393" t="n">
        <v/>
      </c>
      <c r="AT393" t="n">
        <v/>
      </c>
      <c r="AU393" t="n">
        <v>37.71528</v>
      </c>
      <c r="AV393" t="n">
        <v/>
      </c>
      <c r="AW393" t="n">
        <v>37.4412</v>
      </c>
      <c r="AX393" t="n">
        <v/>
      </c>
    </row>
    <row r="394">
      <c r="A394" s="92" t="n">
        <v>29830</v>
      </c>
      <c r="B394" t="n">
        <v>43.91739</v>
      </c>
      <c r="C394" t="n">
        <v>40.25078</v>
      </c>
      <c r="D394" t="n">
        <v/>
      </c>
      <c r="E394" t="n">
        <v>40.49049</v>
      </c>
      <c r="F394" t="n">
        <v>56.63975</v>
      </c>
      <c r="G394" t="n">
        <v/>
      </c>
      <c r="H394" t="n">
        <v/>
      </c>
      <c r="I394" t="n">
        <v/>
      </c>
      <c r="J394" t="n">
        <v/>
      </c>
      <c r="K394" t="n">
        <v/>
      </c>
      <c r="L394" t="n">
        <v>52.03253</v>
      </c>
      <c r="M394" t="n">
        <v>38.91687</v>
      </c>
      <c r="N394" t="n">
        <v/>
      </c>
      <c r="O394" t="n">
        <v>23.21579</v>
      </c>
      <c r="P394" t="n">
        <v/>
      </c>
      <c r="Q394" t="n">
        <v/>
      </c>
      <c r="R394" t="n">
        <v>37.68197</v>
      </c>
      <c r="S394" t="n">
        <v>42.94483</v>
      </c>
      <c r="T394" t="n">
        <v/>
      </c>
      <c r="U394" t="n">
        <v>41.77</v>
      </c>
      <c r="V394" t="n">
        <v>36.03639</v>
      </c>
      <c r="W394" t="n">
        <v>6.656059</v>
      </c>
      <c r="X394" t="n">
        <v/>
      </c>
      <c r="Y394" t="n">
        <v/>
      </c>
      <c r="Z394" t="n">
        <v/>
      </c>
      <c r="AA394" t="n">
        <v>31.83478</v>
      </c>
      <c r="AB394" t="n">
        <v/>
      </c>
      <c r="AC394" t="n">
        <v>0.1143593</v>
      </c>
      <c r="AD394" t="n">
        <v>24.32846</v>
      </c>
      <c r="AE394" t="n">
        <v>78.24203</v>
      </c>
      <c r="AF394" t="n">
        <v/>
      </c>
      <c r="AG394" t="n">
        <v/>
      </c>
      <c r="AH394" t="n">
        <v>41.51643</v>
      </c>
      <c r="AI394" t="n">
        <v/>
      </c>
      <c r="AJ394" t="n">
        <v>0.09427222</v>
      </c>
      <c r="AK394" t="n">
        <v>48.18338</v>
      </c>
      <c r="AL394" t="n">
        <v>33.54794</v>
      </c>
      <c r="AM394" t="n">
        <v>21.31356</v>
      </c>
      <c r="AN394" t="n">
        <v>17.80026</v>
      </c>
      <c r="AO394" t="n">
        <v/>
      </c>
      <c r="AP394" t="n">
        <v>9.762918000000001</v>
      </c>
      <c r="AQ394" t="n">
        <v/>
      </c>
      <c r="AR394" t="n">
        <v/>
      </c>
      <c r="AS394" t="n">
        <v/>
      </c>
      <c r="AT394" t="n">
        <v/>
      </c>
      <c r="AU394" t="n">
        <v>38.03774</v>
      </c>
      <c r="AV394" t="n">
        <v/>
      </c>
      <c r="AW394" t="n">
        <v>37.93657</v>
      </c>
      <c r="AX394" t="n">
        <v/>
      </c>
    </row>
    <row r="395">
      <c r="A395" s="92" t="n">
        <v>29860</v>
      </c>
      <c r="B395" t="n">
        <v>44.0714</v>
      </c>
      <c r="C395" t="n">
        <v>40.63963</v>
      </c>
      <c r="D395" t="n">
        <v/>
      </c>
      <c r="E395" t="n">
        <v>40.97356</v>
      </c>
      <c r="F395" t="n">
        <v>56.63357</v>
      </c>
      <c r="G395" t="n">
        <v/>
      </c>
      <c r="H395" t="n">
        <v/>
      </c>
      <c r="I395" t="n">
        <v/>
      </c>
      <c r="J395" t="n">
        <v/>
      </c>
      <c r="K395" t="n">
        <v/>
      </c>
      <c r="L395" t="n">
        <v>52.31723</v>
      </c>
      <c r="M395" t="n">
        <v>39.14454</v>
      </c>
      <c r="N395" t="n">
        <v/>
      </c>
      <c r="O395" t="n">
        <v>23.50007</v>
      </c>
      <c r="P395" t="n">
        <v/>
      </c>
      <c r="Q395" t="n">
        <v/>
      </c>
      <c r="R395" t="n">
        <v>38.21428</v>
      </c>
      <c r="S395" t="n">
        <v>43.5334</v>
      </c>
      <c r="T395" t="n">
        <v/>
      </c>
      <c r="U395" t="n">
        <v>42.07183</v>
      </c>
      <c r="V395" t="n">
        <v>36.37722</v>
      </c>
      <c r="W395" t="n">
        <v>6.821011</v>
      </c>
      <c r="X395" t="n">
        <v/>
      </c>
      <c r="Y395" t="n">
        <v/>
      </c>
      <c r="Z395" t="n">
        <v/>
      </c>
      <c r="AA395" t="n">
        <v>33.94333</v>
      </c>
      <c r="AB395" t="n">
        <v/>
      </c>
      <c r="AC395" t="n">
        <v>0.1253086</v>
      </c>
      <c r="AD395" t="n">
        <v>24.81293</v>
      </c>
      <c r="AE395" t="n">
        <v>78.5909</v>
      </c>
      <c r="AF395" t="n">
        <v/>
      </c>
      <c r="AG395" t="n">
        <v/>
      </c>
      <c r="AH395" t="n">
        <v>41.73699</v>
      </c>
      <c r="AI395" t="n">
        <v/>
      </c>
      <c r="AJ395" t="n">
        <v>0.09641450999999999</v>
      </c>
      <c r="AK395" t="n">
        <v>48.70734</v>
      </c>
      <c r="AL395" t="n">
        <v>33.68801</v>
      </c>
      <c r="AM395" t="n">
        <v>21.52457</v>
      </c>
      <c r="AN395" t="n">
        <v>18.02865</v>
      </c>
      <c r="AO395" t="n">
        <v/>
      </c>
      <c r="AP395" t="n">
        <v>9.939698</v>
      </c>
      <c r="AQ395" t="n">
        <v/>
      </c>
      <c r="AR395" t="n">
        <v/>
      </c>
      <c r="AS395" t="n">
        <v/>
      </c>
      <c r="AT395" t="n">
        <v/>
      </c>
      <c r="AU395" t="n">
        <v>38.15739</v>
      </c>
      <c r="AV395" t="n">
        <v/>
      </c>
      <c r="AW395" t="n">
        <v>38.10168</v>
      </c>
      <c r="AX395" t="n">
        <v/>
      </c>
    </row>
    <row r="396">
      <c r="A396" s="92" t="n">
        <v>29891</v>
      </c>
      <c r="B396" t="n">
        <v>44.18359</v>
      </c>
      <c r="C396" t="n">
        <v>40.85561</v>
      </c>
      <c r="D396" t="n">
        <v/>
      </c>
      <c r="E396" t="n">
        <v>41.42007</v>
      </c>
      <c r="F396" t="n">
        <v>57.28048</v>
      </c>
      <c r="G396" t="n">
        <v/>
      </c>
      <c r="H396" t="n">
        <v/>
      </c>
      <c r="I396" t="n">
        <v/>
      </c>
      <c r="J396" t="n">
        <v/>
      </c>
      <c r="K396" t="n">
        <v/>
      </c>
      <c r="L396" t="n">
        <v>52.50318</v>
      </c>
      <c r="M396" t="n">
        <v>39.68405</v>
      </c>
      <c r="N396" t="n">
        <v/>
      </c>
      <c r="O396" t="n">
        <v>23.78524</v>
      </c>
      <c r="P396" t="n">
        <v/>
      </c>
      <c r="Q396" t="n">
        <v/>
      </c>
      <c r="R396" t="n">
        <v>38.23248</v>
      </c>
      <c r="S396" t="n">
        <v>43.92383</v>
      </c>
      <c r="T396" t="n">
        <v/>
      </c>
      <c r="U396" t="n">
        <v>42.33427</v>
      </c>
      <c r="V396" t="n">
        <v>36.81066</v>
      </c>
      <c r="W396" t="n">
        <v>6.927408</v>
      </c>
      <c r="X396" t="n">
        <v/>
      </c>
      <c r="Y396" t="n">
        <v/>
      </c>
      <c r="Z396" t="n">
        <v/>
      </c>
      <c r="AA396" t="n">
        <v>33.94333</v>
      </c>
      <c r="AB396" t="n">
        <v/>
      </c>
      <c r="AC396" t="n">
        <v>0.1329686</v>
      </c>
      <c r="AD396" t="n">
        <v>25.25673</v>
      </c>
      <c r="AE396" t="n">
        <v>78.72443</v>
      </c>
      <c r="AF396" t="n">
        <v/>
      </c>
      <c r="AG396" t="n">
        <v/>
      </c>
      <c r="AH396" t="n">
        <v>41.99911</v>
      </c>
      <c r="AI396" t="n">
        <v/>
      </c>
      <c r="AJ396" t="n">
        <v>0.09837124</v>
      </c>
      <c r="AK396" t="n">
        <v>48.83145</v>
      </c>
      <c r="AL396" t="n">
        <v>33.69704</v>
      </c>
      <c r="AM396" t="n">
        <v>21.68691</v>
      </c>
      <c r="AN396" t="n">
        <v>18.21938</v>
      </c>
      <c r="AO396" t="n">
        <v/>
      </c>
      <c r="AP396" t="n">
        <v>10.07981</v>
      </c>
      <c r="AQ396" t="n">
        <v/>
      </c>
      <c r="AR396" t="n">
        <v/>
      </c>
      <c r="AS396" t="n">
        <v/>
      </c>
      <c r="AT396" t="n">
        <v/>
      </c>
      <c r="AU396" t="n">
        <v>38.31964</v>
      </c>
      <c r="AV396" t="n">
        <v/>
      </c>
      <c r="AW396" t="n">
        <v>38.26681</v>
      </c>
      <c r="AX396" t="n">
        <v/>
      </c>
    </row>
    <row r="397">
      <c r="A397" s="92" t="n">
        <v>29921</v>
      </c>
      <c r="B397" t="n">
        <v>44.38811</v>
      </c>
      <c r="C397" t="n">
        <v>41.13714</v>
      </c>
      <c r="D397" t="n">
        <v/>
      </c>
      <c r="E397" t="n">
        <v>41.5972</v>
      </c>
      <c r="F397" t="n">
        <v>57.3804</v>
      </c>
      <c r="G397" t="n">
        <v/>
      </c>
      <c r="H397" t="n">
        <v/>
      </c>
      <c r="I397" t="n">
        <v/>
      </c>
      <c r="J397" t="n">
        <v/>
      </c>
      <c r="K397" t="n">
        <v/>
      </c>
      <c r="L397" t="n">
        <v>52.56793</v>
      </c>
      <c r="M397" t="n">
        <v>39.90633</v>
      </c>
      <c r="N397" t="n">
        <v/>
      </c>
      <c r="O397" t="n">
        <v>24.11846</v>
      </c>
      <c r="P397" t="n">
        <v/>
      </c>
      <c r="Q397" t="n">
        <v/>
      </c>
      <c r="R397" t="n">
        <v>38.34665</v>
      </c>
      <c r="S397" t="n">
        <v>44.17297</v>
      </c>
      <c r="T397" t="n">
        <v/>
      </c>
      <c r="U397" t="n">
        <v>42.49377</v>
      </c>
      <c r="V397" t="n">
        <v>37.08833</v>
      </c>
      <c r="W397" t="n">
        <v>7.043338</v>
      </c>
      <c r="X397" t="n">
        <v/>
      </c>
      <c r="Y397" t="n">
        <v/>
      </c>
      <c r="Z397" t="n">
        <v/>
      </c>
      <c r="AA397" t="n">
        <v>33.94333</v>
      </c>
      <c r="AB397" t="n">
        <v/>
      </c>
      <c r="AC397" t="n">
        <v>0.1391416</v>
      </c>
      <c r="AD397" t="n">
        <v>25.51227</v>
      </c>
      <c r="AE397" t="n">
        <v>78.75252999999999</v>
      </c>
      <c r="AF397" t="n">
        <v/>
      </c>
      <c r="AG397" t="n">
        <v/>
      </c>
      <c r="AH397" t="n">
        <v>42.15112</v>
      </c>
      <c r="AI397" t="n">
        <v/>
      </c>
      <c r="AJ397" t="n">
        <v>0.1008655</v>
      </c>
      <c r="AK397" t="n">
        <v>48.88177</v>
      </c>
      <c r="AL397" t="n">
        <v>33.77396</v>
      </c>
      <c r="AM397" t="n">
        <v>21.80815</v>
      </c>
      <c r="AN397" t="n">
        <v>18.34039</v>
      </c>
      <c r="AO397" t="n">
        <v/>
      </c>
      <c r="AP397" t="n">
        <v>10.26917</v>
      </c>
      <c r="AQ397" t="n">
        <v/>
      </c>
      <c r="AR397" t="n">
        <v/>
      </c>
      <c r="AS397" t="n">
        <v/>
      </c>
      <c r="AT397" t="n">
        <v/>
      </c>
      <c r="AU397" t="n">
        <v>38.11917</v>
      </c>
      <c r="AV397" t="n">
        <v/>
      </c>
      <c r="AW397" t="n">
        <v>38.39065</v>
      </c>
      <c r="AX397" t="n">
        <v/>
      </c>
    </row>
    <row r="398">
      <c r="A398" s="92" t="n">
        <v>29952</v>
      </c>
      <c r="B398" t="n">
        <v>44.74554</v>
      </c>
      <c r="C398" t="n">
        <v>41.4907</v>
      </c>
      <c r="D398" t="n">
        <v/>
      </c>
      <c r="E398" t="n">
        <v>41.88281</v>
      </c>
      <c r="F398" t="n">
        <v>57.64378</v>
      </c>
      <c r="G398" t="n">
        <v/>
      </c>
      <c r="H398" t="n">
        <v/>
      </c>
      <c r="I398" t="n">
        <v/>
      </c>
      <c r="J398" t="n">
        <v/>
      </c>
      <c r="K398" t="n">
        <v/>
      </c>
      <c r="L398" t="n">
        <v>52.95691</v>
      </c>
      <c r="M398" t="n">
        <v>40.06944</v>
      </c>
      <c r="N398" t="n">
        <v/>
      </c>
      <c r="O398" t="n">
        <v>24.54608</v>
      </c>
      <c r="P398" t="n">
        <v/>
      </c>
      <c r="Q398" t="n">
        <v/>
      </c>
      <c r="R398" t="n">
        <v>39.09403</v>
      </c>
      <c r="S398" t="n">
        <v>44.62281</v>
      </c>
      <c r="T398" t="n">
        <v/>
      </c>
      <c r="U398" t="n">
        <v>42.66217</v>
      </c>
      <c r="V398" t="n">
        <v>37.15517</v>
      </c>
      <c r="W398" t="n">
        <v>7.197171</v>
      </c>
      <c r="X398" t="n">
        <v/>
      </c>
      <c r="Y398" t="n">
        <v/>
      </c>
      <c r="Z398" t="n">
        <v/>
      </c>
      <c r="AA398" t="n">
        <v>34.71472</v>
      </c>
      <c r="AB398" t="n">
        <v/>
      </c>
      <c r="AC398" t="n">
        <v>0.1507668</v>
      </c>
      <c r="AD398" t="n">
        <v>25.90134</v>
      </c>
      <c r="AE398" t="n">
        <v>78.52003000000001</v>
      </c>
      <c r="AF398" t="n">
        <v/>
      </c>
      <c r="AG398" t="n">
        <v/>
      </c>
      <c r="AH398" t="n">
        <v>42.69336</v>
      </c>
      <c r="AI398" t="n">
        <v/>
      </c>
      <c r="AJ398" t="n">
        <v>0.1052105</v>
      </c>
      <c r="AK398" t="n">
        <v>48.78497</v>
      </c>
      <c r="AL398" t="n">
        <v>34.86484</v>
      </c>
      <c r="AM398" t="n">
        <v>21.98715</v>
      </c>
      <c r="AN398" t="n">
        <v>18.55195</v>
      </c>
      <c r="AO398" t="n">
        <v/>
      </c>
      <c r="AP398" t="n">
        <v>10.4828</v>
      </c>
      <c r="AQ398" t="n">
        <v/>
      </c>
      <c r="AR398" t="n">
        <v/>
      </c>
      <c r="AS398" t="n">
        <v/>
      </c>
      <c r="AT398" t="n">
        <v/>
      </c>
      <c r="AU398" t="n">
        <v>38.8731</v>
      </c>
      <c r="AV398" t="n">
        <v/>
      </c>
      <c r="AW398" t="n">
        <v>38.47321</v>
      </c>
      <c r="AX398" t="n">
        <v/>
      </c>
    </row>
    <row r="399">
      <c r="A399" s="92" t="n">
        <v>29983</v>
      </c>
      <c r="B399" t="n">
        <v>44.96938</v>
      </c>
      <c r="C399" t="n">
        <v>41.76377</v>
      </c>
      <c r="D399" t="n">
        <v/>
      </c>
      <c r="E399" t="n">
        <v>42.33936</v>
      </c>
      <c r="F399" t="n">
        <v>57.88599</v>
      </c>
      <c r="G399" t="n">
        <v/>
      </c>
      <c r="H399" t="n">
        <v/>
      </c>
      <c r="I399" t="n">
        <v/>
      </c>
      <c r="J399" t="n">
        <v/>
      </c>
      <c r="K399" t="n">
        <v/>
      </c>
      <c r="L399" t="n">
        <v>53.06907</v>
      </c>
      <c r="M399" t="n">
        <v>40.39095</v>
      </c>
      <c r="N399" t="n">
        <v/>
      </c>
      <c r="O399" t="n">
        <v>24.81435</v>
      </c>
      <c r="P399" t="n">
        <v/>
      </c>
      <c r="Q399" t="n">
        <v/>
      </c>
      <c r="R399" t="n">
        <v>39.23031</v>
      </c>
      <c r="S399" t="n">
        <v>45.08083</v>
      </c>
      <c r="T399" t="n">
        <v/>
      </c>
      <c r="U399" t="n">
        <v>42.84983</v>
      </c>
      <c r="V399" t="n">
        <v>37.23209</v>
      </c>
      <c r="W399" t="n">
        <v>7.163953</v>
      </c>
      <c r="X399" t="n">
        <v/>
      </c>
      <c r="Y399" t="n">
        <v/>
      </c>
      <c r="Z399" t="n">
        <v/>
      </c>
      <c r="AA399" t="n">
        <v>34.71472</v>
      </c>
      <c r="AB399" t="n">
        <v/>
      </c>
      <c r="AC399" t="n">
        <v>0.1582015</v>
      </c>
      <c r="AD399" t="n">
        <v>26.3687</v>
      </c>
      <c r="AE399" t="n">
        <v>78.36547</v>
      </c>
      <c r="AF399" t="n">
        <v/>
      </c>
      <c r="AG399" t="n">
        <v/>
      </c>
      <c r="AH399" t="n">
        <v>43.12067</v>
      </c>
      <c r="AI399" t="n">
        <v/>
      </c>
      <c r="AJ399" t="n">
        <v>0.1100495</v>
      </c>
      <c r="AK399" t="n">
        <v>49.01489</v>
      </c>
      <c r="AL399" t="n">
        <v>35.03575</v>
      </c>
      <c r="AM399" t="n">
        <v>22.13183</v>
      </c>
      <c r="AN399" t="n">
        <v>18.68007</v>
      </c>
      <c r="AO399" t="n">
        <v/>
      </c>
      <c r="AP399" t="n">
        <v>10.68738</v>
      </c>
      <c r="AQ399" t="n">
        <v/>
      </c>
      <c r="AR399" t="n">
        <v/>
      </c>
      <c r="AS399" t="n">
        <v/>
      </c>
      <c r="AT399" t="n">
        <v/>
      </c>
      <c r="AU399" t="n">
        <v>39.36683</v>
      </c>
      <c r="AV399" t="n">
        <v/>
      </c>
      <c r="AW399" t="n">
        <v>38.59705</v>
      </c>
      <c r="AX399" t="n">
        <v/>
      </c>
    </row>
    <row r="400">
      <c r="A400" s="92" t="n">
        <v>30011</v>
      </c>
      <c r="B400" t="n">
        <v>45.32242</v>
      </c>
      <c r="C400" t="n">
        <v>41.80228</v>
      </c>
      <c r="D400" t="n">
        <v/>
      </c>
      <c r="E400" t="n">
        <v>42.76445</v>
      </c>
      <c r="F400" t="n">
        <v>58.11593</v>
      </c>
      <c r="G400" t="n">
        <v/>
      </c>
      <c r="H400" t="n">
        <v/>
      </c>
      <c r="I400" t="n">
        <v/>
      </c>
      <c r="J400" t="n">
        <v/>
      </c>
      <c r="K400" t="n">
        <v/>
      </c>
      <c r="L400" t="n">
        <v>53.1506</v>
      </c>
      <c r="M400" t="n">
        <v>40.69921</v>
      </c>
      <c r="N400" t="n">
        <v/>
      </c>
      <c r="O400" t="n">
        <v>25.17147</v>
      </c>
      <c r="P400" t="n">
        <v/>
      </c>
      <c r="Q400" t="n">
        <v/>
      </c>
      <c r="R400" t="n">
        <v>39.56893</v>
      </c>
      <c r="S400" t="n">
        <v>45.59336</v>
      </c>
      <c r="T400" t="n">
        <v/>
      </c>
      <c r="U400" t="n">
        <v>43.02311</v>
      </c>
      <c r="V400" t="n">
        <v>37.53951</v>
      </c>
      <c r="W400" t="n">
        <v>7.414386</v>
      </c>
      <c r="X400" t="n">
        <v/>
      </c>
      <c r="Y400" t="n">
        <v/>
      </c>
      <c r="Z400" t="n">
        <v/>
      </c>
      <c r="AA400" t="n">
        <v>34.71472</v>
      </c>
      <c r="AB400" t="n">
        <v/>
      </c>
      <c r="AC400" t="n">
        <v>0.165501</v>
      </c>
      <c r="AD400" t="n">
        <v>26.62255</v>
      </c>
      <c r="AE400" t="n">
        <v>78.46835</v>
      </c>
      <c r="AF400" t="n">
        <v/>
      </c>
      <c r="AG400" t="n">
        <v/>
      </c>
      <c r="AH400" t="n">
        <v>43.26832</v>
      </c>
      <c r="AI400" t="n">
        <v/>
      </c>
      <c r="AJ400" t="n">
        <v>0.1147814</v>
      </c>
      <c r="AK400" t="n">
        <v>49.4338</v>
      </c>
      <c r="AL400" t="n">
        <v>35.75019</v>
      </c>
      <c r="AM400" t="n">
        <v>22.28791</v>
      </c>
      <c r="AN400" t="n">
        <v>18.83364</v>
      </c>
      <c r="AO400" t="n">
        <v/>
      </c>
      <c r="AP400" t="n">
        <v>10.82828</v>
      </c>
      <c r="AQ400" t="n">
        <v/>
      </c>
      <c r="AR400" t="n">
        <v/>
      </c>
      <c r="AS400" t="n">
        <v/>
      </c>
      <c r="AT400" t="n">
        <v/>
      </c>
      <c r="AU400" t="n">
        <v>39.38321</v>
      </c>
      <c r="AV400" t="n">
        <v/>
      </c>
      <c r="AW400" t="n">
        <v>38.67961</v>
      </c>
      <c r="AX400" t="n">
        <v/>
      </c>
    </row>
    <row r="401">
      <c r="A401" s="92" t="n">
        <v>30042</v>
      </c>
      <c r="B401" t="n">
        <v>45.49945</v>
      </c>
      <c r="C401" t="n">
        <v>42.17727</v>
      </c>
      <c r="D401" t="n">
        <v/>
      </c>
      <c r="E401" t="n">
        <v>42.99288</v>
      </c>
      <c r="F401" t="n">
        <v>58.29605</v>
      </c>
      <c r="G401" t="n">
        <v/>
      </c>
      <c r="H401" t="n">
        <v/>
      </c>
      <c r="I401" t="n">
        <v/>
      </c>
      <c r="J401" t="n">
        <v/>
      </c>
      <c r="K401" t="n">
        <v/>
      </c>
      <c r="L401" t="n">
        <v>53.24262</v>
      </c>
      <c r="M401" t="n">
        <v>40.99369</v>
      </c>
      <c r="N401" t="n">
        <v/>
      </c>
      <c r="O401" t="n">
        <v>25.54215</v>
      </c>
      <c r="P401" t="n">
        <v/>
      </c>
      <c r="Q401" t="n">
        <v/>
      </c>
      <c r="R401" t="n">
        <v>39.74934</v>
      </c>
      <c r="S401" t="n">
        <v>46.10238</v>
      </c>
      <c r="T401" t="n">
        <v/>
      </c>
      <c r="U401" t="n">
        <v>43.40049</v>
      </c>
      <c r="V401" t="n">
        <v>38.38398</v>
      </c>
      <c r="W401" t="n">
        <v>7.610698</v>
      </c>
      <c r="X401" t="n">
        <v/>
      </c>
      <c r="Y401" t="n">
        <v/>
      </c>
      <c r="Z401" t="n">
        <v/>
      </c>
      <c r="AA401" t="n">
        <v>37.07401</v>
      </c>
      <c r="AB401" t="n">
        <v/>
      </c>
      <c r="AC401" t="n">
        <v>0.1858676</v>
      </c>
      <c r="AD401" t="n">
        <v>26.86159</v>
      </c>
      <c r="AE401" t="n">
        <v>79.14044</v>
      </c>
      <c r="AF401" t="n">
        <v/>
      </c>
      <c r="AG401" t="n">
        <v/>
      </c>
      <c r="AH401" t="n">
        <v>43.4427</v>
      </c>
      <c r="AI401" t="n">
        <v/>
      </c>
      <c r="AJ401" t="n">
        <v>0.1210452</v>
      </c>
      <c r="AK401" t="n">
        <v>49.63715</v>
      </c>
      <c r="AL401" t="n">
        <v>35.94124</v>
      </c>
      <c r="AM401" t="n">
        <v>22.55462</v>
      </c>
      <c r="AN401" t="n">
        <v>19.02365</v>
      </c>
      <c r="AO401" t="n">
        <v/>
      </c>
      <c r="AP401" t="n">
        <v>11.04353</v>
      </c>
      <c r="AQ401" t="n">
        <v/>
      </c>
      <c r="AR401" t="n">
        <v/>
      </c>
      <c r="AS401" t="n">
        <v/>
      </c>
      <c r="AT401" t="n">
        <v/>
      </c>
      <c r="AU401" t="n">
        <v>39.66996</v>
      </c>
      <c r="AV401" t="n">
        <v/>
      </c>
      <c r="AW401" t="n">
        <v>39.00985</v>
      </c>
      <c r="AX401" t="n">
        <v/>
      </c>
    </row>
    <row r="402">
      <c r="A402" s="92" t="n">
        <v>30072</v>
      </c>
      <c r="B402" t="n">
        <v>45.74817</v>
      </c>
      <c r="C402" t="n">
        <v>42.48361</v>
      </c>
      <c r="D402" t="n">
        <v/>
      </c>
      <c r="E402" t="n">
        <v>43.4654</v>
      </c>
      <c r="F402" t="n">
        <v>58.90583</v>
      </c>
      <c r="G402" t="n">
        <v/>
      </c>
      <c r="H402" t="n">
        <v/>
      </c>
      <c r="I402" t="n">
        <v/>
      </c>
      <c r="J402" t="n">
        <v/>
      </c>
      <c r="K402" t="n">
        <v/>
      </c>
      <c r="L402" t="n">
        <v>53.57355</v>
      </c>
      <c r="M402" t="n">
        <v>41.6927</v>
      </c>
      <c r="N402" t="n">
        <v/>
      </c>
      <c r="O402" t="n">
        <v>25.9399</v>
      </c>
      <c r="P402" t="n">
        <v/>
      </c>
      <c r="Q402" t="n">
        <v/>
      </c>
      <c r="R402" t="n">
        <v>40.74121</v>
      </c>
      <c r="S402" t="n">
        <v>46.44847</v>
      </c>
      <c r="T402" t="n">
        <v/>
      </c>
      <c r="U402" t="n">
        <v>43.78324</v>
      </c>
      <c r="V402" t="n">
        <v>38.54012</v>
      </c>
      <c r="W402" t="n">
        <v>7.675637</v>
      </c>
      <c r="X402" t="n">
        <v/>
      </c>
      <c r="Y402" t="n">
        <v/>
      </c>
      <c r="Z402" t="n">
        <v/>
      </c>
      <c r="AA402" t="n">
        <v>37.07401</v>
      </c>
      <c r="AB402" t="n">
        <v/>
      </c>
      <c r="AC402" t="n">
        <v>0.1969521</v>
      </c>
      <c r="AD402" t="n">
        <v>27.2021</v>
      </c>
      <c r="AE402" t="n">
        <v>79.83737000000001</v>
      </c>
      <c r="AF402" t="n">
        <v/>
      </c>
      <c r="AG402" t="n">
        <v/>
      </c>
      <c r="AH402" t="n">
        <v>43.94821</v>
      </c>
      <c r="AI402" t="n">
        <v/>
      </c>
      <c r="AJ402" t="n">
        <v>0.128139</v>
      </c>
      <c r="AK402" t="n">
        <v>49.78188</v>
      </c>
      <c r="AL402" t="n">
        <v>36.10996</v>
      </c>
      <c r="AM402" t="n">
        <v>22.80978</v>
      </c>
      <c r="AN402" t="n">
        <v>19.17069</v>
      </c>
      <c r="AO402" t="n">
        <v/>
      </c>
      <c r="AP402" t="n">
        <v>11.11353</v>
      </c>
      <c r="AQ402" t="n">
        <v/>
      </c>
      <c r="AR402" t="n">
        <v/>
      </c>
      <c r="AS402" t="n">
        <v/>
      </c>
      <c r="AT402" t="n">
        <v/>
      </c>
      <c r="AU402" t="n">
        <v>39.90391</v>
      </c>
      <c r="AV402" t="n">
        <v/>
      </c>
      <c r="AW402" t="n">
        <v>39.38137</v>
      </c>
      <c r="AX402" t="n">
        <v/>
      </c>
    </row>
    <row r="403">
      <c r="A403" s="92" t="n">
        <v>30103</v>
      </c>
      <c r="B403" t="n">
        <v>45.82491</v>
      </c>
      <c r="C403" t="n">
        <v>42.59804</v>
      </c>
      <c r="D403" t="n">
        <v/>
      </c>
      <c r="E403" t="n">
        <v>43.89709</v>
      </c>
      <c r="F403" t="n">
        <v>59.13215</v>
      </c>
      <c r="G403" t="n">
        <v/>
      </c>
      <c r="H403" t="n">
        <v/>
      </c>
      <c r="I403" t="n">
        <v/>
      </c>
      <c r="J403" t="n">
        <v/>
      </c>
      <c r="K403" t="n">
        <v/>
      </c>
      <c r="L403" t="n">
        <v>54.02494</v>
      </c>
      <c r="M403" t="n">
        <v>41.87563</v>
      </c>
      <c r="N403" t="n">
        <v/>
      </c>
      <c r="O403" t="n">
        <v>26.14948</v>
      </c>
      <c r="P403" t="n">
        <v/>
      </c>
      <c r="Q403" t="n">
        <v/>
      </c>
      <c r="R403" t="n">
        <v>40.8558</v>
      </c>
      <c r="S403" t="n">
        <v>46.76709</v>
      </c>
      <c r="T403" t="n">
        <v/>
      </c>
      <c r="U403" t="n">
        <v>44.11042</v>
      </c>
      <c r="V403" t="n">
        <v>38.53926</v>
      </c>
      <c r="W403" t="n">
        <v>7.90558</v>
      </c>
      <c r="X403" t="n">
        <v/>
      </c>
      <c r="Y403" t="n">
        <v/>
      </c>
      <c r="Z403" t="n">
        <v/>
      </c>
      <c r="AA403" t="n">
        <v>37.07401</v>
      </c>
      <c r="AB403" t="n">
        <v/>
      </c>
      <c r="AC403" t="n">
        <v>0.2088026</v>
      </c>
      <c r="AD403" t="n">
        <v>27.43607</v>
      </c>
      <c r="AE403" t="n">
        <v>80.02367</v>
      </c>
      <c r="AF403" t="n">
        <v/>
      </c>
      <c r="AG403" t="n">
        <v/>
      </c>
      <c r="AH403" t="n">
        <v>44.43456</v>
      </c>
      <c r="AI403" t="n">
        <v/>
      </c>
      <c r="AJ403" t="n">
        <v>0.134917</v>
      </c>
      <c r="AK403" t="n">
        <v>49.78479</v>
      </c>
      <c r="AL403" t="n">
        <v>36.28959</v>
      </c>
      <c r="AM403" t="n">
        <v>23.06035</v>
      </c>
      <c r="AN403" t="n">
        <v>19.34573</v>
      </c>
      <c r="AO403" t="n">
        <v/>
      </c>
      <c r="AP403" t="n">
        <v>11.25594</v>
      </c>
      <c r="AQ403" t="n">
        <v/>
      </c>
      <c r="AR403" t="n">
        <v/>
      </c>
      <c r="AS403" t="n">
        <v/>
      </c>
      <c r="AT403" t="n">
        <v/>
      </c>
      <c r="AU403" t="n">
        <v>39.9738</v>
      </c>
      <c r="AV403" t="n">
        <v/>
      </c>
      <c r="AW403" t="n">
        <v>39.7529</v>
      </c>
      <c r="AX403" t="n">
        <v/>
      </c>
    </row>
    <row r="404">
      <c r="A404" s="92" t="n">
        <v>30133</v>
      </c>
      <c r="B404" t="n">
        <v>46.24808</v>
      </c>
      <c r="C404" t="n">
        <v>42.89098</v>
      </c>
      <c r="D404" t="n">
        <v/>
      </c>
      <c r="E404" t="n">
        <v>44.16673</v>
      </c>
      <c r="F404" t="n">
        <v>59.24237</v>
      </c>
      <c r="G404" t="n">
        <v/>
      </c>
      <c r="H404" t="n">
        <v/>
      </c>
      <c r="I404" t="n">
        <v/>
      </c>
      <c r="J404" t="n">
        <v/>
      </c>
      <c r="K404" t="n">
        <v/>
      </c>
      <c r="L404" t="n">
        <v>54.14279</v>
      </c>
      <c r="M404" t="n">
        <v>42.01237</v>
      </c>
      <c r="N404" t="n">
        <v/>
      </c>
      <c r="O404" t="n">
        <v>26.38733</v>
      </c>
      <c r="P404" t="n">
        <v/>
      </c>
      <c r="Q404" t="n">
        <v/>
      </c>
      <c r="R404" t="n">
        <v>40.97303</v>
      </c>
      <c r="S404" t="n">
        <v>46.9081</v>
      </c>
      <c r="T404" t="n">
        <v/>
      </c>
      <c r="U404" t="n">
        <v>44.25843</v>
      </c>
      <c r="V404" t="n">
        <v>38.64211</v>
      </c>
      <c r="W404" t="n">
        <v>7.859172</v>
      </c>
      <c r="X404" t="n">
        <v/>
      </c>
      <c r="Y404" t="n">
        <v/>
      </c>
      <c r="Z404" t="n">
        <v/>
      </c>
      <c r="AA404" t="n">
        <v>37.93996</v>
      </c>
      <c r="AB404" t="n">
        <v/>
      </c>
      <c r="AC404" t="n">
        <v>0.2263304</v>
      </c>
      <c r="AD404" t="n">
        <v>27.76556</v>
      </c>
      <c r="AE404" t="n">
        <v>79.67757</v>
      </c>
      <c r="AF404" t="n">
        <v/>
      </c>
      <c r="AG404" t="n">
        <v/>
      </c>
      <c r="AH404" t="n">
        <v>44.79461</v>
      </c>
      <c r="AI404" t="n">
        <v/>
      </c>
      <c r="AJ404" t="n">
        <v>0.1416517</v>
      </c>
      <c r="AK404" t="n">
        <v>50.17737</v>
      </c>
      <c r="AL404" t="n">
        <v>36.58623</v>
      </c>
      <c r="AM404" t="n">
        <v>23.22025</v>
      </c>
      <c r="AN404" t="n">
        <v>19.43205</v>
      </c>
      <c r="AO404" t="n">
        <v/>
      </c>
      <c r="AP404" t="n">
        <v>11.32424</v>
      </c>
      <c r="AQ404" t="n">
        <v/>
      </c>
      <c r="AR404" t="n">
        <v/>
      </c>
      <c r="AS404" t="n">
        <v/>
      </c>
      <c r="AT404" t="n">
        <v/>
      </c>
      <c r="AU404" t="n">
        <v>40.13038</v>
      </c>
      <c r="AV404" t="n">
        <v/>
      </c>
      <c r="AW404" t="n">
        <v>39.91802</v>
      </c>
      <c r="AX404" t="n">
        <v/>
      </c>
    </row>
    <row r="405">
      <c r="A405" s="92" t="n">
        <v>30164</v>
      </c>
      <c r="B405" t="n">
        <v>46.39422</v>
      </c>
      <c r="C405" t="n">
        <v>43.18246</v>
      </c>
      <c r="D405" t="n">
        <v/>
      </c>
      <c r="E405" t="n">
        <v>44.44229</v>
      </c>
      <c r="F405" t="n">
        <v>59.67007</v>
      </c>
      <c r="G405" t="n">
        <v/>
      </c>
      <c r="H405" t="n">
        <v/>
      </c>
      <c r="I405" t="n">
        <v/>
      </c>
      <c r="J405" t="n">
        <v/>
      </c>
      <c r="K405" t="n">
        <v/>
      </c>
      <c r="L405" t="n">
        <v>54.16526</v>
      </c>
      <c r="M405" t="n">
        <v>42.26721</v>
      </c>
      <c r="N405" t="n">
        <v/>
      </c>
      <c r="O405" t="n">
        <v>26.52104</v>
      </c>
      <c r="P405" t="n">
        <v/>
      </c>
      <c r="Q405" t="n">
        <v/>
      </c>
      <c r="R405" t="n">
        <v>41.05213</v>
      </c>
      <c r="S405" t="n">
        <v>46.99893</v>
      </c>
      <c r="T405" t="n">
        <v/>
      </c>
      <c r="U405" t="n">
        <v>44.42012</v>
      </c>
      <c r="V405" t="n">
        <v>38.69847</v>
      </c>
      <c r="W405" t="n">
        <v>7.751496</v>
      </c>
      <c r="X405" t="n">
        <v/>
      </c>
      <c r="Y405" t="n">
        <v/>
      </c>
      <c r="Z405" t="n">
        <v/>
      </c>
      <c r="AA405" t="n">
        <v>37.93996</v>
      </c>
      <c r="AB405" t="n">
        <v/>
      </c>
      <c r="AC405" t="n">
        <v>0.2409745</v>
      </c>
      <c r="AD405" t="n">
        <v>28.22227</v>
      </c>
      <c r="AE405" t="n">
        <v>79.50981</v>
      </c>
      <c r="AF405" t="n">
        <v/>
      </c>
      <c r="AG405" t="n">
        <v/>
      </c>
      <c r="AH405" t="n">
        <v>45.03653</v>
      </c>
      <c r="AI405" t="n">
        <v/>
      </c>
      <c r="AJ405" t="n">
        <v>0.1549317</v>
      </c>
      <c r="AK405" t="n">
        <v>50.32314</v>
      </c>
      <c r="AL405" t="n">
        <v>36.5639</v>
      </c>
      <c r="AM405" t="n">
        <v>23.44327</v>
      </c>
      <c r="AN405" t="n">
        <v>19.52692</v>
      </c>
      <c r="AO405" t="n">
        <v/>
      </c>
      <c r="AP405" t="n">
        <v>11.45015</v>
      </c>
      <c r="AQ405" t="n">
        <v/>
      </c>
      <c r="AR405" t="n">
        <v/>
      </c>
      <c r="AS405" t="n">
        <v/>
      </c>
      <c r="AT405" t="n">
        <v/>
      </c>
      <c r="AU405" t="n">
        <v>40.22036</v>
      </c>
      <c r="AV405" t="n">
        <v/>
      </c>
      <c r="AW405" t="n">
        <v>40.08314</v>
      </c>
      <c r="AX405" t="n">
        <v/>
      </c>
    </row>
    <row r="406">
      <c r="A406" s="92" t="n">
        <v>30195</v>
      </c>
      <c r="B406" t="n">
        <v>46.58463</v>
      </c>
      <c r="C406" t="n">
        <v>43.46359</v>
      </c>
      <c r="D406" t="n">
        <v/>
      </c>
      <c r="E406" t="n">
        <v>44.6318</v>
      </c>
      <c r="F406" t="n">
        <v>59.84561</v>
      </c>
      <c r="G406" t="n">
        <v/>
      </c>
      <c r="H406" t="n">
        <v/>
      </c>
      <c r="I406" t="n">
        <v/>
      </c>
      <c r="J406" t="n">
        <v/>
      </c>
      <c r="K406" t="n">
        <v/>
      </c>
      <c r="L406" t="n">
        <v>54.37018</v>
      </c>
      <c r="M406" t="n">
        <v>42.73255</v>
      </c>
      <c r="N406" t="n">
        <v/>
      </c>
      <c r="O406" t="n">
        <v>26.734</v>
      </c>
      <c r="P406" t="n">
        <v/>
      </c>
      <c r="Q406" t="n">
        <v/>
      </c>
      <c r="R406" t="n">
        <v>40.95834</v>
      </c>
      <c r="S406" t="n">
        <v>47.11723</v>
      </c>
      <c r="T406" t="n">
        <v/>
      </c>
      <c r="U406" t="n">
        <v>44.63503</v>
      </c>
      <c r="V406" t="n">
        <v>38.65416</v>
      </c>
      <c r="W406" t="n">
        <v>8.000736</v>
      </c>
      <c r="X406" t="n">
        <v/>
      </c>
      <c r="Y406" t="n">
        <v/>
      </c>
      <c r="Z406" t="n">
        <v/>
      </c>
      <c r="AA406" t="n">
        <v>37.93996</v>
      </c>
      <c r="AB406" t="n">
        <v/>
      </c>
      <c r="AC406" t="n">
        <v>0.2592234</v>
      </c>
      <c r="AD406" t="n">
        <v>28.64856</v>
      </c>
      <c r="AE406" t="n">
        <v>80.61485</v>
      </c>
      <c r="AF406" t="n">
        <v/>
      </c>
      <c r="AG406" t="n">
        <v/>
      </c>
      <c r="AH406" t="n">
        <v>45.37287</v>
      </c>
      <c r="AI406" t="n">
        <v/>
      </c>
      <c r="AJ406" t="n">
        <v>0.1635449</v>
      </c>
      <c r="AK406" t="n">
        <v>50.70363</v>
      </c>
      <c r="AL406" t="n">
        <v>37.05917</v>
      </c>
      <c r="AM406" t="n">
        <v>23.66722</v>
      </c>
      <c r="AN406" t="n">
        <v>19.68701</v>
      </c>
      <c r="AO406" t="n">
        <v/>
      </c>
      <c r="AP406" t="n">
        <v>11.57222</v>
      </c>
      <c r="AQ406" t="n">
        <v/>
      </c>
      <c r="AR406" t="n">
        <v/>
      </c>
      <c r="AS406" t="n">
        <v/>
      </c>
      <c r="AT406" t="n">
        <v/>
      </c>
      <c r="AU406" t="n">
        <v>40.48202</v>
      </c>
      <c r="AV406" t="n">
        <v/>
      </c>
      <c r="AW406" t="n">
        <v>40.1657</v>
      </c>
      <c r="AX406" t="n">
        <v/>
      </c>
    </row>
    <row r="407">
      <c r="A407" s="92" t="n">
        <v>30225</v>
      </c>
      <c r="B407" t="n">
        <v>46.6629</v>
      </c>
      <c r="C407" t="n">
        <v>43.64791</v>
      </c>
      <c r="D407" t="n">
        <v/>
      </c>
      <c r="E407" t="n">
        <v>45.14796</v>
      </c>
      <c r="F407" t="n">
        <v>60.02774</v>
      </c>
      <c r="G407" t="n">
        <v/>
      </c>
      <c r="H407" t="n">
        <v/>
      </c>
      <c r="I407" t="n">
        <v/>
      </c>
      <c r="J407" t="n">
        <v/>
      </c>
      <c r="K407" t="n">
        <v/>
      </c>
      <c r="L407" t="n">
        <v>54.57859</v>
      </c>
      <c r="M407" t="n">
        <v>43.17566</v>
      </c>
      <c r="N407" t="n">
        <v/>
      </c>
      <c r="O407" t="n">
        <v>27.03038</v>
      </c>
      <c r="P407" t="n">
        <v/>
      </c>
      <c r="Q407" t="n">
        <v/>
      </c>
      <c r="R407" t="n">
        <v>41.13052</v>
      </c>
      <c r="S407" t="n">
        <v>47.32774</v>
      </c>
      <c r="T407" t="n">
        <v/>
      </c>
      <c r="U407" t="n">
        <v>44.88826</v>
      </c>
      <c r="V407" t="n">
        <v>38.84581</v>
      </c>
      <c r="W407" t="n">
        <v>8.211899000000001</v>
      </c>
      <c r="X407" t="n">
        <v/>
      </c>
      <c r="Y407" t="n">
        <v/>
      </c>
      <c r="Z407" t="n">
        <v/>
      </c>
      <c r="AA407" t="n">
        <v>38.51817</v>
      </c>
      <c r="AB407" t="n">
        <v/>
      </c>
      <c r="AC407" t="n">
        <v>0.284952</v>
      </c>
      <c r="AD407" t="n">
        <v>29.16627</v>
      </c>
      <c r="AE407" t="n">
        <v>80.93568</v>
      </c>
      <c r="AF407" t="n">
        <v/>
      </c>
      <c r="AG407" t="n">
        <v/>
      </c>
      <c r="AH407" t="n">
        <v>45.79137</v>
      </c>
      <c r="AI407" t="n">
        <v/>
      </c>
      <c r="AJ407" t="n">
        <v>0.1714</v>
      </c>
      <c r="AK407" t="n">
        <v>51.07457</v>
      </c>
      <c r="AL407" t="n">
        <v>37.32527</v>
      </c>
      <c r="AM407" t="n">
        <v>23.90606</v>
      </c>
      <c r="AN407" t="n">
        <v>19.86238</v>
      </c>
      <c r="AO407" t="n">
        <v/>
      </c>
      <c r="AP407" t="n">
        <v>11.73133</v>
      </c>
      <c r="AQ407" t="n">
        <v/>
      </c>
      <c r="AR407" t="n">
        <v/>
      </c>
      <c r="AS407" t="n">
        <v/>
      </c>
      <c r="AT407" t="n">
        <v/>
      </c>
      <c r="AU407" t="n">
        <v>40.91917</v>
      </c>
      <c r="AV407" t="n">
        <v/>
      </c>
      <c r="AW407" t="n">
        <v>40.33082</v>
      </c>
      <c r="AX407" t="n">
        <v/>
      </c>
    </row>
    <row r="408">
      <c r="A408" s="92" t="n">
        <v>30256</v>
      </c>
      <c r="B408" t="n">
        <v>46.78821</v>
      </c>
      <c r="C408" t="n">
        <v>43.85984</v>
      </c>
      <c r="D408" t="n">
        <v/>
      </c>
      <c r="E408" t="n">
        <v>45.3849</v>
      </c>
      <c r="F408" t="n">
        <v>60.59026</v>
      </c>
      <c r="G408" t="n">
        <v/>
      </c>
      <c r="H408" t="n">
        <v/>
      </c>
      <c r="I408" t="n">
        <v/>
      </c>
      <c r="J408" t="n">
        <v/>
      </c>
      <c r="K408" t="n">
        <v/>
      </c>
      <c r="L408" t="n">
        <v>54.69965</v>
      </c>
      <c r="M408" t="n">
        <v>43.64058</v>
      </c>
      <c r="N408" t="n">
        <v/>
      </c>
      <c r="O408" t="n">
        <v>27.30975</v>
      </c>
      <c r="P408" t="n">
        <v/>
      </c>
      <c r="Q408" t="n">
        <v/>
      </c>
      <c r="R408" t="n">
        <v>41.2438</v>
      </c>
      <c r="S408" t="n">
        <v>47.74916</v>
      </c>
      <c r="T408" t="n">
        <v/>
      </c>
      <c r="U408" t="n">
        <v>44.97702</v>
      </c>
      <c r="V408" t="n">
        <v>38.9114</v>
      </c>
      <c r="W408" t="n">
        <v>8.324128999999999</v>
      </c>
      <c r="X408" t="n">
        <v/>
      </c>
      <c r="Y408" t="n">
        <v/>
      </c>
      <c r="Z408" t="n">
        <v/>
      </c>
      <c r="AA408" t="n">
        <v>38.55705</v>
      </c>
      <c r="AB408" t="n">
        <v/>
      </c>
      <c r="AC408" t="n">
        <v>0.3028403</v>
      </c>
      <c r="AD408" t="n">
        <v>29.61507</v>
      </c>
      <c r="AE408" t="n">
        <v>80.81592999999999</v>
      </c>
      <c r="AF408" t="n">
        <v/>
      </c>
      <c r="AG408" t="n">
        <v/>
      </c>
      <c r="AH408" t="n">
        <v>46.15882</v>
      </c>
      <c r="AI408" t="n">
        <v/>
      </c>
      <c r="AJ408" t="n">
        <v>0.1809009</v>
      </c>
      <c r="AK408" t="n">
        <v>51.08427</v>
      </c>
      <c r="AL408" t="n">
        <v>37.38258</v>
      </c>
      <c r="AM408" t="n">
        <v>24.07679</v>
      </c>
      <c r="AN408" t="n">
        <v>20.02321</v>
      </c>
      <c r="AO408" t="n">
        <v/>
      </c>
      <c r="AP408" t="n">
        <v>11.83155</v>
      </c>
      <c r="AQ408" t="n">
        <v/>
      </c>
      <c r="AR408" t="n">
        <v/>
      </c>
      <c r="AS408" t="n">
        <v/>
      </c>
      <c r="AT408" t="n">
        <v/>
      </c>
      <c r="AU408" t="n">
        <v>41.26714</v>
      </c>
      <c r="AV408" t="n">
        <v/>
      </c>
      <c r="AW408" t="n">
        <v>40.28954</v>
      </c>
      <c r="AX408" t="n">
        <v/>
      </c>
    </row>
    <row r="409">
      <c r="A409" s="92" t="n">
        <v>30286</v>
      </c>
      <c r="B409" t="n">
        <v>46.93824</v>
      </c>
      <c r="C409" t="n">
        <v>44.26539</v>
      </c>
      <c r="D409" t="n">
        <v/>
      </c>
      <c r="E409" t="n">
        <v>45.44703</v>
      </c>
      <c r="F409" t="n">
        <v>60.57714</v>
      </c>
      <c r="G409" t="n">
        <v/>
      </c>
      <c r="H409" t="n">
        <v/>
      </c>
      <c r="I409" t="n">
        <v/>
      </c>
      <c r="J409" t="n">
        <v/>
      </c>
      <c r="K409" t="n">
        <v/>
      </c>
      <c r="L409" t="n">
        <v>54.93987</v>
      </c>
      <c r="M409" t="n">
        <v>43.55567</v>
      </c>
      <c r="N409" t="n">
        <v/>
      </c>
      <c r="O409" t="n">
        <v>27.34246</v>
      </c>
      <c r="P409" t="n">
        <v/>
      </c>
      <c r="Q409" t="n">
        <v/>
      </c>
      <c r="R409" t="n">
        <v>41.9045</v>
      </c>
      <c r="S409" t="n">
        <v>48.11564</v>
      </c>
      <c r="T409" t="n">
        <v/>
      </c>
      <c r="U409" t="n">
        <v>44.96962</v>
      </c>
      <c r="V409" t="n">
        <v>38.69442</v>
      </c>
      <c r="W409" t="n">
        <v>8.432323999999999</v>
      </c>
      <c r="X409" t="n">
        <v/>
      </c>
      <c r="Y409" t="n">
        <v/>
      </c>
      <c r="Z409" t="n">
        <v/>
      </c>
      <c r="AA409" t="n">
        <v>38.55705</v>
      </c>
      <c r="AB409" t="n">
        <v/>
      </c>
      <c r="AC409" t="n">
        <v>0.3173042</v>
      </c>
      <c r="AD409" t="n">
        <v>29.90233</v>
      </c>
      <c r="AE409" t="n">
        <v>80.87076999999999</v>
      </c>
      <c r="AF409" t="n">
        <v/>
      </c>
      <c r="AG409" t="n">
        <v/>
      </c>
      <c r="AH409" t="n">
        <v>46.35348</v>
      </c>
      <c r="AI409" t="n">
        <v/>
      </c>
      <c r="AJ409" t="n">
        <v>0.1969533</v>
      </c>
      <c r="AK409" t="n">
        <v>50.98706</v>
      </c>
      <c r="AL409" t="n">
        <v>37.63408</v>
      </c>
      <c r="AM409" t="n">
        <v>24.28249</v>
      </c>
      <c r="AN409" t="n">
        <v>20.15292</v>
      </c>
      <c r="AO409" t="n">
        <v/>
      </c>
      <c r="AP409" t="n">
        <v>11.99817</v>
      </c>
      <c r="AQ409" t="n">
        <v/>
      </c>
      <c r="AR409" t="n">
        <v/>
      </c>
      <c r="AS409" t="n">
        <v/>
      </c>
      <c r="AT409" t="n">
        <v/>
      </c>
      <c r="AU409" t="n">
        <v>41.47236</v>
      </c>
      <c r="AV409" t="n">
        <v/>
      </c>
      <c r="AW409" t="n">
        <v>40.12442</v>
      </c>
      <c r="AX409" t="n">
        <v/>
      </c>
    </row>
    <row r="410">
      <c r="A410" s="92" t="n">
        <v>30317</v>
      </c>
      <c r="B410" t="n">
        <v>47.16687</v>
      </c>
      <c r="C410" t="n">
        <v>45.00346</v>
      </c>
      <c r="D410" t="n">
        <v/>
      </c>
      <c r="E410" t="n">
        <v>45.4183</v>
      </c>
      <c r="F410" t="n">
        <v>60.61988</v>
      </c>
      <c r="G410" t="n">
        <v/>
      </c>
      <c r="H410" t="n">
        <v/>
      </c>
      <c r="I410" t="n">
        <v/>
      </c>
      <c r="J410" t="n">
        <v/>
      </c>
      <c r="K410" t="n">
        <v/>
      </c>
      <c r="L410" t="n">
        <v>55.29428</v>
      </c>
      <c r="M410" t="n">
        <v>43.97187</v>
      </c>
      <c r="N410" t="n">
        <v/>
      </c>
      <c r="O410" t="n">
        <v>27.78136</v>
      </c>
      <c r="P410" t="n">
        <v/>
      </c>
      <c r="Q410" t="n">
        <v/>
      </c>
      <c r="R410" t="n">
        <v>42.39674</v>
      </c>
      <c r="S410" t="n">
        <v>48.69864</v>
      </c>
      <c r="T410" t="n">
        <v/>
      </c>
      <c r="U410" t="n">
        <v>45.12665</v>
      </c>
      <c r="V410" t="n">
        <v>38.73493</v>
      </c>
      <c r="W410" t="n">
        <v>8.602755</v>
      </c>
      <c r="X410" t="n">
        <v/>
      </c>
      <c r="Y410" t="n">
        <v/>
      </c>
      <c r="Z410" t="n">
        <v/>
      </c>
      <c r="AA410" t="n">
        <v>39.64389</v>
      </c>
      <c r="AB410" t="n">
        <v/>
      </c>
      <c r="AC410" t="n">
        <v>0.3407348</v>
      </c>
      <c r="AD410" t="n">
        <v>29.99599</v>
      </c>
      <c r="AE410" t="n">
        <v>80.58721</v>
      </c>
      <c r="AF410" t="n">
        <v/>
      </c>
      <c r="AG410" t="n">
        <v/>
      </c>
      <c r="AH410" t="n">
        <v>46.40928</v>
      </c>
      <c r="AI410" t="n">
        <v/>
      </c>
      <c r="AJ410" t="n">
        <v>0.2222199</v>
      </c>
      <c r="AK410" t="n">
        <v>50.98672</v>
      </c>
      <c r="AL410" t="n">
        <v>38.26459</v>
      </c>
      <c r="AM410" t="n">
        <v>24.56863</v>
      </c>
      <c r="AN410" t="n">
        <v>20.35316</v>
      </c>
      <c r="AO410" t="n">
        <v/>
      </c>
      <c r="AP410" t="n">
        <v>12.43412</v>
      </c>
      <c r="AQ410" t="n">
        <v/>
      </c>
      <c r="AR410" t="n">
        <v/>
      </c>
      <c r="AS410" t="n">
        <v/>
      </c>
      <c r="AT410" t="n">
        <v/>
      </c>
      <c r="AU410" t="n">
        <v>42.40774</v>
      </c>
      <c r="AV410" t="n">
        <v/>
      </c>
      <c r="AW410" t="n">
        <v>40.28954</v>
      </c>
      <c r="AX410" t="n">
        <v/>
      </c>
    </row>
    <row r="411">
      <c r="A411" s="92" t="n">
        <v>30348</v>
      </c>
      <c r="B411" t="n">
        <v>47.35921</v>
      </c>
      <c r="C411" t="n">
        <v>45.36835</v>
      </c>
      <c r="D411" t="n">
        <v/>
      </c>
      <c r="E411" t="n">
        <v>45.75302</v>
      </c>
      <c r="F411" t="n">
        <v>60.8438</v>
      </c>
      <c r="G411" t="n">
        <v/>
      </c>
      <c r="H411" t="n">
        <v/>
      </c>
      <c r="I411" t="n">
        <v/>
      </c>
      <c r="J411" t="n">
        <v/>
      </c>
      <c r="K411" t="n">
        <v/>
      </c>
      <c r="L411" t="n">
        <v>55.37918</v>
      </c>
      <c r="M411" t="n">
        <v>44.13938</v>
      </c>
      <c r="N411" t="n">
        <v/>
      </c>
      <c r="O411" t="n">
        <v>28.13825</v>
      </c>
      <c r="P411" t="n">
        <v/>
      </c>
      <c r="Q411" t="n">
        <v/>
      </c>
      <c r="R411" t="n">
        <v>42.52864</v>
      </c>
      <c r="S411" t="n">
        <v>49.08636</v>
      </c>
      <c r="T411" t="n">
        <v/>
      </c>
      <c r="U411" t="n">
        <v>45.28607</v>
      </c>
      <c r="V411" t="n">
        <v>38.99723</v>
      </c>
      <c r="W411" t="n">
        <v>8.716516</v>
      </c>
      <c r="X411" t="n">
        <v/>
      </c>
      <c r="Y411" t="n">
        <v/>
      </c>
      <c r="Z411" t="n">
        <v/>
      </c>
      <c r="AA411" t="n">
        <v>39.64389</v>
      </c>
      <c r="AB411" t="n">
        <v/>
      </c>
      <c r="AC411" t="n">
        <v>0.3574966</v>
      </c>
      <c r="AD411" t="n">
        <v>30.48357</v>
      </c>
      <c r="AE411" t="n">
        <v>80.11387000000001</v>
      </c>
      <c r="AF411" t="n">
        <v/>
      </c>
      <c r="AG411" t="n">
        <v/>
      </c>
      <c r="AH411" t="n">
        <v>46.63344</v>
      </c>
      <c r="AI411" t="n">
        <v/>
      </c>
      <c r="AJ411" t="n">
        <v>0.2362113</v>
      </c>
      <c r="AK411" t="n">
        <v>51.20164</v>
      </c>
      <c r="AL411" t="n">
        <v>38.48942</v>
      </c>
      <c r="AM411" t="n">
        <v>24.7494</v>
      </c>
      <c r="AN411" t="n">
        <v>20.51388</v>
      </c>
      <c r="AO411" t="n">
        <v/>
      </c>
      <c r="AP411" t="n">
        <v>12.67178</v>
      </c>
      <c r="AQ411" t="n">
        <v/>
      </c>
      <c r="AR411" t="n">
        <v/>
      </c>
      <c r="AS411" t="n">
        <v/>
      </c>
      <c r="AT411" t="n">
        <v/>
      </c>
      <c r="AU411" t="n">
        <v>42.39828</v>
      </c>
      <c r="AV411" t="n">
        <v/>
      </c>
      <c r="AW411" t="n">
        <v>40.41338</v>
      </c>
      <c r="AX411" t="n">
        <v/>
      </c>
    </row>
    <row r="412">
      <c r="A412" s="92" t="n">
        <v>30376</v>
      </c>
      <c r="B412" t="n">
        <v>47.42931</v>
      </c>
      <c r="C412" t="n">
        <v>45.58573</v>
      </c>
      <c r="D412" t="n">
        <v/>
      </c>
      <c r="E412" t="n">
        <v>46.00745</v>
      </c>
      <c r="F412" t="n">
        <v>60.95643</v>
      </c>
      <c r="G412" t="n">
        <v/>
      </c>
      <c r="H412" t="n">
        <v/>
      </c>
      <c r="I412" t="n">
        <v/>
      </c>
      <c r="J412" t="n">
        <v/>
      </c>
      <c r="K412" t="n">
        <v/>
      </c>
      <c r="L412" t="n">
        <v>55.46071</v>
      </c>
      <c r="M412" t="n">
        <v>44.23257</v>
      </c>
      <c r="N412" t="n">
        <v/>
      </c>
      <c r="O412" t="n">
        <v>28.34375</v>
      </c>
      <c r="P412" t="n">
        <v/>
      </c>
      <c r="Q412" t="n">
        <v/>
      </c>
      <c r="R412" t="n">
        <v>42.87655</v>
      </c>
      <c r="S412" t="n">
        <v>49.68214</v>
      </c>
      <c r="T412" t="n">
        <v/>
      </c>
      <c r="U412" t="n">
        <v>45.46056</v>
      </c>
      <c r="V412" t="n">
        <v>39.11432</v>
      </c>
      <c r="W412" t="n">
        <v>9.09957</v>
      </c>
      <c r="X412" t="n">
        <v/>
      </c>
      <c r="Y412" t="n">
        <v/>
      </c>
      <c r="Z412" t="n">
        <v/>
      </c>
      <c r="AA412" t="n">
        <v>39.64389</v>
      </c>
      <c r="AB412" t="n">
        <v/>
      </c>
      <c r="AC412" t="n">
        <v>0.37534</v>
      </c>
      <c r="AD412" t="n">
        <v>30.813</v>
      </c>
      <c r="AE412" t="n">
        <v>80.36686</v>
      </c>
      <c r="AF412" t="n">
        <v/>
      </c>
      <c r="AG412" t="n">
        <v/>
      </c>
      <c r="AH412" t="n">
        <v>46.73297</v>
      </c>
      <c r="AI412" t="n">
        <v/>
      </c>
      <c r="AJ412" t="n">
        <v>0.2486388</v>
      </c>
      <c r="AK412" t="n">
        <v>51.29277</v>
      </c>
      <c r="AL412" t="n">
        <v>39.14316</v>
      </c>
      <c r="AM412" t="n">
        <v>24.93511</v>
      </c>
      <c r="AN412" t="n">
        <v>20.67709</v>
      </c>
      <c r="AO412" t="n">
        <v/>
      </c>
      <c r="AP412" t="n">
        <v>12.8799</v>
      </c>
      <c r="AQ412" t="n">
        <v/>
      </c>
      <c r="AR412" t="n">
        <v/>
      </c>
      <c r="AS412" t="n">
        <v/>
      </c>
      <c r="AT412" t="n">
        <v/>
      </c>
      <c r="AU412" t="n">
        <v>42.62709</v>
      </c>
      <c r="AV412" t="n">
        <v/>
      </c>
      <c r="AW412" t="n">
        <v>40.49594</v>
      </c>
      <c r="AX412" t="n">
        <v/>
      </c>
    </row>
    <row r="413">
      <c r="A413" s="92" t="n">
        <v>30407</v>
      </c>
      <c r="B413" t="n">
        <v>47.47567</v>
      </c>
      <c r="C413" t="n">
        <v>45.85438</v>
      </c>
      <c r="D413" t="n">
        <v/>
      </c>
      <c r="E413" t="n">
        <v>46.14938</v>
      </c>
      <c r="F413" t="n">
        <v>60.9846</v>
      </c>
      <c r="G413" t="n">
        <v/>
      </c>
      <c r="H413" t="n">
        <v/>
      </c>
      <c r="I413" t="n">
        <v/>
      </c>
      <c r="J413" t="n">
        <v/>
      </c>
      <c r="K413" t="n">
        <v/>
      </c>
      <c r="L413" t="n">
        <v>55.5119</v>
      </c>
      <c r="M413" t="n">
        <v>44.59534</v>
      </c>
      <c r="N413" t="n">
        <v/>
      </c>
      <c r="O413" t="n">
        <v>28.76723</v>
      </c>
      <c r="P413" t="n">
        <v/>
      </c>
      <c r="Q413" t="n">
        <v/>
      </c>
      <c r="R413" t="n">
        <v>43.06945</v>
      </c>
      <c r="S413" t="n">
        <v>50.2692</v>
      </c>
      <c r="T413" t="n">
        <v/>
      </c>
      <c r="U413" t="n">
        <v>45.77082</v>
      </c>
      <c r="V413" t="n">
        <v>39.74493</v>
      </c>
      <c r="W413" t="n">
        <v>9.155747</v>
      </c>
      <c r="X413" t="n">
        <v/>
      </c>
      <c r="Y413" t="n">
        <v/>
      </c>
      <c r="Z413" t="n">
        <v/>
      </c>
      <c r="AA413" t="n">
        <v>40.93776</v>
      </c>
      <c r="AB413" t="n">
        <v/>
      </c>
      <c r="AC413" t="n">
        <v>0.4315283</v>
      </c>
      <c r="AD413" t="n">
        <v>31.16928</v>
      </c>
      <c r="AE413" t="n">
        <v>81.06178</v>
      </c>
      <c r="AF413" t="n">
        <v/>
      </c>
      <c r="AG413" t="n">
        <v/>
      </c>
      <c r="AH413" t="n">
        <v>47.00969</v>
      </c>
      <c r="AI413" t="n">
        <v/>
      </c>
      <c r="AJ413" t="n">
        <v>0.2624058</v>
      </c>
      <c r="AK413" t="n">
        <v>51.55965</v>
      </c>
      <c r="AL413" t="n">
        <v>39.25557</v>
      </c>
      <c r="AM413" t="n">
        <v>25.19245</v>
      </c>
      <c r="AN413" t="n">
        <v>20.873</v>
      </c>
      <c r="AO413" t="n">
        <v/>
      </c>
      <c r="AP413" t="n">
        <v>13.11085</v>
      </c>
      <c r="AQ413" t="n">
        <v/>
      </c>
      <c r="AR413" t="n">
        <v/>
      </c>
      <c r="AS413" t="n">
        <v/>
      </c>
      <c r="AT413" t="n">
        <v/>
      </c>
      <c r="AU413" t="n">
        <v>43.01164</v>
      </c>
      <c r="AV413" t="n">
        <v/>
      </c>
      <c r="AW413" t="n">
        <v>40.70234</v>
      </c>
      <c r="AX413" t="n">
        <v/>
      </c>
    </row>
    <row r="414">
      <c r="A414" s="92" t="n">
        <v>30437</v>
      </c>
      <c r="B414" t="n">
        <v>47.60938</v>
      </c>
      <c r="C414" t="n">
        <v>46.12805</v>
      </c>
      <c r="D414" t="n">
        <v/>
      </c>
      <c r="E414" t="n">
        <v>46.24123</v>
      </c>
      <c r="F414" t="n">
        <v>61.15459</v>
      </c>
      <c r="G414" t="n">
        <v/>
      </c>
      <c r="H414" t="n">
        <v/>
      </c>
      <c r="I414" t="n">
        <v/>
      </c>
      <c r="J414" t="n">
        <v/>
      </c>
      <c r="K414" t="n">
        <v/>
      </c>
      <c r="L414" t="n">
        <v>55.66198</v>
      </c>
      <c r="M414" t="n">
        <v>45.27116</v>
      </c>
      <c r="N414" t="n">
        <v/>
      </c>
      <c r="O414" t="n">
        <v>28.99497</v>
      </c>
      <c r="P414" t="n">
        <v/>
      </c>
      <c r="Q414" t="n">
        <v/>
      </c>
      <c r="R414" t="n">
        <v>43.99905</v>
      </c>
      <c r="S414" t="n">
        <v>50.57679</v>
      </c>
      <c r="T414" t="n">
        <v/>
      </c>
      <c r="U414" t="n">
        <v>45.96903</v>
      </c>
      <c r="V414" t="n">
        <v>39.93823</v>
      </c>
      <c r="W414" t="n">
        <v>9.326045000000001</v>
      </c>
      <c r="X414" t="n">
        <v/>
      </c>
      <c r="Y414" t="n">
        <v/>
      </c>
      <c r="Z414" t="n">
        <v/>
      </c>
      <c r="AA414" t="n">
        <v>40.93776</v>
      </c>
      <c r="AB414" t="n">
        <v/>
      </c>
      <c r="AC414" t="n">
        <v>0.4563106</v>
      </c>
      <c r="AD414" t="n">
        <v>31.4621</v>
      </c>
      <c r="AE414" t="n">
        <v>81.87321</v>
      </c>
      <c r="AF414" t="n">
        <v/>
      </c>
      <c r="AG414" t="n">
        <v/>
      </c>
      <c r="AH414" t="n">
        <v>47.34013</v>
      </c>
      <c r="AI414" t="n">
        <v/>
      </c>
      <c r="AJ414" t="n">
        <v>0.2741187</v>
      </c>
      <c r="AK414" t="n">
        <v>51.58875</v>
      </c>
      <c r="AL414" t="n">
        <v>39.35107</v>
      </c>
      <c r="AM414" t="n">
        <v>25.36561</v>
      </c>
      <c r="AN414" t="n">
        <v>20.98968</v>
      </c>
      <c r="AO414" t="n">
        <v/>
      </c>
      <c r="AP414" t="n">
        <v>13.17557</v>
      </c>
      <c r="AQ414" t="n">
        <v/>
      </c>
      <c r="AR414" t="n">
        <v/>
      </c>
      <c r="AS414" t="n">
        <v/>
      </c>
      <c r="AT414" t="n">
        <v/>
      </c>
      <c r="AU414" t="n">
        <v>43.21763</v>
      </c>
      <c r="AV414" t="n">
        <v/>
      </c>
      <c r="AW414" t="n">
        <v>40.7849</v>
      </c>
      <c r="AX414" t="n">
        <v/>
      </c>
    </row>
    <row r="415">
      <c r="A415" s="92" t="n">
        <v>30468</v>
      </c>
      <c r="B415" t="n">
        <v>47.71107</v>
      </c>
      <c r="C415" t="n">
        <v>46.30661</v>
      </c>
      <c r="D415" t="n">
        <v/>
      </c>
      <c r="E415" t="n">
        <v>46.42569</v>
      </c>
      <c r="F415" t="n">
        <v>61.23463</v>
      </c>
      <c r="G415" t="n">
        <v/>
      </c>
      <c r="H415" t="n">
        <v/>
      </c>
      <c r="I415" t="n">
        <v/>
      </c>
      <c r="J415" t="n">
        <v/>
      </c>
      <c r="K415" t="n">
        <v/>
      </c>
      <c r="L415" t="n">
        <v>55.85989</v>
      </c>
      <c r="M415" t="n">
        <v>45.33786</v>
      </c>
      <c r="N415" t="n">
        <v/>
      </c>
      <c r="O415" t="n">
        <v>29.22605</v>
      </c>
      <c r="P415" t="n">
        <v/>
      </c>
      <c r="Q415" t="n">
        <v/>
      </c>
      <c r="R415" t="n">
        <v>44.53035</v>
      </c>
      <c r="S415" t="n">
        <v>50.87678</v>
      </c>
      <c r="T415" t="n">
        <v/>
      </c>
      <c r="U415" t="n">
        <v>46.10455</v>
      </c>
      <c r="V415" t="n">
        <v>39.97679</v>
      </c>
      <c r="W415" t="n">
        <v>9.430963</v>
      </c>
      <c r="X415" t="n">
        <v/>
      </c>
      <c r="Y415" t="n">
        <v/>
      </c>
      <c r="Z415" t="n">
        <v/>
      </c>
      <c r="AA415" t="n">
        <v>40.93776</v>
      </c>
      <c r="AB415" t="n">
        <v/>
      </c>
      <c r="AC415" t="n">
        <v>0.483391</v>
      </c>
      <c r="AD415" t="n">
        <v>31.62997</v>
      </c>
      <c r="AE415" t="n">
        <v>81.84065</v>
      </c>
      <c r="AF415" t="n">
        <v/>
      </c>
      <c r="AG415" t="n">
        <v/>
      </c>
      <c r="AH415" t="n">
        <v>47.47713</v>
      </c>
      <c r="AI415" t="n">
        <v/>
      </c>
      <c r="AJ415" t="n">
        <v>0.2848938</v>
      </c>
      <c r="AK415" t="n">
        <v>51.60002</v>
      </c>
      <c r="AL415" t="n">
        <v>39.48207</v>
      </c>
      <c r="AM415" t="n">
        <v>25.52109</v>
      </c>
      <c r="AN415" t="n">
        <v>21.11646</v>
      </c>
      <c r="AO415" t="n">
        <v/>
      </c>
      <c r="AP415" t="n">
        <v>13.38264</v>
      </c>
      <c r="AQ415" t="n">
        <v/>
      </c>
      <c r="AR415" t="n">
        <v/>
      </c>
      <c r="AS415" t="n">
        <v/>
      </c>
      <c r="AT415" t="n">
        <v/>
      </c>
      <c r="AU415" t="n">
        <v>43.42647</v>
      </c>
      <c r="AV415" t="n">
        <v/>
      </c>
      <c r="AW415" t="n">
        <v>40.90874</v>
      </c>
      <c r="AX415" t="n">
        <v/>
      </c>
    </row>
    <row r="416">
      <c r="A416" s="92" t="n">
        <v>30498</v>
      </c>
      <c r="B416" t="n">
        <v>48.08269</v>
      </c>
      <c r="C416" t="n">
        <v>46.63716</v>
      </c>
      <c r="D416" t="n">
        <v/>
      </c>
      <c r="E416" t="n">
        <v>46.64627</v>
      </c>
      <c r="F416" t="n">
        <v>61.23616</v>
      </c>
      <c r="G416" t="n">
        <v/>
      </c>
      <c r="H416" t="n">
        <v/>
      </c>
      <c r="I416" t="n">
        <v/>
      </c>
      <c r="J416" t="n">
        <v/>
      </c>
      <c r="K416" t="n">
        <v/>
      </c>
      <c r="L416" t="n">
        <v>56.09369</v>
      </c>
      <c r="M416" t="n">
        <v>45.3633</v>
      </c>
      <c r="N416" t="n">
        <v/>
      </c>
      <c r="O416" t="n">
        <v>29.39982</v>
      </c>
      <c r="P416" t="n">
        <v/>
      </c>
      <c r="Q416" t="n">
        <v/>
      </c>
      <c r="R416" t="n">
        <v>44.83129</v>
      </c>
      <c r="S416" t="n">
        <v>51.35451</v>
      </c>
      <c r="T416" t="n">
        <v/>
      </c>
      <c r="U416" t="n">
        <v>46.31985</v>
      </c>
      <c r="V416" t="n">
        <v>40.22095</v>
      </c>
      <c r="W416" t="n">
        <v>9.435252999999999</v>
      </c>
      <c r="X416" t="n">
        <v/>
      </c>
      <c r="Y416" t="n">
        <v/>
      </c>
      <c r="Z416" t="n">
        <v/>
      </c>
      <c r="AA416" t="n">
        <v>41.71099</v>
      </c>
      <c r="AB416" t="n">
        <v/>
      </c>
      <c r="AC416" t="n">
        <v>0.5210151</v>
      </c>
      <c r="AD416" t="n">
        <v>31.94121</v>
      </c>
      <c r="AE416" t="n">
        <v>81.60245</v>
      </c>
      <c r="AF416" t="n">
        <v/>
      </c>
      <c r="AG416" t="n">
        <v/>
      </c>
      <c r="AH416" t="n">
        <v>48.04933</v>
      </c>
      <c r="AI416" t="n">
        <v/>
      </c>
      <c r="AJ416" t="n">
        <v>0.298179</v>
      </c>
      <c r="AK416" t="n">
        <v>51.84313</v>
      </c>
      <c r="AL416" t="n">
        <v>39.64856</v>
      </c>
      <c r="AM416" t="n">
        <v>25.71513</v>
      </c>
      <c r="AN416" t="n">
        <v>21.25028</v>
      </c>
      <c r="AO416" t="n">
        <v/>
      </c>
      <c r="AP416" t="n">
        <v>13.61411</v>
      </c>
      <c r="AQ416" t="n">
        <v/>
      </c>
      <c r="AR416" t="n">
        <v/>
      </c>
      <c r="AS416" t="n">
        <v/>
      </c>
      <c r="AT416" t="n">
        <v/>
      </c>
      <c r="AU416" t="n">
        <v>43.64033</v>
      </c>
      <c r="AV416" t="n">
        <v/>
      </c>
      <c r="AW416" t="n">
        <v>41.11515</v>
      </c>
      <c r="AX416" t="n">
        <v/>
      </c>
    </row>
    <row r="417">
      <c r="A417" s="92" t="n">
        <v>30529</v>
      </c>
      <c r="B417" t="n">
        <v>48.22554</v>
      </c>
      <c r="C417" t="n">
        <v>46.80653</v>
      </c>
      <c r="D417" t="n">
        <v/>
      </c>
      <c r="E417" t="n">
        <v>46.92048</v>
      </c>
      <c r="F417" t="n">
        <v>61.5798</v>
      </c>
      <c r="G417" t="n">
        <v/>
      </c>
      <c r="H417" t="n">
        <v/>
      </c>
      <c r="I417" t="n">
        <v/>
      </c>
      <c r="J417" t="n">
        <v/>
      </c>
      <c r="K417" t="n">
        <v/>
      </c>
      <c r="L417" t="n">
        <v>56.28519</v>
      </c>
      <c r="M417" t="n">
        <v>45.52628</v>
      </c>
      <c r="N417" t="n">
        <v/>
      </c>
      <c r="O417" t="n">
        <v>29.62773</v>
      </c>
      <c r="P417" t="n">
        <v/>
      </c>
      <c r="Q417" t="n">
        <v/>
      </c>
      <c r="R417" t="n">
        <v>44.95798</v>
      </c>
      <c r="S417" t="n">
        <v>51.59168</v>
      </c>
      <c r="T417" t="n">
        <v/>
      </c>
      <c r="U417" t="n">
        <v>46.44815</v>
      </c>
      <c r="V417" t="n">
        <v>40.4236</v>
      </c>
      <c r="W417" t="n">
        <v>9.359014</v>
      </c>
      <c r="X417" t="n">
        <v/>
      </c>
      <c r="Y417" t="n">
        <v/>
      </c>
      <c r="Z417" t="n">
        <v/>
      </c>
      <c r="AA417" t="n">
        <v>41.71099</v>
      </c>
      <c r="AB417" t="n">
        <v/>
      </c>
      <c r="AC417" t="n">
        <v>0.5598108000000001</v>
      </c>
      <c r="AD417" t="n">
        <v>32.16442</v>
      </c>
      <c r="AE417" t="n">
        <v>80.95775999999999</v>
      </c>
      <c r="AF417" t="n">
        <v/>
      </c>
      <c r="AG417" t="n">
        <v/>
      </c>
      <c r="AH417" t="n">
        <v>48.43409</v>
      </c>
      <c r="AI417" t="n">
        <v/>
      </c>
      <c r="AJ417" t="n">
        <v>0.3111298</v>
      </c>
      <c r="AK417" t="n">
        <v>51.9942</v>
      </c>
      <c r="AL417" t="n">
        <v>39.57582</v>
      </c>
      <c r="AM417" t="n">
        <v>25.87</v>
      </c>
      <c r="AN417" t="n">
        <v>21.36822</v>
      </c>
      <c r="AO417" t="n">
        <v/>
      </c>
      <c r="AP417" t="n">
        <v>13.91741</v>
      </c>
      <c r="AQ417" t="n">
        <v/>
      </c>
      <c r="AR417" t="n">
        <v/>
      </c>
      <c r="AS417" t="n">
        <v/>
      </c>
      <c r="AT417" t="n">
        <v/>
      </c>
      <c r="AU417" t="n">
        <v>43.78857</v>
      </c>
      <c r="AV417" t="n">
        <v/>
      </c>
      <c r="AW417" t="n">
        <v>41.28027</v>
      </c>
      <c r="AX417" t="n">
        <v/>
      </c>
    </row>
    <row r="418">
      <c r="A418" s="92" t="n">
        <v>30560</v>
      </c>
      <c r="B418" t="n">
        <v>48.23975</v>
      </c>
      <c r="C418" t="n">
        <v>47.03786</v>
      </c>
      <c r="D418" t="n">
        <v/>
      </c>
      <c r="E418" t="n">
        <v>47.0611</v>
      </c>
      <c r="F418" t="n">
        <v>61.63782</v>
      </c>
      <c r="G418" t="n">
        <v/>
      </c>
      <c r="H418" t="n">
        <v/>
      </c>
      <c r="I418" t="n">
        <v/>
      </c>
      <c r="J418" t="n">
        <v/>
      </c>
      <c r="K418" t="n">
        <v/>
      </c>
      <c r="L418" t="n">
        <v>56.43528</v>
      </c>
      <c r="M418" t="n">
        <v>45.79735</v>
      </c>
      <c r="N418" t="n">
        <v/>
      </c>
      <c r="O418" t="n">
        <v>29.98277</v>
      </c>
      <c r="P418" t="n">
        <v/>
      </c>
      <c r="Q418" t="n">
        <v/>
      </c>
      <c r="R418" t="n">
        <v>45.28165</v>
      </c>
      <c r="S418" t="n">
        <v>51.94458</v>
      </c>
      <c r="T418" t="n">
        <v/>
      </c>
      <c r="U418" t="n">
        <v>46.79807</v>
      </c>
      <c r="V418" t="n">
        <v>40.5533</v>
      </c>
      <c r="W418" t="n">
        <v>9.700117000000001</v>
      </c>
      <c r="X418" t="n">
        <v/>
      </c>
      <c r="Y418" t="n">
        <v/>
      </c>
      <c r="Z418" t="n">
        <v/>
      </c>
      <c r="AA418" t="n">
        <v>41.71099</v>
      </c>
      <c r="AB418" t="n">
        <v/>
      </c>
      <c r="AC418" t="n">
        <v>0.6056806</v>
      </c>
      <c r="AD418" t="n">
        <v>32.57233</v>
      </c>
      <c r="AE418" t="n">
        <v>82.12506</v>
      </c>
      <c r="AF418" t="n">
        <v/>
      </c>
      <c r="AG418" t="n">
        <v/>
      </c>
      <c r="AH418" t="n">
        <v>48.88086</v>
      </c>
      <c r="AI418" t="n">
        <v/>
      </c>
      <c r="AJ418" t="n">
        <v>0.3216581</v>
      </c>
      <c r="AK418" t="n">
        <v>52.2603</v>
      </c>
      <c r="AL418" t="n">
        <v>40.0713</v>
      </c>
      <c r="AM418" t="n">
        <v>26.12157</v>
      </c>
      <c r="AN418" t="n">
        <v>21.54033</v>
      </c>
      <c r="AO418" t="n">
        <v/>
      </c>
      <c r="AP418" t="n">
        <v>14.24301</v>
      </c>
      <c r="AQ418" t="n">
        <v/>
      </c>
      <c r="AR418" t="n">
        <v/>
      </c>
      <c r="AS418" t="n">
        <v/>
      </c>
      <c r="AT418" t="n">
        <v/>
      </c>
      <c r="AU418" t="n">
        <v>44.15186</v>
      </c>
      <c r="AV418" t="n">
        <v/>
      </c>
      <c r="AW418" t="n">
        <v>41.56923</v>
      </c>
      <c r="AX418" t="n">
        <v/>
      </c>
    </row>
    <row r="419">
      <c r="A419" s="92" t="n">
        <v>30590</v>
      </c>
      <c r="B419" t="n">
        <v>48.52916</v>
      </c>
      <c r="C419" t="n">
        <v>47.21894</v>
      </c>
      <c r="D419" t="n">
        <v/>
      </c>
      <c r="E419" t="n">
        <v>47.41996</v>
      </c>
      <c r="F419" t="n">
        <v>61.7458</v>
      </c>
      <c r="G419" t="n">
        <v/>
      </c>
      <c r="H419" t="n">
        <v/>
      </c>
      <c r="I419" t="n">
        <v/>
      </c>
      <c r="J419" t="n">
        <v/>
      </c>
      <c r="K419" t="n">
        <v/>
      </c>
      <c r="L419" t="n">
        <v>56.46926</v>
      </c>
      <c r="M419" t="n">
        <v>46.12598</v>
      </c>
      <c r="N419" t="n">
        <v/>
      </c>
      <c r="O419" t="n">
        <v>30.33721</v>
      </c>
      <c r="P419" t="n">
        <v/>
      </c>
      <c r="Q419" t="n">
        <v/>
      </c>
      <c r="R419" t="n">
        <v>45.40387</v>
      </c>
      <c r="S419" t="n">
        <v>52.33582</v>
      </c>
      <c r="T419" t="n">
        <v/>
      </c>
      <c r="U419" t="n">
        <v>47.09723</v>
      </c>
      <c r="V419" t="n">
        <v>40.70629</v>
      </c>
      <c r="W419" t="n">
        <v>9.972254</v>
      </c>
      <c r="X419" t="n">
        <v/>
      </c>
      <c r="Y419" t="n">
        <v/>
      </c>
      <c r="Z419" t="n">
        <v/>
      </c>
      <c r="AA419" t="n">
        <v>42.66</v>
      </c>
      <c r="AB419" t="n">
        <v/>
      </c>
      <c r="AC419" t="n">
        <v>0.7258525</v>
      </c>
      <c r="AD419" t="n">
        <v>33.11768</v>
      </c>
      <c r="AE419" t="n">
        <v>82.67773</v>
      </c>
      <c r="AF419" t="n">
        <v/>
      </c>
      <c r="AG419" t="n">
        <v/>
      </c>
      <c r="AH419" t="n">
        <v>49.31341</v>
      </c>
      <c r="AI419" t="n">
        <v/>
      </c>
      <c r="AJ419" t="n">
        <v>0.3327315</v>
      </c>
      <c r="AK419" t="n">
        <v>52.50948</v>
      </c>
      <c r="AL419" t="n">
        <v>40.31903</v>
      </c>
      <c r="AM419" t="n">
        <v>26.39029</v>
      </c>
      <c r="AN419" t="n">
        <v>21.76581</v>
      </c>
      <c r="AO419" t="n">
        <v/>
      </c>
      <c r="AP419" t="n">
        <v>14.50295</v>
      </c>
      <c r="AQ419" t="n">
        <v/>
      </c>
      <c r="AR419" t="n">
        <v/>
      </c>
      <c r="AS419" t="n">
        <v/>
      </c>
      <c r="AT419" t="n">
        <v/>
      </c>
      <c r="AU419" t="n">
        <v>44.52734</v>
      </c>
      <c r="AV419" t="n">
        <v/>
      </c>
      <c r="AW419" t="n">
        <v>41.81691</v>
      </c>
      <c r="AX419" t="n">
        <v/>
      </c>
    </row>
    <row r="420">
      <c r="A420" s="92" t="n">
        <v>30621</v>
      </c>
      <c r="B420" t="n">
        <v>48.70013</v>
      </c>
      <c r="C420" t="n">
        <v>47.27938</v>
      </c>
      <c r="D420" t="n">
        <v/>
      </c>
      <c r="E420" t="n">
        <v>47.52297</v>
      </c>
      <c r="F420" t="n">
        <v>62.06997</v>
      </c>
      <c r="G420" t="n">
        <v/>
      </c>
      <c r="H420" t="n">
        <v/>
      </c>
      <c r="I420" t="n">
        <v/>
      </c>
      <c r="J420" t="n">
        <v/>
      </c>
      <c r="K420" t="n">
        <v/>
      </c>
      <c r="L420" t="n">
        <v>56.54612</v>
      </c>
      <c r="M420" t="n">
        <v>46.62653</v>
      </c>
      <c r="N420" t="n">
        <v/>
      </c>
      <c r="O420" t="n">
        <v>30.66705</v>
      </c>
      <c r="P420" t="n">
        <v/>
      </c>
      <c r="Q420" t="n">
        <v/>
      </c>
      <c r="R420" t="n">
        <v>45.86566</v>
      </c>
      <c r="S420" t="n">
        <v>52.56538</v>
      </c>
      <c r="T420" t="n">
        <v/>
      </c>
      <c r="U420" t="n">
        <v>47.30151</v>
      </c>
      <c r="V420" t="n">
        <v>40.83767</v>
      </c>
      <c r="W420" t="n">
        <v>10.06499</v>
      </c>
      <c r="X420" t="n">
        <v/>
      </c>
      <c r="Y420" t="n">
        <v/>
      </c>
      <c r="Z420" t="n">
        <v/>
      </c>
      <c r="AA420" t="n">
        <v>42.66</v>
      </c>
      <c r="AB420" t="n">
        <v/>
      </c>
      <c r="AC420" t="n">
        <v>0.8405722</v>
      </c>
      <c r="AD420" t="n">
        <v>33.49132</v>
      </c>
      <c r="AE420" t="n">
        <v>82.80759</v>
      </c>
      <c r="AF420" t="n">
        <v/>
      </c>
      <c r="AG420" t="n">
        <v/>
      </c>
      <c r="AH420" t="n">
        <v>49.58545</v>
      </c>
      <c r="AI420" t="n">
        <v/>
      </c>
      <c r="AJ420" t="n">
        <v>0.3496814</v>
      </c>
      <c r="AK420" t="n">
        <v>52.61983</v>
      </c>
      <c r="AL420" t="n">
        <v>40.35645</v>
      </c>
      <c r="AM420" t="n">
        <v>26.63235</v>
      </c>
      <c r="AN420" t="n">
        <v>21.95046</v>
      </c>
      <c r="AO420" t="n">
        <v/>
      </c>
      <c r="AP420" t="n">
        <v>14.75092</v>
      </c>
      <c r="AQ420" t="n">
        <v/>
      </c>
      <c r="AR420" t="n">
        <v/>
      </c>
      <c r="AS420" t="n">
        <v/>
      </c>
      <c r="AT420" t="n">
        <v/>
      </c>
      <c r="AU420" t="n">
        <v>44.83736</v>
      </c>
      <c r="AV420" t="n">
        <v/>
      </c>
      <c r="AW420" t="n">
        <v>42.02331</v>
      </c>
      <c r="AX420" t="n">
        <v/>
      </c>
    </row>
    <row r="421">
      <c r="A421" s="92" t="n">
        <v>30651</v>
      </c>
      <c r="B421" t="n">
        <v>48.83084</v>
      </c>
      <c r="C421" t="n">
        <v>47.39531</v>
      </c>
      <c r="D421" t="n">
        <v/>
      </c>
      <c r="E421" t="n">
        <v>47.52684</v>
      </c>
      <c r="F421" t="n">
        <v>62.12366</v>
      </c>
      <c r="G421" t="n">
        <v/>
      </c>
      <c r="H421" t="n">
        <v/>
      </c>
      <c r="I421" t="n">
        <v/>
      </c>
      <c r="J421" t="n">
        <v/>
      </c>
      <c r="K421" t="n">
        <v/>
      </c>
      <c r="L421" t="n">
        <v>56.66892</v>
      </c>
      <c r="M421" t="n">
        <v>46.68238</v>
      </c>
      <c r="N421" t="n">
        <v/>
      </c>
      <c r="O421" t="n">
        <v>30.78643</v>
      </c>
      <c r="P421" t="n">
        <v/>
      </c>
      <c r="Q421" t="n">
        <v/>
      </c>
      <c r="R421" t="n">
        <v>45.97373</v>
      </c>
      <c r="S421" t="n">
        <v>52.75672</v>
      </c>
      <c r="T421" t="n">
        <v/>
      </c>
      <c r="U421" t="n">
        <v>47.35528</v>
      </c>
      <c r="V421" t="n">
        <v>40.91039</v>
      </c>
      <c r="W421" t="n">
        <v>10.21627</v>
      </c>
      <c r="X421" t="n">
        <v/>
      </c>
      <c r="Y421" t="n">
        <v/>
      </c>
      <c r="Z421" t="n">
        <v/>
      </c>
      <c r="AA421" t="n">
        <v>42.66</v>
      </c>
      <c r="AB421" t="n">
        <v/>
      </c>
      <c r="AC421" t="n">
        <v>0.9223089</v>
      </c>
      <c r="AD421" t="n">
        <v>33.61887</v>
      </c>
      <c r="AE421" t="n">
        <v>82.60409</v>
      </c>
      <c r="AF421" t="n">
        <v/>
      </c>
      <c r="AG421" t="n">
        <v/>
      </c>
      <c r="AH421" t="n">
        <v>49.81481</v>
      </c>
      <c r="AI421" t="n">
        <v/>
      </c>
      <c r="AJ421" t="n">
        <v>0.3634414</v>
      </c>
      <c r="AK421" t="n">
        <v>52.59784</v>
      </c>
      <c r="AL421" t="n">
        <v>40.52271</v>
      </c>
      <c r="AM421" t="n">
        <v>26.78121</v>
      </c>
      <c r="AN421" t="n">
        <v>22.08138</v>
      </c>
      <c r="AO421" t="n">
        <v/>
      </c>
      <c r="AP421" t="n">
        <v>15.11268</v>
      </c>
      <c r="AQ421" t="n">
        <v/>
      </c>
      <c r="AR421" t="n">
        <v/>
      </c>
      <c r="AS421" t="n">
        <v/>
      </c>
      <c r="AT421" t="n">
        <v/>
      </c>
      <c r="AU421" t="n">
        <v>45.20296</v>
      </c>
      <c r="AV421" t="n">
        <v/>
      </c>
      <c r="AW421" t="n">
        <v>42.06459</v>
      </c>
      <c r="AX421" t="n">
        <v/>
      </c>
    </row>
    <row r="422">
      <c r="A422" s="92" t="n">
        <v>30682</v>
      </c>
      <c r="B422" t="n">
        <v>49.77392</v>
      </c>
      <c r="C422" t="n">
        <v>47.93843</v>
      </c>
      <c r="D422" t="n">
        <v/>
      </c>
      <c r="E422" t="n">
        <v>47.62704</v>
      </c>
      <c r="F422" t="n">
        <v>62.24335</v>
      </c>
      <c r="G422" t="n">
        <v/>
      </c>
      <c r="H422" t="n">
        <v/>
      </c>
      <c r="I422" t="n">
        <v/>
      </c>
      <c r="J422" t="n">
        <v/>
      </c>
      <c r="K422" t="n">
        <v/>
      </c>
      <c r="L422" t="n">
        <v>56.83431</v>
      </c>
      <c r="M422" t="n">
        <v>46.79501</v>
      </c>
      <c r="N422" t="n">
        <v/>
      </c>
      <c r="O422" t="n">
        <v>31.19537</v>
      </c>
      <c r="P422" t="n">
        <v/>
      </c>
      <c r="Q422" t="n">
        <v/>
      </c>
      <c r="R422" t="n">
        <v>46.41332</v>
      </c>
      <c r="S422" t="n">
        <v>53.1519</v>
      </c>
      <c r="T422" t="n">
        <v/>
      </c>
      <c r="U422" t="n">
        <v>47.51355</v>
      </c>
      <c r="V422" t="n">
        <v>40.82336</v>
      </c>
      <c r="W422" t="n">
        <v>10.36165</v>
      </c>
      <c r="X422" t="n">
        <v/>
      </c>
      <c r="Y422" t="n">
        <v/>
      </c>
      <c r="Z422" t="n">
        <v/>
      </c>
      <c r="AA422" t="n">
        <v>43.72598</v>
      </c>
      <c r="AB422" t="n">
        <v/>
      </c>
      <c r="AC422" t="n">
        <v>1.056945</v>
      </c>
      <c r="AD422" t="n">
        <v>33.94342</v>
      </c>
      <c r="AE422" t="n">
        <v>82.50776999999999</v>
      </c>
      <c r="AF422" t="n">
        <v/>
      </c>
      <c r="AG422" t="n">
        <v/>
      </c>
      <c r="AH422" t="n">
        <v>50.0407</v>
      </c>
      <c r="AI422" t="n">
        <v/>
      </c>
      <c r="AJ422" t="n">
        <v>0.3830043</v>
      </c>
      <c r="AK422" t="n">
        <v>52.62819</v>
      </c>
      <c r="AL422" t="n">
        <v>40.72109</v>
      </c>
      <c r="AM422" t="n">
        <v>26.96151</v>
      </c>
      <c r="AN422" t="n">
        <v>22.24622</v>
      </c>
      <c r="AO422" t="n">
        <v/>
      </c>
      <c r="AP422" t="n">
        <v>15.51385</v>
      </c>
      <c r="AQ422" t="n">
        <v/>
      </c>
      <c r="AR422" t="n">
        <v/>
      </c>
      <c r="AS422" t="n">
        <v/>
      </c>
      <c r="AT422" t="n">
        <v/>
      </c>
      <c r="AU422" t="n">
        <v>45.64336</v>
      </c>
      <c r="AV422" t="n">
        <v/>
      </c>
      <c r="AW422" t="n">
        <v>42.22971</v>
      </c>
      <c r="AX422" t="n">
        <v/>
      </c>
    </row>
    <row r="423">
      <c r="A423" s="92" t="n">
        <v>30713</v>
      </c>
      <c r="B423" t="n">
        <v>49.98964</v>
      </c>
      <c r="C423" t="n">
        <v>48.32392</v>
      </c>
      <c r="D423" t="n">
        <v/>
      </c>
      <c r="E423" t="n">
        <v>47.78516</v>
      </c>
      <c r="F423" t="n">
        <v>62.46329</v>
      </c>
      <c r="G423" t="n">
        <v/>
      </c>
      <c r="H423" t="n">
        <v/>
      </c>
      <c r="I423" t="n">
        <v/>
      </c>
      <c r="J423" t="n">
        <v/>
      </c>
      <c r="K423" t="n">
        <v/>
      </c>
      <c r="L423" t="n">
        <v>56.9911</v>
      </c>
      <c r="M423" t="n">
        <v>47.19675</v>
      </c>
      <c r="N423" t="n">
        <v/>
      </c>
      <c r="O423" t="n">
        <v>31.42236</v>
      </c>
      <c r="P423" t="n">
        <v/>
      </c>
      <c r="Q423" t="n">
        <v/>
      </c>
      <c r="R423" t="n">
        <v>46.56899</v>
      </c>
      <c r="S423" t="n">
        <v>53.4202</v>
      </c>
      <c r="T423" t="n">
        <v/>
      </c>
      <c r="U423" t="n">
        <v>47.68002</v>
      </c>
      <c r="V423" t="n">
        <v>41.03443</v>
      </c>
      <c r="W423" t="n">
        <v>10.40309</v>
      </c>
      <c r="X423" t="n">
        <v/>
      </c>
      <c r="Y423" t="n">
        <v/>
      </c>
      <c r="Z423" t="n">
        <v/>
      </c>
      <c r="AA423" t="n">
        <v>43.72598</v>
      </c>
      <c r="AB423" t="n">
        <v/>
      </c>
      <c r="AC423" t="n">
        <v>1.180992</v>
      </c>
      <c r="AD423" t="n">
        <v>34.37539</v>
      </c>
      <c r="AE423" t="n">
        <v>82.44611</v>
      </c>
      <c r="AF423" t="n">
        <v/>
      </c>
      <c r="AG423" t="n">
        <v/>
      </c>
      <c r="AH423" t="n">
        <v>50.28587</v>
      </c>
      <c r="AI423" t="n">
        <v/>
      </c>
      <c r="AJ423" t="n">
        <v>0.4031087</v>
      </c>
      <c r="AK423" t="n">
        <v>52.94549</v>
      </c>
      <c r="AL423" t="n">
        <v>40.88788</v>
      </c>
      <c r="AM423" t="n">
        <v>27.12231</v>
      </c>
      <c r="AN423" t="n">
        <v>22.37528</v>
      </c>
      <c r="AO423" t="n">
        <v/>
      </c>
      <c r="AP423" t="n">
        <v>15.82142</v>
      </c>
      <c r="AQ423" t="n">
        <v/>
      </c>
      <c r="AR423" t="n">
        <v/>
      </c>
      <c r="AS423" t="n">
        <v/>
      </c>
      <c r="AT423" t="n">
        <v/>
      </c>
      <c r="AU423" t="n">
        <v>45.88283</v>
      </c>
      <c r="AV423" t="n">
        <v/>
      </c>
      <c r="AW423" t="n">
        <v>42.35355</v>
      </c>
      <c r="AX423" t="n">
        <v/>
      </c>
    </row>
    <row r="424">
      <c r="A424" s="92" t="n">
        <v>30742</v>
      </c>
      <c r="B424" t="n">
        <v>50.14236</v>
      </c>
      <c r="C424" t="n">
        <v>48.58746</v>
      </c>
      <c r="D424" t="n">
        <v/>
      </c>
      <c r="E424" t="n">
        <v>47.91495</v>
      </c>
      <c r="F424" t="n">
        <v>62.82263</v>
      </c>
      <c r="G424" t="n">
        <v/>
      </c>
      <c r="H424" t="n">
        <v/>
      </c>
      <c r="I424" t="n">
        <v/>
      </c>
      <c r="J424" t="n">
        <v/>
      </c>
      <c r="K424" t="n">
        <v/>
      </c>
      <c r="L424" t="n">
        <v>57.11026</v>
      </c>
      <c r="M424" t="n">
        <v>47.29563</v>
      </c>
      <c r="N424" t="n">
        <v/>
      </c>
      <c r="O424" t="n">
        <v>31.74959</v>
      </c>
      <c r="P424" t="n">
        <v/>
      </c>
      <c r="Q424" t="n">
        <v/>
      </c>
      <c r="R424" t="n">
        <v>46.84919</v>
      </c>
      <c r="S424" t="n">
        <v>53.78492</v>
      </c>
      <c r="T424" t="n">
        <v/>
      </c>
      <c r="U424" t="n">
        <v>47.84888</v>
      </c>
      <c r="V424" t="n">
        <v>41.12135</v>
      </c>
      <c r="W424" t="n">
        <v>10.76509</v>
      </c>
      <c r="X424" t="n">
        <v/>
      </c>
      <c r="Y424" t="n">
        <v/>
      </c>
      <c r="Z424" t="n">
        <v/>
      </c>
      <c r="AA424" t="n">
        <v>43.72598</v>
      </c>
      <c r="AB424" t="n">
        <v/>
      </c>
      <c r="AC424" t="n">
        <v>1.298144</v>
      </c>
      <c r="AD424" t="n">
        <v>34.60468</v>
      </c>
      <c r="AE424" t="n">
        <v>82.51158</v>
      </c>
      <c r="AF424" t="n">
        <v/>
      </c>
      <c r="AG424" t="n">
        <v/>
      </c>
      <c r="AH424" t="n">
        <v>50.55188</v>
      </c>
      <c r="AI424" t="n">
        <v/>
      </c>
      <c r="AJ424" t="n">
        <v>0.4203539</v>
      </c>
      <c r="AK424" t="n">
        <v>53.14731</v>
      </c>
      <c r="AL424" t="n">
        <v>41.58229</v>
      </c>
      <c r="AM424" t="n">
        <v>27.2927</v>
      </c>
      <c r="AN424" t="n">
        <v>22.51658</v>
      </c>
      <c r="AO424" t="n">
        <v/>
      </c>
      <c r="AP424" t="n">
        <v>16.17083</v>
      </c>
      <c r="AQ424" t="n">
        <v/>
      </c>
      <c r="AR424" t="n">
        <v/>
      </c>
      <c r="AS424" t="n">
        <v/>
      </c>
      <c r="AT424" t="n">
        <v/>
      </c>
      <c r="AU424" t="n">
        <v>46.12938</v>
      </c>
      <c r="AV424" t="n">
        <v/>
      </c>
      <c r="AW424" t="n">
        <v>42.51867</v>
      </c>
      <c r="AX424" t="n">
        <v/>
      </c>
    </row>
    <row r="425">
      <c r="A425" s="92" t="n">
        <v>30773</v>
      </c>
      <c r="B425" t="n">
        <v>50.24311</v>
      </c>
      <c r="C425" t="n">
        <v>48.86162</v>
      </c>
      <c r="D425" t="n">
        <v/>
      </c>
      <c r="E425" t="n">
        <v>48.09078</v>
      </c>
      <c r="F425" t="n">
        <v>62.83591</v>
      </c>
      <c r="G425" t="n">
        <v/>
      </c>
      <c r="H425" t="n">
        <v/>
      </c>
      <c r="I425" t="n">
        <v/>
      </c>
      <c r="J425" t="n">
        <v/>
      </c>
      <c r="K425" t="n">
        <v/>
      </c>
      <c r="L425" t="n">
        <v>57.16145</v>
      </c>
      <c r="M425" t="n">
        <v>47.45848</v>
      </c>
      <c r="N425" t="n">
        <v/>
      </c>
      <c r="O425" t="n">
        <v>31.93125</v>
      </c>
      <c r="P425" t="n">
        <v/>
      </c>
      <c r="Q425" t="n">
        <v/>
      </c>
      <c r="R425" t="n">
        <v>47.10781</v>
      </c>
      <c r="S425" t="n">
        <v>54.16066</v>
      </c>
      <c r="T425" t="n">
        <v/>
      </c>
      <c r="U425" t="n">
        <v>48.11979</v>
      </c>
      <c r="V425" t="n">
        <v>41.7569</v>
      </c>
      <c r="W425" t="n">
        <v>10.91026</v>
      </c>
      <c r="X425" t="n">
        <v/>
      </c>
      <c r="Y425" t="n">
        <v/>
      </c>
      <c r="Z425" t="n">
        <v/>
      </c>
      <c r="AA425" t="n">
        <v>44.46061</v>
      </c>
      <c r="AB425" t="n">
        <v/>
      </c>
      <c r="AC425" t="n">
        <v>1.593595</v>
      </c>
      <c r="AD425" t="n">
        <v>34.90431</v>
      </c>
      <c r="AE425" t="n">
        <v>82.99012</v>
      </c>
      <c r="AF425" t="n">
        <v/>
      </c>
      <c r="AG425" t="n">
        <v/>
      </c>
      <c r="AH425" t="n">
        <v>50.74173</v>
      </c>
      <c r="AI425" t="n">
        <v/>
      </c>
      <c r="AJ425" t="n">
        <v>0.4355939</v>
      </c>
      <c r="AK425" t="n">
        <v>53.31188</v>
      </c>
      <c r="AL425" t="n">
        <v>41.77203</v>
      </c>
      <c r="AM425" t="n">
        <v>27.50686</v>
      </c>
      <c r="AN425" t="n">
        <v>22.70112</v>
      </c>
      <c r="AO425" t="n">
        <v/>
      </c>
      <c r="AP425" t="n">
        <v>16.56897</v>
      </c>
      <c r="AQ425" t="n">
        <v/>
      </c>
      <c r="AR425" t="n">
        <v/>
      </c>
      <c r="AS425" t="n">
        <v/>
      </c>
      <c r="AT425" t="n">
        <v/>
      </c>
      <c r="AU425" t="n">
        <v>46.50143</v>
      </c>
      <c r="AV425" t="n">
        <v/>
      </c>
      <c r="AW425" t="n">
        <v>42.72507</v>
      </c>
      <c r="AX425" t="n">
        <v/>
      </c>
    </row>
    <row r="426">
      <c r="A426" s="92" t="n">
        <v>30803</v>
      </c>
      <c r="B426" t="n">
        <v>50.23901</v>
      </c>
      <c r="C426" t="n">
        <v>48.96595</v>
      </c>
      <c r="D426" t="n">
        <v/>
      </c>
      <c r="E426" t="n">
        <v>48.14833</v>
      </c>
      <c r="F426" t="n">
        <v>62.76119</v>
      </c>
      <c r="G426" t="n">
        <v/>
      </c>
      <c r="H426" t="n">
        <v/>
      </c>
      <c r="I426" t="n">
        <v/>
      </c>
      <c r="J426" t="n">
        <v/>
      </c>
      <c r="K426" t="n">
        <v/>
      </c>
      <c r="L426" t="n">
        <v>57.24838</v>
      </c>
      <c r="M426" t="n">
        <v>48.10149</v>
      </c>
      <c r="N426" t="n">
        <v/>
      </c>
      <c r="O426" t="n">
        <v>32.16868</v>
      </c>
      <c r="P426" t="n">
        <v/>
      </c>
      <c r="Q426" t="n">
        <v/>
      </c>
      <c r="R426" t="n">
        <v>47.66169</v>
      </c>
      <c r="S426" t="n">
        <v>54.48146</v>
      </c>
      <c r="T426" t="n">
        <v/>
      </c>
      <c r="U426" t="n">
        <v>48.37465</v>
      </c>
      <c r="V426" t="n">
        <v>41.89075</v>
      </c>
      <c r="W426" t="n">
        <v>11.00707</v>
      </c>
      <c r="X426" t="n">
        <v/>
      </c>
      <c r="Y426" t="n">
        <v/>
      </c>
      <c r="Z426" t="n">
        <v/>
      </c>
      <c r="AA426" t="n">
        <v>44.46061</v>
      </c>
      <c r="AB426" t="n">
        <v/>
      </c>
      <c r="AC426" t="n">
        <v>1.81569</v>
      </c>
      <c r="AD426" t="n">
        <v>35.15275</v>
      </c>
      <c r="AE426" t="n">
        <v>84.18228000000001</v>
      </c>
      <c r="AF426" t="n">
        <v/>
      </c>
      <c r="AG426" t="n">
        <v/>
      </c>
      <c r="AH426" t="n">
        <v>50.92877</v>
      </c>
      <c r="AI426" t="n">
        <v/>
      </c>
      <c r="AJ426" t="n">
        <v>0.4483925</v>
      </c>
      <c r="AK426" t="n">
        <v>53.34241</v>
      </c>
      <c r="AL426" t="n">
        <v>41.77203</v>
      </c>
      <c r="AM426" t="n">
        <v>27.69003</v>
      </c>
      <c r="AN426" t="n">
        <v>22.82305</v>
      </c>
      <c r="AO426" t="n">
        <v/>
      </c>
      <c r="AP426" t="n">
        <v>16.64239</v>
      </c>
      <c r="AQ426" t="n">
        <v/>
      </c>
      <c r="AR426" t="n">
        <v/>
      </c>
      <c r="AS426" t="n">
        <v/>
      </c>
      <c r="AT426" t="n">
        <v/>
      </c>
      <c r="AU426" t="n">
        <v>46.64719</v>
      </c>
      <c r="AV426" t="n">
        <v/>
      </c>
      <c r="AW426" t="n">
        <v>42.8902</v>
      </c>
      <c r="AX426" t="n">
        <v/>
      </c>
    </row>
    <row r="427">
      <c r="A427" s="92" t="n">
        <v>30834</v>
      </c>
      <c r="B427" t="n">
        <v>50.33042</v>
      </c>
      <c r="C427" t="n">
        <v>49.20165</v>
      </c>
      <c r="D427" t="n">
        <v/>
      </c>
      <c r="E427" t="n">
        <v>48.38424</v>
      </c>
      <c r="F427" t="n">
        <v>62.83347</v>
      </c>
      <c r="G427" t="n">
        <v/>
      </c>
      <c r="H427" t="n">
        <v/>
      </c>
      <c r="I427" t="n">
        <v/>
      </c>
      <c r="J427" t="n">
        <v/>
      </c>
      <c r="K427" t="n">
        <v/>
      </c>
      <c r="L427" t="n">
        <v>57.43769</v>
      </c>
      <c r="M427" t="n">
        <v>48.40693</v>
      </c>
      <c r="N427" t="n">
        <v/>
      </c>
      <c r="O427" t="n">
        <v>32.34956</v>
      </c>
      <c r="P427" t="n">
        <v/>
      </c>
      <c r="Q427" t="n">
        <v/>
      </c>
      <c r="R427" t="n">
        <v>47.77498</v>
      </c>
      <c r="S427" t="n">
        <v>54.7276</v>
      </c>
      <c r="T427" t="n">
        <v/>
      </c>
      <c r="U427" t="n">
        <v>48.49437</v>
      </c>
      <c r="V427" t="n">
        <v>41.97264</v>
      </c>
      <c r="W427" t="n">
        <v>11.17862</v>
      </c>
      <c r="X427" t="n">
        <v/>
      </c>
      <c r="Y427" t="n">
        <v/>
      </c>
      <c r="Z427" t="n">
        <v/>
      </c>
      <c r="AA427" t="n">
        <v>44.46061</v>
      </c>
      <c r="AB427" t="n">
        <v/>
      </c>
      <c r="AC427" t="n">
        <v>2.068966</v>
      </c>
      <c r="AD427" t="n">
        <v>35.36576</v>
      </c>
      <c r="AE427" t="n">
        <v>83.90324</v>
      </c>
      <c r="AF427" t="n">
        <v/>
      </c>
      <c r="AG427" t="n">
        <v/>
      </c>
      <c r="AH427" t="n">
        <v>51.01617</v>
      </c>
      <c r="AI427" t="n">
        <v/>
      </c>
      <c r="AJ427" t="n">
        <v>0.4646691</v>
      </c>
      <c r="AK427" t="n">
        <v>53.3504</v>
      </c>
      <c r="AL427" t="n">
        <v>41.8757</v>
      </c>
      <c r="AM427" t="n">
        <v>27.86654</v>
      </c>
      <c r="AN427" t="n">
        <v>23.02957</v>
      </c>
      <c r="AO427" t="n">
        <v/>
      </c>
      <c r="AP427" t="n">
        <v>17.08203</v>
      </c>
      <c r="AQ427" t="n">
        <v/>
      </c>
      <c r="AR427" t="n">
        <v/>
      </c>
      <c r="AS427" t="n">
        <v/>
      </c>
      <c r="AT427" t="n">
        <v/>
      </c>
      <c r="AU427" t="n">
        <v>46.64586</v>
      </c>
      <c r="AV427" t="n">
        <v/>
      </c>
      <c r="AW427" t="n">
        <v>43.01404</v>
      </c>
      <c r="AX427" t="n">
        <v/>
      </c>
    </row>
    <row r="428">
      <c r="A428" s="92" t="n">
        <v>30864</v>
      </c>
      <c r="B428" t="n">
        <v>50.62827</v>
      </c>
      <c r="C428" t="n">
        <v>49.46238</v>
      </c>
      <c r="D428" t="n">
        <v/>
      </c>
      <c r="E428" t="n">
        <v>48.41194</v>
      </c>
      <c r="F428" t="n">
        <v>62.8535</v>
      </c>
      <c r="G428" t="n">
        <v/>
      </c>
      <c r="H428" t="n">
        <v/>
      </c>
      <c r="I428" t="n">
        <v/>
      </c>
      <c r="J428" t="n">
        <v/>
      </c>
      <c r="K428" t="n">
        <v/>
      </c>
      <c r="L428" t="n">
        <v>57.41217</v>
      </c>
      <c r="M428" t="n">
        <v>48.30757</v>
      </c>
      <c r="N428" t="n">
        <v/>
      </c>
      <c r="O428" t="n">
        <v>32.5936</v>
      </c>
      <c r="P428" t="n">
        <v/>
      </c>
      <c r="Q428" t="n">
        <v/>
      </c>
      <c r="R428" t="n">
        <v>47.89087</v>
      </c>
      <c r="S428" t="n">
        <v>55.02827</v>
      </c>
      <c r="T428" t="n">
        <v/>
      </c>
      <c r="U428" t="n">
        <v>48.61401</v>
      </c>
      <c r="V428" t="n">
        <v>41.97643</v>
      </c>
      <c r="W428" t="n">
        <v>11.19176</v>
      </c>
      <c r="X428" t="n">
        <v/>
      </c>
      <c r="Y428" t="n">
        <v/>
      </c>
      <c r="Z428" t="n">
        <v/>
      </c>
      <c r="AA428" t="n">
        <v>45.23914</v>
      </c>
      <c r="AB428" t="n">
        <v/>
      </c>
      <c r="AC428" t="n">
        <v>2.363425</v>
      </c>
      <c r="AD428" t="n">
        <v>35.46706</v>
      </c>
      <c r="AE428" t="n">
        <v>83.89011000000001</v>
      </c>
      <c r="AF428" t="n">
        <v/>
      </c>
      <c r="AG428" t="n">
        <v/>
      </c>
      <c r="AH428" t="n">
        <v>51.05979</v>
      </c>
      <c r="AI428" t="n">
        <v/>
      </c>
      <c r="AJ428" t="n">
        <v>0.4800686</v>
      </c>
      <c r="AK428" t="n">
        <v>53.36659</v>
      </c>
      <c r="AL428" t="n">
        <v>41.91423</v>
      </c>
      <c r="AM428" t="n">
        <v>27.9887</v>
      </c>
      <c r="AN428" t="n">
        <v>23.08071</v>
      </c>
      <c r="AO428" t="n">
        <v/>
      </c>
      <c r="AP428" t="n">
        <v>17.37735</v>
      </c>
      <c r="AQ428" t="n">
        <v/>
      </c>
      <c r="AR428" t="n">
        <v/>
      </c>
      <c r="AS428" t="n">
        <v/>
      </c>
      <c r="AT428" t="n">
        <v/>
      </c>
      <c r="AU428" t="n">
        <v>46.9188</v>
      </c>
      <c r="AV428" t="n">
        <v/>
      </c>
      <c r="AW428" t="n">
        <v>43.17916</v>
      </c>
      <c r="AX428" t="n">
        <v/>
      </c>
    </row>
    <row r="429">
      <c r="A429" s="92" t="n">
        <v>30895</v>
      </c>
      <c r="B429" t="n">
        <v>50.79929</v>
      </c>
      <c r="C429" t="n">
        <v>49.54034</v>
      </c>
      <c r="D429" t="n">
        <v/>
      </c>
      <c r="E429" t="n">
        <v>48.56432</v>
      </c>
      <c r="F429" t="n">
        <v>63.23182</v>
      </c>
      <c r="G429" t="n">
        <v/>
      </c>
      <c r="H429" t="n">
        <v/>
      </c>
      <c r="I429" t="n">
        <v/>
      </c>
      <c r="J429" t="n">
        <v/>
      </c>
      <c r="K429" t="n">
        <v/>
      </c>
      <c r="L429" t="n">
        <v>57.32875</v>
      </c>
      <c r="M429" t="n">
        <v>48.50898</v>
      </c>
      <c r="N429" t="n">
        <v/>
      </c>
      <c r="O429" t="n">
        <v>32.73922</v>
      </c>
      <c r="P429" t="n">
        <v/>
      </c>
      <c r="Q429" t="n">
        <v/>
      </c>
      <c r="R429" t="n">
        <v>48.05648</v>
      </c>
      <c r="S429" t="n">
        <v>55.26325</v>
      </c>
      <c r="T429" t="n">
        <v/>
      </c>
      <c r="U429" t="n">
        <v>48.752</v>
      </c>
      <c r="V429" t="n">
        <v>42.59417</v>
      </c>
      <c r="W429" t="n">
        <v>11.05767</v>
      </c>
      <c r="X429" t="n">
        <v/>
      </c>
      <c r="Y429" t="n">
        <v/>
      </c>
      <c r="Z429" t="n">
        <v/>
      </c>
      <c r="AA429" t="n">
        <v>45.23914</v>
      </c>
      <c r="AB429" t="n">
        <v/>
      </c>
      <c r="AC429" t="n">
        <v>2.742099</v>
      </c>
      <c r="AD429" t="n">
        <v>35.70213</v>
      </c>
      <c r="AE429" t="n">
        <v>83.09480000000001</v>
      </c>
      <c r="AF429" t="n">
        <v/>
      </c>
      <c r="AG429" t="n">
        <v/>
      </c>
      <c r="AH429" t="n">
        <v>51.17997</v>
      </c>
      <c r="AI429" t="n">
        <v/>
      </c>
      <c r="AJ429" t="n">
        <v>0.4947973</v>
      </c>
      <c r="AK429" t="n">
        <v>53.44804</v>
      </c>
      <c r="AL429" t="n">
        <v>41.95378</v>
      </c>
      <c r="AM429" t="n">
        <v>28.12246</v>
      </c>
      <c r="AN429" t="n">
        <v>23.20393</v>
      </c>
      <c r="AO429" t="n">
        <v/>
      </c>
      <c r="AP429" t="n">
        <v>17.6063</v>
      </c>
      <c r="AQ429" t="n">
        <v/>
      </c>
      <c r="AR429" t="n">
        <v/>
      </c>
      <c r="AS429" t="n">
        <v/>
      </c>
      <c r="AT429" t="n">
        <v/>
      </c>
      <c r="AU429" t="n">
        <v>47.0645</v>
      </c>
      <c r="AV429" t="n">
        <v/>
      </c>
      <c r="AW429" t="n">
        <v>43.38556</v>
      </c>
      <c r="AX429" t="n">
        <v/>
      </c>
    </row>
    <row r="430">
      <c r="A430" s="92" t="n">
        <v>30926</v>
      </c>
      <c r="B430" t="n">
        <v>50.97483</v>
      </c>
      <c r="C430" t="n">
        <v>49.73868</v>
      </c>
      <c r="D430" t="n">
        <v/>
      </c>
      <c r="E430" t="n">
        <v>48.74151</v>
      </c>
      <c r="F430" t="n">
        <v>63.32307</v>
      </c>
      <c r="G430" t="n">
        <v/>
      </c>
      <c r="H430" t="n">
        <v/>
      </c>
      <c r="I430" t="n">
        <v/>
      </c>
      <c r="J430" t="n">
        <v/>
      </c>
      <c r="K430" t="n">
        <v/>
      </c>
      <c r="L430" t="n">
        <v>57.42282</v>
      </c>
      <c r="M430" t="n">
        <v>48.82904</v>
      </c>
      <c r="N430" t="n">
        <v/>
      </c>
      <c r="O430" t="n">
        <v>33.01292</v>
      </c>
      <c r="P430" t="n">
        <v/>
      </c>
      <c r="Q430" t="n">
        <v/>
      </c>
      <c r="R430" t="n">
        <v>48.31549</v>
      </c>
      <c r="S430" t="n">
        <v>55.51129</v>
      </c>
      <c r="T430" t="n">
        <v/>
      </c>
      <c r="U430" t="n">
        <v>49.0864</v>
      </c>
      <c r="V430" t="n">
        <v>42.79651</v>
      </c>
      <c r="W430" t="n">
        <v>11.45448</v>
      </c>
      <c r="X430" t="n">
        <v/>
      </c>
      <c r="Y430" t="n">
        <v/>
      </c>
      <c r="Z430" t="n">
        <v/>
      </c>
      <c r="AA430" t="n">
        <v>45.23914</v>
      </c>
      <c r="AB430" t="n">
        <v/>
      </c>
      <c r="AC430" t="n">
        <v>3.284698</v>
      </c>
      <c r="AD430" t="n">
        <v>36.01825</v>
      </c>
      <c r="AE430" t="n">
        <v>84.27221</v>
      </c>
      <c r="AF430" t="n">
        <v/>
      </c>
      <c r="AG430" t="n">
        <v/>
      </c>
      <c r="AH430" t="n">
        <v>51.25528</v>
      </c>
      <c r="AI430" t="n">
        <v/>
      </c>
      <c r="AJ430" t="n">
        <v>0.5120575000000001</v>
      </c>
      <c r="AK430" t="n">
        <v>53.76255</v>
      </c>
      <c r="AL430" t="n">
        <v>42.39841</v>
      </c>
      <c r="AM430" t="n">
        <v>28.38408</v>
      </c>
      <c r="AN430" t="n">
        <v>23.38501</v>
      </c>
      <c r="AO430" t="n">
        <v/>
      </c>
      <c r="AP430" t="n">
        <v>17.77462</v>
      </c>
      <c r="AQ430" t="n">
        <v/>
      </c>
      <c r="AR430" t="n">
        <v/>
      </c>
      <c r="AS430" t="n">
        <v/>
      </c>
      <c r="AT430" t="n">
        <v/>
      </c>
      <c r="AU430" t="n">
        <v>47.39284</v>
      </c>
      <c r="AV430" t="n">
        <v/>
      </c>
      <c r="AW430" t="n">
        <v>43.67452</v>
      </c>
      <c r="AX430" t="n">
        <v/>
      </c>
    </row>
    <row r="431">
      <c r="A431" s="92" t="n">
        <v>30956</v>
      </c>
      <c r="B431" t="n">
        <v>51.01225</v>
      </c>
      <c r="C431" t="n">
        <v>49.76927</v>
      </c>
      <c r="D431" t="n">
        <v/>
      </c>
      <c r="E431" t="n">
        <v>48.94613</v>
      </c>
      <c r="F431" t="n">
        <v>63.54471</v>
      </c>
      <c r="G431" t="n">
        <v/>
      </c>
      <c r="H431" t="n">
        <v/>
      </c>
      <c r="I431" t="n">
        <v/>
      </c>
      <c r="J431" t="n">
        <v/>
      </c>
      <c r="K431" t="n">
        <v/>
      </c>
      <c r="L431" t="n">
        <v>57.71817</v>
      </c>
      <c r="M431" t="n">
        <v>49.11024</v>
      </c>
      <c r="N431" t="n">
        <v/>
      </c>
      <c r="O431" t="n">
        <v>33.32449</v>
      </c>
      <c r="P431" t="n">
        <v/>
      </c>
      <c r="Q431" t="n">
        <v/>
      </c>
      <c r="R431" t="n">
        <v>48.51223</v>
      </c>
      <c r="S431" t="n">
        <v>55.82664</v>
      </c>
      <c r="T431" t="n">
        <v/>
      </c>
      <c r="U431" t="n">
        <v>49.35998</v>
      </c>
      <c r="V431" t="n">
        <v>43.03249</v>
      </c>
      <c r="W431" t="n">
        <v>11.76163</v>
      </c>
      <c r="X431" t="n">
        <v/>
      </c>
      <c r="Y431" t="n">
        <v/>
      </c>
      <c r="Z431" t="n">
        <v/>
      </c>
      <c r="AA431" t="n">
        <v>45.60611</v>
      </c>
      <c r="AB431" t="n">
        <v/>
      </c>
      <c r="AC431" t="n">
        <v>3.931742</v>
      </c>
      <c r="AD431" t="n">
        <v>36.35443</v>
      </c>
      <c r="AE431" t="n">
        <v>84.86977</v>
      </c>
      <c r="AF431" t="n">
        <v/>
      </c>
      <c r="AG431" t="n">
        <v/>
      </c>
      <c r="AH431" t="n">
        <v>51.53481</v>
      </c>
      <c r="AI431" t="n">
        <v/>
      </c>
      <c r="AJ431" t="n">
        <v>0.5305453999999999</v>
      </c>
      <c r="AK431" t="n">
        <v>54.18056</v>
      </c>
      <c r="AL431" t="n">
        <v>42.61786</v>
      </c>
      <c r="AM431" t="n">
        <v>28.63744</v>
      </c>
      <c r="AN431" t="n">
        <v>23.61234</v>
      </c>
      <c r="AO431" t="n">
        <v/>
      </c>
      <c r="AP431" t="n">
        <v>18.03598</v>
      </c>
      <c r="AQ431" t="n">
        <v/>
      </c>
      <c r="AR431" t="n">
        <v/>
      </c>
      <c r="AS431" t="n">
        <v/>
      </c>
      <c r="AT431" t="n">
        <v/>
      </c>
      <c r="AU431" t="n">
        <v>47.85296</v>
      </c>
      <c r="AV431" t="n">
        <v/>
      </c>
      <c r="AW431" t="n">
        <v>43.88092</v>
      </c>
      <c r="AX431" t="n">
        <v/>
      </c>
    </row>
    <row r="432">
      <c r="A432" s="92" t="n">
        <v>30987</v>
      </c>
      <c r="B432" t="n">
        <v>51.28091</v>
      </c>
      <c r="C432" t="n">
        <v>49.98104</v>
      </c>
      <c r="D432" t="n">
        <v/>
      </c>
      <c r="E432" t="n">
        <v>49.10588</v>
      </c>
      <c r="F432" t="n">
        <v>63.90738</v>
      </c>
      <c r="G432" t="n">
        <v/>
      </c>
      <c r="H432" t="n">
        <v/>
      </c>
      <c r="I432" t="n">
        <v/>
      </c>
      <c r="J432" t="n">
        <v/>
      </c>
      <c r="K432" t="n">
        <v/>
      </c>
      <c r="L432" t="n">
        <v>57.83572</v>
      </c>
      <c r="M432" t="n">
        <v>49.47218</v>
      </c>
      <c r="N432" t="n">
        <v/>
      </c>
      <c r="O432" t="n">
        <v>33.57072</v>
      </c>
      <c r="P432" t="n">
        <v/>
      </c>
      <c r="Q432" t="n">
        <v/>
      </c>
      <c r="R432" t="n">
        <v>48.59308</v>
      </c>
      <c r="S432" t="n">
        <v>55.98818</v>
      </c>
      <c r="T432" t="n">
        <v/>
      </c>
      <c r="U432" t="n">
        <v>49.48466</v>
      </c>
      <c r="V432" t="n">
        <v>43.17023</v>
      </c>
      <c r="W432" t="n">
        <v>11.85957</v>
      </c>
      <c r="X432" t="n">
        <v/>
      </c>
      <c r="Y432" t="n">
        <v/>
      </c>
      <c r="Z432" t="n">
        <v/>
      </c>
      <c r="AA432" t="n">
        <v>45.60611</v>
      </c>
      <c r="AB432" t="n">
        <v/>
      </c>
      <c r="AC432" t="n">
        <v>4.856845</v>
      </c>
      <c r="AD432" t="n">
        <v>36.69201</v>
      </c>
      <c r="AE432" t="n">
        <v>84.90828999999999</v>
      </c>
      <c r="AF432" t="n">
        <v/>
      </c>
      <c r="AG432" t="n">
        <v/>
      </c>
      <c r="AH432" t="n">
        <v>51.73041</v>
      </c>
      <c r="AI432" t="n">
        <v/>
      </c>
      <c r="AJ432" t="n">
        <v>0.5482782</v>
      </c>
      <c r="AK432" t="n">
        <v>54.26129</v>
      </c>
      <c r="AL432" t="n">
        <v>42.66521</v>
      </c>
      <c r="AM432" t="n">
        <v>28.79612</v>
      </c>
      <c r="AN432" t="n">
        <v>23.77202</v>
      </c>
      <c r="AO432" t="n">
        <v/>
      </c>
      <c r="AP432" t="n">
        <v>18.35178</v>
      </c>
      <c r="AQ432" t="n">
        <v/>
      </c>
      <c r="AR432" t="n">
        <v/>
      </c>
      <c r="AS432" t="n">
        <v/>
      </c>
      <c r="AT432" t="n">
        <v/>
      </c>
      <c r="AU432" t="n">
        <v>48.16513</v>
      </c>
      <c r="AV432" t="n">
        <v/>
      </c>
      <c r="AW432" t="n">
        <v>43.96348</v>
      </c>
      <c r="AX432" t="n">
        <v/>
      </c>
    </row>
    <row r="433">
      <c r="A433" s="92" t="n">
        <v>31017</v>
      </c>
      <c r="B433" t="n">
        <v>51.38481</v>
      </c>
      <c r="C433" t="n">
        <v>50.12302</v>
      </c>
      <c r="D433" t="n">
        <v/>
      </c>
      <c r="E433" t="n">
        <v>49.06108</v>
      </c>
      <c r="F433" t="n">
        <v>63.95203</v>
      </c>
      <c r="G433" t="n">
        <v/>
      </c>
      <c r="H433" t="n">
        <v/>
      </c>
      <c r="I433" t="n">
        <v/>
      </c>
      <c r="J433" t="n">
        <v/>
      </c>
      <c r="K433" t="n">
        <v/>
      </c>
      <c r="L433" t="n">
        <v>57.90223</v>
      </c>
      <c r="M433" t="n">
        <v>49.40818</v>
      </c>
      <c r="N433" t="n">
        <v/>
      </c>
      <c r="O433" t="n">
        <v>33.77787</v>
      </c>
      <c r="P433" t="n">
        <v/>
      </c>
      <c r="Q433" t="n">
        <v/>
      </c>
      <c r="R433" t="n">
        <v>48.72364</v>
      </c>
      <c r="S433" t="n">
        <v>56.14715</v>
      </c>
      <c r="T433" t="n">
        <v/>
      </c>
      <c r="U433" t="n">
        <v>49.57651</v>
      </c>
      <c r="V433" t="n">
        <v>43.06319</v>
      </c>
      <c r="W433" t="n">
        <v>12.04414</v>
      </c>
      <c r="X433" t="n">
        <v/>
      </c>
      <c r="Y433" t="n">
        <v/>
      </c>
      <c r="Z433" t="n">
        <v/>
      </c>
      <c r="AA433" t="n">
        <v>45.60611</v>
      </c>
      <c r="AB433" t="n">
        <v/>
      </c>
      <c r="AC433" t="n">
        <v>5.049381</v>
      </c>
      <c r="AD433" t="n">
        <v>36.95157</v>
      </c>
      <c r="AE433" t="n">
        <v>85.04893</v>
      </c>
      <c r="AF433" t="n">
        <v/>
      </c>
      <c r="AG433" t="n">
        <v/>
      </c>
      <c r="AH433" t="n">
        <v>51.78297</v>
      </c>
      <c r="AI433" t="n">
        <v/>
      </c>
      <c r="AJ433" t="n">
        <v>0.5673643</v>
      </c>
      <c r="AK433" t="n">
        <v>54.21892</v>
      </c>
      <c r="AL433" t="n">
        <v>42.92113</v>
      </c>
      <c r="AM433" t="n">
        <v>28.94507</v>
      </c>
      <c r="AN433" t="n">
        <v>23.90225</v>
      </c>
      <c r="AO433" t="n">
        <v/>
      </c>
      <c r="AP433" t="n">
        <v>18.56322</v>
      </c>
      <c r="AQ433" t="n">
        <v/>
      </c>
      <c r="AR433" t="n">
        <v/>
      </c>
      <c r="AS433" t="n">
        <v/>
      </c>
      <c r="AT433" t="n">
        <v/>
      </c>
      <c r="AU433" t="n">
        <v>48.70759</v>
      </c>
      <c r="AV433" t="n">
        <v/>
      </c>
      <c r="AW433" t="n">
        <v>44.04604</v>
      </c>
      <c r="AX433" t="n">
        <v/>
      </c>
    </row>
    <row r="434">
      <c r="A434" s="92" t="n">
        <v>31048</v>
      </c>
      <c r="B434" t="n">
        <v>51.67086</v>
      </c>
      <c r="C434" t="n">
        <v>50.42166</v>
      </c>
      <c r="D434" t="n">
        <v/>
      </c>
      <c r="E434" t="n">
        <v>49.16623</v>
      </c>
      <c r="F434" t="n">
        <v>64.29738</v>
      </c>
      <c r="G434" t="n">
        <v/>
      </c>
      <c r="H434" t="n">
        <v/>
      </c>
      <c r="I434" t="n">
        <v/>
      </c>
      <c r="J434" t="n">
        <v/>
      </c>
      <c r="K434" t="n">
        <v/>
      </c>
      <c r="L434" t="n">
        <v>58.12406</v>
      </c>
      <c r="M434" t="n">
        <v>49.61401</v>
      </c>
      <c r="N434" t="n">
        <v/>
      </c>
      <c r="O434" t="n">
        <v>34.20892</v>
      </c>
      <c r="P434" t="n">
        <v/>
      </c>
      <c r="Q434" t="n">
        <v/>
      </c>
      <c r="R434" t="n">
        <v>49.25488</v>
      </c>
      <c r="S434" t="n">
        <v>56.4047</v>
      </c>
      <c r="T434" t="n">
        <v/>
      </c>
      <c r="U434" t="n">
        <v>49.70253</v>
      </c>
      <c r="V434" t="n">
        <v>43.19381</v>
      </c>
      <c r="W434" t="n">
        <v>12.34711</v>
      </c>
      <c r="X434" t="n">
        <v/>
      </c>
      <c r="Y434" t="n">
        <v/>
      </c>
      <c r="Z434" t="n">
        <v/>
      </c>
      <c r="AA434" t="n">
        <v>46.44317</v>
      </c>
      <c r="AB434" t="n">
        <v/>
      </c>
      <c r="AC434" t="n">
        <v>5.365278</v>
      </c>
      <c r="AD434" t="n">
        <v>37.34015</v>
      </c>
      <c r="AE434" t="n">
        <v>84.89</v>
      </c>
      <c r="AF434" t="n">
        <v/>
      </c>
      <c r="AG434" t="n">
        <v/>
      </c>
      <c r="AH434" t="n">
        <v>51.98217</v>
      </c>
      <c r="AI434" t="n">
        <v/>
      </c>
      <c r="AJ434" t="n">
        <v>0.6032022</v>
      </c>
      <c r="AK434" t="n">
        <v>54.05155</v>
      </c>
      <c r="AL434" t="n">
        <v>43.18324</v>
      </c>
      <c r="AM434" t="n">
        <v>29.16286</v>
      </c>
      <c r="AN434" t="n">
        <v>24.12893</v>
      </c>
      <c r="AO434" t="n">
        <v/>
      </c>
      <c r="AP434" t="n">
        <v>19.22782</v>
      </c>
      <c r="AQ434" t="n">
        <v/>
      </c>
      <c r="AR434" t="n">
        <v/>
      </c>
      <c r="AS434" t="n">
        <v/>
      </c>
      <c r="AT434" t="n">
        <v/>
      </c>
      <c r="AU434" t="n">
        <v>48.95064</v>
      </c>
      <c r="AV434" t="n">
        <v/>
      </c>
      <c r="AW434" t="n">
        <v>44.1286</v>
      </c>
      <c r="AX434" t="n">
        <v/>
      </c>
    </row>
    <row r="435">
      <c r="A435" s="92" t="n">
        <v>31079</v>
      </c>
      <c r="B435" t="n">
        <v>51.8159</v>
      </c>
      <c r="C435" t="n">
        <v>50.8084</v>
      </c>
      <c r="D435" t="n">
        <v/>
      </c>
      <c r="E435" t="n">
        <v>49.47996</v>
      </c>
      <c r="F435" t="n">
        <v>64.72169</v>
      </c>
      <c r="G435" t="n">
        <v/>
      </c>
      <c r="H435" t="n">
        <v/>
      </c>
      <c r="I435" t="n">
        <v/>
      </c>
      <c r="J435" t="n">
        <v/>
      </c>
      <c r="K435" t="n">
        <v/>
      </c>
      <c r="L435" t="n">
        <v>58.29455</v>
      </c>
      <c r="M435" t="n">
        <v>49.77553</v>
      </c>
      <c r="N435" t="n">
        <v/>
      </c>
      <c r="O435" t="n">
        <v>34.4796</v>
      </c>
      <c r="P435" t="n">
        <v/>
      </c>
      <c r="Q435" t="n">
        <v/>
      </c>
      <c r="R435" t="n">
        <v>49.34949</v>
      </c>
      <c r="S435" t="n">
        <v>56.67613</v>
      </c>
      <c r="T435" t="n">
        <v/>
      </c>
      <c r="U435" t="n">
        <v>49.92244</v>
      </c>
      <c r="V435" t="n">
        <v>43.57567</v>
      </c>
      <c r="W435" t="n">
        <v>12.2696</v>
      </c>
      <c r="X435" t="n">
        <v/>
      </c>
      <c r="Y435" t="n">
        <v/>
      </c>
      <c r="Z435" t="n">
        <v/>
      </c>
      <c r="AA435" t="n">
        <v>46.44317</v>
      </c>
      <c r="AB435" t="n">
        <v/>
      </c>
      <c r="AC435" t="n">
        <v>5.972667</v>
      </c>
      <c r="AD435" t="n">
        <v>37.80828</v>
      </c>
      <c r="AE435" t="n">
        <v>84.65191</v>
      </c>
      <c r="AF435" t="n">
        <v/>
      </c>
      <c r="AG435" t="n">
        <v/>
      </c>
      <c r="AH435" t="n">
        <v>52.19855</v>
      </c>
      <c r="AI435" t="n">
        <v/>
      </c>
      <c r="AJ435" t="n">
        <v>0.6280776</v>
      </c>
      <c r="AK435" t="n">
        <v>54.21499</v>
      </c>
      <c r="AL435" t="n">
        <v>43.27898</v>
      </c>
      <c r="AM435" t="n">
        <v>29.3521</v>
      </c>
      <c r="AN435" t="n">
        <v>24.3005</v>
      </c>
      <c r="AO435" t="n">
        <v/>
      </c>
      <c r="AP435" t="n">
        <v>19.72396</v>
      </c>
      <c r="AQ435" t="n">
        <v/>
      </c>
      <c r="AR435" t="n">
        <v/>
      </c>
      <c r="AS435" t="n">
        <v/>
      </c>
      <c r="AT435" t="n">
        <v/>
      </c>
      <c r="AU435" t="n">
        <v>49.20544</v>
      </c>
      <c r="AV435" t="n">
        <v/>
      </c>
      <c r="AW435" t="n">
        <v>44.33501</v>
      </c>
      <c r="AX435" t="n">
        <v/>
      </c>
    </row>
    <row r="436">
      <c r="A436" s="92" t="n">
        <v>31107</v>
      </c>
      <c r="B436" t="n">
        <v>52.00018</v>
      </c>
      <c r="C436" t="n">
        <v>50.91267</v>
      </c>
      <c r="D436" t="n">
        <v/>
      </c>
      <c r="E436" t="n">
        <v>49.60712</v>
      </c>
      <c r="F436" t="n">
        <v>64.93983</v>
      </c>
      <c r="G436" t="n">
        <v/>
      </c>
      <c r="H436" t="n">
        <v/>
      </c>
      <c r="I436" t="n">
        <v/>
      </c>
      <c r="J436" t="n">
        <v/>
      </c>
      <c r="K436" t="n">
        <v/>
      </c>
      <c r="L436" t="n">
        <v>58.45323</v>
      </c>
      <c r="M436" t="n">
        <v>50.10038</v>
      </c>
      <c r="N436" t="n">
        <v/>
      </c>
      <c r="O436" t="n">
        <v>34.69307</v>
      </c>
      <c r="P436" t="n">
        <v/>
      </c>
      <c r="Q436" t="n">
        <v/>
      </c>
      <c r="R436" t="n">
        <v>49.63498</v>
      </c>
      <c r="S436" t="n">
        <v>56.97651</v>
      </c>
      <c r="T436" t="n">
        <v/>
      </c>
      <c r="U436" t="n">
        <v>50.15283</v>
      </c>
      <c r="V436" t="n">
        <v>43.93266</v>
      </c>
      <c r="W436" t="n">
        <v>12.65169</v>
      </c>
      <c r="X436" t="n">
        <v/>
      </c>
      <c r="Y436" t="n">
        <v/>
      </c>
      <c r="Z436" t="n">
        <v/>
      </c>
      <c r="AA436" t="n">
        <v>46.44317</v>
      </c>
      <c r="AB436" t="n">
        <v/>
      </c>
      <c r="AC436" t="n">
        <v>6.681289</v>
      </c>
      <c r="AD436" t="n">
        <v>38.06625</v>
      </c>
      <c r="AE436" t="n">
        <v>84.92431999999999</v>
      </c>
      <c r="AF436" t="n">
        <v/>
      </c>
      <c r="AG436" t="n">
        <v/>
      </c>
      <c r="AH436" t="n">
        <v>52.35447</v>
      </c>
      <c r="AI436" t="n">
        <v/>
      </c>
      <c r="AJ436" t="n">
        <v>0.6544884</v>
      </c>
      <c r="AK436" t="n">
        <v>54.55241</v>
      </c>
      <c r="AL436" t="n">
        <v>43.88034</v>
      </c>
      <c r="AM436" t="n">
        <v>29.57117</v>
      </c>
      <c r="AN436" t="n">
        <v>24.49761</v>
      </c>
      <c r="AO436" t="n">
        <v/>
      </c>
      <c r="AP436" t="n">
        <v>20.05845</v>
      </c>
      <c r="AQ436" t="n">
        <v/>
      </c>
      <c r="AR436" t="n">
        <v/>
      </c>
      <c r="AS436" t="n">
        <v/>
      </c>
      <c r="AT436" t="n">
        <v/>
      </c>
      <c r="AU436" t="n">
        <v>49.49817</v>
      </c>
      <c r="AV436" t="n">
        <v/>
      </c>
      <c r="AW436" t="n">
        <v>44.54141</v>
      </c>
      <c r="AX436" t="n">
        <v/>
      </c>
    </row>
    <row r="437">
      <c r="A437" s="92" t="n">
        <v>31138</v>
      </c>
      <c r="B437" t="n">
        <v>51.99296</v>
      </c>
      <c r="C437" t="n">
        <v>51.25686</v>
      </c>
      <c r="D437" t="n">
        <v/>
      </c>
      <c r="E437" t="n">
        <v>49.78978</v>
      </c>
      <c r="F437" t="n">
        <v>64.89693</v>
      </c>
      <c r="G437" t="n">
        <v/>
      </c>
      <c r="H437" t="n">
        <v/>
      </c>
      <c r="I437" t="n">
        <v/>
      </c>
      <c r="J437" t="n">
        <v/>
      </c>
      <c r="K437" t="n">
        <v/>
      </c>
      <c r="L437" t="n">
        <v>58.59106</v>
      </c>
      <c r="M437" t="n">
        <v>50.25894</v>
      </c>
      <c r="N437" t="n">
        <v/>
      </c>
      <c r="O437" t="n">
        <v>35.04683</v>
      </c>
      <c r="P437" t="n">
        <v/>
      </c>
      <c r="Q437" t="n">
        <v/>
      </c>
      <c r="R437" t="n">
        <v>49.89355</v>
      </c>
      <c r="S437" t="n">
        <v>57.38134</v>
      </c>
      <c r="T437" t="n">
        <v/>
      </c>
      <c r="U437" t="n">
        <v>50.43359</v>
      </c>
      <c r="V437" t="n">
        <v>44.9994</v>
      </c>
      <c r="W437" t="n">
        <v>12.77897</v>
      </c>
      <c r="X437" t="n">
        <v/>
      </c>
      <c r="Y437" t="n">
        <v/>
      </c>
      <c r="Z437" t="n">
        <v/>
      </c>
      <c r="AA437" t="n">
        <v>47.14584</v>
      </c>
      <c r="AB437" t="n">
        <v/>
      </c>
      <c r="AC437" t="n">
        <v>8.098532000000001</v>
      </c>
      <c r="AD437" t="n">
        <v>38.30223</v>
      </c>
      <c r="AE437" t="n">
        <v>85.65406</v>
      </c>
      <c r="AF437" t="n">
        <v/>
      </c>
      <c r="AG437" t="n">
        <v/>
      </c>
      <c r="AH437" t="n">
        <v>52.77056</v>
      </c>
      <c r="AI437" t="n">
        <v/>
      </c>
      <c r="AJ437" t="n">
        <v>0.67449</v>
      </c>
      <c r="AK437" t="n">
        <v>54.7783</v>
      </c>
      <c r="AL437" t="n">
        <v>44.07156</v>
      </c>
      <c r="AM437" t="n">
        <v>29.78314</v>
      </c>
      <c r="AN437" t="n">
        <v>24.68316</v>
      </c>
      <c r="AO437" t="n">
        <v/>
      </c>
      <c r="AP437" t="n">
        <v>20.29155</v>
      </c>
      <c r="AQ437" t="n">
        <v/>
      </c>
      <c r="AR437" t="n">
        <v/>
      </c>
      <c r="AS437" t="n">
        <v/>
      </c>
      <c r="AT437" t="n">
        <v/>
      </c>
      <c r="AU437" t="n">
        <v>49.73309</v>
      </c>
      <c r="AV437" t="n">
        <v/>
      </c>
      <c r="AW437" t="n">
        <v>44.66525</v>
      </c>
      <c r="AX437" t="n">
        <v/>
      </c>
    </row>
    <row r="438">
      <c r="A438" s="92" t="n">
        <v>31168</v>
      </c>
      <c r="B438" t="n">
        <v>52.18547</v>
      </c>
      <c r="C438" t="n">
        <v>51.41895</v>
      </c>
      <c r="D438" t="n">
        <v/>
      </c>
      <c r="E438" t="n">
        <v>50.08137</v>
      </c>
      <c r="F438" t="n">
        <v>64.99585999999999</v>
      </c>
      <c r="G438" t="n">
        <v/>
      </c>
      <c r="H438" t="n">
        <v/>
      </c>
      <c r="I438" t="n">
        <v/>
      </c>
      <c r="J438" t="n">
        <v/>
      </c>
      <c r="K438" t="n">
        <v/>
      </c>
      <c r="L438" t="n">
        <v>58.64036</v>
      </c>
      <c r="M438" t="n">
        <v>50.78947</v>
      </c>
      <c r="N438" t="n">
        <v/>
      </c>
      <c r="O438" t="n">
        <v>35.22606</v>
      </c>
      <c r="P438" t="n">
        <v/>
      </c>
      <c r="Q438" t="n">
        <v/>
      </c>
      <c r="R438" t="n">
        <v>49.9392</v>
      </c>
      <c r="S438" t="n">
        <v>57.67073</v>
      </c>
      <c r="T438" t="n">
        <v/>
      </c>
      <c r="U438" t="n">
        <v>50.6294</v>
      </c>
      <c r="V438" t="n">
        <v>45.20989</v>
      </c>
      <c r="W438" t="n">
        <v>12.91303</v>
      </c>
      <c r="X438" t="n">
        <v/>
      </c>
      <c r="Y438" t="n">
        <v/>
      </c>
      <c r="Z438" t="n">
        <v/>
      </c>
      <c r="AA438" t="n">
        <v>47.14584</v>
      </c>
      <c r="AB438" t="n">
        <v/>
      </c>
      <c r="AC438" t="n">
        <v>8.503458999999999</v>
      </c>
      <c r="AD438" t="n">
        <v>38.58696</v>
      </c>
      <c r="AE438" t="n">
        <v>85.9482</v>
      </c>
      <c r="AF438" t="n">
        <v/>
      </c>
      <c r="AG438" t="n">
        <v/>
      </c>
      <c r="AH438" t="n">
        <v>53.05321</v>
      </c>
      <c r="AI438" t="n">
        <v/>
      </c>
      <c r="AJ438" t="n">
        <v>0.693058</v>
      </c>
      <c r="AK438" t="n">
        <v>54.80936</v>
      </c>
      <c r="AL438" t="n">
        <v>44.1397</v>
      </c>
      <c r="AM438" t="n">
        <v>29.95247</v>
      </c>
      <c r="AN438" t="n">
        <v>24.82375</v>
      </c>
      <c r="AO438" t="n">
        <v/>
      </c>
      <c r="AP438" t="n">
        <v>20.51479</v>
      </c>
      <c r="AQ438" t="n">
        <v/>
      </c>
      <c r="AR438" t="n">
        <v/>
      </c>
      <c r="AS438" t="n">
        <v/>
      </c>
      <c r="AT438" t="n">
        <v/>
      </c>
      <c r="AU438" t="n">
        <v>50.34855</v>
      </c>
      <c r="AV438" t="n">
        <v/>
      </c>
      <c r="AW438" t="n">
        <v>44.83037</v>
      </c>
      <c r="AX438" t="n">
        <v/>
      </c>
    </row>
    <row r="439">
      <c r="A439" s="92" t="n">
        <v>31199</v>
      </c>
      <c r="B439" t="n">
        <v>52.29387</v>
      </c>
      <c r="C439" t="n">
        <v>51.60015</v>
      </c>
      <c r="D439" t="n">
        <v/>
      </c>
      <c r="E439" t="n">
        <v>50.35493</v>
      </c>
      <c r="F439" t="n">
        <v>65.05531000000001</v>
      </c>
      <c r="G439" t="n">
        <v/>
      </c>
      <c r="H439" t="n">
        <v/>
      </c>
      <c r="I439" t="n">
        <v/>
      </c>
      <c r="J439" t="n">
        <v/>
      </c>
      <c r="K439" t="n">
        <v/>
      </c>
      <c r="L439" t="n">
        <v>58.70512</v>
      </c>
      <c r="M439" t="n">
        <v>50.86033</v>
      </c>
      <c r="N439" t="n">
        <v/>
      </c>
      <c r="O439" t="n">
        <v>35.35003</v>
      </c>
      <c r="P439" t="n">
        <v/>
      </c>
      <c r="Q439" t="n">
        <v/>
      </c>
      <c r="R439" t="n">
        <v>50.07456</v>
      </c>
      <c r="S439" t="n">
        <v>57.923</v>
      </c>
      <c r="T439" t="n">
        <v/>
      </c>
      <c r="U439" t="n">
        <v>50.74215</v>
      </c>
      <c r="V439" t="n">
        <v>45.30532</v>
      </c>
      <c r="W439" t="n">
        <v>13.15964</v>
      </c>
      <c r="X439" t="n">
        <v/>
      </c>
      <c r="Y439" t="n">
        <v/>
      </c>
      <c r="Z439" t="n">
        <v/>
      </c>
      <c r="AA439" t="n">
        <v>47.14584</v>
      </c>
      <c r="AB439" t="n">
        <v/>
      </c>
      <c r="AC439" t="n">
        <v>9.718239000000001</v>
      </c>
      <c r="AD439" t="n">
        <v>38.79415</v>
      </c>
      <c r="AE439" t="n">
        <v>86.00632</v>
      </c>
      <c r="AF439" t="n">
        <v/>
      </c>
      <c r="AG439" t="n">
        <v/>
      </c>
      <c r="AH439" t="n">
        <v>53.1812</v>
      </c>
      <c r="AI439" t="n">
        <v/>
      </c>
      <c r="AJ439" t="n">
        <v>0.7125973</v>
      </c>
      <c r="AK439" t="n">
        <v>54.80029</v>
      </c>
      <c r="AL439" t="n">
        <v>44.42113</v>
      </c>
      <c r="AM439" t="n">
        <v>30.08901</v>
      </c>
      <c r="AN439" t="n">
        <v>24.95824</v>
      </c>
      <c r="AO439" t="n">
        <v/>
      </c>
      <c r="AP439" t="n">
        <v>20.65043</v>
      </c>
      <c r="AQ439" t="n">
        <v/>
      </c>
      <c r="AR439" t="n">
        <v/>
      </c>
      <c r="AS439" t="n">
        <v/>
      </c>
      <c r="AT439" t="n">
        <v/>
      </c>
      <c r="AU439" t="n">
        <v>50.20892</v>
      </c>
      <c r="AV439" t="n">
        <v/>
      </c>
      <c r="AW439" t="n">
        <v>44.91293</v>
      </c>
      <c r="AX439" t="n">
        <v/>
      </c>
    </row>
    <row r="440">
      <c r="A440" s="92" t="n">
        <v>31229</v>
      </c>
      <c r="B440" t="n">
        <v>52.54501</v>
      </c>
      <c r="C440" t="n">
        <v>52.18108</v>
      </c>
      <c r="D440" t="n">
        <v/>
      </c>
      <c r="E440" t="n">
        <v>50.66512</v>
      </c>
      <c r="F440" t="n">
        <v>65.07079</v>
      </c>
      <c r="G440" t="n">
        <v/>
      </c>
      <c r="H440" t="n">
        <v/>
      </c>
      <c r="I440" t="n">
        <v/>
      </c>
      <c r="J440" t="n">
        <v/>
      </c>
      <c r="K440" t="n">
        <v/>
      </c>
      <c r="L440" t="n">
        <v>58.7394</v>
      </c>
      <c r="M440" t="n">
        <v>50.68249</v>
      </c>
      <c r="N440" t="n">
        <v/>
      </c>
      <c r="O440" t="n">
        <v>35.51851</v>
      </c>
      <c r="P440" t="n">
        <v/>
      </c>
      <c r="Q440" t="n">
        <v/>
      </c>
      <c r="R440" t="n">
        <v>50.04321</v>
      </c>
      <c r="S440" t="n">
        <v>58.21757</v>
      </c>
      <c r="T440" t="n">
        <v/>
      </c>
      <c r="U440" t="n">
        <v>50.84305</v>
      </c>
      <c r="V440" t="n">
        <v>45.34221</v>
      </c>
      <c r="W440" t="n">
        <v>13.09506</v>
      </c>
      <c r="X440" t="n">
        <v/>
      </c>
      <c r="Y440" t="n">
        <v/>
      </c>
      <c r="Z440" t="n">
        <v/>
      </c>
      <c r="AA440" t="n">
        <v>47.8366</v>
      </c>
      <c r="AB440" t="n">
        <v/>
      </c>
      <c r="AC440" t="n">
        <v>12.35026</v>
      </c>
      <c r="AD440" t="n">
        <v>38.91541</v>
      </c>
      <c r="AE440" t="n">
        <v>86.06905</v>
      </c>
      <c r="AF440" t="n">
        <v/>
      </c>
      <c r="AG440" t="n">
        <v/>
      </c>
      <c r="AH440" t="n">
        <v>53.41657</v>
      </c>
      <c r="AI440" t="n">
        <v/>
      </c>
      <c r="AJ440" t="n">
        <v>0.7399405999999999</v>
      </c>
      <c r="AK440" t="n">
        <v>54.71369</v>
      </c>
      <c r="AL440" t="n">
        <v>44.50008</v>
      </c>
      <c r="AM440" t="n">
        <v>30.22917</v>
      </c>
      <c r="AN440" t="n">
        <v>25.02987</v>
      </c>
      <c r="AO440" t="n">
        <v/>
      </c>
      <c r="AP440" t="n">
        <v>20.79561</v>
      </c>
      <c r="AQ440" t="n">
        <v/>
      </c>
      <c r="AR440" t="n">
        <v/>
      </c>
      <c r="AS440" t="n">
        <v/>
      </c>
      <c r="AT440" t="n">
        <v/>
      </c>
      <c r="AU440" t="n">
        <v>50.02303</v>
      </c>
      <c r="AV440" t="n">
        <v/>
      </c>
      <c r="AW440" t="n">
        <v>44.99549</v>
      </c>
      <c r="AX440" t="n">
        <v/>
      </c>
    </row>
    <row r="441">
      <c r="A441" s="92" t="n">
        <v>31260</v>
      </c>
      <c r="B441" t="n">
        <v>52.66208</v>
      </c>
      <c r="C441" t="n">
        <v>52.34354</v>
      </c>
      <c r="D441" t="n">
        <v/>
      </c>
      <c r="E441" t="n">
        <v>50.73576</v>
      </c>
      <c r="F441" t="n">
        <v>65.51443</v>
      </c>
      <c r="G441" t="n">
        <v/>
      </c>
      <c r="H441" t="n">
        <v/>
      </c>
      <c r="I441" t="n">
        <v/>
      </c>
      <c r="J441" t="n">
        <v/>
      </c>
      <c r="K441" t="n">
        <v/>
      </c>
      <c r="L441" t="n">
        <v>58.60493</v>
      </c>
      <c r="M441" t="n">
        <v>50.6762</v>
      </c>
      <c r="N441" t="n">
        <v/>
      </c>
      <c r="O441" t="n">
        <v>35.62209</v>
      </c>
      <c r="P441" t="n">
        <v/>
      </c>
      <c r="Q441" t="n">
        <v/>
      </c>
      <c r="R441" t="n">
        <v>50.14555</v>
      </c>
      <c r="S441" t="n">
        <v>58.33657</v>
      </c>
      <c r="T441" t="n">
        <v/>
      </c>
      <c r="U441" t="n">
        <v>50.94033</v>
      </c>
      <c r="V441" t="n">
        <v>45.53661</v>
      </c>
      <c r="W441" t="n">
        <v>13.04034</v>
      </c>
      <c r="X441" t="n">
        <v/>
      </c>
      <c r="Y441" t="n">
        <v/>
      </c>
      <c r="Z441" t="n">
        <v/>
      </c>
      <c r="AA441" t="n">
        <v>47.8366</v>
      </c>
      <c r="AB441" t="n">
        <v/>
      </c>
      <c r="AC441" t="n">
        <v>12.75519</v>
      </c>
      <c r="AD441" t="n">
        <v>39.03852</v>
      </c>
      <c r="AE441" t="n">
        <v>85.82867</v>
      </c>
      <c r="AF441" t="n">
        <v/>
      </c>
      <c r="AG441" t="n">
        <v/>
      </c>
      <c r="AH441" t="n">
        <v>53.45542</v>
      </c>
      <c r="AI441" t="n">
        <v/>
      </c>
      <c r="AJ441" t="n">
        <v>0.7742074</v>
      </c>
      <c r="AK441" t="n">
        <v>54.83786</v>
      </c>
      <c r="AL441" t="n">
        <v>44.29394</v>
      </c>
      <c r="AM441" t="n">
        <v>30.3669</v>
      </c>
      <c r="AN441" t="n">
        <v>25.08554</v>
      </c>
      <c r="AO441" t="n">
        <v/>
      </c>
      <c r="AP441" t="n">
        <v>20.90026</v>
      </c>
      <c r="AQ441" t="n">
        <v/>
      </c>
      <c r="AR441" t="n">
        <v/>
      </c>
      <c r="AS441" t="n">
        <v/>
      </c>
      <c r="AT441" t="n">
        <v/>
      </c>
      <c r="AU441" t="n">
        <v>50.12616</v>
      </c>
      <c r="AV441" t="n">
        <v/>
      </c>
      <c r="AW441" t="n">
        <v>45.16061</v>
      </c>
      <c r="AX441" t="n">
        <v/>
      </c>
    </row>
    <row r="442">
      <c r="A442" s="92" t="n">
        <v>31291</v>
      </c>
      <c r="B442" t="n">
        <v>52.71302</v>
      </c>
      <c r="C442" t="n">
        <v>52.45002</v>
      </c>
      <c r="D442" t="n">
        <v/>
      </c>
      <c r="E442" t="n">
        <v>50.85212</v>
      </c>
      <c r="F442" t="n">
        <v>65.67134</v>
      </c>
      <c r="G442" t="n">
        <v/>
      </c>
      <c r="H442" t="n">
        <v/>
      </c>
      <c r="I442" t="n">
        <v/>
      </c>
      <c r="J442" t="n">
        <v/>
      </c>
      <c r="K442" t="n">
        <v/>
      </c>
      <c r="L442" t="n">
        <v>58.60172</v>
      </c>
      <c r="M442" t="n">
        <v>50.98996</v>
      </c>
      <c r="N442" t="n">
        <v/>
      </c>
      <c r="O442" t="n">
        <v>35.99185</v>
      </c>
      <c r="P442" t="n">
        <v/>
      </c>
      <c r="Q442" t="n">
        <v/>
      </c>
      <c r="R442" t="n">
        <v>50.51482</v>
      </c>
      <c r="S442" t="n">
        <v>58.49801</v>
      </c>
      <c r="T442" t="n">
        <v/>
      </c>
      <c r="U442" t="n">
        <v>51.14355</v>
      </c>
      <c r="V442" t="n">
        <v>45.48647</v>
      </c>
      <c r="W442" t="n">
        <v>13.74002</v>
      </c>
      <c r="X442" t="n">
        <v/>
      </c>
      <c r="Y442" t="n">
        <v/>
      </c>
      <c r="Z442" t="n">
        <v/>
      </c>
      <c r="AA442" t="n">
        <v>47.8366</v>
      </c>
      <c r="AB442" t="n">
        <v/>
      </c>
      <c r="AC442" t="n">
        <v>12.95765</v>
      </c>
      <c r="AD442" t="n">
        <v>39.31177</v>
      </c>
      <c r="AE442" t="n">
        <v>86.16598</v>
      </c>
      <c r="AF442" t="n">
        <v/>
      </c>
      <c r="AG442" t="n">
        <v/>
      </c>
      <c r="AH442" t="n">
        <v>53.43178</v>
      </c>
      <c r="AI442" t="n">
        <v/>
      </c>
      <c r="AJ442" t="n">
        <v>0.809144</v>
      </c>
      <c r="AK442" t="n">
        <v>55.22421</v>
      </c>
      <c r="AL442" t="n">
        <v>44.92954</v>
      </c>
      <c r="AM442" t="n">
        <v>30.59347</v>
      </c>
      <c r="AN442" t="n">
        <v>25.2274</v>
      </c>
      <c r="AO442" t="n">
        <v/>
      </c>
      <c r="AP442" t="n">
        <v>21.02263</v>
      </c>
      <c r="AQ442" t="n">
        <v/>
      </c>
      <c r="AR442" t="n">
        <v/>
      </c>
      <c r="AS442" t="n">
        <v/>
      </c>
      <c r="AT442" t="n">
        <v/>
      </c>
      <c r="AU442" t="n">
        <v>50.41194</v>
      </c>
      <c r="AV442" t="n">
        <v/>
      </c>
      <c r="AW442" t="n">
        <v>45.40829</v>
      </c>
      <c r="AX442" t="n">
        <v/>
      </c>
    </row>
    <row r="443">
      <c r="A443" s="92" t="n">
        <v>31321</v>
      </c>
      <c r="B443" t="n">
        <v>52.81472</v>
      </c>
      <c r="C443" t="n">
        <v>52.61638</v>
      </c>
      <c r="D443" t="n">
        <v/>
      </c>
      <c r="E443" t="n">
        <v>51.0613</v>
      </c>
      <c r="F443" t="n">
        <v>65.77737</v>
      </c>
      <c r="G443" t="n">
        <v/>
      </c>
      <c r="H443" t="n">
        <v/>
      </c>
      <c r="I443" t="n">
        <v/>
      </c>
      <c r="J443" t="n">
        <v/>
      </c>
      <c r="K443" t="n">
        <v/>
      </c>
      <c r="L443" t="n">
        <v>58.73474</v>
      </c>
      <c r="M443" t="n">
        <v>51.17969</v>
      </c>
      <c r="N443" t="n">
        <v/>
      </c>
      <c r="O443" t="n">
        <v>36.23586</v>
      </c>
      <c r="P443" t="n">
        <v/>
      </c>
      <c r="Q443" t="n">
        <v/>
      </c>
      <c r="R443" t="n">
        <v>50.57754</v>
      </c>
      <c r="S443" t="n">
        <v>58.7326</v>
      </c>
      <c r="T443" t="n">
        <v/>
      </c>
      <c r="U443" t="n">
        <v>51.43785</v>
      </c>
      <c r="V443" t="n">
        <v>45.66466</v>
      </c>
      <c r="W443" t="n">
        <v>14.22908</v>
      </c>
      <c r="X443" t="n">
        <v/>
      </c>
      <c r="Y443" t="n">
        <v/>
      </c>
      <c r="Z443" t="n">
        <v/>
      </c>
      <c r="AA443" t="n">
        <v>47.94659</v>
      </c>
      <c r="AB443" t="n">
        <v/>
      </c>
      <c r="AC443" t="n">
        <v>13.56504</v>
      </c>
      <c r="AD443" t="n">
        <v>39.74619</v>
      </c>
      <c r="AE443" t="n">
        <v>86.65543</v>
      </c>
      <c r="AF443" t="n">
        <v/>
      </c>
      <c r="AG443" t="n">
        <v/>
      </c>
      <c r="AH443" t="n">
        <v>53.73932</v>
      </c>
      <c r="AI443" t="n">
        <v/>
      </c>
      <c r="AJ443" t="n">
        <v>0.842141</v>
      </c>
      <c r="AK443" t="n">
        <v>55.53931</v>
      </c>
      <c r="AL443" t="n">
        <v>45.09615</v>
      </c>
      <c r="AM443" t="n">
        <v>30.90656</v>
      </c>
      <c r="AN443" t="n">
        <v>25.49334</v>
      </c>
      <c r="AO443" t="n">
        <v/>
      </c>
      <c r="AP443" t="n">
        <v>21.38932</v>
      </c>
      <c r="AQ443" t="n">
        <v/>
      </c>
      <c r="AR443" t="n">
        <v/>
      </c>
      <c r="AS443" t="n">
        <v/>
      </c>
      <c r="AT443" t="n">
        <v/>
      </c>
      <c r="AU443" t="n">
        <v>50.92683</v>
      </c>
      <c r="AV443" t="n">
        <v/>
      </c>
      <c r="AW443" t="n">
        <v>45.69725</v>
      </c>
      <c r="AX443" t="n">
        <v/>
      </c>
    </row>
    <row r="444">
      <c r="A444" s="92" t="n">
        <v>31352</v>
      </c>
      <c r="B444" t="n">
        <v>53.10553</v>
      </c>
      <c r="C444" t="n">
        <v>52.74584</v>
      </c>
      <c r="D444" t="n">
        <v/>
      </c>
      <c r="E444" t="n">
        <v>51.18351</v>
      </c>
      <c r="F444" t="n">
        <v>66.25946</v>
      </c>
      <c r="G444" t="n">
        <v/>
      </c>
      <c r="H444" t="n">
        <v/>
      </c>
      <c r="I444" t="n">
        <v/>
      </c>
      <c r="J444" t="n">
        <v/>
      </c>
      <c r="K444" t="n">
        <v/>
      </c>
      <c r="L444" t="n">
        <v>58.75355</v>
      </c>
      <c r="M444" t="n">
        <v>51.45527</v>
      </c>
      <c r="N444" t="n">
        <v/>
      </c>
      <c r="O444" t="n">
        <v>36.53088</v>
      </c>
      <c r="P444" t="n">
        <v/>
      </c>
      <c r="Q444" t="n">
        <v/>
      </c>
      <c r="R444" t="n">
        <v>50.61882</v>
      </c>
      <c r="S444" t="n">
        <v>58.87389</v>
      </c>
      <c r="T444" t="n">
        <v/>
      </c>
      <c r="U444" t="n">
        <v>51.61243</v>
      </c>
      <c r="V444" t="n">
        <v>45.81047</v>
      </c>
      <c r="W444" t="n">
        <v>14.59243</v>
      </c>
      <c r="X444" t="n">
        <v/>
      </c>
      <c r="Y444" t="n">
        <v/>
      </c>
      <c r="Z444" t="n">
        <v/>
      </c>
      <c r="AA444" t="n">
        <v>47.94659</v>
      </c>
      <c r="AB444" t="n">
        <v/>
      </c>
      <c r="AC444" t="n">
        <v>13.96997</v>
      </c>
      <c r="AD444" t="n">
        <v>40.11616</v>
      </c>
      <c r="AE444" t="n">
        <v>86.59184</v>
      </c>
      <c r="AF444" t="n">
        <v/>
      </c>
      <c r="AG444" t="n">
        <v/>
      </c>
      <c r="AH444" t="n">
        <v>53.91396</v>
      </c>
      <c r="AI444" t="n">
        <v/>
      </c>
      <c r="AJ444" t="n">
        <v>0.8843194</v>
      </c>
      <c r="AK444" t="n">
        <v>55.55708</v>
      </c>
      <c r="AL444" t="n">
        <v>45.14384</v>
      </c>
      <c r="AM444" t="n">
        <v>31.15863</v>
      </c>
      <c r="AN444" t="n">
        <v>25.7208</v>
      </c>
      <c r="AO444" t="n">
        <v/>
      </c>
      <c r="AP444" t="n">
        <v>21.7074</v>
      </c>
      <c r="AQ444" t="n">
        <v/>
      </c>
      <c r="AR444" t="n">
        <v/>
      </c>
      <c r="AS444" t="n">
        <v/>
      </c>
      <c r="AT444" t="n">
        <v/>
      </c>
      <c r="AU444" t="n">
        <v>51.22165</v>
      </c>
      <c r="AV444" t="n">
        <v/>
      </c>
      <c r="AW444" t="n">
        <v>45.90366</v>
      </c>
      <c r="AX444" t="n">
        <v/>
      </c>
    </row>
    <row r="445">
      <c r="A445" s="92" t="n">
        <v>31382</v>
      </c>
      <c r="B445" t="n">
        <v>53.21258</v>
      </c>
      <c r="C445" t="n">
        <v>53.05291</v>
      </c>
      <c r="D445" t="n">
        <v/>
      </c>
      <c r="E445" t="n">
        <v>51.31678</v>
      </c>
      <c r="F445" t="n">
        <v>66.30573</v>
      </c>
      <c r="G445" t="n">
        <v/>
      </c>
      <c r="H445" t="n">
        <v/>
      </c>
      <c r="I445" t="n">
        <v/>
      </c>
      <c r="J445" t="n">
        <v/>
      </c>
      <c r="K445" t="n">
        <v/>
      </c>
      <c r="L445" t="n">
        <v>58.88292</v>
      </c>
      <c r="M445" t="n">
        <v>51.4329</v>
      </c>
      <c r="N445" t="n">
        <v/>
      </c>
      <c r="O445" t="n">
        <v>36.74328</v>
      </c>
      <c r="P445" t="n">
        <v/>
      </c>
      <c r="Q445" t="n">
        <v/>
      </c>
      <c r="R445" t="n">
        <v>50.72777</v>
      </c>
      <c r="S445" t="n">
        <v>58.99779</v>
      </c>
      <c r="T445" t="n">
        <v/>
      </c>
      <c r="U445" t="n">
        <v>51.68354</v>
      </c>
      <c r="V445" t="n">
        <v>45.82378</v>
      </c>
      <c r="W445" t="n">
        <v>15.10314</v>
      </c>
      <c r="X445" t="n">
        <v/>
      </c>
      <c r="Y445" t="n">
        <v/>
      </c>
      <c r="Z445" t="n">
        <v/>
      </c>
      <c r="AA445" t="n">
        <v>47.94659</v>
      </c>
      <c r="AB445" t="n">
        <v/>
      </c>
      <c r="AC445" t="n">
        <v>14.17243</v>
      </c>
      <c r="AD445" t="n">
        <v>40.26655</v>
      </c>
      <c r="AE445" t="n">
        <v>86.66262999999999</v>
      </c>
      <c r="AF445" t="n">
        <v/>
      </c>
      <c r="AG445" t="n">
        <v/>
      </c>
      <c r="AH445" t="n">
        <v>54.01729</v>
      </c>
      <c r="AI445" t="n">
        <v/>
      </c>
      <c r="AJ445" t="n">
        <v>0.9339256</v>
      </c>
      <c r="AK445" t="n">
        <v>55.3535</v>
      </c>
      <c r="AL445" t="n">
        <v>45.42262</v>
      </c>
      <c r="AM445" t="n">
        <v>31.35128</v>
      </c>
      <c r="AN445" t="n">
        <v>25.85538</v>
      </c>
      <c r="AO445" t="n">
        <v/>
      </c>
      <c r="AP445" t="n">
        <v>22.08974</v>
      </c>
      <c r="AQ445" t="n">
        <v/>
      </c>
      <c r="AR445" t="n">
        <v/>
      </c>
      <c r="AS445" t="n">
        <v/>
      </c>
      <c r="AT445" t="n">
        <v/>
      </c>
      <c r="AU445" t="n">
        <v>51.41615</v>
      </c>
      <c r="AV445" t="n">
        <v/>
      </c>
      <c r="AW445" t="n">
        <v>45.94493</v>
      </c>
      <c r="AX445" t="n">
        <v/>
      </c>
    </row>
    <row r="446">
      <c r="A446" s="92" t="n">
        <v>31413</v>
      </c>
      <c r="B446" t="n">
        <v>53.6049</v>
      </c>
      <c r="C446" t="n">
        <v>53.38943</v>
      </c>
      <c r="D446" t="n">
        <v/>
      </c>
      <c r="E446" t="n">
        <v>51.4131</v>
      </c>
      <c r="F446" t="n">
        <v>66.46532999999999</v>
      </c>
      <c r="G446" t="n">
        <v/>
      </c>
      <c r="H446" t="n">
        <v/>
      </c>
      <c r="I446" t="n">
        <v/>
      </c>
      <c r="J446" t="n">
        <v/>
      </c>
      <c r="K446" t="n">
        <v/>
      </c>
      <c r="L446" t="n">
        <v>59.16734</v>
      </c>
      <c r="M446" t="n">
        <v>51.22831</v>
      </c>
      <c r="N446" t="n">
        <v/>
      </c>
      <c r="O446" t="n">
        <v>37.72346</v>
      </c>
      <c r="P446" t="n">
        <v/>
      </c>
      <c r="Q446" t="n">
        <v/>
      </c>
      <c r="R446" t="n">
        <v>51.02484</v>
      </c>
      <c r="S446" t="n">
        <v>59.23226</v>
      </c>
      <c r="T446" t="n">
        <v/>
      </c>
      <c r="U446" t="n">
        <v>51.80894</v>
      </c>
      <c r="V446" t="n">
        <v>45.89873</v>
      </c>
      <c r="W446" t="n">
        <v>15.51351</v>
      </c>
      <c r="X446" t="n">
        <v/>
      </c>
      <c r="Y446" t="n">
        <v/>
      </c>
      <c r="Z446" t="n">
        <v/>
      </c>
      <c r="AA446" t="n">
        <v>48.80131</v>
      </c>
      <c r="AB446" t="n">
        <v/>
      </c>
      <c r="AC446" t="n">
        <v>13.7675</v>
      </c>
      <c r="AD446" t="n">
        <v>40.51541</v>
      </c>
      <c r="AE446" t="n">
        <v>86.41343999999999</v>
      </c>
      <c r="AF446" t="n">
        <v/>
      </c>
      <c r="AG446" t="n">
        <v/>
      </c>
      <c r="AH446" t="n">
        <v>54.09579</v>
      </c>
      <c r="AI446" t="n">
        <v/>
      </c>
      <c r="AJ446" t="n">
        <v>1.008415</v>
      </c>
      <c r="AK446" t="n">
        <v>55.08862</v>
      </c>
      <c r="AL446" t="n">
        <v>45.74934</v>
      </c>
      <c r="AM446" t="n">
        <v>31.60051</v>
      </c>
      <c r="AN446" t="n">
        <v>26.05966</v>
      </c>
      <c r="AO446" t="n">
        <v/>
      </c>
      <c r="AP446" t="n">
        <v>22.88617</v>
      </c>
      <c r="AQ446" t="n">
        <v/>
      </c>
      <c r="AR446" t="n">
        <v/>
      </c>
      <c r="AS446" t="n">
        <v/>
      </c>
      <c r="AT446" t="n">
        <v/>
      </c>
      <c r="AU446" t="n">
        <v>51.91641</v>
      </c>
      <c r="AV446" t="n">
        <v/>
      </c>
      <c r="AW446" t="n">
        <v>46.06878</v>
      </c>
      <c r="AX446" t="n">
        <v/>
      </c>
    </row>
    <row r="447">
      <c r="A447" s="92" t="n">
        <v>31444</v>
      </c>
      <c r="B447" t="n">
        <v>53.86564</v>
      </c>
      <c r="C447" t="n">
        <v>53.80252</v>
      </c>
      <c r="D447" t="n">
        <v/>
      </c>
      <c r="E447" t="n">
        <v>51.78215</v>
      </c>
      <c r="F447" t="n">
        <v>66.74952999999999</v>
      </c>
      <c r="G447" t="n">
        <v/>
      </c>
      <c r="H447" t="n">
        <v/>
      </c>
      <c r="I447" t="n">
        <v/>
      </c>
      <c r="J447" t="n">
        <v/>
      </c>
      <c r="K447" t="n">
        <v/>
      </c>
      <c r="L447" t="n">
        <v>59.14473</v>
      </c>
      <c r="M447" t="n">
        <v>51.44833</v>
      </c>
      <c r="N447" t="n">
        <v/>
      </c>
      <c r="O447" t="n">
        <v>38.02093</v>
      </c>
      <c r="P447" t="n">
        <v/>
      </c>
      <c r="Q447" t="n">
        <v/>
      </c>
      <c r="R447" t="n">
        <v>51.25648</v>
      </c>
      <c r="S447" t="n">
        <v>59.30439</v>
      </c>
      <c r="T447" t="n">
        <v/>
      </c>
      <c r="U447" t="n">
        <v>51.94344</v>
      </c>
      <c r="V447" t="n">
        <v>46.15477</v>
      </c>
      <c r="W447" t="n">
        <v>15.30227</v>
      </c>
      <c r="X447" t="n">
        <v/>
      </c>
      <c r="Y447" t="n">
        <v/>
      </c>
      <c r="Z447" t="n">
        <v/>
      </c>
      <c r="AA447" t="n">
        <v>48.80131</v>
      </c>
      <c r="AB447" t="n">
        <v/>
      </c>
      <c r="AC447" t="n">
        <v>13.96997</v>
      </c>
      <c r="AD447" t="n">
        <v>40.83758</v>
      </c>
      <c r="AE447" t="n">
        <v>86.38332</v>
      </c>
      <c r="AF447" t="n">
        <v/>
      </c>
      <c r="AG447" t="n">
        <v/>
      </c>
      <c r="AH447" t="n">
        <v>54.06443</v>
      </c>
      <c r="AI447" t="n">
        <v/>
      </c>
      <c r="AJ447" t="n">
        <v>1.059973</v>
      </c>
      <c r="AK447" t="n">
        <v>55.21643</v>
      </c>
      <c r="AL447" t="n">
        <v>45.98045</v>
      </c>
      <c r="AM447" t="n">
        <v>31.76487</v>
      </c>
      <c r="AN447" t="n">
        <v>26.16244</v>
      </c>
      <c r="AO447" t="n">
        <v/>
      </c>
      <c r="AP447" t="n">
        <v>23.19477</v>
      </c>
      <c r="AQ447" t="n">
        <v/>
      </c>
      <c r="AR447" t="n">
        <v/>
      </c>
      <c r="AS447" t="n">
        <v/>
      </c>
      <c r="AT447" t="n">
        <v/>
      </c>
      <c r="AU447" t="n">
        <v>51.915</v>
      </c>
      <c r="AV447" t="n">
        <v/>
      </c>
      <c r="AW447" t="n">
        <v>46.19262</v>
      </c>
      <c r="AX447" t="n">
        <v/>
      </c>
    </row>
    <row r="448">
      <c r="A448" s="92" t="n">
        <v>31472</v>
      </c>
      <c r="B448" t="n">
        <v>53.9787</v>
      </c>
      <c r="C448" t="n">
        <v>53.9826</v>
      </c>
      <c r="D448" t="n">
        <v/>
      </c>
      <c r="E448" t="n">
        <v>52.1748</v>
      </c>
      <c r="F448" t="n">
        <v>66.88194</v>
      </c>
      <c r="G448" t="n">
        <v/>
      </c>
      <c r="H448" t="n">
        <v/>
      </c>
      <c r="I448" t="n">
        <v/>
      </c>
      <c r="J448" t="n">
        <v/>
      </c>
      <c r="K448" t="n">
        <v/>
      </c>
      <c r="L448" t="n">
        <v>58.95702</v>
      </c>
      <c r="M448" t="n">
        <v>51.65282</v>
      </c>
      <c r="N448" t="n">
        <v/>
      </c>
      <c r="O448" t="n">
        <v>38.46062</v>
      </c>
      <c r="P448" t="n">
        <v/>
      </c>
      <c r="Q448" t="n">
        <v/>
      </c>
      <c r="R448" t="n">
        <v>51.33952</v>
      </c>
      <c r="S448" t="n">
        <v>59.53626</v>
      </c>
      <c r="T448" t="n">
        <v/>
      </c>
      <c r="U448" t="n">
        <v>52.09086</v>
      </c>
      <c r="V448" t="n">
        <v>46.29674</v>
      </c>
      <c r="W448" t="n">
        <v>15.92037</v>
      </c>
      <c r="X448" t="n">
        <v/>
      </c>
      <c r="Y448" t="n">
        <v/>
      </c>
      <c r="Z448" t="n">
        <v/>
      </c>
      <c r="AA448" t="n">
        <v>48.80131</v>
      </c>
      <c r="AB448" t="n">
        <v/>
      </c>
      <c r="AC448" t="n">
        <v>14.27366</v>
      </c>
      <c r="AD448" t="n">
        <v>41.08819</v>
      </c>
      <c r="AE448" t="n">
        <v>86.48321</v>
      </c>
      <c r="AF448" t="n">
        <v/>
      </c>
      <c r="AG448" t="n">
        <v/>
      </c>
      <c r="AH448" t="n">
        <v>53.99558</v>
      </c>
      <c r="AI448" t="n">
        <v/>
      </c>
      <c r="AJ448" t="n">
        <v>1.110382</v>
      </c>
      <c r="AK448" t="n">
        <v>55.36764</v>
      </c>
      <c r="AL448" t="n">
        <v>46.46441</v>
      </c>
      <c r="AM448" t="n">
        <v>31.95201</v>
      </c>
      <c r="AN448" t="n">
        <v>26.28243</v>
      </c>
      <c r="AO448" t="n">
        <v/>
      </c>
      <c r="AP448" t="n">
        <v>23.45558</v>
      </c>
      <c r="AQ448" t="n">
        <v/>
      </c>
      <c r="AR448" t="n">
        <v/>
      </c>
      <c r="AS448" t="n">
        <v/>
      </c>
      <c r="AT448" t="n">
        <v/>
      </c>
      <c r="AU448" t="n">
        <v>51.96414</v>
      </c>
      <c r="AV448" t="n">
        <v/>
      </c>
      <c r="AW448" t="n">
        <v>46.35774</v>
      </c>
      <c r="AX448" t="n">
        <v/>
      </c>
    </row>
    <row r="449">
      <c r="A449" s="92" t="n">
        <v>31503</v>
      </c>
      <c r="B449" t="n">
        <v>53.95332</v>
      </c>
      <c r="C449" t="n">
        <v>54.32259</v>
      </c>
      <c r="D449" t="n">
        <v/>
      </c>
      <c r="E449" t="n">
        <v>52.44329</v>
      </c>
      <c r="F449" t="n">
        <v>66.88306</v>
      </c>
      <c r="G449" t="n">
        <v/>
      </c>
      <c r="H449" t="n">
        <v/>
      </c>
      <c r="I449" t="n">
        <v/>
      </c>
      <c r="J449" t="n">
        <v/>
      </c>
      <c r="K449" t="n">
        <v/>
      </c>
      <c r="L449" t="n">
        <v>59.00793</v>
      </c>
      <c r="M449" t="n">
        <v>52.4727</v>
      </c>
      <c r="N449" t="n">
        <v/>
      </c>
      <c r="O449" t="n">
        <v>38.70195</v>
      </c>
      <c r="P449" t="n">
        <v/>
      </c>
      <c r="Q449" t="n">
        <v/>
      </c>
      <c r="R449" t="n">
        <v>51.49796</v>
      </c>
      <c r="S449" t="n">
        <v>59.86223</v>
      </c>
      <c r="T449" t="n">
        <v/>
      </c>
      <c r="U449" t="n">
        <v>52.33113</v>
      </c>
      <c r="V449" t="n">
        <v>46.94981</v>
      </c>
      <c r="W449" t="n">
        <v>16.05168</v>
      </c>
      <c r="X449" t="n">
        <v/>
      </c>
      <c r="Y449" t="n">
        <v/>
      </c>
      <c r="Z449" t="n">
        <v/>
      </c>
      <c r="AA449" t="n">
        <v>49.5779</v>
      </c>
      <c r="AB449" t="n">
        <v/>
      </c>
      <c r="AC449" t="n">
        <v>14.77982</v>
      </c>
      <c r="AD449" t="n">
        <v>41.22038</v>
      </c>
      <c r="AE449" t="n">
        <v>87.08972</v>
      </c>
      <c r="AF449" t="n">
        <v/>
      </c>
      <c r="AG449" t="n">
        <v/>
      </c>
      <c r="AH449" t="n">
        <v>54.07391</v>
      </c>
      <c r="AI449" t="n">
        <v/>
      </c>
      <c r="AJ449" t="n">
        <v>1.162208</v>
      </c>
      <c r="AK449" t="n">
        <v>55.58824</v>
      </c>
      <c r="AL449" t="n">
        <v>46.75539</v>
      </c>
      <c r="AM449" t="n">
        <v>32.18314</v>
      </c>
      <c r="AN449" t="n">
        <v>26.42344</v>
      </c>
      <c r="AO449" t="n">
        <v/>
      </c>
      <c r="AP449" t="n">
        <v>23.68189</v>
      </c>
      <c r="AQ449" t="n">
        <v/>
      </c>
      <c r="AR449" t="n">
        <v/>
      </c>
      <c r="AS449" t="n">
        <v/>
      </c>
      <c r="AT449" t="n">
        <v/>
      </c>
      <c r="AU449" t="n">
        <v>52.3317</v>
      </c>
      <c r="AV449" t="n">
        <v/>
      </c>
      <c r="AW449" t="n">
        <v>46.52286</v>
      </c>
      <c r="AX449" t="n">
        <v/>
      </c>
    </row>
    <row r="450">
      <c r="A450" s="92" t="n">
        <v>31533</v>
      </c>
      <c r="B450" t="n">
        <v>54.04284</v>
      </c>
      <c r="C450" t="n">
        <v>54.50613</v>
      </c>
      <c r="D450" t="n">
        <v/>
      </c>
      <c r="E450" t="n">
        <v>52.88391</v>
      </c>
      <c r="F450" t="n">
        <v>66.72255</v>
      </c>
      <c r="G450" t="n">
        <v/>
      </c>
      <c r="H450" t="n">
        <v/>
      </c>
      <c r="I450" t="n">
        <v/>
      </c>
      <c r="J450" t="n">
        <v/>
      </c>
      <c r="K450" t="n">
        <v/>
      </c>
      <c r="L450" t="n">
        <v>59.10814</v>
      </c>
      <c r="M450" t="n">
        <v>52.88019</v>
      </c>
      <c r="N450" t="n">
        <v/>
      </c>
      <c r="O450" t="n">
        <v>38.84422</v>
      </c>
      <c r="P450" t="n">
        <v/>
      </c>
      <c r="Q450" t="n">
        <v/>
      </c>
      <c r="R450" t="n">
        <v>51.52275</v>
      </c>
      <c r="S450" t="n">
        <v>60.03195</v>
      </c>
      <c r="T450" t="n">
        <v/>
      </c>
      <c r="U450" t="n">
        <v>52.47476</v>
      </c>
      <c r="V450" t="n">
        <v>47.0885</v>
      </c>
      <c r="W450" t="n">
        <v>16.15828</v>
      </c>
      <c r="X450" t="n">
        <v/>
      </c>
      <c r="Y450" t="n">
        <v/>
      </c>
      <c r="Z450" t="n">
        <v/>
      </c>
      <c r="AA450" t="n">
        <v>49.5779</v>
      </c>
      <c r="AB450" t="n">
        <v/>
      </c>
      <c r="AC450" t="n">
        <v>15.08352</v>
      </c>
      <c r="AD450" t="n">
        <v>41.43441</v>
      </c>
      <c r="AE450" t="n">
        <v>87.43343</v>
      </c>
      <c r="AF450" t="n">
        <v/>
      </c>
      <c r="AG450" t="n">
        <v/>
      </c>
      <c r="AH450" t="n">
        <v>54.21201</v>
      </c>
      <c r="AI450" t="n">
        <v/>
      </c>
      <c r="AJ450" t="n">
        <v>1.217063</v>
      </c>
      <c r="AK450" t="n">
        <v>55.6229</v>
      </c>
      <c r="AL450" t="n">
        <v>46.98986</v>
      </c>
      <c r="AM450" t="n">
        <v>32.34644</v>
      </c>
      <c r="AN450" t="n">
        <v>26.50159</v>
      </c>
      <c r="AO450" t="n">
        <v/>
      </c>
      <c r="AP450" t="n">
        <v>23.74253</v>
      </c>
      <c r="AQ450" t="n">
        <v/>
      </c>
      <c r="AR450" t="n">
        <v/>
      </c>
      <c r="AS450" t="n">
        <v/>
      </c>
      <c r="AT450" t="n">
        <v/>
      </c>
      <c r="AU450" t="n">
        <v>52.31777</v>
      </c>
      <c r="AV450" t="n">
        <v/>
      </c>
      <c r="AW450" t="n">
        <v>46.60542</v>
      </c>
      <c r="AX450" t="n">
        <v/>
      </c>
    </row>
    <row r="451">
      <c r="A451" s="92" t="n">
        <v>31564</v>
      </c>
      <c r="B451" t="n">
        <v>54.30442</v>
      </c>
      <c r="C451" t="n">
        <v>54.76077</v>
      </c>
      <c r="D451" t="n">
        <v/>
      </c>
      <c r="E451" t="n">
        <v>52.99014</v>
      </c>
      <c r="F451" t="n">
        <v>66.75449999999999</v>
      </c>
      <c r="G451" t="n">
        <v/>
      </c>
      <c r="H451" t="n">
        <v/>
      </c>
      <c r="I451" t="n">
        <v/>
      </c>
      <c r="J451" t="n">
        <v/>
      </c>
      <c r="K451" t="n">
        <v/>
      </c>
      <c r="L451" t="n">
        <v>59.18121</v>
      </c>
      <c r="M451" t="n">
        <v>53.01329</v>
      </c>
      <c r="N451" t="n">
        <v/>
      </c>
      <c r="O451" t="n">
        <v>39.07776</v>
      </c>
      <c r="P451" t="n">
        <v/>
      </c>
      <c r="Q451" t="n">
        <v/>
      </c>
      <c r="R451" t="n">
        <v>51.85398</v>
      </c>
      <c r="S451" t="n">
        <v>60.24192</v>
      </c>
      <c r="T451" t="n">
        <v/>
      </c>
      <c r="U451" t="n">
        <v>52.54805</v>
      </c>
      <c r="V451" t="n">
        <v>46.9883</v>
      </c>
      <c r="W451" t="n">
        <v>16.50279</v>
      </c>
      <c r="X451" t="n">
        <v/>
      </c>
      <c r="Y451" t="n">
        <v/>
      </c>
      <c r="Z451" t="n">
        <v/>
      </c>
      <c r="AA451" t="n">
        <v>49.5779</v>
      </c>
      <c r="AB451" t="n">
        <v/>
      </c>
      <c r="AC451" t="n">
        <v>15.38721</v>
      </c>
      <c r="AD451" t="n">
        <v>41.51253</v>
      </c>
      <c r="AE451" t="n">
        <v>87.46307</v>
      </c>
      <c r="AF451" t="n">
        <v/>
      </c>
      <c r="AG451" t="n">
        <v/>
      </c>
      <c r="AH451" t="n">
        <v>54.35472</v>
      </c>
      <c r="AI451" t="n">
        <v/>
      </c>
      <c r="AJ451" t="n">
        <v>1.291582</v>
      </c>
      <c r="AK451" t="n">
        <v>55.41068</v>
      </c>
      <c r="AL451" t="n">
        <v>47.77178</v>
      </c>
      <c r="AM451" t="n">
        <v>32.53616</v>
      </c>
      <c r="AN451" t="n">
        <v>26.61879</v>
      </c>
      <c r="AO451" t="n">
        <v/>
      </c>
      <c r="AP451" t="n">
        <v>23.87532</v>
      </c>
      <c r="AQ451" t="n">
        <v/>
      </c>
      <c r="AR451" t="n">
        <v/>
      </c>
      <c r="AS451" t="n">
        <v/>
      </c>
      <c r="AT451" t="n">
        <v/>
      </c>
      <c r="AU451" t="n">
        <v>52.31237</v>
      </c>
      <c r="AV451" t="n">
        <v/>
      </c>
      <c r="AW451" t="n">
        <v>46.68798</v>
      </c>
      <c r="AX451" t="n">
        <v/>
      </c>
    </row>
    <row r="452">
      <c r="A452" s="92" t="n">
        <v>31594</v>
      </c>
      <c r="B452" t="n">
        <v>54.49276</v>
      </c>
      <c r="C452" t="n">
        <v>55.11234</v>
      </c>
      <c r="D452" t="n">
        <v/>
      </c>
      <c r="E452" t="n">
        <v>53.40619</v>
      </c>
      <c r="F452" t="n">
        <v>66.68874</v>
      </c>
      <c r="G452" t="n">
        <v/>
      </c>
      <c r="H452" t="n">
        <v/>
      </c>
      <c r="I452" t="n">
        <v/>
      </c>
      <c r="J452" t="n">
        <v/>
      </c>
      <c r="K452" t="n">
        <v/>
      </c>
      <c r="L452" t="n">
        <v>59.12973</v>
      </c>
      <c r="M452" t="n">
        <v>52.74924</v>
      </c>
      <c r="N452" t="n">
        <v/>
      </c>
      <c r="O452" t="n">
        <v>39.27895</v>
      </c>
      <c r="P452" t="n">
        <v/>
      </c>
      <c r="Q452" t="n">
        <v/>
      </c>
      <c r="R452" t="n">
        <v>51.84462</v>
      </c>
      <c r="S452" t="n">
        <v>60.46946</v>
      </c>
      <c r="T452" t="n">
        <v/>
      </c>
      <c r="U452" t="n">
        <v>52.66549</v>
      </c>
      <c r="V452" t="n">
        <v>46.94888</v>
      </c>
      <c r="W452" t="n">
        <v>16.35132</v>
      </c>
      <c r="X452" t="n">
        <v/>
      </c>
      <c r="Y452" t="n">
        <v/>
      </c>
      <c r="Z452" t="n">
        <v/>
      </c>
      <c r="AA452" t="n">
        <v>49.74163</v>
      </c>
      <c r="AB452" t="n">
        <v/>
      </c>
      <c r="AC452" t="n">
        <v>15.48844</v>
      </c>
      <c r="AD452" t="n">
        <v>41.59484</v>
      </c>
      <c r="AE452" t="n">
        <v>87.39391000000001</v>
      </c>
      <c r="AF452" t="n">
        <v/>
      </c>
      <c r="AG452" t="n">
        <v/>
      </c>
      <c r="AH452" t="n">
        <v>54.53864</v>
      </c>
      <c r="AI452" t="n">
        <v/>
      </c>
      <c r="AJ452" t="n">
        <v>1.364025</v>
      </c>
      <c r="AK452" t="n">
        <v>55.21048</v>
      </c>
      <c r="AL452" t="n">
        <v>48.11616</v>
      </c>
      <c r="AM452" t="n">
        <v>32.73316</v>
      </c>
      <c r="AN452" t="n">
        <v>26.66822</v>
      </c>
      <c r="AO452" t="n">
        <v/>
      </c>
      <c r="AP452" t="n">
        <v>23.89919</v>
      </c>
      <c r="AQ452" t="n">
        <v/>
      </c>
      <c r="AR452" t="n">
        <v/>
      </c>
      <c r="AS452" t="n">
        <v/>
      </c>
      <c r="AT452" t="n">
        <v/>
      </c>
      <c r="AU452" t="n">
        <v>52.5191</v>
      </c>
      <c r="AV452" t="n">
        <v/>
      </c>
      <c r="AW452" t="n">
        <v>46.8531</v>
      </c>
      <c r="AX452" t="n">
        <v/>
      </c>
    </row>
    <row r="453">
      <c r="A453" s="92" t="n">
        <v>31625</v>
      </c>
      <c r="B453" t="n">
        <v>54.69259</v>
      </c>
      <c r="C453" t="n">
        <v>55.24779</v>
      </c>
      <c r="D453" t="n">
        <v/>
      </c>
      <c r="E453" t="n">
        <v>53.47514</v>
      </c>
      <c r="F453" t="n">
        <v>67.18651</v>
      </c>
      <c r="G453" t="n">
        <v/>
      </c>
      <c r="H453" t="n">
        <v/>
      </c>
      <c r="I453" t="n">
        <v/>
      </c>
      <c r="J453" t="n">
        <v/>
      </c>
      <c r="K453" t="n">
        <v/>
      </c>
      <c r="L453" t="n">
        <v>58.9817</v>
      </c>
      <c r="M453" t="n">
        <v>52.92413</v>
      </c>
      <c r="N453" t="n">
        <v/>
      </c>
      <c r="O453" t="n">
        <v>39.3751</v>
      </c>
      <c r="P453" t="n">
        <v/>
      </c>
      <c r="Q453" t="n">
        <v/>
      </c>
      <c r="R453" t="n">
        <v>52.02954</v>
      </c>
      <c r="S453" t="n">
        <v>60.61812</v>
      </c>
      <c r="T453" t="n">
        <v/>
      </c>
      <c r="U453" t="n">
        <v>52.73752</v>
      </c>
      <c r="V453" t="n">
        <v>47.12886</v>
      </c>
      <c r="W453" t="n">
        <v>16.30561</v>
      </c>
      <c r="X453" t="n">
        <v/>
      </c>
      <c r="Y453" t="n">
        <v/>
      </c>
      <c r="Z453" t="n">
        <v/>
      </c>
      <c r="AA453" t="n">
        <v>49.74163</v>
      </c>
      <c r="AB453" t="n">
        <v/>
      </c>
      <c r="AC453" t="n">
        <v>15.69091</v>
      </c>
      <c r="AD453" t="n">
        <v>41.75689</v>
      </c>
      <c r="AE453" t="n">
        <v>87.0979</v>
      </c>
      <c r="AF453" t="n">
        <v/>
      </c>
      <c r="AG453" t="n">
        <v/>
      </c>
      <c r="AH453" t="n">
        <v>54.5756</v>
      </c>
      <c r="AI453" t="n">
        <v/>
      </c>
      <c r="AJ453" t="n">
        <v>1.479833</v>
      </c>
      <c r="AK453" t="n">
        <v>55.37537</v>
      </c>
      <c r="AL453" t="n">
        <v>48.07763</v>
      </c>
      <c r="AM453" t="n">
        <v>32.94797</v>
      </c>
      <c r="AN453" t="n">
        <v>26.71858</v>
      </c>
      <c r="AO453" t="n">
        <v/>
      </c>
      <c r="AP453" t="n">
        <v>24.05989</v>
      </c>
      <c r="AQ453" t="n">
        <v/>
      </c>
      <c r="AR453" t="n">
        <v/>
      </c>
      <c r="AS453" t="n">
        <v/>
      </c>
      <c r="AT453" t="n">
        <v/>
      </c>
      <c r="AU453" t="n">
        <v>52.60184</v>
      </c>
      <c r="AV453" t="n">
        <v/>
      </c>
      <c r="AW453" t="n">
        <v>46.97694</v>
      </c>
      <c r="AX453" t="n">
        <v/>
      </c>
    </row>
    <row r="454">
      <c r="A454" s="92" t="n">
        <v>31656</v>
      </c>
      <c r="B454" t="n">
        <v>54.71927</v>
      </c>
      <c r="C454" t="n">
        <v>55.41079</v>
      </c>
      <c r="D454" t="n">
        <v/>
      </c>
      <c r="E454" t="n">
        <v>53.47841</v>
      </c>
      <c r="F454" t="n">
        <v>67.25937</v>
      </c>
      <c r="G454" t="n">
        <v/>
      </c>
      <c r="H454" t="n">
        <v/>
      </c>
      <c r="I454" t="n">
        <v/>
      </c>
      <c r="J454" t="n">
        <v/>
      </c>
      <c r="K454" t="n">
        <v/>
      </c>
      <c r="L454" t="n">
        <v>59.11472</v>
      </c>
      <c r="M454" t="n">
        <v>53.38972</v>
      </c>
      <c r="N454" t="n">
        <v/>
      </c>
      <c r="O454" t="n">
        <v>39.60798</v>
      </c>
      <c r="P454" t="n">
        <v/>
      </c>
      <c r="Q454" t="n">
        <v/>
      </c>
      <c r="R454" t="n">
        <v>52.23861</v>
      </c>
      <c r="S454" t="n">
        <v>60.80129</v>
      </c>
      <c r="T454" t="n">
        <v/>
      </c>
      <c r="U454" t="n">
        <v>52.98385</v>
      </c>
      <c r="V454" t="n">
        <v>47.32685</v>
      </c>
      <c r="W454" t="n">
        <v>16.97894</v>
      </c>
      <c r="X454" t="n">
        <v/>
      </c>
      <c r="Y454" t="n">
        <v/>
      </c>
      <c r="Z454" t="n">
        <v/>
      </c>
      <c r="AA454" t="n">
        <v>49.74163</v>
      </c>
      <c r="AB454" t="n">
        <v/>
      </c>
      <c r="AC454" t="n">
        <v>15.9946</v>
      </c>
      <c r="AD454" t="n">
        <v>41.85585</v>
      </c>
      <c r="AE454" t="n">
        <v>87.5331</v>
      </c>
      <c r="AF454" t="n">
        <v/>
      </c>
      <c r="AG454" t="n">
        <v/>
      </c>
      <c r="AH454" t="n">
        <v>54.74211</v>
      </c>
      <c r="AI454" t="n">
        <v/>
      </c>
      <c r="AJ454" t="n">
        <v>1.568222</v>
      </c>
      <c r="AK454" t="n">
        <v>55.6683</v>
      </c>
      <c r="AL454" t="n">
        <v>48.99172</v>
      </c>
      <c r="AM454" t="n">
        <v>33.23996</v>
      </c>
      <c r="AN454" t="n">
        <v>26.85974</v>
      </c>
      <c r="AO454" t="n">
        <v/>
      </c>
      <c r="AP454" t="n">
        <v>24.23796</v>
      </c>
      <c r="AQ454" t="n">
        <v/>
      </c>
      <c r="AR454" t="n">
        <v/>
      </c>
      <c r="AS454" t="n">
        <v/>
      </c>
      <c r="AT454" t="n">
        <v/>
      </c>
      <c r="AU454" t="n">
        <v>53.02074</v>
      </c>
      <c r="AV454" t="n">
        <v/>
      </c>
      <c r="AW454" t="n">
        <v>47.2659</v>
      </c>
      <c r="AX454" t="n">
        <v/>
      </c>
    </row>
    <row r="455">
      <c r="A455" s="92" t="n">
        <v>31686</v>
      </c>
      <c r="B455" t="n">
        <v>54.70615</v>
      </c>
      <c r="C455" t="n">
        <v>55.48783</v>
      </c>
      <c r="D455" t="n">
        <v/>
      </c>
      <c r="E455" t="n">
        <v>53.90366</v>
      </c>
      <c r="F455" t="n">
        <v>67.32056</v>
      </c>
      <c r="G455" t="n">
        <v/>
      </c>
      <c r="H455" t="n">
        <v/>
      </c>
      <c r="I455" t="n">
        <v/>
      </c>
      <c r="J455" t="n">
        <v/>
      </c>
      <c r="K455" t="n">
        <v/>
      </c>
      <c r="L455" t="n">
        <v>59.08367</v>
      </c>
      <c r="M455" t="n">
        <v>53.52135</v>
      </c>
      <c r="N455" t="n">
        <v/>
      </c>
      <c r="O455" t="n">
        <v>39.82433</v>
      </c>
      <c r="P455" t="n">
        <v/>
      </c>
      <c r="Q455" t="n">
        <v/>
      </c>
      <c r="R455" t="n">
        <v>52.30737</v>
      </c>
      <c r="S455" t="n">
        <v>61.03017</v>
      </c>
      <c r="T455" t="n">
        <v/>
      </c>
      <c r="U455" t="n">
        <v>53.20657</v>
      </c>
      <c r="V455" t="n">
        <v>47.46783</v>
      </c>
      <c r="W455" t="n">
        <v>17.50707</v>
      </c>
      <c r="X455" t="n">
        <v/>
      </c>
      <c r="Y455" t="n">
        <v/>
      </c>
      <c r="Z455" t="n">
        <v/>
      </c>
      <c r="AA455" t="n">
        <v>49.89539</v>
      </c>
      <c r="AB455" t="n">
        <v/>
      </c>
      <c r="AC455" t="n">
        <v>16.39953</v>
      </c>
      <c r="AD455" t="n">
        <v>42.1083</v>
      </c>
      <c r="AE455" t="n">
        <v>87.78755</v>
      </c>
      <c r="AF455" t="n">
        <v/>
      </c>
      <c r="AG455" t="n">
        <v/>
      </c>
      <c r="AH455" t="n">
        <v>54.81735</v>
      </c>
      <c r="AI455" t="n">
        <v/>
      </c>
      <c r="AJ455" t="n">
        <v>1.659886</v>
      </c>
      <c r="AK455" t="n">
        <v>55.87957</v>
      </c>
      <c r="AL455" t="n">
        <v>49.20609</v>
      </c>
      <c r="AM455" t="n">
        <v>33.58738</v>
      </c>
      <c r="AN455" t="n">
        <v>27.08347</v>
      </c>
      <c r="AO455" t="n">
        <v/>
      </c>
      <c r="AP455" t="n">
        <v>24.56999</v>
      </c>
      <c r="AQ455" t="n">
        <v/>
      </c>
      <c r="AR455" t="n">
        <v/>
      </c>
      <c r="AS455" t="n">
        <v/>
      </c>
      <c r="AT455" t="n">
        <v/>
      </c>
      <c r="AU455" t="n">
        <v>53.29302</v>
      </c>
      <c r="AV455" t="n">
        <v/>
      </c>
      <c r="AW455" t="n">
        <v>47.51359</v>
      </c>
      <c r="AX455" t="n">
        <v/>
      </c>
    </row>
    <row r="456">
      <c r="A456" s="92" t="n">
        <v>31717</v>
      </c>
      <c r="B456" t="n">
        <v>54.77646</v>
      </c>
      <c r="C456" t="n">
        <v>55.55509</v>
      </c>
      <c r="D456" t="n">
        <v/>
      </c>
      <c r="E456" t="n">
        <v>54.09939</v>
      </c>
      <c r="F456" t="n">
        <v>67.66492</v>
      </c>
      <c r="G456" t="n">
        <v/>
      </c>
      <c r="H456" t="n">
        <v/>
      </c>
      <c r="I456" t="n">
        <v/>
      </c>
      <c r="J456" t="n">
        <v/>
      </c>
      <c r="K456" t="n">
        <v/>
      </c>
      <c r="L456" t="n">
        <v>59.03584</v>
      </c>
      <c r="M456" t="n">
        <v>53.71108</v>
      </c>
      <c r="N456" t="n">
        <v/>
      </c>
      <c r="O456" t="n">
        <v>40.1526</v>
      </c>
      <c r="P456" t="n">
        <v/>
      </c>
      <c r="Q456" t="n">
        <v/>
      </c>
      <c r="R456" t="n">
        <v>52.30795</v>
      </c>
      <c r="S456" t="n">
        <v>61.16386</v>
      </c>
      <c r="T456" t="n">
        <v/>
      </c>
      <c r="U456" t="n">
        <v>53.35051</v>
      </c>
      <c r="V456" t="n">
        <v>47.96574</v>
      </c>
      <c r="W456" t="n">
        <v>17.60742</v>
      </c>
      <c r="X456" t="n">
        <v/>
      </c>
      <c r="Y456" t="n">
        <v/>
      </c>
      <c r="Z456" t="n">
        <v/>
      </c>
      <c r="AA456" t="n">
        <v>49.89539</v>
      </c>
      <c r="AB456" t="n">
        <v/>
      </c>
      <c r="AC456" t="n">
        <v>16.80445</v>
      </c>
      <c r="AD456" t="n">
        <v>42.3542</v>
      </c>
      <c r="AE456" t="n">
        <v>87.8074</v>
      </c>
      <c r="AF456" t="n">
        <v/>
      </c>
      <c r="AG456" t="n">
        <v/>
      </c>
      <c r="AH456" t="n">
        <v>54.85255</v>
      </c>
      <c r="AI456" t="n">
        <v/>
      </c>
      <c r="AJ456" t="n">
        <v>1.770827</v>
      </c>
      <c r="AK456" t="n">
        <v>55.95434</v>
      </c>
      <c r="AL456" t="n">
        <v>49.43254</v>
      </c>
      <c r="AM456" t="n">
        <v>33.85671</v>
      </c>
      <c r="AN456" t="n">
        <v>27.23273</v>
      </c>
      <c r="AO456" t="n">
        <v/>
      </c>
      <c r="AP456" t="n">
        <v>24.80875</v>
      </c>
      <c r="AQ456" t="n">
        <v/>
      </c>
      <c r="AR456" t="n">
        <v/>
      </c>
      <c r="AS456" t="n">
        <v/>
      </c>
      <c r="AT456" t="n">
        <v/>
      </c>
      <c r="AU456" t="n">
        <v>53.41189</v>
      </c>
      <c r="AV456" t="n">
        <v/>
      </c>
      <c r="AW456" t="n">
        <v>47.63743</v>
      </c>
      <c r="AX456" t="n">
        <v/>
      </c>
    </row>
    <row r="457">
      <c r="A457" s="92" t="n">
        <v>31747</v>
      </c>
      <c r="B457" t="n">
        <v>54.85521</v>
      </c>
      <c r="C457" t="n">
        <v>55.77191</v>
      </c>
      <c r="D457" t="n">
        <v/>
      </c>
      <c r="E457" t="n">
        <v>54.2102</v>
      </c>
      <c r="F457" t="n">
        <v>67.73611</v>
      </c>
      <c r="G457" t="n">
        <v/>
      </c>
      <c r="H457" t="n">
        <v/>
      </c>
      <c r="I457" t="n">
        <v/>
      </c>
      <c r="J457" t="n">
        <v/>
      </c>
      <c r="K457" t="n">
        <v/>
      </c>
      <c r="L457" t="n">
        <v>59.13122</v>
      </c>
      <c r="M457" t="n">
        <v>53.66515</v>
      </c>
      <c r="N457" t="n">
        <v/>
      </c>
      <c r="O457" t="n">
        <v>40.28925</v>
      </c>
      <c r="P457" t="n">
        <v/>
      </c>
      <c r="Q457" t="n">
        <v/>
      </c>
      <c r="R457" t="n">
        <v>52.45818</v>
      </c>
      <c r="S457" t="n">
        <v>61.25715</v>
      </c>
      <c r="T457" t="n">
        <v/>
      </c>
      <c r="U457" t="n">
        <v>53.41382</v>
      </c>
      <c r="V457" t="n">
        <v>48.09676</v>
      </c>
      <c r="W457" t="n">
        <v>17.76975</v>
      </c>
      <c r="X457" t="n">
        <v/>
      </c>
      <c r="Y457" t="n">
        <v/>
      </c>
      <c r="Z457" t="n">
        <v/>
      </c>
      <c r="AA457" t="n">
        <v>49.89539</v>
      </c>
      <c r="AB457" t="n">
        <v/>
      </c>
      <c r="AC457" t="n">
        <v>17.00692</v>
      </c>
      <c r="AD457" t="n">
        <v>42.52902</v>
      </c>
      <c r="AE457" t="n">
        <v>87.72902000000001</v>
      </c>
      <c r="AF457" t="n">
        <v/>
      </c>
      <c r="AG457" t="n">
        <v/>
      </c>
      <c r="AH457" t="n">
        <v>54.81659</v>
      </c>
      <c r="AI457" t="n">
        <v/>
      </c>
      <c r="AJ457" t="n">
        <v>1.903406</v>
      </c>
      <c r="AK457" t="n">
        <v>55.87072</v>
      </c>
      <c r="AL457" t="n">
        <v>49.68238</v>
      </c>
      <c r="AM457" t="n">
        <v>34.11069</v>
      </c>
      <c r="AN457" t="n">
        <v>27.33937</v>
      </c>
      <c r="AO457" t="n">
        <v/>
      </c>
      <c r="AP457" t="n">
        <v>25.10404</v>
      </c>
      <c r="AQ457" t="n">
        <v/>
      </c>
      <c r="AR457" t="n">
        <v/>
      </c>
      <c r="AS457" t="n">
        <v/>
      </c>
      <c r="AT457" t="n">
        <v/>
      </c>
      <c r="AU457" t="n">
        <v>53.58035</v>
      </c>
      <c r="AV457" t="n">
        <v/>
      </c>
      <c r="AW457" t="n">
        <v>47.67871</v>
      </c>
      <c r="AX457" t="n">
        <v/>
      </c>
    </row>
    <row r="458">
      <c r="A458" s="92" t="n">
        <v>31778</v>
      </c>
      <c r="B458" t="n">
        <v>54.80683</v>
      </c>
      <c r="C458" t="n">
        <v>55.90545</v>
      </c>
      <c r="D458" t="n">
        <v/>
      </c>
      <c r="E458" t="n">
        <v>54.23757</v>
      </c>
      <c r="F458" t="n">
        <v>67.94082</v>
      </c>
      <c r="G458" t="n">
        <v/>
      </c>
      <c r="H458" t="n">
        <v/>
      </c>
      <c r="I458" t="n">
        <v/>
      </c>
      <c r="J458" t="n">
        <v/>
      </c>
      <c r="K458" t="n">
        <v/>
      </c>
      <c r="L458" t="n">
        <v>59.45369</v>
      </c>
      <c r="M458" t="n">
        <v>53.57797</v>
      </c>
      <c r="N458" t="n">
        <v/>
      </c>
      <c r="O458" t="n">
        <v>40.54823</v>
      </c>
      <c r="P458" t="n">
        <v/>
      </c>
      <c r="Q458" t="n">
        <v/>
      </c>
      <c r="R458" t="n">
        <v>53.11299</v>
      </c>
      <c r="S458" t="n">
        <v>61.71636</v>
      </c>
      <c r="T458" t="n">
        <v/>
      </c>
      <c r="U458" t="n">
        <v>53.55119</v>
      </c>
      <c r="V458" t="n">
        <v>48.21262</v>
      </c>
      <c r="W458" t="n">
        <v>17.97375</v>
      </c>
      <c r="X458" t="n">
        <v/>
      </c>
      <c r="Y458" t="n">
        <v/>
      </c>
      <c r="Z458" t="n">
        <v/>
      </c>
      <c r="AA458" t="n">
        <v>50.91955</v>
      </c>
      <c r="AB458" t="n">
        <v/>
      </c>
      <c r="AC458" t="n">
        <v>17.20938</v>
      </c>
      <c r="AD458" t="n">
        <v>42.74596</v>
      </c>
      <c r="AE458" t="n">
        <v>87.44665000000001</v>
      </c>
      <c r="AF458" t="n">
        <v/>
      </c>
      <c r="AG458" t="n">
        <v/>
      </c>
      <c r="AH458" t="n">
        <v>54.9203</v>
      </c>
      <c r="AI458" t="n">
        <v/>
      </c>
      <c r="AJ458" t="n">
        <v>2.073088</v>
      </c>
      <c r="AK458" t="n">
        <v>55.41525</v>
      </c>
      <c r="AL458" t="n">
        <v>50.23555</v>
      </c>
      <c r="AM458" t="n">
        <v>34.35469</v>
      </c>
      <c r="AN458" t="n">
        <v>27.49941</v>
      </c>
      <c r="AO458" t="n">
        <v/>
      </c>
      <c r="AP458" t="n">
        <v>25.5355</v>
      </c>
      <c r="AQ458" t="n">
        <v/>
      </c>
      <c r="AR458" t="n">
        <v/>
      </c>
      <c r="AS458" t="n">
        <v/>
      </c>
      <c r="AT458" t="n">
        <v/>
      </c>
      <c r="AU458" t="n">
        <v>54.05579</v>
      </c>
      <c r="AV458" t="n">
        <v/>
      </c>
      <c r="AW458" t="n">
        <v>47.80255</v>
      </c>
      <c r="AX458" t="n">
        <v/>
      </c>
    </row>
    <row r="459">
      <c r="A459" s="92" t="n">
        <v>31809</v>
      </c>
      <c r="B459" t="n">
        <v>54.77233</v>
      </c>
      <c r="C459" t="n">
        <v>56.27757</v>
      </c>
      <c r="D459" t="n">
        <v/>
      </c>
      <c r="E459" t="n">
        <v>54.4382</v>
      </c>
      <c r="F459" t="n">
        <v>68.2086</v>
      </c>
      <c r="G459" t="n">
        <v/>
      </c>
      <c r="H459" t="n">
        <v/>
      </c>
      <c r="I459" t="n">
        <v/>
      </c>
      <c r="J459" t="n">
        <v/>
      </c>
      <c r="K459" t="n">
        <v/>
      </c>
      <c r="L459" t="n">
        <v>59.55564</v>
      </c>
      <c r="M459" t="n">
        <v>53.74815</v>
      </c>
      <c r="N459" t="n">
        <v/>
      </c>
      <c r="O459" t="n">
        <v>40.88354</v>
      </c>
      <c r="P459" t="n">
        <v/>
      </c>
      <c r="Q459" t="n">
        <v/>
      </c>
      <c r="R459" t="n">
        <v>53.34464</v>
      </c>
      <c r="S459" t="n">
        <v>61.91696</v>
      </c>
      <c r="T459" t="n">
        <v/>
      </c>
      <c r="U459" t="n">
        <v>53.68507</v>
      </c>
      <c r="V459" t="n">
        <v>48.35416</v>
      </c>
      <c r="W459" t="n">
        <v>18.03761</v>
      </c>
      <c r="X459" t="n">
        <v/>
      </c>
      <c r="Y459" t="n">
        <v/>
      </c>
      <c r="Z459" t="n">
        <v/>
      </c>
      <c r="AA459" t="n">
        <v>50.91955</v>
      </c>
      <c r="AB459" t="n">
        <v/>
      </c>
      <c r="AC459" t="n">
        <v>17.61431</v>
      </c>
      <c r="AD459" t="n">
        <v>43.01063</v>
      </c>
      <c r="AE459" t="n">
        <v>87.42661</v>
      </c>
      <c r="AF459" t="n">
        <v/>
      </c>
      <c r="AG459" t="n">
        <v/>
      </c>
      <c r="AH459" t="n">
        <v>54.92298</v>
      </c>
      <c r="AI459" t="n">
        <v/>
      </c>
      <c r="AJ459" t="n">
        <v>2.216724</v>
      </c>
      <c r="AK459" t="n">
        <v>55.5227</v>
      </c>
      <c r="AL459" t="n">
        <v>50.8097</v>
      </c>
      <c r="AM459" t="n">
        <v>34.56605</v>
      </c>
      <c r="AN459" t="n">
        <v>27.63834</v>
      </c>
      <c r="AO459" t="n">
        <v/>
      </c>
      <c r="AP459" t="n">
        <v>25.76875</v>
      </c>
      <c r="AQ459" t="n">
        <v/>
      </c>
      <c r="AR459" t="n">
        <v/>
      </c>
      <c r="AS459" t="n">
        <v/>
      </c>
      <c r="AT459" t="n">
        <v/>
      </c>
      <c r="AU459" t="n">
        <v>54.21802</v>
      </c>
      <c r="AV459" t="n">
        <v/>
      </c>
      <c r="AW459" t="n">
        <v>47.92639</v>
      </c>
      <c r="AX459" t="n">
        <v/>
      </c>
    </row>
    <row r="460">
      <c r="A460" s="92" t="n">
        <v>31837</v>
      </c>
      <c r="B460" t="n">
        <v>54.86854</v>
      </c>
      <c r="C460" t="n">
        <v>56.34848</v>
      </c>
      <c r="D460" t="n">
        <v/>
      </c>
      <c r="E460" t="n">
        <v>54.56956</v>
      </c>
      <c r="F460" t="n">
        <v>68.29640000000001</v>
      </c>
      <c r="G460" t="n">
        <v/>
      </c>
      <c r="H460" t="n">
        <v/>
      </c>
      <c r="I460" t="n">
        <v/>
      </c>
      <c r="J460" t="n">
        <v/>
      </c>
      <c r="K460" t="n">
        <v/>
      </c>
      <c r="L460" t="n">
        <v>59.62215</v>
      </c>
      <c r="M460" t="n">
        <v>54.40603</v>
      </c>
      <c r="N460" t="n">
        <v/>
      </c>
      <c r="O460" t="n">
        <v>41.08254</v>
      </c>
      <c r="P460" t="n">
        <v/>
      </c>
      <c r="Q460" t="n">
        <v/>
      </c>
      <c r="R460" t="n">
        <v>53.63955</v>
      </c>
      <c r="S460" t="n">
        <v>62.06942</v>
      </c>
      <c r="T460" t="n">
        <v/>
      </c>
      <c r="U460" t="n">
        <v>53.905</v>
      </c>
      <c r="V460" t="n">
        <v>48.48809</v>
      </c>
      <c r="W460" t="n">
        <v>18.61099</v>
      </c>
      <c r="X460" t="n">
        <v/>
      </c>
      <c r="Y460" t="n">
        <v/>
      </c>
      <c r="Z460" t="n">
        <v/>
      </c>
      <c r="AA460" t="n">
        <v>50.91955</v>
      </c>
      <c r="AB460" t="n">
        <v/>
      </c>
      <c r="AC460" t="n">
        <v>17.918</v>
      </c>
      <c r="AD460" t="n">
        <v>43.14709</v>
      </c>
      <c r="AE460" t="n">
        <v>87.60348</v>
      </c>
      <c r="AF460" t="n">
        <v/>
      </c>
      <c r="AG460" t="n">
        <v/>
      </c>
      <c r="AH460" t="n">
        <v>54.93419</v>
      </c>
      <c r="AI460" t="n">
        <v/>
      </c>
      <c r="AJ460" t="n">
        <v>2.366842</v>
      </c>
      <c r="AK460" t="n">
        <v>55.69098</v>
      </c>
      <c r="AL460" t="n">
        <v>51.55392</v>
      </c>
      <c r="AM460" t="n">
        <v>34.8269</v>
      </c>
      <c r="AN460" t="n">
        <v>27.75393</v>
      </c>
      <c r="AO460" t="n">
        <v/>
      </c>
      <c r="AP460" t="n">
        <v>26.04574</v>
      </c>
      <c r="AQ460" t="n">
        <v/>
      </c>
      <c r="AR460" t="n">
        <v/>
      </c>
      <c r="AS460" t="n">
        <v/>
      </c>
      <c r="AT460" t="n">
        <v/>
      </c>
      <c r="AU460" t="n">
        <v>54.36595</v>
      </c>
      <c r="AV460" t="n">
        <v/>
      </c>
      <c r="AW460" t="n">
        <v>48.21535</v>
      </c>
      <c r="AX460" t="n">
        <v/>
      </c>
    </row>
    <row r="461">
      <c r="A461" s="92" t="n">
        <v>31868</v>
      </c>
      <c r="B461" t="n">
        <v>54.88789</v>
      </c>
      <c r="C461" t="n">
        <v>56.63988</v>
      </c>
      <c r="D461" t="n">
        <v/>
      </c>
      <c r="E461" t="n">
        <v>54.94608</v>
      </c>
      <c r="F461" t="n">
        <v>68.30569</v>
      </c>
      <c r="G461" t="n">
        <v/>
      </c>
      <c r="H461" t="n">
        <v/>
      </c>
      <c r="I461" t="n">
        <v/>
      </c>
      <c r="J461" t="n">
        <v/>
      </c>
      <c r="K461" t="n">
        <v/>
      </c>
      <c r="L461" t="n">
        <v>59.79937</v>
      </c>
      <c r="M461" t="n">
        <v>54.58387</v>
      </c>
      <c r="N461" t="n">
        <v/>
      </c>
      <c r="O461" t="n">
        <v>41.3533</v>
      </c>
      <c r="P461" t="n">
        <v/>
      </c>
      <c r="Q461" t="n">
        <v/>
      </c>
      <c r="R461" t="n">
        <v>53.87558</v>
      </c>
      <c r="S461" t="n">
        <v>62.43713</v>
      </c>
      <c r="T461" t="n">
        <v/>
      </c>
      <c r="U461" t="n">
        <v>54.22494</v>
      </c>
      <c r="V461" t="n">
        <v>49.16202</v>
      </c>
      <c r="W461" t="n">
        <v>19.01264</v>
      </c>
      <c r="X461" t="n">
        <v/>
      </c>
      <c r="Y461" t="n">
        <v/>
      </c>
      <c r="Z461" t="n">
        <v/>
      </c>
      <c r="AA461" t="n">
        <v>51.20048</v>
      </c>
      <c r="AB461" t="n">
        <v/>
      </c>
      <c r="AC461" t="n">
        <v>18.32293</v>
      </c>
      <c r="AD461" t="n">
        <v>43.32036</v>
      </c>
      <c r="AE461" t="n">
        <v>88.31371</v>
      </c>
      <c r="AF461" t="n">
        <v/>
      </c>
      <c r="AG461" t="n">
        <v/>
      </c>
      <c r="AH461" t="n">
        <v>54.93339</v>
      </c>
      <c r="AI461" t="n">
        <v/>
      </c>
      <c r="AJ461" t="n">
        <v>2.553577</v>
      </c>
      <c r="AK461" t="n">
        <v>55.89544</v>
      </c>
      <c r="AL461" t="n">
        <v>51.85576</v>
      </c>
      <c r="AM461" t="n">
        <v>35.18222</v>
      </c>
      <c r="AN461" t="n">
        <v>27.94527</v>
      </c>
      <c r="AO461" t="n">
        <v/>
      </c>
      <c r="AP461" t="n">
        <v>26.22488</v>
      </c>
      <c r="AQ461" t="n">
        <v/>
      </c>
      <c r="AR461" t="n">
        <v/>
      </c>
      <c r="AS461" t="n">
        <v/>
      </c>
      <c r="AT461" t="n">
        <v/>
      </c>
      <c r="AU461" t="n">
        <v>54.57494</v>
      </c>
      <c r="AV461" t="n">
        <v/>
      </c>
      <c r="AW461" t="n">
        <v>48.46303</v>
      </c>
      <c r="AX461" t="n">
        <v/>
      </c>
    </row>
    <row r="462">
      <c r="A462" s="92" t="n">
        <v>31898</v>
      </c>
      <c r="B462" t="n">
        <v>55.0427</v>
      </c>
      <c r="C462" t="n">
        <v>56.79663</v>
      </c>
      <c r="D462" t="n">
        <v/>
      </c>
      <c r="E462" t="n">
        <v>55.24771</v>
      </c>
      <c r="F462" t="n">
        <v>67.99974</v>
      </c>
      <c r="G462" t="n">
        <v/>
      </c>
      <c r="H462" t="n">
        <v/>
      </c>
      <c r="I462" t="n">
        <v/>
      </c>
      <c r="J462" t="n">
        <v/>
      </c>
      <c r="K462" t="n">
        <v/>
      </c>
      <c r="L462" t="n">
        <v>59.77369</v>
      </c>
      <c r="M462" t="n">
        <v>55.2253</v>
      </c>
      <c r="N462" t="n">
        <v/>
      </c>
      <c r="O462" t="n">
        <v>41.49398</v>
      </c>
      <c r="P462" t="n">
        <v/>
      </c>
      <c r="Q462" t="n">
        <v/>
      </c>
      <c r="R462" t="n">
        <v>54.04895</v>
      </c>
      <c r="S462" t="n">
        <v>62.56469</v>
      </c>
      <c r="T462" t="n">
        <v/>
      </c>
      <c r="U462" t="n">
        <v>54.31928</v>
      </c>
      <c r="V462" t="n">
        <v>49.1908</v>
      </c>
      <c r="W462" t="n">
        <v>19.14353</v>
      </c>
      <c r="X462" t="n">
        <v/>
      </c>
      <c r="Y462" t="n">
        <v/>
      </c>
      <c r="Z462" t="n">
        <v/>
      </c>
      <c r="AA462" t="n">
        <v>51.20048</v>
      </c>
      <c r="AB462" t="n">
        <v/>
      </c>
      <c r="AC462" t="n">
        <v>18.62662</v>
      </c>
      <c r="AD462" t="n">
        <v>43.53173</v>
      </c>
      <c r="AE462" t="n">
        <v>88.42179</v>
      </c>
      <c r="AF462" t="n">
        <v/>
      </c>
      <c r="AG462" t="n">
        <v/>
      </c>
      <c r="AH462" t="n">
        <v>54.91</v>
      </c>
      <c r="AI462" t="n">
        <v/>
      </c>
      <c r="AJ462" t="n">
        <v>2.749735</v>
      </c>
      <c r="AK462" t="n">
        <v>55.86115</v>
      </c>
      <c r="AL462" t="n">
        <v>51.98283</v>
      </c>
      <c r="AM462" t="n">
        <v>35.39722</v>
      </c>
      <c r="AN462" t="n">
        <v>28.01161</v>
      </c>
      <c r="AO462" t="n">
        <v/>
      </c>
      <c r="AP462" t="n">
        <v>26.37116</v>
      </c>
      <c r="AQ462" t="n">
        <v/>
      </c>
      <c r="AR462" t="n">
        <v/>
      </c>
      <c r="AS462" t="n">
        <v/>
      </c>
      <c r="AT462" t="n">
        <v/>
      </c>
      <c r="AU462" t="n">
        <v>54.66781</v>
      </c>
      <c r="AV462" t="n">
        <v/>
      </c>
      <c r="AW462" t="n">
        <v>48.54559</v>
      </c>
      <c r="AX462" t="n">
        <v/>
      </c>
    </row>
    <row r="463">
      <c r="A463" s="92" t="n">
        <v>31929</v>
      </c>
      <c r="B463" t="n">
        <v>55.58392</v>
      </c>
      <c r="C463" t="n">
        <v>56.94257</v>
      </c>
      <c r="D463" t="n">
        <v/>
      </c>
      <c r="E463" t="n">
        <v>55.23355</v>
      </c>
      <c r="F463" t="n">
        <v>68.06107</v>
      </c>
      <c r="G463" t="n">
        <v/>
      </c>
      <c r="H463" t="n">
        <v/>
      </c>
      <c r="I463" t="n">
        <v/>
      </c>
      <c r="J463" t="n">
        <v/>
      </c>
      <c r="K463" t="n">
        <v/>
      </c>
      <c r="L463" t="n">
        <v>59.83524</v>
      </c>
      <c r="M463" t="n">
        <v>55.25354</v>
      </c>
      <c r="N463" t="n">
        <v/>
      </c>
      <c r="O463" t="n">
        <v>41.58172</v>
      </c>
      <c r="P463" t="n">
        <v/>
      </c>
      <c r="Q463" t="n">
        <v/>
      </c>
      <c r="R463" t="n">
        <v>54.29436</v>
      </c>
      <c r="S463" t="n">
        <v>62.70299</v>
      </c>
      <c r="T463" t="n">
        <v/>
      </c>
      <c r="U463" t="n">
        <v>54.38453</v>
      </c>
      <c r="V463" t="n">
        <v>49.25158</v>
      </c>
      <c r="W463" t="n">
        <v>19.58535</v>
      </c>
      <c r="X463" t="n">
        <v/>
      </c>
      <c r="Y463" t="n">
        <v/>
      </c>
      <c r="Z463" t="n">
        <v/>
      </c>
      <c r="AA463" t="n">
        <v>51.20048</v>
      </c>
      <c r="AB463" t="n">
        <v/>
      </c>
      <c r="AC463" t="n">
        <v>18.82909</v>
      </c>
      <c r="AD463" t="n">
        <v>43.68872</v>
      </c>
      <c r="AE463" t="n">
        <v>88.52141</v>
      </c>
      <c r="AF463" t="n">
        <v/>
      </c>
      <c r="AG463" t="n">
        <v/>
      </c>
      <c r="AH463" t="n">
        <v>54.86027</v>
      </c>
      <c r="AI463" t="n">
        <v/>
      </c>
      <c r="AJ463" t="n">
        <v>2.957545</v>
      </c>
      <c r="AK463" t="n">
        <v>55.85275</v>
      </c>
      <c r="AL463" t="n">
        <v>52.28941</v>
      </c>
      <c r="AM463" t="n">
        <v>35.62124</v>
      </c>
      <c r="AN463" t="n">
        <v>28.12911</v>
      </c>
      <c r="AO463" t="n">
        <v/>
      </c>
      <c r="AP463" t="n">
        <v>26.41409</v>
      </c>
      <c r="AQ463" t="n">
        <v/>
      </c>
      <c r="AR463" t="n">
        <v/>
      </c>
      <c r="AS463" t="n">
        <v/>
      </c>
      <c r="AT463" t="n">
        <v/>
      </c>
      <c r="AU463" t="n">
        <v>54.67599</v>
      </c>
      <c r="AV463" t="n">
        <v/>
      </c>
      <c r="AW463" t="n">
        <v>48.58687</v>
      </c>
      <c r="AX463" t="n">
        <v/>
      </c>
    </row>
    <row r="464">
      <c r="A464" s="92" t="n">
        <v>31959</v>
      </c>
      <c r="B464" t="n">
        <v>56.10999</v>
      </c>
      <c r="C464" t="n">
        <v>57.18097</v>
      </c>
      <c r="D464" t="n">
        <v/>
      </c>
      <c r="E464" t="n">
        <v>55.60582</v>
      </c>
      <c r="F464" t="n">
        <v>68.09676</v>
      </c>
      <c r="G464" t="n">
        <v/>
      </c>
      <c r="H464" t="n">
        <v/>
      </c>
      <c r="I464" t="n">
        <v/>
      </c>
      <c r="J464" t="n">
        <v/>
      </c>
      <c r="K464" t="n">
        <v/>
      </c>
      <c r="L464" t="n">
        <v>59.83874</v>
      </c>
      <c r="M464" t="n">
        <v>55.11429</v>
      </c>
      <c r="N464" t="n">
        <v/>
      </c>
      <c r="O464" t="n">
        <v>41.81679</v>
      </c>
      <c r="P464" t="n">
        <v/>
      </c>
      <c r="Q464" t="n">
        <v/>
      </c>
      <c r="R464" t="n">
        <v>54.26302</v>
      </c>
      <c r="S464" t="n">
        <v>62.86087</v>
      </c>
      <c r="T464" t="n">
        <v/>
      </c>
      <c r="U464" t="n">
        <v>54.4874</v>
      </c>
      <c r="V464" t="n">
        <v>49.29211</v>
      </c>
      <c r="W464" t="n">
        <v>19.41614</v>
      </c>
      <c r="X464" t="n">
        <v/>
      </c>
      <c r="Y464" t="n">
        <v/>
      </c>
      <c r="Z464" t="n">
        <v/>
      </c>
      <c r="AA464" t="n">
        <v>51.54237</v>
      </c>
      <c r="AB464" t="n">
        <v/>
      </c>
      <c r="AC464" t="n">
        <v>19.03155</v>
      </c>
      <c r="AD464" t="n">
        <v>43.79936</v>
      </c>
      <c r="AE464" t="n">
        <v>88.47056000000001</v>
      </c>
      <c r="AF464" t="n">
        <v/>
      </c>
      <c r="AG464" t="n">
        <v/>
      </c>
      <c r="AH464" t="n">
        <v>54.835</v>
      </c>
      <c r="AI464" t="n">
        <v/>
      </c>
      <c r="AJ464" t="n">
        <v>3.208279</v>
      </c>
      <c r="AK464" t="n">
        <v>55.83419</v>
      </c>
      <c r="AL464" t="n">
        <v>52.21966</v>
      </c>
      <c r="AM464" t="n">
        <v>35.89225</v>
      </c>
      <c r="AN464" t="n">
        <v>28.20291</v>
      </c>
      <c r="AO464" t="n">
        <v/>
      </c>
      <c r="AP464" t="n">
        <v>26.56848</v>
      </c>
      <c r="AQ464" t="n">
        <v/>
      </c>
      <c r="AR464" t="n">
        <v/>
      </c>
      <c r="AS464" t="n">
        <v/>
      </c>
      <c r="AT464" t="n">
        <v/>
      </c>
      <c r="AU464" t="n">
        <v>54.87546</v>
      </c>
      <c r="AV464" t="n">
        <v/>
      </c>
      <c r="AW464" t="n">
        <v>48.71071</v>
      </c>
      <c r="AX464" t="n">
        <v/>
      </c>
    </row>
    <row r="465">
      <c r="A465" s="92" t="n">
        <v>31990</v>
      </c>
      <c r="B465" t="n">
        <v>56.34711</v>
      </c>
      <c r="C465" t="n">
        <v>57.21567</v>
      </c>
      <c r="D465" t="n">
        <v/>
      </c>
      <c r="E465" t="n">
        <v>55.83272</v>
      </c>
      <c r="F465" t="n">
        <v>68.47355</v>
      </c>
      <c r="G465" t="n">
        <v/>
      </c>
      <c r="H465" t="n">
        <v/>
      </c>
      <c r="I465" t="n">
        <v/>
      </c>
      <c r="J465" t="n">
        <v/>
      </c>
      <c r="K465" t="n">
        <v/>
      </c>
      <c r="L465" t="n">
        <v>59.84415</v>
      </c>
      <c r="M465" t="n">
        <v>55.28156</v>
      </c>
      <c r="N465" t="n">
        <v/>
      </c>
      <c r="O465" t="n">
        <v>41.88003</v>
      </c>
      <c r="P465" t="n">
        <v/>
      </c>
      <c r="Q465" t="n">
        <v/>
      </c>
      <c r="R465" t="n">
        <v>54.38514</v>
      </c>
      <c r="S465" t="n">
        <v>62.9891</v>
      </c>
      <c r="T465" t="n">
        <v/>
      </c>
      <c r="U465" t="n">
        <v>54.65023</v>
      </c>
      <c r="V465" t="n">
        <v>49.45476</v>
      </c>
      <c r="W465" t="n">
        <v>19.28327</v>
      </c>
      <c r="X465" t="n">
        <v/>
      </c>
      <c r="Y465" t="n">
        <v/>
      </c>
      <c r="Z465" t="n">
        <v/>
      </c>
      <c r="AA465" t="n">
        <v>51.54237</v>
      </c>
      <c r="AB465" t="n">
        <v/>
      </c>
      <c r="AC465" t="n">
        <v>19.33525</v>
      </c>
      <c r="AD465" t="n">
        <v>43.97712</v>
      </c>
      <c r="AE465" t="n">
        <v>88.21091</v>
      </c>
      <c r="AF465" t="n">
        <v/>
      </c>
      <c r="AG465" t="n">
        <v/>
      </c>
      <c r="AH465" t="n">
        <v>54.94957</v>
      </c>
      <c r="AI465" t="n">
        <v/>
      </c>
      <c r="AJ465" t="n">
        <v>3.462465</v>
      </c>
      <c r="AK465" t="n">
        <v>55.94492</v>
      </c>
      <c r="AL465" t="n">
        <v>52.17053</v>
      </c>
      <c r="AM465" t="n">
        <v>36.17476</v>
      </c>
      <c r="AN465" t="n">
        <v>28.26314</v>
      </c>
      <c r="AO465" t="n">
        <v/>
      </c>
      <c r="AP465" t="n">
        <v>26.71912</v>
      </c>
      <c r="AQ465" t="n">
        <v/>
      </c>
      <c r="AR465" t="n">
        <v/>
      </c>
      <c r="AS465" t="n">
        <v/>
      </c>
      <c r="AT465" t="n">
        <v/>
      </c>
      <c r="AU465" t="n">
        <v>55.10529</v>
      </c>
      <c r="AV465" t="n">
        <v/>
      </c>
      <c r="AW465" t="n">
        <v>48.9584</v>
      </c>
      <c r="AX465" t="n">
        <v/>
      </c>
    </row>
    <row r="466">
      <c r="A466" s="92" t="n">
        <v>32021</v>
      </c>
      <c r="B466" t="n">
        <v>55.93889</v>
      </c>
      <c r="C466" t="n">
        <v>57.22251</v>
      </c>
      <c r="D466" t="n">
        <v/>
      </c>
      <c r="E466" t="n">
        <v>55.8664</v>
      </c>
      <c r="F466" t="n">
        <v>68.49232000000001</v>
      </c>
      <c r="G466" t="n">
        <v/>
      </c>
      <c r="H466" t="n">
        <v/>
      </c>
      <c r="I466" t="n">
        <v/>
      </c>
      <c r="J466" t="n">
        <v/>
      </c>
      <c r="K466" t="n">
        <v/>
      </c>
      <c r="L466" t="n">
        <v>59.86457</v>
      </c>
      <c r="M466" t="n">
        <v>55.73335</v>
      </c>
      <c r="N466" t="n">
        <v/>
      </c>
      <c r="O466" t="n">
        <v>42.10312</v>
      </c>
      <c r="P466" t="n">
        <v/>
      </c>
      <c r="Q466" t="n">
        <v/>
      </c>
      <c r="R466" t="n">
        <v>54.78079</v>
      </c>
      <c r="S466" t="n">
        <v>63.06879</v>
      </c>
      <c r="T466" t="n">
        <v/>
      </c>
      <c r="U466" t="n">
        <v>54.91759</v>
      </c>
      <c r="V466" t="n">
        <v>49.68245</v>
      </c>
      <c r="W466" t="n">
        <v>19.73395</v>
      </c>
      <c r="X466" t="n">
        <v/>
      </c>
      <c r="Y466" t="n">
        <v/>
      </c>
      <c r="Z466" t="n">
        <v/>
      </c>
      <c r="AA466" t="n">
        <v>51.54237</v>
      </c>
      <c r="AB466" t="n">
        <v/>
      </c>
      <c r="AC466" t="n">
        <v>19.53771</v>
      </c>
      <c r="AD466" t="n">
        <v>44.19736</v>
      </c>
      <c r="AE466" t="n">
        <v>88.65598</v>
      </c>
      <c r="AF466" t="n">
        <v/>
      </c>
      <c r="AG466" t="n">
        <v/>
      </c>
      <c r="AH466" t="n">
        <v>54.99702</v>
      </c>
      <c r="AI466" t="n">
        <v/>
      </c>
      <c r="AJ466" t="n">
        <v>3.702034</v>
      </c>
      <c r="AK466" t="n">
        <v>56.17515</v>
      </c>
      <c r="AL466" t="n">
        <v>53.1552</v>
      </c>
      <c r="AM466" t="n">
        <v>36.54444</v>
      </c>
      <c r="AN466" t="n">
        <v>28.42796</v>
      </c>
      <c r="AO466" t="n">
        <v/>
      </c>
      <c r="AP466" t="n">
        <v>26.85835</v>
      </c>
      <c r="AQ466" t="n">
        <v/>
      </c>
      <c r="AR466" t="n">
        <v/>
      </c>
      <c r="AS466" t="n">
        <v/>
      </c>
      <c r="AT466" t="n">
        <v/>
      </c>
      <c r="AU466" t="n">
        <v>55.64563</v>
      </c>
      <c r="AV466" t="n">
        <v/>
      </c>
      <c r="AW466" t="n">
        <v>49.28864</v>
      </c>
      <c r="AX466" t="n">
        <v/>
      </c>
    </row>
    <row r="467">
      <c r="A467" s="92" t="n">
        <v>32051</v>
      </c>
      <c r="B467" t="n">
        <v>55.77768</v>
      </c>
      <c r="C467" t="n">
        <v>57.087</v>
      </c>
      <c r="D467" t="n">
        <v/>
      </c>
      <c r="E467" t="n">
        <v>56.07493</v>
      </c>
      <c r="F467" t="n">
        <v>68.77164</v>
      </c>
      <c r="G467" t="n">
        <v/>
      </c>
      <c r="H467" t="n">
        <v/>
      </c>
      <c r="I467" t="n">
        <v/>
      </c>
      <c r="J467" t="n">
        <v/>
      </c>
      <c r="K467" t="n">
        <v/>
      </c>
      <c r="L467" t="n">
        <v>59.96871</v>
      </c>
      <c r="M467" t="n">
        <v>55.9274</v>
      </c>
      <c r="N467" t="n">
        <v/>
      </c>
      <c r="O467" t="n">
        <v>42.36199</v>
      </c>
      <c r="P467" t="n">
        <v/>
      </c>
      <c r="Q467" t="n">
        <v/>
      </c>
      <c r="R467" t="n">
        <v>54.84404</v>
      </c>
      <c r="S467" t="n">
        <v>63.2445</v>
      </c>
      <c r="T467" t="n">
        <v/>
      </c>
      <c r="U467" t="n">
        <v>55.17835</v>
      </c>
      <c r="V467" t="n">
        <v>49.95935</v>
      </c>
      <c r="W467" t="n">
        <v>20.54536</v>
      </c>
      <c r="X467" t="n">
        <v/>
      </c>
      <c r="Y467" t="n">
        <v/>
      </c>
      <c r="Z467" t="n">
        <v/>
      </c>
      <c r="AA467" t="n">
        <v>51.55107</v>
      </c>
      <c r="AB467" t="n">
        <v/>
      </c>
      <c r="AC467" t="n">
        <v>19.8414</v>
      </c>
      <c r="AD467" t="n">
        <v>44.58958</v>
      </c>
      <c r="AE467" t="n">
        <v>88.79961</v>
      </c>
      <c r="AF467" t="n">
        <v/>
      </c>
      <c r="AG467" t="n">
        <v/>
      </c>
      <c r="AH467" t="n">
        <v>55.01571</v>
      </c>
      <c r="AI467" t="n">
        <v/>
      </c>
      <c r="AJ467" t="n">
        <v>4.016098</v>
      </c>
      <c r="AK467" t="n">
        <v>56.26676</v>
      </c>
      <c r="AL467" t="n">
        <v>53.33041</v>
      </c>
      <c r="AM467" t="n">
        <v>36.9813</v>
      </c>
      <c r="AN467" t="n">
        <v>28.63727</v>
      </c>
      <c r="AO467" t="n">
        <v/>
      </c>
      <c r="AP467" t="n">
        <v>27.25867</v>
      </c>
      <c r="AQ467" t="n">
        <v/>
      </c>
      <c r="AR467" t="n">
        <v/>
      </c>
      <c r="AS467" t="n">
        <v/>
      </c>
      <c r="AT467" t="n">
        <v/>
      </c>
      <c r="AU467" t="n">
        <v>56.0753</v>
      </c>
      <c r="AV467" t="n">
        <v/>
      </c>
      <c r="AW467" t="n">
        <v>49.5776</v>
      </c>
      <c r="AX467" t="n">
        <v/>
      </c>
    </row>
    <row r="468">
      <c r="A468" s="92" t="n">
        <v>32082</v>
      </c>
      <c r="B468" t="n">
        <v>55.72635</v>
      </c>
      <c r="C468" t="n">
        <v>57.07549</v>
      </c>
      <c r="D468" t="n">
        <v/>
      </c>
      <c r="E468" t="n">
        <v>56.32822</v>
      </c>
      <c r="F468" t="n">
        <v>69.10778999999999</v>
      </c>
      <c r="G468" t="n">
        <v/>
      </c>
      <c r="H468" t="n">
        <v/>
      </c>
      <c r="I468" t="n">
        <v/>
      </c>
      <c r="J468" t="n">
        <v/>
      </c>
      <c r="K468" t="n">
        <v/>
      </c>
      <c r="L468" t="n">
        <v>59.99934</v>
      </c>
      <c r="M468" t="n">
        <v>56.27542</v>
      </c>
      <c r="N468" t="n">
        <v/>
      </c>
      <c r="O468" t="n">
        <v>42.53247</v>
      </c>
      <c r="P468" t="n">
        <v/>
      </c>
      <c r="Q468" t="n">
        <v/>
      </c>
      <c r="R468" t="n">
        <v>54.78848</v>
      </c>
      <c r="S468" t="n">
        <v>63.32201</v>
      </c>
      <c r="T468" t="n">
        <v/>
      </c>
      <c r="U468" t="n">
        <v>55.33295</v>
      </c>
      <c r="V468" t="n">
        <v>50.22202</v>
      </c>
      <c r="W468" t="n">
        <v>20.62889</v>
      </c>
      <c r="X468" t="n">
        <v/>
      </c>
      <c r="Y468" t="n">
        <v/>
      </c>
      <c r="Z468" t="n">
        <v/>
      </c>
      <c r="AA468" t="n">
        <v>51.55107</v>
      </c>
      <c r="AB468" t="n">
        <v/>
      </c>
      <c r="AC468" t="n">
        <v>20.24633</v>
      </c>
      <c r="AD468" t="n">
        <v>44.77893</v>
      </c>
      <c r="AE468" t="n">
        <v>88.88403</v>
      </c>
      <c r="AF468" t="n">
        <v/>
      </c>
      <c r="AG468" t="n">
        <v/>
      </c>
      <c r="AH468" t="n">
        <v>55.144</v>
      </c>
      <c r="AI468" t="n">
        <v/>
      </c>
      <c r="AJ468" t="n">
        <v>4.374807</v>
      </c>
      <c r="AK468" t="n">
        <v>56.26661</v>
      </c>
      <c r="AL468" t="n">
        <v>53.34233</v>
      </c>
      <c r="AM468" t="n">
        <v>37.41404</v>
      </c>
      <c r="AN468" t="n">
        <v>28.8771</v>
      </c>
      <c r="AO468" t="n">
        <v/>
      </c>
      <c r="AP468" t="n">
        <v>27.51616</v>
      </c>
      <c r="AQ468" t="n">
        <v/>
      </c>
      <c r="AR468" t="n">
        <v/>
      </c>
      <c r="AS468" t="n">
        <v/>
      </c>
      <c r="AT468" t="n">
        <v/>
      </c>
      <c r="AU468" t="n">
        <v>56.30857</v>
      </c>
      <c r="AV468" t="n">
        <v/>
      </c>
      <c r="AW468" t="n">
        <v>49.74272</v>
      </c>
      <c r="AX468" t="n">
        <v/>
      </c>
    </row>
    <row r="469">
      <c r="A469" s="92" t="n">
        <v>32112</v>
      </c>
      <c r="B469" t="n">
        <v>55.84593</v>
      </c>
      <c r="C469" t="n">
        <v>57.23103</v>
      </c>
      <c r="D469" t="n">
        <v/>
      </c>
      <c r="E469" t="n">
        <v>56.4678</v>
      </c>
      <c r="F469" t="n">
        <v>69.13843</v>
      </c>
      <c r="G469" t="n">
        <v/>
      </c>
      <c r="H469" t="n">
        <v/>
      </c>
      <c r="I469" t="n">
        <v/>
      </c>
      <c r="J469" t="n">
        <v/>
      </c>
      <c r="K469" t="n">
        <v/>
      </c>
      <c r="L469" t="n">
        <v>60.04528</v>
      </c>
      <c r="M469" t="n">
        <v>56.32135</v>
      </c>
      <c r="N469" t="n">
        <v/>
      </c>
      <c r="O469" t="n">
        <v>42.67302</v>
      </c>
      <c r="P469" t="n">
        <v/>
      </c>
      <c r="Q469" t="n">
        <v/>
      </c>
      <c r="R469" t="n">
        <v>55.02071</v>
      </c>
      <c r="S469" t="n">
        <v>63.39288</v>
      </c>
      <c r="T469" t="n">
        <v/>
      </c>
      <c r="U469" t="n">
        <v>55.31623</v>
      </c>
      <c r="V469" t="n">
        <v>50.10554</v>
      </c>
      <c r="W469" t="n">
        <v>20.84826</v>
      </c>
      <c r="X469" t="n">
        <v/>
      </c>
      <c r="Y469" t="n">
        <v/>
      </c>
      <c r="Z469" t="n">
        <v/>
      </c>
      <c r="AA469" t="n">
        <v>51.55107</v>
      </c>
      <c r="AB469" t="n">
        <v/>
      </c>
      <c r="AC469" t="n">
        <v>20.44879</v>
      </c>
      <c r="AD469" t="n">
        <v>44.87751</v>
      </c>
      <c r="AE469" t="n">
        <v>88.77802</v>
      </c>
      <c r="AF469" t="n">
        <v/>
      </c>
      <c r="AG469" t="n">
        <v/>
      </c>
      <c r="AH469" t="n">
        <v>55.26185</v>
      </c>
      <c r="AI469" t="n">
        <v/>
      </c>
      <c r="AJ469" t="n">
        <v>5.015826</v>
      </c>
      <c r="AK469" t="n">
        <v>56.08896</v>
      </c>
      <c r="AL469" t="n">
        <v>53.6508</v>
      </c>
      <c r="AM469" t="n">
        <v>38.00523</v>
      </c>
      <c r="AN469" t="n">
        <v>29.15143</v>
      </c>
      <c r="AO469" t="n">
        <v/>
      </c>
      <c r="AP469" t="n">
        <v>27.75335</v>
      </c>
      <c r="AQ469" t="n">
        <v/>
      </c>
      <c r="AR469" t="n">
        <v/>
      </c>
      <c r="AS469" t="n">
        <v/>
      </c>
      <c r="AT469" t="n">
        <v/>
      </c>
      <c r="AU469" t="n">
        <v>56.35094</v>
      </c>
      <c r="AV469" t="n">
        <v/>
      </c>
      <c r="AW469" t="n">
        <v>49.70144</v>
      </c>
      <c r="AX469" t="n">
        <v/>
      </c>
    </row>
    <row r="470">
      <c r="A470" s="92" t="n">
        <v>32143</v>
      </c>
      <c r="B470" t="n">
        <v>56.06171</v>
      </c>
      <c r="C470" t="n">
        <v>57.28242</v>
      </c>
      <c r="D470" t="n">
        <v/>
      </c>
      <c r="E470" t="n">
        <v>56.44585</v>
      </c>
      <c r="F470" t="n">
        <v>69.30618</v>
      </c>
      <c r="G470" t="n">
        <v/>
      </c>
      <c r="H470" t="n">
        <v/>
      </c>
      <c r="I470" t="n">
        <v/>
      </c>
      <c r="J470" t="n">
        <v/>
      </c>
      <c r="K470" t="n">
        <v/>
      </c>
      <c r="L470" t="n">
        <v>60.38453</v>
      </c>
      <c r="M470" t="n">
        <v>56.47389</v>
      </c>
      <c r="N470" t="n">
        <v/>
      </c>
      <c r="O470" t="n">
        <v>42.97332</v>
      </c>
      <c r="P470" t="n">
        <v/>
      </c>
      <c r="Q470" t="n">
        <v/>
      </c>
      <c r="R470" t="n">
        <v>55.80702</v>
      </c>
      <c r="S470" t="n">
        <v>63.57865</v>
      </c>
      <c r="T470" t="n">
        <v/>
      </c>
      <c r="U470" t="n">
        <v>55.44234</v>
      </c>
      <c r="V470" t="n">
        <v>50.07806</v>
      </c>
      <c r="W470" t="n">
        <v>20.7806</v>
      </c>
      <c r="X470" t="n">
        <v/>
      </c>
      <c r="Y470" t="n">
        <v/>
      </c>
      <c r="Z470" t="n">
        <v/>
      </c>
      <c r="AA470" t="n">
        <v>51.9813</v>
      </c>
      <c r="AB470" t="n">
        <v/>
      </c>
      <c r="AC470" t="n">
        <v>20.65126</v>
      </c>
      <c r="AD470" t="n">
        <v>45.17624</v>
      </c>
      <c r="AE470" t="n">
        <v>88.35329</v>
      </c>
      <c r="AF470" t="n">
        <v/>
      </c>
      <c r="AG470" t="n">
        <v/>
      </c>
      <c r="AH470" t="n">
        <v>55.43726</v>
      </c>
      <c r="AI470" t="n">
        <v/>
      </c>
      <c r="AJ470" t="n">
        <v>5.707788</v>
      </c>
      <c r="AK470" t="n">
        <v>55.72131</v>
      </c>
      <c r="AL470" t="n">
        <v>53.91596</v>
      </c>
      <c r="AM470" t="n">
        <v>38.3371</v>
      </c>
      <c r="AN470" t="n">
        <v>29.30861</v>
      </c>
      <c r="AO470" t="n">
        <v/>
      </c>
      <c r="AP470" t="n">
        <v>28.37014</v>
      </c>
      <c r="AQ470" t="n">
        <v/>
      </c>
      <c r="AR470" t="n">
        <v/>
      </c>
      <c r="AS470" t="n">
        <v/>
      </c>
      <c r="AT470" t="n">
        <v/>
      </c>
      <c r="AU470" t="n">
        <v>56.63183</v>
      </c>
      <c r="AV470" t="n">
        <v/>
      </c>
      <c r="AW470" t="n">
        <v>49.86656</v>
      </c>
      <c r="AX470" t="n">
        <v/>
      </c>
    </row>
    <row r="471">
      <c r="A471" s="92" t="n">
        <v>32174</v>
      </c>
      <c r="B471" t="n">
        <v>56.27347</v>
      </c>
      <c r="C471" t="n">
        <v>57.46137</v>
      </c>
      <c r="D471" t="n">
        <v/>
      </c>
      <c r="E471" t="n">
        <v>56.86362</v>
      </c>
      <c r="F471" t="n">
        <v>69.61048</v>
      </c>
      <c r="G471" t="n">
        <v/>
      </c>
      <c r="H471" t="n">
        <v/>
      </c>
      <c r="I471" t="n">
        <v/>
      </c>
      <c r="J471" t="n">
        <v/>
      </c>
      <c r="K471" t="n">
        <v/>
      </c>
      <c r="L471" t="n">
        <v>60.50544</v>
      </c>
      <c r="M471" t="n">
        <v>57.01167</v>
      </c>
      <c r="N471" t="n">
        <v/>
      </c>
      <c r="O471" t="n">
        <v>43.20718</v>
      </c>
      <c r="P471" t="n">
        <v/>
      </c>
      <c r="Q471" t="n">
        <v/>
      </c>
      <c r="R471" t="n">
        <v>55.94291</v>
      </c>
      <c r="S471" t="n">
        <v>63.72104</v>
      </c>
      <c r="T471" t="n">
        <v/>
      </c>
      <c r="U471" t="n">
        <v>55.57956</v>
      </c>
      <c r="V471" t="n">
        <v>50.29436</v>
      </c>
      <c r="W471" t="n">
        <v>20.62943</v>
      </c>
      <c r="X471" t="n">
        <v/>
      </c>
      <c r="Y471" t="n">
        <v/>
      </c>
      <c r="Z471" t="n">
        <v/>
      </c>
      <c r="AA471" t="n">
        <v>51.9813</v>
      </c>
      <c r="AB471" t="n">
        <v/>
      </c>
      <c r="AC471" t="n">
        <v>20.85372</v>
      </c>
      <c r="AD471" t="n">
        <v>45.39239</v>
      </c>
      <c r="AE471" t="n">
        <v>88.29277</v>
      </c>
      <c r="AF471" t="n">
        <v/>
      </c>
      <c r="AG471" t="n">
        <v/>
      </c>
      <c r="AH471" t="n">
        <v>55.51712</v>
      </c>
      <c r="AI471" t="n">
        <v/>
      </c>
      <c r="AJ471" t="n">
        <v>6.24234</v>
      </c>
      <c r="AK471" t="n">
        <v>55.85167</v>
      </c>
      <c r="AL471" t="n">
        <v>54.25278</v>
      </c>
      <c r="AM471" t="n">
        <v>38.61986</v>
      </c>
      <c r="AN471" t="n">
        <v>29.44841</v>
      </c>
      <c r="AO471" t="n">
        <v/>
      </c>
      <c r="AP471" t="n">
        <v>28.71838</v>
      </c>
      <c r="AQ471" t="n">
        <v/>
      </c>
      <c r="AR471" t="n">
        <v/>
      </c>
      <c r="AS471" t="n">
        <v/>
      </c>
      <c r="AT471" t="n">
        <v/>
      </c>
      <c r="AU471" t="n">
        <v>57.10949</v>
      </c>
      <c r="AV471" t="n">
        <v/>
      </c>
      <c r="AW471" t="n">
        <v>49.9904</v>
      </c>
      <c r="AX471" t="n">
        <v/>
      </c>
    </row>
    <row r="472">
      <c r="A472" s="92" t="n">
        <v>32203</v>
      </c>
      <c r="B472" t="n">
        <v>56.45686</v>
      </c>
      <c r="C472" t="n">
        <v>57.52074</v>
      </c>
      <c r="D472" t="n">
        <v/>
      </c>
      <c r="E472" t="n">
        <v>57.36343</v>
      </c>
      <c r="F472" t="n">
        <v>69.67943</v>
      </c>
      <c r="G472" t="n">
        <v/>
      </c>
      <c r="H472" t="n">
        <v/>
      </c>
      <c r="I472" t="n">
        <v/>
      </c>
      <c r="J472" t="n">
        <v/>
      </c>
      <c r="K472" t="n">
        <v/>
      </c>
      <c r="L472" t="n">
        <v>60.55999</v>
      </c>
      <c r="M472" t="n">
        <v>57.26638</v>
      </c>
      <c r="N472" t="n">
        <v/>
      </c>
      <c r="O472" t="n">
        <v>43.51449</v>
      </c>
      <c r="P472" t="n">
        <v/>
      </c>
      <c r="Q472" t="n">
        <v/>
      </c>
      <c r="R472" t="n">
        <v>56.30607</v>
      </c>
      <c r="S472" t="n">
        <v>63.90829</v>
      </c>
      <c r="T472" t="n">
        <v/>
      </c>
      <c r="U472" t="n">
        <v>55.86133</v>
      </c>
      <c r="V472" t="n">
        <v>50.52169</v>
      </c>
      <c r="W472" t="n">
        <v>21.41482</v>
      </c>
      <c r="X472" t="n">
        <v/>
      </c>
      <c r="Y472" t="n">
        <v/>
      </c>
      <c r="Z472" t="n">
        <v/>
      </c>
      <c r="AA472" t="n">
        <v>51.9813</v>
      </c>
      <c r="AB472" t="n">
        <v/>
      </c>
      <c r="AC472" t="n">
        <v>21.15742</v>
      </c>
      <c r="AD472" t="n">
        <v>45.64462</v>
      </c>
      <c r="AE472" t="n">
        <v>88.55392000000001</v>
      </c>
      <c r="AF472" t="n">
        <v/>
      </c>
      <c r="AG472" t="n">
        <v/>
      </c>
      <c r="AH472" t="n">
        <v>55.61757</v>
      </c>
      <c r="AI472" t="n">
        <v/>
      </c>
      <c r="AJ472" t="n">
        <v>6.608894</v>
      </c>
      <c r="AK472" t="n">
        <v>56.22281</v>
      </c>
      <c r="AL472" t="n">
        <v>55.20653</v>
      </c>
      <c r="AM472" t="n">
        <v>38.9552</v>
      </c>
      <c r="AN472" t="n">
        <v>29.63534</v>
      </c>
      <c r="AO472" t="n">
        <v/>
      </c>
      <c r="AP472" t="n">
        <v>28.90695</v>
      </c>
      <c r="AQ472" t="n">
        <v/>
      </c>
      <c r="AR472" t="n">
        <v/>
      </c>
      <c r="AS472" t="n">
        <v/>
      </c>
      <c r="AT472" t="n">
        <v/>
      </c>
      <c r="AU472" t="n">
        <v>57.3816</v>
      </c>
      <c r="AV472" t="n">
        <v/>
      </c>
      <c r="AW472" t="n">
        <v>50.32064</v>
      </c>
      <c r="AX472" t="n">
        <v/>
      </c>
    </row>
    <row r="473">
      <c r="A473" s="92" t="n">
        <v>32234</v>
      </c>
      <c r="B473" t="n">
        <v>56.49595</v>
      </c>
      <c r="C473" t="n">
        <v>57.86383</v>
      </c>
      <c r="D473" t="n">
        <v/>
      </c>
      <c r="E473" t="n">
        <v>57.44868</v>
      </c>
      <c r="F473" t="n">
        <v>69.71447999999999</v>
      </c>
      <c r="G473" t="n">
        <v/>
      </c>
      <c r="H473" t="n">
        <v/>
      </c>
      <c r="I473" t="n">
        <v/>
      </c>
      <c r="J473" t="n">
        <v/>
      </c>
      <c r="K473" t="n">
        <v/>
      </c>
      <c r="L473" t="n">
        <v>60.63845</v>
      </c>
      <c r="M473" t="n">
        <v>57.46509</v>
      </c>
      <c r="N473" t="n">
        <v/>
      </c>
      <c r="O473" t="n">
        <v>43.63292</v>
      </c>
      <c r="P473" t="n">
        <v/>
      </c>
      <c r="Q473" t="n">
        <v/>
      </c>
      <c r="R473" t="n">
        <v>56.84148</v>
      </c>
      <c r="S473" t="n">
        <v>64.26241</v>
      </c>
      <c r="T473" t="n">
        <v/>
      </c>
      <c r="U473" t="n">
        <v>56.13508</v>
      </c>
      <c r="V473" t="n">
        <v>51.4511</v>
      </c>
      <c r="W473" t="n">
        <v>21.74365</v>
      </c>
      <c r="X473" t="n">
        <v/>
      </c>
      <c r="Y473" t="n">
        <v/>
      </c>
      <c r="Z473" t="n">
        <v/>
      </c>
      <c r="AA473" t="n">
        <v>52.27094</v>
      </c>
      <c r="AB473" t="n">
        <v/>
      </c>
      <c r="AC473" t="n">
        <v>21.46111</v>
      </c>
      <c r="AD473" t="n">
        <v>45.75853</v>
      </c>
      <c r="AE473" t="n">
        <v>89.07415</v>
      </c>
      <c r="AF473" t="n">
        <v/>
      </c>
      <c r="AG473" t="n">
        <v/>
      </c>
      <c r="AH473" t="n">
        <v>55.67465</v>
      </c>
      <c r="AI473" t="n">
        <v/>
      </c>
      <c r="AJ473" t="n">
        <v>6.816019</v>
      </c>
      <c r="AK473" t="n">
        <v>56.36495</v>
      </c>
      <c r="AL473" t="n">
        <v>55.34304</v>
      </c>
      <c r="AM473" t="n">
        <v>39.24783</v>
      </c>
      <c r="AN473" t="n">
        <v>29.88875</v>
      </c>
      <c r="AO473" t="n">
        <v/>
      </c>
      <c r="AP473" t="n">
        <v>29.13918</v>
      </c>
      <c r="AQ473" t="n">
        <v/>
      </c>
      <c r="AR473" t="n">
        <v/>
      </c>
      <c r="AS473" t="n">
        <v/>
      </c>
      <c r="AT473" t="n">
        <v/>
      </c>
      <c r="AU473" t="n">
        <v>57.96895</v>
      </c>
      <c r="AV473" t="n">
        <v/>
      </c>
      <c r="AW473" t="n">
        <v>50.52705</v>
      </c>
      <c r="AX473" t="n">
        <v/>
      </c>
    </row>
    <row r="474">
      <c r="A474" s="92" t="n">
        <v>32264</v>
      </c>
      <c r="B474" t="n">
        <v>56.4604</v>
      </c>
      <c r="C474" t="n">
        <v>57.99565</v>
      </c>
      <c r="D474" t="n">
        <v/>
      </c>
      <c r="E474" t="n">
        <v>57.74672</v>
      </c>
      <c r="F474" t="n">
        <v>69.54615</v>
      </c>
      <c r="G474" t="n">
        <v/>
      </c>
      <c r="H474" t="n">
        <v/>
      </c>
      <c r="I474" t="n">
        <v/>
      </c>
      <c r="J474" t="n">
        <v/>
      </c>
      <c r="K474" t="n">
        <v/>
      </c>
      <c r="L474" t="n">
        <v>60.79189</v>
      </c>
      <c r="M474" t="n">
        <v>58.1587</v>
      </c>
      <c r="N474" t="n">
        <v/>
      </c>
      <c r="O474" t="n">
        <v>43.91291</v>
      </c>
      <c r="P474" t="n">
        <v/>
      </c>
      <c r="Q474" t="n">
        <v/>
      </c>
      <c r="R474" t="n">
        <v>57.44182</v>
      </c>
      <c r="S474" t="n">
        <v>64.41728999999999</v>
      </c>
      <c r="T474" t="n">
        <v/>
      </c>
      <c r="U474" t="n">
        <v>56.29325</v>
      </c>
      <c r="V474" t="n">
        <v>51.63287</v>
      </c>
      <c r="W474" t="n">
        <v>21.83303</v>
      </c>
      <c r="X474" t="n">
        <v/>
      </c>
      <c r="Y474" t="n">
        <v/>
      </c>
      <c r="Z474" t="n">
        <v/>
      </c>
      <c r="AA474" t="n">
        <v>52.27094</v>
      </c>
      <c r="AB474" t="n">
        <v/>
      </c>
      <c r="AC474" t="n">
        <v>21.7648</v>
      </c>
      <c r="AD474" t="n">
        <v>45.94533</v>
      </c>
      <c r="AE474" t="n">
        <v>89.32696</v>
      </c>
      <c r="AF474" t="n">
        <v/>
      </c>
      <c r="AG474" t="n">
        <v/>
      </c>
      <c r="AH474" t="n">
        <v>55.76287</v>
      </c>
      <c r="AI474" t="n">
        <v/>
      </c>
      <c r="AJ474" t="n">
        <v>6.960765</v>
      </c>
      <c r="AK474" t="n">
        <v>56.44556</v>
      </c>
      <c r="AL474" t="n">
        <v>55.52336</v>
      </c>
      <c r="AM474" t="n">
        <v>39.43032</v>
      </c>
      <c r="AN474" t="n">
        <v>30.04696</v>
      </c>
      <c r="AO474" t="n">
        <v/>
      </c>
      <c r="AP474" t="n">
        <v>29.5034</v>
      </c>
      <c r="AQ474" t="n">
        <v/>
      </c>
      <c r="AR474" t="n">
        <v/>
      </c>
      <c r="AS474" t="n">
        <v/>
      </c>
      <c r="AT474" t="n">
        <v/>
      </c>
      <c r="AU474" t="n">
        <v>58.22101</v>
      </c>
      <c r="AV474" t="n">
        <v/>
      </c>
      <c r="AW474" t="n">
        <v>50.65089</v>
      </c>
      <c r="AX474" t="n">
        <v/>
      </c>
    </row>
    <row r="475">
      <c r="A475" s="92" t="n">
        <v>32295</v>
      </c>
      <c r="B475" t="n">
        <v>56.74876</v>
      </c>
      <c r="C475" t="n">
        <v>58.15682</v>
      </c>
      <c r="D475" t="n">
        <v/>
      </c>
      <c r="E475" t="n">
        <v>57.86827</v>
      </c>
      <c r="F475" t="n">
        <v>69.5891</v>
      </c>
      <c r="G475" t="n">
        <v/>
      </c>
      <c r="H475" t="n">
        <v/>
      </c>
      <c r="I475" t="n">
        <v/>
      </c>
      <c r="J475" t="n">
        <v/>
      </c>
      <c r="K475" t="n">
        <v/>
      </c>
      <c r="L475" t="n">
        <v>60.84979</v>
      </c>
      <c r="M475" t="n">
        <v>58.11277</v>
      </c>
      <c r="N475" t="n">
        <v/>
      </c>
      <c r="O475" t="n">
        <v>44.14096</v>
      </c>
      <c r="P475" t="n">
        <v/>
      </c>
      <c r="Q475" t="n">
        <v/>
      </c>
      <c r="R475" t="n">
        <v>57.83747</v>
      </c>
      <c r="S475" t="n">
        <v>64.57993</v>
      </c>
      <c r="T475" t="n">
        <v/>
      </c>
      <c r="U475" t="n">
        <v>56.39602</v>
      </c>
      <c r="V475" t="n">
        <v>51.80158</v>
      </c>
      <c r="W475" t="n">
        <v>22.32335</v>
      </c>
      <c r="X475" t="n">
        <v/>
      </c>
      <c r="Y475" t="n">
        <v/>
      </c>
      <c r="Z475" t="n">
        <v/>
      </c>
      <c r="AA475" t="n">
        <v>52.27094</v>
      </c>
      <c r="AB475" t="n">
        <v/>
      </c>
      <c r="AC475" t="n">
        <v>22.0685</v>
      </c>
      <c r="AD475" t="n">
        <v>46.08308</v>
      </c>
      <c r="AE475" t="n">
        <v>89.18567</v>
      </c>
      <c r="AF475" t="n">
        <v/>
      </c>
      <c r="AG475" t="n">
        <v/>
      </c>
      <c r="AH475" t="n">
        <v>55.82108</v>
      </c>
      <c r="AI475" t="n">
        <v/>
      </c>
      <c r="AJ475" t="n">
        <v>7.081759</v>
      </c>
      <c r="AK475" t="n">
        <v>56.37767</v>
      </c>
      <c r="AL475" t="n">
        <v>55.79898</v>
      </c>
      <c r="AM475" t="n">
        <v>39.56508</v>
      </c>
      <c r="AN475" t="n">
        <v>30.16838</v>
      </c>
      <c r="AO475" t="n">
        <v/>
      </c>
      <c r="AP475" t="n">
        <v>29.60665</v>
      </c>
      <c r="AQ475" t="n">
        <v/>
      </c>
      <c r="AR475" t="n">
        <v/>
      </c>
      <c r="AS475" t="n">
        <v/>
      </c>
      <c r="AT475" t="n">
        <v/>
      </c>
      <c r="AU475" t="n">
        <v>58.34824</v>
      </c>
      <c r="AV475" t="n">
        <v/>
      </c>
      <c r="AW475" t="n">
        <v>50.77473</v>
      </c>
      <c r="AX475" t="n">
        <v/>
      </c>
    </row>
    <row r="476">
      <c r="A476" s="92" t="n">
        <v>32325</v>
      </c>
      <c r="B476" t="n">
        <v>57.72707</v>
      </c>
      <c r="C476" t="n">
        <v>58.37125</v>
      </c>
      <c r="D476" t="n">
        <v/>
      </c>
      <c r="E476" t="n">
        <v>58.18233</v>
      </c>
      <c r="F476" t="n">
        <v>69.57647</v>
      </c>
      <c r="G476" t="n">
        <v/>
      </c>
      <c r="H476" t="n">
        <v/>
      </c>
      <c r="I476" t="n">
        <v/>
      </c>
      <c r="J476" t="n">
        <v/>
      </c>
      <c r="K476" t="n">
        <v/>
      </c>
      <c r="L476" t="n">
        <v>60.9198</v>
      </c>
      <c r="M476" t="n">
        <v>57.74375</v>
      </c>
      <c r="N476" t="n">
        <v/>
      </c>
      <c r="O476" t="n">
        <v>44.39294</v>
      </c>
      <c r="P476" t="n">
        <v/>
      </c>
      <c r="Q476" t="n">
        <v/>
      </c>
      <c r="R476" t="n">
        <v>57.9338</v>
      </c>
      <c r="S476" t="n">
        <v>64.85463</v>
      </c>
      <c r="T476" t="n">
        <v/>
      </c>
      <c r="U476" t="n">
        <v>56.51294</v>
      </c>
      <c r="V476" t="n">
        <v>51.89429</v>
      </c>
      <c r="W476" t="n">
        <v>22.17056</v>
      </c>
      <c r="X476" t="n">
        <v/>
      </c>
      <c r="Y476" t="n">
        <v/>
      </c>
      <c r="Z476" t="n">
        <v/>
      </c>
      <c r="AA476" t="n">
        <v>52.60239</v>
      </c>
      <c r="AB476" t="n">
        <v/>
      </c>
      <c r="AC476" t="n">
        <v>22.16973</v>
      </c>
      <c r="AD476" t="n">
        <v>46.17808</v>
      </c>
      <c r="AE476" t="n">
        <v>89.14239000000001</v>
      </c>
      <c r="AF476" t="n">
        <v/>
      </c>
      <c r="AG476" t="n">
        <v/>
      </c>
      <c r="AH476" t="n">
        <v>56.04351</v>
      </c>
      <c r="AI476" t="n">
        <v/>
      </c>
      <c r="AJ476" t="n">
        <v>7.166455</v>
      </c>
      <c r="AK476" t="n">
        <v>56.54053</v>
      </c>
      <c r="AL476" t="n">
        <v>55.71842</v>
      </c>
      <c r="AM476" t="n">
        <v>39.70982</v>
      </c>
      <c r="AN476" t="n">
        <v>30.29379</v>
      </c>
      <c r="AO476" t="n">
        <v/>
      </c>
      <c r="AP476" t="n">
        <v>29.78167</v>
      </c>
      <c r="AQ476" t="n">
        <v/>
      </c>
      <c r="AR476" t="n">
        <v/>
      </c>
      <c r="AS476" t="n">
        <v/>
      </c>
      <c r="AT476" t="n">
        <v/>
      </c>
      <c r="AU476" t="n">
        <v>58.47745</v>
      </c>
      <c r="AV476" t="n">
        <v/>
      </c>
      <c r="AW476" t="n">
        <v>50.89857</v>
      </c>
      <c r="AX476" t="n">
        <v/>
      </c>
    </row>
    <row r="477">
      <c r="A477" s="92" t="n">
        <v>32356</v>
      </c>
      <c r="B477" t="n">
        <v>57.88704</v>
      </c>
      <c r="C477" t="n">
        <v>58.49223</v>
      </c>
      <c r="D477" t="n">
        <v/>
      </c>
      <c r="E477" t="n">
        <v>58.34971</v>
      </c>
      <c r="F477" t="n">
        <v>70.08042</v>
      </c>
      <c r="G477" t="n">
        <v/>
      </c>
      <c r="H477" t="n">
        <v/>
      </c>
      <c r="I477" t="n">
        <v/>
      </c>
      <c r="J477" t="n">
        <v/>
      </c>
      <c r="K477" t="n">
        <v/>
      </c>
      <c r="L477" t="n">
        <v>60.89779</v>
      </c>
      <c r="M477" t="n">
        <v>58.14816</v>
      </c>
      <c r="N477" t="n">
        <v/>
      </c>
      <c r="O477" t="n">
        <v>44.54159</v>
      </c>
      <c r="P477" t="n">
        <v/>
      </c>
      <c r="Q477" t="n">
        <v/>
      </c>
      <c r="R477" t="n">
        <v>58.09339</v>
      </c>
      <c r="S477" t="n">
        <v>65.00244000000001</v>
      </c>
      <c r="T477" t="n">
        <v/>
      </c>
      <c r="U477" t="n">
        <v>56.69521</v>
      </c>
      <c r="V477" t="n">
        <v>52.61042</v>
      </c>
      <c r="W477" t="n">
        <v>21.94813</v>
      </c>
      <c r="X477" t="n">
        <v/>
      </c>
      <c r="Y477" t="n">
        <v/>
      </c>
      <c r="Z477" t="n">
        <v/>
      </c>
      <c r="AA477" t="n">
        <v>52.60239</v>
      </c>
      <c r="AB477" t="n">
        <v/>
      </c>
      <c r="AC477" t="n">
        <v>22.27096</v>
      </c>
      <c r="AD477" t="n">
        <v>46.3487</v>
      </c>
      <c r="AE477" t="n">
        <v>88.95762999999999</v>
      </c>
      <c r="AF477" t="n">
        <v/>
      </c>
      <c r="AG477" t="n">
        <v/>
      </c>
      <c r="AH477" t="n">
        <v>56.15939</v>
      </c>
      <c r="AI477" t="n">
        <v/>
      </c>
      <c r="AJ477" t="n">
        <v>7.252617</v>
      </c>
      <c r="AK477" t="n">
        <v>56.7106</v>
      </c>
      <c r="AL477" t="n">
        <v>55.68766</v>
      </c>
      <c r="AM477" t="n">
        <v>39.87072</v>
      </c>
      <c r="AN477" t="n">
        <v>30.44164</v>
      </c>
      <c r="AO477" t="n">
        <v/>
      </c>
      <c r="AP477" t="n">
        <v>30.04636</v>
      </c>
      <c r="AQ477" t="n">
        <v/>
      </c>
      <c r="AR477" t="n">
        <v/>
      </c>
      <c r="AS477" t="n">
        <v/>
      </c>
      <c r="AT477" t="n">
        <v/>
      </c>
      <c r="AU477" t="n">
        <v>58.56808</v>
      </c>
      <c r="AV477" t="n">
        <v/>
      </c>
      <c r="AW477" t="n">
        <v>51.10497</v>
      </c>
      <c r="AX477" t="n">
        <v/>
      </c>
    </row>
    <row r="478">
      <c r="A478" s="92" t="n">
        <v>32387</v>
      </c>
      <c r="B478" t="n">
        <v>57.34891</v>
      </c>
      <c r="C478" t="n">
        <v>58.55813</v>
      </c>
      <c r="D478" t="n">
        <v/>
      </c>
      <c r="E478" t="n">
        <v>58.48112</v>
      </c>
      <c r="F478" t="n">
        <v>70.12536</v>
      </c>
      <c r="G478" t="n">
        <v/>
      </c>
      <c r="H478" t="n">
        <v/>
      </c>
      <c r="I478" t="n">
        <v/>
      </c>
      <c r="J478" t="n">
        <v/>
      </c>
      <c r="K478" t="n">
        <v/>
      </c>
      <c r="L478" t="n">
        <v>61.03591</v>
      </c>
      <c r="M478" t="n">
        <v>58.50222</v>
      </c>
      <c r="N478" t="n">
        <v/>
      </c>
      <c r="O478" t="n">
        <v>44.79272</v>
      </c>
      <c r="P478" t="n">
        <v/>
      </c>
      <c r="Q478" t="n">
        <v/>
      </c>
      <c r="R478" t="n">
        <v>58.91278</v>
      </c>
      <c r="S478" t="n">
        <v>65.15353</v>
      </c>
      <c r="T478" t="n">
        <v/>
      </c>
      <c r="U478" t="n">
        <v>57.01064</v>
      </c>
      <c r="V478" t="n">
        <v>52.88676</v>
      </c>
      <c r="W478" t="n">
        <v>22.65673</v>
      </c>
      <c r="X478" t="n">
        <v/>
      </c>
      <c r="Y478" t="n">
        <v/>
      </c>
      <c r="Z478" t="n">
        <v/>
      </c>
      <c r="AA478" t="n">
        <v>52.60239</v>
      </c>
      <c r="AB478" t="n">
        <v/>
      </c>
      <c r="AC478" t="n">
        <v>22.57466</v>
      </c>
      <c r="AD478" t="n">
        <v>46.53811</v>
      </c>
      <c r="AE478" t="n">
        <v>89.46228000000001</v>
      </c>
      <c r="AF478" t="n">
        <v/>
      </c>
      <c r="AG478" t="n">
        <v/>
      </c>
      <c r="AH478" t="n">
        <v>56.25423</v>
      </c>
      <c r="AI478" t="n">
        <v/>
      </c>
      <c r="AJ478" t="n">
        <v>7.302062</v>
      </c>
      <c r="AK478" t="n">
        <v>56.89625</v>
      </c>
      <c r="AL478" t="n">
        <v>56.62336</v>
      </c>
      <c r="AM478" t="n">
        <v>40.15085</v>
      </c>
      <c r="AN478" t="n">
        <v>30.68841</v>
      </c>
      <c r="AO478" t="n">
        <v/>
      </c>
      <c r="AP478" t="n">
        <v>30.39496</v>
      </c>
      <c r="AQ478" t="n">
        <v/>
      </c>
      <c r="AR478" t="n">
        <v/>
      </c>
      <c r="AS478" t="n">
        <v/>
      </c>
      <c r="AT478" t="n">
        <v/>
      </c>
      <c r="AU478" t="n">
        <v>59.12109</v>
      </c>
      <c r="AV478" t="n">
        <v/>
      </c>
      <c r="AW478" t="n">
        <v>51.47649</v>
      </c>
      <c r="AX478" t="n">
        <v/>
      </c>
    </row>
    <row r="479">
      <c r="A479" s="92" t="n">
        <v>32417</v>
      </c>
      <c r="B479" t="n">
        <v>57.15005</v>
      </c>
      <c r="C479" t="n">
        <v>58.5548</v>
      </c>
      <c r="D479" t="n">
        <v/>
      </c>
      <c r="E479" t="n">
        <v>58.93547</v>
      </c>
      <c r="F479" t="n">
        <v>70.21932</v>
      </c>
      <c r="G479" t="n">
        <v/>
      </c>
      <c r="H479" t="n">
        <v/>
      </c>
      <c r="I479" t="n">
        <v/>
      </c>
      <c r="J479" t="n">
        <v/>
      </c>
      <c r="K479" t="n">
        <v/>
      </c>
      <c r="L479" t="n">
        <v>61.16032</v>
      </c>
      <c r="M479" t="n">
        <v>58.60428</v>
      </c>
      <c r="N479" t="n">
        <v/>
      </c>
      <c r="O479" t="n">
        <v>45.00313</v>
      </c>
      <c r="P479" t="n">
        <v/>
      </c>
      <c r="Q479" t="n">
        <v/>
      </c>
      <c r="R479" t="n">
        <v>58.9122</v>
      </c>
      <c r="S479" t="n">
        <v>65.37072000000001</v>
      </c>
      <c r="T479" t="n">
        <v/>
      </c>
      <c r="U479" t="n">
        <v>57.34621</v>
      </c>
      <c r="V479" t="n">
        <v>53.56075</v>
      </c>
      <c r="W479" t="n">
        <v>23.36815</v>
      </c>
      <c r="X479" t="n">
        <v/>
      </c>
      <c r="Y479" t="n">
        <v/>
      </c>
      <c r="Z479" t="n">
        <v/>
      </c>
      <c r="AA479" t="n">
        <v>52.92216</v>
      </c>
      <c r="AB479" t="n">
        <v/>
      </c>
      <c r="AC479" t="n">
        <v>23.08082</v>
      </c>
      <c r="AD479" t="n">
        <v>46.90702</v>
      </c>
      <c r="AE479" t="n">
        <v>89.73779</v>
      </c>
      <c r="AF479" t="n">
        <v/>
      </c>
      <c r="AG479" t="n">
        <v/>
      </c>
      <c r="AH479" t="n">
        <v>56.36254</v>
      </c>
      <c r="AI479" t="n">
        <v/>
      </c>
      <c r="AJ479" t="n">
        <v>7.355386</v>
      </c>
      <c r="AK479" t="n">
        <v>56.8613</v>
      </c>
      <c r="AL479" t="n">
        <v>56.62943</v>
      </c>
      <c r="AM479" t="n">
        <v>40.44516</v>
      </c>
      <c r="AN479" t="n">
        <v>30.96136</v>
      </c>
      <c r="AO479" t="n">
        <v/>
      </c>
      <c r="AP479" t="n">
        <v>30.84092</v>
      </c>
      <c r="AQ479" t="n">
        <v/>
      </c>
      <c r="AR479" t="n">
        <v/>
      </c>
      <c r="AS479" t="n">
        <v/>
      </c>
      <c r="AT479" t="n">
        <v/>
      </c>
      <c r="AU479" t="n">
        <v>59.66125</v>
      </c>
      <c r="AV479" t="n">
        <v/>
      </c>
      <c r="AW479" t="n">
        <v>51.80673</v>
      </c>
      <c r="AX479" t="n">
        <v/>
      </c>
    </row>
    <row r="480">
      <c r="A480" s="92" t="n">
        <v>32448</v>
      </c>
      <c r="B480" t="n">
        <v>57.34276</v>
      </c>
      <c r="C480" t="n">
        <v>58.52231</v>
      </c>
      <c r="D480" t="n">
        <v/>
      </c>
      <c r="E480" t="n">
        <v>59.16139</v>
      </c>
      <c r="F480" t="n">
        <v>70.55403</v>
      </c>
      <c r="G480" t="n">
        <v/>
      </c>
      <c r="H480" t="n">
        <v/>
      </c>
      <c r="I480" t="n">
        <v/>
      </c>
      <c r="J480" t="n">
        <v/>
      </c>
      <c r="K480" t="n">
        <v/>
      </c>
      <c r="L480" t="n">
        <v>61.31711</v>
      </c>
      <c r="M480" t="n">
        <v>59.117</v>
      </c>
      <c r="N480" t="n">
        <v/>
      </c>
      <c r="O480" t="n">
        <v>45.20862</v>
      </c>
      <c r="P480" t="n">
        <v/>
      </c>
      <c r="Q480" t="n">
        <v/>
      </c>
      <c r="R480" t="n">
        <v>59.04316</v>
      </c>
      <c r="S480" t="n">
        <v>65.45028000000001</v>
      </c>
      <c r="T480" t="n">
        <v/>
      </c>
      <c r="U480" t="n">
        <v>57.51741</v>
      </c>
      <c r="V480" t="n">
        <v>53.80268</v>
      </c>
      <c r="W480" t="n">
        <v>23.46567</v>
      </c>
      <c r="X480" t="n">
        <v/>
      </c>
      <c r="Y480" t="n">
        <v/>
      </c>
      <c r="Z480" t="n">
        <v/>
      </c>
      <c r="AA480" t="n">
        <v>52.92216</v>
      </c>
      <c r="AB480" t="n">
        <v/>
      </c>
      <c r="AC480" t="n">
        <v>23.48574</v>
      </c>
      <c r="AD480" t="n">
        <v>47.30992</v>
      </c>
      <c r="AE480" t="n">
        <v>89.93478</v>
      </c>
      <c r="AF480" t="n">
        <v/>
      </c>
      <c r="AG480" t="n">
        <v/>
      </c>
      <c r="AH480" t="n">
        <v>56.52757</v>
      </c>
      <c r="AI480" t="n">
        <v/>
      </c>
      <c r="AJ480" t="n">
        <v>7.42871</v>
      </c>
      <c r="AK480" t="n">
        <v>56.96266</v>
      </c>
      <c r="AL480" t="n">
        <v>56.61094</v>
      </c>
      <c r="AM480" t="n">
        <v>40.63168</v>
      </c>
      <c r="AN480" t="n">
        <v>31.17455</v>
      </c>
      <c r="AO480" t="n">
        <v/>
      </c>
      <c r="AP480" t="n">
        <v>31.49298</v>
      </c>
      <c r="AQ480" t="n">
        <v/>
      </c>
      <c r="AR480" t="n">
        <v/>
      </c>
      <c r="AS480" t="n">
        <v/>
      </c>
      <c r="AT480" t="n">
        <v/>
      </c>
      <c r="AU480" t="n">
        <v>59.75138</v>
      </c>
      <c r="AV480" t="n">
        <v/>
      </c>
      <c r="AW480" t="n">
        <v>51.93058</v>
      </c>
      <c r="AX480" t="n">
        <v/>
      </c>
    </row>
    <row r="481">
      <c r="A481" s="92" t="n">
        <v>32478</v>
      </c>
      <c r="B481" t="n">
        <v>57.40235</v>
      </c>
      <c r="C481" t="n">
        <v>58.73454</v>
      </c>
      <c r="D481" t="n">
        <v/>
      </c>
      <c r="E481" t="n">
        <v>59.23987</v>
      </c>
      <c r="F481" t="n">
        <v>70.62196</v>
      </c>
      <c r="G481" t="n">
        <v/>
      </c>
      <c r="H481" t="n">
        <v/>
      </c>
      <c r="I481" t="n">
        <v/>
      </c>
      <c r="J481" t="n">
        <v/>
      </c>
      <c r="K481" t="n">
        <v/>
      </c>
      <c r="L481" t="n">
        <v>61.40242</v>
      </c>
      <c r="M481" t="n">
        <v>59.04884</v>
      </c>
      <c r="N481" t="n">
        <v/>
      </c>
      <c r="O481" t="n">
        <v>45.43238</v>
      </c>
      <c r="P481" t="n">
        <v/>
      </c>
      <c r="Q481" t="n">
        <v/>
      </c>
      <c r="R481" t="n">
        <v>59.58846</v>
      </c>
      <c r="S481" t="n">
        <v>65.51772</v>
      </c>
      <c r="T481" t="n">
        <v/>
      </c>
      <c r="U481" t="n">
        <v>57.59665</v>
      </c>
      <c r="V481" t="n">
        <v>53.91854</v>
      </c>
      <c r="W481" t="n">
        <v>23.69771</v>
      </c>
      <c r="X481" t="n">
        <v/>
      </c>
      <c r="Y481" t="n">
        <v/>
      </c>
      <c r="Z481" t="n">
        <v/>
      </c>
      <c r="AA481" t="n">
        <v>52.92216</v>
      </c>
      <c r="AB481" t="n">
        <v/>
      </c>
      <c r="AC481" t="n">
        <v>23.68821</v>
      </c>
      <c r="AD481" t="n">
        <v>47.4809</v>
      </c>
      <c r="AE481" t="n">
        <v>89.85108</v>
      </c>
      <c r="AF481" t="n">
        <v/>
      </c>
      <c r="AG481" t="n">
        <v/>
      </c>
      <c r="AH481" t="n">
        <v>56.56791</v>
      </c>
      <c r="AI481" t="n">
        <v/>
      </c>
      <c r="AJ481" t="n">
        <v>7.544478</v>
      </c>
      <c r="AK481" t="n">
        <v>56.88001</v>
      </c>
      <c r="AL481" t="n">
        <v>56.69724</v>
      </c>
      <c r="AM481" t="n">
        <v>40.76603</v>
      </c>
      <c r="AN481" t="n">
        <v>31.31705</v>
      </c>
      <c r="AO481" t="n">
        <v/>
      </c>
      <c r="AP481" t="n">
        <v>31.83204</v>
      </c>
      <c r="AQ481" t="n">
        <v/>
      </c>
      <c r="AR481" t="n">
        <v/>
      </c>
      <c r="AS481" t="n">
        <v/>
      </c>
      <c r="AT481" t="n">
        <v/>
      </c>
      <c r="AU481" t="n">
        <v>59.85173</v>
      </c>
      <c r="AV481" t="n">
        <v/>
      </c>
      <c r="AW481" t="n">
        <v>52.01313</v>
      </c>
      <c r="AX481" t="n">
        <v/>
      </c>
    </row>
    <row r="482">
      <c r="A482" s="92" t="n">
        <v>32509</v>
      </c>
      <c r="B482" t="n">
        <v>57.70307</v>
      </c>
      <c r="C482" t="n">
        <v>58.82302</v>
      </c>
      <c r="D482" t="n">
        <v/>
      </c>
      <c r="E482" t="n">
        <v>59.4591</v>
      </c>
      <c r="F482" t="n">
        <v>70.94117</v>
      </c>
      <c r="G482" t="n">
        <v/>
      </c>
      <c r="H482" t="n">
        <v/>
      </c>
      <c r="I482" t="n">
        <v/>
      </c>
      <c r="J482" t="n">
        <v/>
      </c>
      <c r="K482" t="n">
        <v/>
      </c>
      <c r="L482" t="n">
        <v>61.86316</v>
      </c>
      <c r="M482" t="n">
        <v>59.15558</v>
      </c>
      <c r="N482" t="n">
        <v/>
      </c>
      <c r="O482" t="n">
        <v>46.02631</v>
      </c>
      <c r="P482" t="n">
        <v/>
      </c>
      <c r="Q482" t="n">
        <v/>
      </c>
      <c r="R482" t="n">
        <v>59.88346</v>
      </c>
      <c r="S482" t="n">
        <v>65.73815999999999</v>
      </c>
      <c r="T482" t="n">
        <v/>
      </c>
      <c r="U482" t="n">
        <v>57.79429</v>
      </c>
      <c r="V482" t="n">
        <v>54.27385</v>
      </c>
      <c r="W482" t="n">
        <v>23.44984</v>
      </c>
      <c r="X482" t="n">
        <v/>
      </c>
      <c r="Y482" t="n">
        <v/>
      </c>
      <c r="Z482" t="n">
        <v/>
      </c>
      <c r="AA482" t="n">
        <v>53.57087</v>
      </c>
      <c r="AB482" t="n">
        <v/>
      </c>
      <c r="AC482" t="n">
        <v>24.2956</v>
      </c>
      <c r="AD482" t="n">
        <v>47.79245</v>
      </c>
      <c r="AE482" t="n">
        <v>89.6469</v>
      </c>
      <c r="AF482" t="n">
        <v/>
      </c>
      <c r="AG482" t="n">
        <v/>
      </c>
      <c r="AH482" t="n">
        <v>56.85666</v>
      </c>
      <c r="AI482" t="n">
        <v/>
      </c>
      <c r="AJ482" t="n">
        <v>7.748312</v>
      </c>
      <c r="AK482" t="n">
        <v>56.38546</v>
      </c>
      <c r="AL482" t="n">
        <v>56.92155</v>
      </c>
      <c r="AM482" t="n">
        <v>40.99991</v>
      </c>
      <c r="AN482" t="n">
        <v>31.58732</v>
      </c>
      <c r="AO482" t="n">
        <v/>
      </c>
      <c r="AP482" t="n">
        <v>32.58402</v>
      </c>
      <c r="AQ482" t="n">
        <v/>
      </c>
      <c r="AR482" t="n">
        <v/>
      </c>
      <c r="AS482" t="n">
        <v/>
      </c>
      <c r="AT482" t="n">
        <v/>
      </c>
      <c r="AU482" t="n">
        <v>60.37445</v>
      </c>
      <c r="AV482" t="n">
        <v/>
      </c>
      <c r="AW482" t="n">
        <v>52.17826</v>
      </c>
      <c r="AX482" t="n">
        <v/>
      </c>
    </row>
    <row r="483">
      <c r="A483" s="92" t="n">
        <v>32540</v>
      </c>
      <c r="B483" t="n">
        <v>58.05296</v>
      </c>
      <c r="C483" t="n">
        <v>59.09958</v>
      </c>
      <c r="D483" t="n">
        <v/>
      </c>
      <c r="E483" t="n">
        <v>59.85094</v>
      </c>
      <c r="F483" t="n">
        <v>71.32867</v>
      </c>
      <c r="G483" t="n">
        <v/>
      </c>
      <c r="H483" t="n">
        <v/>
      </c>
      <c r="I483" t="n">
        <v/>
      </c>
      <c r="J483" t="n">
        <v/>
      </c>
      <c r="K483" t="n">
        <v/>
      </c>
      <c r="L483" t="n">
        <v>62.04211</v>
      </c>
      <c r="M483" t="n">
        <v>59.67875</v>
      </c>
      <c r="N483" t="n">
        <v/>
      </c>
      <c r="O483" t="n">
        <v>46.22808</v>
      </c>
      <c r="P483" t="n">
        <v/>
      </c>
      <c r="Q483" t="n">
        <v/>
      </c>
      <c r="R483" t="n">
        <v>60.17419</v>
      </c>
      <c r="S483" t="n">
        <v>65.8989</v>
      </c>
      <c r="T483" t="n">
        <v/>
      </c>
      <c r="U483" t="n">
        <v>58.00243</v>
      </c>
      <c r="V483" t="n">
        <v>54.69966</v>
      </c>
      <c r="W483" t="n">
        <v>23.22727</v>
      </c>
      <c r="X483" t="n">
        <v/>
      </c>
      <c r="Y483" t="n">
        <v/>
      </c>
      <c r="Z483" t="n">
        <v/>
      </c>
      <c r="AA483" t="n">
        <v>53.57087</v>
      </c>
      <c r="AB483" t="n">
        <v/>
      </c>
      <c r="AC483" t="n">
        <v>24.59929</v>
      </c>
      <c r="AD483" t="n">
        <v>48.22695</v>
      </c>
      <c r="AE483" t="n">
        <v>89.41218000000001</v>
      </c>
      <c r="AF483" t="n">
        <v/>
      </c>
      <c r="AG483" t="n">
        <v/>
      </c>
      <c r="AH483" t="n">
        <v>57.03505</v>
      </c>
      <c r="AI483" t="n">
        <v/>
      </c>
      <c r="AJ483" t="n">
        <v>7.902864</v>
      </c>
      <c r="AK483" t="n">
        <v>56.57828</v>
      </c>
      <c r="AL483" t="n">
        <v>57.14396</v>
      </c>
      <c r="AM483" t="n">
        <v>41.19435</v>
      </c>
      <c r="AN483" t="n">
        <v>31.78366</v>
      </c>
      <c r="AO483" t="n">
        <v/>
      </c>
      <c r="AP483" t="n">
        <v>33.26235</v>
      </c>
      <c r="AQ483" t="n">
        <v/>
      </c>
      <c r="AR483" t="n">
        <v/>
      </c>
      <c r="AS483" t="n">
        <v/>
      </c>
      <c r="AT483" t="n">
        <v/>
      </c>
      <c r="AU483" t="n">
        <v>60.74247</v>
      </c>
      <c r="AV483" t="n">
        <v/>
      </c>
      <c r="AW483" t="n">
        <v>52.38466</v>
      </c>
      <c r="AX483" t="n">
        <v/>
      </c>
    </row>
    <row r="484">
      <c r="A484" s="92" t="n">
        <v>32568</v>
      </c>
      <c r="B484" t="n">
        <v>58.08468</v>
      </c>
      <c r="C484" t="n">
        <v>59.17566</v>
      </c>
      <c r="D484" t="n">
        <v/>
      </c>
      <c r="E484" t="n">
        <v>60.23989</v>
      </c>
      <c r="F484" t="n">
        <v>71.47481999999999</v>
      </c>
      <c r="G484" t="n">
        <v/>
      </c>
      <c r="H484" t="n">
        <v/>
      </c>
      <c r="I484" t="n">
        <v/>
      </c>
      <c r="J484" t="n">
        <v/>
      </c>
      <c r="K484" t="n">
        <v/>
      </c>
      <c r="L484" t="n">
        <v>62.13765</v>
      </c>
      <c r="M484" t="n">
        <v>60.01366</v>
      </c>
      <c r="N484" t="n">
        <v/>
      </c>
      <c r="O484" t="n">
        <v>46.51568</v>
      </c>
      <c r="P484" t="n">
        <v/>
      </c>
      <c r="Q484" t="n">
        <v/>
      </c>
      <c r="R484" t="n">
        <v>60.90236</v>
      </c>
      <c r="S484" t="n">
        <v>66.05474</v>
      </c>
      <c r="T484" t="n">
        <v/>
      </c>
      <c r="U484" t="n">
        <v>58.2694</v>
      </c>
      <c r="V484" t="n">
        <v>54.93181</v>
      </c>
      <c r="W484" t="n">
        <v>24.12065</v>
      </c>
      <c r="X484" t="n">
        <v/>
      </c>
      <c r="Y484" t="n">
        <v/>
      </c>
      <c r="Z484" t="n">
        <v/>
      </c>
      <c r="AA484" t="n">
        <v>53.57087</v>
      </c>
      <c r="AB484" t="n">
        <v/>
      </c>
      <c r="AC484" t="n">
        <v>24.90299</v>
      </c>
      <c r="AD484" t="n">
        <v>48.50616</v>
      </c>
      <c r="AE484" t="n">
        <v>89.7617</v>
      </c>
      <c r="AF484" t="n">
        <v/>
      </c>
      <c r="AG484" t="n">
        <v/>
      </c>
      <c r="AH484" t="n">
        <v>57.22704</v>
      </c>
      <c r="AI484" t="n">
        <v/>
      </c>
      <c r="AJ484" t="n">
        <v>8.015181999999999</v>
      </c>
      <c r="AK484" t="n">
        <v>56.87137</v>
      </c>
      <c r="AL484" t="n">
        <v>57.81688</v>
      </c>
      <c r="AM484" t="n">
        <v>41.42825</v>
      </c>
      <c r="AN484" t="n">
        <v>31.96199</v>
      </c>
      <c r="AO484" t="n">
        <v/>
      </c>
      <c r="AP484" t="n">
        <v>33.36094</v>
      </c>
      <c r="AQ484" t="n">
        <v/>
      </c>
      <c r="AR484" t="n">
        <v/>
      </c>
      <c r="AS484" t="n">
        <v/>
      </c>
      <c r="AT484" t="n">
        <v/>
      </c>
      <c r="AU484" t="n">
        <v>60.98561</v>
      </c>
      <c r="AV484" t="n">
        <v/>
      </c>
      <c r="AW484" t="n">
        <v>52.67362</v>
      </c>
      <c r="AX484" t="n">
        <v/>
      </c>
    </row>
    <row r="485">
      <c r="A485" s="92" t="n">
        <v>32599</v>
      </c>
      <c r="B485" t="n">
        <v>58.02262</v>
      </c>
      <c r="C485" t="n">
        <v>59.33647</v>
      </c>
      <c r="D485" t="n">
        <v/>
      </c>
      <c r="E485" t="n">
        <v>60.34574</v>
      </c>
      <c r="F485" t="n">
        <v>71.62965</v>
      </c>
      <c r="G485" t="n">
        <v/>
      </c>
      <c r="H485" t="n">
        <v/>
      </c>
      <c r="I485" t="n">
        <v/>
      </c>
      <c r="J485" t="n">
        <v/>
      </c>
      <c r="K485" t="n">
        <v/>
      </c>
      <c r="L485" t="n">
        <v>62.51802</v>
      </c>
      <c r="M485" t="n">
        <v>60.24693</v>
      </c>
      <c r="N485" t="n">
        <v/>
      </c>
      <c r="O485" t="n">
        <v>46.79293</v>
      </c>
      <c r="P485" t="n">
        <v/>
      </c>
      <c r="Q485" t="n">
        <v/>
      </c>
      <c r="R485" t="n">
        <v>61.33866</v>
      </c>
      <c r="S485" t="n">
        <v>66.34914000000001</v>
      </c>
      <c r="T485" t="n">
        <v/>
      </c>
      <c r="U485" t="n">
        <v>58.6577</v>
      </c>
      <c r="V485" t="n">
        <v>55.88746</v>
      </c>
      <c r="W485" t="n">
        <v>24.58004</v>
      </c>
      <c r="X485" t="n">
        <v/>
      </c>
      <c r="Y485" t="n">
        <v/>
      </c>
      <c r="Z485" t="n">
        <v/>
      </c>
      <c r="AA485" t="n">
        <v>54.19391</v>
      </c>
      <c r="AB485" t="n">
        <v/>
      </c>
      <c r="AC485" t="n">
        <v>25.30791</v>
      </c>
      <c r="AD485" t="n">
        <v>48.752</v>
      </c>
      <c r="AE485" t="n">
        <v>91.34401</v>
      </c>
      <c r="AF485" t="n">
        <v/>
      </c>
      <c r="AG485" t="n">
        <v/>
      </c>
      <c r="AH485" t="n">
        <v>57.40986</v>
      </c>
      <c r="AI485" t="n">
        <v/>
      </c>
      <c r="AJ485" t="n">
        <v>8.120679000000001</v>
      </c>
      <c r="AK485" t="n">
        <v>57.13898</v>
      </c>
      <c r="AL485" t="n">
        <v>58.02382</v>
      </c>
      <c r="AM485" t="n">
        <v>41.76201</v>
      </c>
      <c r="AN485" t="n">
        <v>32.27487</v>
      </c>
      <c r="AO485" t="n">
        <v/>
      </c>
      <c r="AP485" t="n">
        <v>33.79872</v>
      </c>
      <c r="AQ485" t="n">
        <v/>
      </c>
      <c r="AR485" t="n">
        <v/>
      </c>
      <c r="AS485" t="n">
        <v/>
      </c>
      <c r="AT485" t="n">
        <v/>
      </c>
      <c r="AU485" t="n">
        <v>61.47114</v>
      </c>
      <c r="AV485" t="n">
        <v/>
      </c>
      <c r="AW485" t="n">
        <v>52.83874</v>
      </c>
      <c r="AX485" t="n">
        <v/>
      </c>
    </row>
    <row r="486">
      <c r="A486" s="92" t="n">
        <v>32629</v>
      </c>
      <c r="B486" t="n">
        <v>57.96178</v>
      </c>
      <c r="C486" t="n">
        <v>59.47099</v>
      </c>
      <c r="D486" t="n">
        <v/>
      </c>
      <c r="E486" t="n">
        <v>60.88524</v>
      </c>
      <c r="F486" t="n">
        <v>71.65335</v>
      </c>
      <c r="G486" t="n">
        <v/>
      </c>
      <c r="H486" t="n">
        <v/>
      </c>
      <c r="I486" t="n">
        <v/>
      </c>
      <c r="J486" t="n">
        <v/>
      </c>
      <c r="K486" t="n">
        <v/>
      </c>
      <c r="L486" t="n">
        <v>62.57242</v>
      </c>
      <c r="M486" t="n">
        <v>60.80988</v>
      </c>
      <c r="N486" t="n">
        <v/>
      </c>
      <c r="O486" t="n">
        <v>46.95722</v>
      </c>
      <c r="P486" t="n">
        <v/>
      </c>
      <c r="Q486" t="n">
        <v/>
      </c>
      <c r="R486" t="n">
        <v>61.69505</v>
      </c>
      <c r="S486" t="n">
        <v>66.53013</v>
      </c>
      <c r="T486" t="n">
        <v/>
      </c>
      <c r="U486" t="n">
        <v>58.85655</v>
      </c>
      <c r="V486" t="n">
        <v>56.17537</v>
      </c>
      <c r="W486" t="n">
        <v>24.68267</v>
      </c>
      <c r="X486" t="n">
        <v/>
      </c>
      <c r="Y486" t="n">
        <v/>
      </c>
      <c r="Z486" t="n">
        <v/>
      </c>
      <c r="AA486" t="n">
        <v>54.19391</v>
      </c>
      <c r="AB486" t="n">
        <v/>
      </c>
      <c r="AC486" t="n">
        <v>25.71284</v>
      </c>
      <c r="AD486" t="n">
        <v>49.01076</v>
      </c>
      <c r="AE486" t="n">
        <v>91.88244</v>
      </c>
      <c r="AF486" t="n">
        <v/>
      </c>
      <c r="AG486" t="n">
        <v/>
      </c>
      <c r="AH486" t="n">
        <v>57.60379</v>
      </c>
      <c r="AI486" t="n">
        <v/>
      </c>
      <c r="AJ486" t="n">
        <v>8.223046999999999</v>
      </c>
      <c r="AK486" t="n">
        <v>57.12557</v>
      </c>
      <c r="AL486" t="n">
        <v>58.20084</v>
      </c>
      <c r="AM486" t="n">
        <v>41.94601</v>
      </c>
      <c r="AN486" t="n">
        <v>32.42899</v>
      </c>
      <c r="AO486" t="n">
        <v/>
      </c>
      <c r="AP486" t="n">
        <v>34.02597</v>
      </c>
      <c r="AQ486" t="n">
        <v/>
      </c>
      <c r="AR486" t="n">
        <v/>
      </c>
      <c r="AS486" t="n">
        <v/>
      </c>
      <c r="AT486" t="n">
        <v/>
      </c>
      <c r="AU486" t="n">
        <v>61.71544</v>
      </c>
      <c r="AV486" t="n">
        <v/>
      </c>
      <c r="AW486" t="n">
        <v>52.96258</v>
      </c>
      <c r="AX486" t="n">
        <v/>
      </c>
    </row>
    <row r="487">
      <c r="A487" s="92" t="n">
        <v>32660</v>
      </c>
      <c r="B487" t="n">
        <v>58.39439</v>
      </c>
      <c r="C487" t="n">
        <v>59.66721</v>
      </c>
      <c r="D487" t="n">
        <v/>
      </c>
      <c r="E487" t="n">
        <v>61.0849</v>
      </c>
      <c r="F487" t="n">
        <v>71.73377000000001</v>
      </c>
      <c r="G487" t="n">
        <v/>
      </c>
      <c r="H487" t="n">
        <v/>
      </c>
      <c r="I487" t="n">
        <v/>
      </c>
      <c r="J487" t="n">
        <v/>
      </c>
      <c r="K487" t="n">
        <v/>
      </c>
      <c r="L487" t="n">
        <v>62.62011</v>
      </c>
      <c r="M487" t="n">
        <v>60.76045</v>
      </c>
      <c r="N487" t="n">
        <v/>
      </c>
      <c r="O487" t="n">
        <v>47.13074</v>
      </c>
      <c r="P487" t="n">
        <v/>
      </c>
      <c r="Q487" t="n">
        <v/>
      </c>
      <c r="R487" t="n">
        <v>62.36389</v>
      </c>
      <c r="S487" t="n">
        <v>66.6324</v>
      </c>
      <c r="T487" t="n">
        <v/>
      </c>
      <c r="U487" t="n">
        <v>58.95651</v>
      </c>
      <c r="V487" t="n">
        <v>56.34823</v>
      </c>
      <c r="W487" t="n">
        <v>24.98846</v>
      </c>
      <c r="X487" t="n">
        <v/>
      </c>
      <c r="Y487" t="n">
        <v/>
      </c>
      <c r="Z487" t="n">
        <v/>
      </c>
      <c r="AA487" t="n">
        <v>54.19391</v>
      </c>
      <c r="AB487" t="n">
        <v/>
      </c>
      <c r="AC487" t="n">
        <v>26.219</v>
      </c>
      <c r="AD487" t="n">
        <v>49.16905</v>
      </c>
      <c r="AE487" t="n">
        <v>91.97328</v>
      </c>
      <c r="AF487" t="n">
        <v/>
      </c>
      <c r="AG487" t="n">
        <v/>
      </c>
      <c r="AH487" t="n">
        <v>57.79373</v>
      </c>
      <c r="AI487" t="n">
        <v/>
      </c>
      <c r="AJ487" t="n">
        <v>8.313643000000001</v>
      </c>
      <c r="AK487" t="n">
        <v>57.01934</v>
      </c>
      <c r="AL487" t="n">
        <v>58.54735</v>
      </c>
      <c r="AM487" t="n">
        <v>42.06957</v>
      </c>
      <c r="AN487" t="n">
        <v>32.56366</v>
      </c>
      <c r="AO487" t="n">
        <v/>
      </c>
      <c r="AP487" t="n">
        <v>34.24056</v>
      </c>
      <c r="AQ487" t="n">
        <v/>
      </c>
      <c r="AR487" t="n">
        <v/>
      </c>
      <c r="AS487" t="n">
        <v/>
      </c>
      <c r="AT487" t="n">
        <v/>
      </c>
      <c r="AU487" t="n">
        <v>62.05038</v>
      </c>
      <c r="AV487" t="n">
        <v/>
      </c>
      <c r="AW487" t="n">
        <v>53.04514</v>
      </c>
      <c r="AX487" t="n">
        <v/>
      </c>
    </row>
    <row r="488">
      <c r="A488" s="92" t="n">
        <v>32690</v>
      </c>
      <c r="B488" t="n">
        <v>59.24787</v>
      </c>
      <c r="C488" t="n">
        <v>59.97108</v>
      </c>
      <c r="D488" t="n">
        <v/>
      </c>
      <c r="E488" t="n">
        <v>61.49309</v>
      </c>
      <c r="F488" t="n">
        <v>71.73911</v>
      </c>
      <c r="G488" t="n">
        <v/>
      </c>
      <c r="H488" t="n">
        <v/>
      </c>
      <c r="I488" t="n">
        <v/>
      </c>
      <c r="J488" t="n">
        <v/>
      </c>
      <c r="K488" t="n">
        <v/>
      </c>
      <c r="L488" t="n">
        <v>62.58263</v>
      </c>
      <c r="M488" t="n">
        <v>60.58547</v>
      </c>
      <c r="N488" t="n">
        <v/>
      </c>
      <c r="O488" t="n">
        <v>47.34269</v>
      </c>
      <c r="P488" t="n">
        <v/>
      </c>
      <c r="Q488" t="n">
        <v/>
      </c>
      <c r="R488" t="n">
        <v>62.34917</v>
      </c>
      <c r="S488" t="n">
        <v>66.90263</v>
      </c>
      <c r="T488" t="n">
        <v/>
      </c>
      <c r="U488" t="n">
        <v>59.0961</v>
      </c>
      <c r="V488" t="n">
        <v>56.47381</v>
      </c>
      <c r="W488" t="n">
        <v>24.93428</v>
      </c>
      <c r="X488" t="n">
        <v/>
      </c>
      <c r="Y488" t="n">
        <v/>
      </c>
      <c r="Z488" t="n">
        <v/>
      </c>
      <c r="AA488" t="n">
        <v>54.82326</v>
      </c>
      <c r="AB488" t="n">
        <v/>
      </c>
      <c r="AC488" t="n">
        <v>26.52269</v>
      </c>
      <c r="AD488" t="n">
        <v>49.2629</v>
      </c>
      <c r="AE488" t="n">
        <v>91.74652</v>
      </c>
      <c r="AF488" t="n">
        <v/>
      </c>
      <c r="AG488" t="n">
        <v/>
      </c>
      <c r="AH488" t="n">
        <v>57.89058</v>
      </c>
      <c r="AI488" t="n">
        <v/>
      </c>
      <c r="AJ488" t="n">
        <v>8.398127000000001</v>
      </c>
      <c r="AK488" t="n">
        <v>57.09911</v>
      </c>
      <c r="AL488" t="n">
        <v>58.49566</v>
      </c>
      <c r="AM488" t="n">
        <v>42.23836</v>
      </c>
      <c r="AN488" t="n">
        <v>32.69999</v>
      </c>
      <c r="AO488" t="n">
        <v/>
      </c>
      <c r="AP488" t="n">
        <v>34.40891</v>
      </c>
      <c r="AQ488" t="n">
        <v/>
      </c>
      <c r="AR488" t="n">
        <v/>
      </c>
      <c r="AS488" t="n">
        <v/>
      </c>
      <c r="AT488" t="n">
        <v/>
      </c>
      <c r="AU488" t="n">
        <v>61.91806</v>
      </c>
      <c r="AV488" t="n">
        <v/>
      </c>
      <c r="AW488" t="n">
        <v>53.25154</v>
      </c>
      <c r="AX488" t="n">
        <v/>
      </c>
    </row>
    <row r="489">
      <c r="A489" s="92" t="n">
        <v>32721</v>
      </c>
      <c r="B489" t="n">
        <v>59.49606</v>
      </c>
      <c r="C489" t="n">
        <v>60.07419</v>
      </c>
      <c r="D489" t="n">
        <v/>
      </c>
      <c r="E489" t="n">
        <v>61.68238</v>
      </c>
      <c r="F489" t="n">
        <v>72.28431</v>
      </c>
      <c r="G489" t="n">
        <v/>
      </c>
      <c r="H489" t="n">
        <v/>
      </c>
      <c r="I489" t="n">
        <v/>
      </c>
      <c r="J489" t="n">
        <v/>
      </c>
      <c r="K489" t="n">
        <v/>
      </c>
      <c r="L489" t="n">
        <v>62.61355</v>
      </c>
      <c r="M489" t="n">
        <v>60.90514</v>
      </c>
      <c r="N489" t="n">
        <v/>
      </c>
      <c r="O489" t="n">
        <v>47.5114</v>
      </c>
      <c r="P489" t="n">
        <v/>
      </c>
      <c r="Q489" t="n">
        <v/>
      </c>
      <c r="R489" t="n">
        <v>62.39071</v>
      </c>
      <c r="S489" t="n">
        <v>67.01361</v>
      </c>
      <c r="T489" t="n">
        <v/>
      </c>
      <c r="U489" t="n">
        <v>59.19769</v>
      </c>
      <c r="V489" t="n">
        <v>56.6791</v>
      </c>
      <c r="W489" t="n">
        <v>24.60546</v>
      </c>
      <c r="X489" t="n">
        <v/>
      </c>
      <c r="Y489" t="n">
        <v/>
      </c>
      <c r="Z489" t="n">
        <v/>
      </c>
      <c r="AA489" t="n">
        <v>54.82326</v>
      </c>
      <c r="AB489" t="n">
        <v/>
      </c>
      <c r="AC489" t="n">
        <v>26.82639</v>
      </c>
      <c r="AD489" t="n">
        <v>49.40979</v>
      </c>
      <c r="AE489" t="n">
        <v>91.60278</v>
      </c>
      <c r="AF489" t="n">
        <v/>
      </c>
      <c r="AG489" t="n">
        <v/>
      </c>
      <c r="AH489" t="n">
        <v>57.96103</v>
      </c>
      <c r="AI489" t="n">
        <v/>
      </c>
      <c r="AJ489" t="n">
        <v>8.496316999999999</v>
      </c>
      <c r="AK489" t="n">
        <v>57.26579</v>
      </c>
      <c r="AL489" t="n">
        <v>58.31026</v>
      </c>
      <c r="AM489" t="n">
        <v>42.36146</v>
      </c>
      <c r="AN489" t="n">
        <v>32.82483</v>
      </c>
      <c r="AO489" t="n">
        <v/>
      </c>
      <c r="AP489" t="n">
        <v>34.62247</v>
      </c>
      <c r="AQ489" t="n">
        <v/>
      </c>
      <c r="AR489" t="n">
        <v/>
      </c>
      <c r="AS489" t="n">
        <v/>
      </c>
      <c r="AT489" t="n">
        <v/>
      </c>
      <c r="AU489" t="n">
        <v>62.22194</v>
      </c>
      <c r="AV489" t="n">
        <v/>
      </c>
      <c r="AW489" t="n">
        <v>53.37539</v>
      </c>
      <c r="AX489" t="n">
        <v/>
      </c>
    </row>
    <row r="490">
      <c r="A490" s="92" t="n">
        <v>32752</v>
      </c>
      <c r="B490" t="n">
        <v>58.72192</v>
      </c>
      <c r="C490" t="n">
        <v>60.09184</v>
      </c>
      <c r="D490" t="n">
        <v/>
      </c>
      <c r="E490" t="n">
        <v>61.86741</v>
      </c>
      <c r="F490" t="n">
        <v>72.46801000000001</v>
      </c>
      <c r="G490" t="n">
        <v/>
      </c>
      <c r="H490" t="n">
        <v/>
      </c>
      <c r="I490" t="n">
        <v/>
      </c>
      <c r="J490" t="n">
        <v/>
      </c>
      <c r="K490" t="n">
        <v/>
      </c>
      <c r="L490" t="n">
        <v>62.62391</v>
      </c>
      <c r="M490" t="n">
        <v>61.17163</v>
      </c>
      <c r="N490" t="n">
        <v/>
      </c>
      <c r="O490" t="n">
        <v>47.77361</v>
      </c>
      <c r="P490" t="n">
        <v/>
      </c>
      <c r="Q490" t="n">
        <v/>
      </c>
      <c r="R490" t="n">
        <v>63.28047</v>
      </c>
      <c r="S490" t="n">
        <v>67.10568000000001</v>
      </c>
      <c r="T490" t="n">
        <v/>
      </c>
      <c r="U490" t="n">
        <v>59.47704</v>
      </c>
      <c r="V490" t="n">
        <v>57.08962</v>
      </c>
      <c r="W490" t="n">
        <v>25.64394</v>
      </c>
      <c r="X490" t="n">
        <v/>
      </c>
      <c r="Y490" t="n">
        <v/>
      </c>
      <c r="Z490" t="n">
        <v/>
      </c>
      <c r="AA490" t="n">
        <v>54.82326</v>
      </c>
      <c r="AB490" t="n">
        <v/>
      </c>
      <c r="AC490" t="n">
        <v>27.33255</v>
      </c>
      <c r="AD490" t="n">
        <v>49.60442</v>
      </c>
      <c r="AE490" t="n">
        <v>92.25591</v>
      </c>
      <c r="AF490" t="n">
        <v/>
      </c>
      <c r="AG490" t="n">
        <v/>
      </c>
      <c r="AH490" t="n">
        <v>58.09665</v>
      </c>
      <c r="AI490" t="n">
        <v/>
      </c>
      <c r="AJ490" t="n">
        <v>8.621411999999999</v>
      </c>
      <c r="AK490" t="n">
        <v>57.54089</v>
      </c>
      <c r="AL490" t="n">
        <v>58.94963</v>
      </c>
      <c r="AM490" t="n">
        <v>42.63532</v>
      </c>
      <c r="AN490" t="n">
        <v>33.05552</v>
      </c>
      <c r="AO490" t="n">
        <v/>
      </c>
      <c r="AP490" t="n">
        <v>34.71201</v>
      </c>
      <c r="AQ490" t="n">
        <v/>
      </c>
      <c r="AR490" t="n">
        <v/>
      </c>
      <c r="AS490" t="n">
        <v/>
      </c>
      <c r="AT490" t="n">
        <v/>
      </c>
      <c r="AU490" t="n">
        <v>62.78604</v>
      </c>
      <c r="AV490" t="n">
        <v/>
      </c>
      <c r="AW490" t="n">
        <v>53.66434</v>
      </c>
      <c r="AX490" t="n">
        <v/>
      </c>
    </row>
    <row r="491">
      <c r="A491" s="92" t="n">
        <v>32782</v>
      </c>
      <c r="B491" t="n">
        <v>58.64098</v>
      </c>
      <c r="C491" t="n">
        <v>60.00326</v>
      </c>
      <c r="D491" t="n">
        <v/>
      </c>
      <c r="E491" t="n">
        <v>62.16583</v>
      </c>
      <c r="F491" t="n">
        <v>72.60217</v>
      </c>
      <c r="G491" t="n">
        <v/>
      </c>
      <c r="H491" t="n">
        <v/>
      </c>
      <c r="I491" t="n">
        <v/>
      </c>
      <c r="J491" t="n">
        <v/>
      </c>
      <c r="K491" t="n">
        <v/>
      </c>
      <c r="L491" t="n">
        <v>62.77573</v>
      </c>
      <c r="M491" t="n">
        <v>61.46234</v>
      </c>
      <c r="N491" t="n">
        <v/>
      </c>
      <c r="O491" t="n">
        <v>48.03457</v>
      </c>
      <c r="P491" t="n">
        <v/>
      </c>
      <c r="Q491" t="n">
        <v/>
      </c>
      <c r="R491" t="n">
        <v>63.44959</v>
      </c>
      <c r="S491" t="n">
        <v>67.37521</v>
      </c>
      <c r="T491" t="n">
        <v/>
      </c>
      <c r="U491" t="n">
        <v>59.8084</v>
      </c>
      <c r="V491" t="n">
        <v>57.52483</v>
      </c>
      <c r="W491" t="n">
        <v>26.25654</v>
      </c>
      <c r="X491" t="n">
        <v/>
      </c>
      <c r="Y491" t="n">
        <v/>
      </c>
      <c r="Z491" t="n">
        <v/>
      </c>
      <c r="AA491" t="n">
        <v>55.38707</v>
      </c>
      <c r="AB491" t="n">
        <v/>
      </c>
      <c r="AC491" t="n">
        <v>27.83871</v>
      </c>
      <c r="AD491" t="n">
        <v>49.92582</v>
      </c>
      <c r="AE491" t="n">
        <v>92.49592</v>
      </c>
      <c r="AF491" t="n">
        <v/>
      </c>
      <c r="AG491" t="n">
        <v/>
      </c>
      <c r="AH491" t="n">
        <v>58.32431</v>
      </c>
      <c r="AI491" t="n">
        <v/>
      </c>
      <c r="AJ491" t="n">
        <v>8.755098</v>
      </c>
      <c r="AK491" t="n">
        <v>57.60038</v>
      </c>
      <c r="AL491" t="n">
        <v>59.10559</v>
      </c>
      <c r="AM491" t="n">
        <v>42.96122</v>
      </c>
      <c r="AN491" t="n">
        <v>33.34252</v>
      </c>
      <c r="AO491" t="n">
        <v/>
      </c>
      <c r="AP491" t="n">
        <v>35.00862</v>
      </c>
      <c r="AQ491" t="n">
        <v/>
      </c>
      <c r="AR491" t="n">
        <v/>
      </c>
      <c r="AS491" t="n">
        <v/>
      </c>
      <c r="AT491" t="n">
        <v/>
      </c>
      <c r="AU491" t="n">
        <v>63.43498</v>
      </c>
      <c r="AV491" t="n">
        <v/>
      </c>
      <c r="AW491" t="n">
        <v>54.03587</v>
      </c>
      <c r="AX491" t="n">
        <v/>
      </c>
    </row>
    <row r="492">
      <c r="A492" s="92" t="n">
        <v>32813</v>
      </c>
      <c r="B492" t="n">
        <v>58.66173</v>
      </c>
      <c r="C492" t="n">
        <v>59.94698</v>
      </c>
      <c r="D492" t="n">
        <v/>
      </c>
      <c r="E492" t="n">
        <v>62.35834</v>
      </c>
      <c r="F492" t="n">
        <v>73.6589</v>
      </c>
      <c r="G492" t="n">
        <v/>
      </c>
      <c r="H492" t="n">
        <v/>
      </c>
      <c r="I492" t="n">
        <v/>
      </c>
      <c r="J492" t="n">
        <v/>
      </c>
      <c r="K492" t="n">
        <v/>
      </c>
      <c r="L492" t="n">
        <v>62.89168</v>
      </c>
      <c r="M492" t="n">
        <v>61.83848</v>
      </c>
      <c r="N492" t="n">
        <v/>
      </c>
      <c r="O492" t="n">
        <v>48.27222</v>
      </c>
      <c r="P492" t="n">
        <v/>
      </c>
      <c r="Q492" t="n">
        <v/>
      </c>
      <c r="R492" t="n">
        <v>63.37581</v>
      </c>
      <c r="S492" t="n">
        <v>67.45953</v>
      </c>
      <c r="T492" t="n">
        <v/>
      </c>
      <c r="U492" t="n">
        <v>59.98045</v>
      </c>
      <c r="V492" t="n">
        <v>58.04991</v>
      </c>
      <c r="W492" t="n">
        <v>26.44459</v>
      </c>
      <c r="X492" t="n">
        <v/>
      </c>
      <c r="Y492" t="n">
        <v/>
      </c>
      <c r="Z492" t="n">
        <v/>
      </c>
      <c r="AA492" t="n">
        <v>55.38707</v>
      </c>
      <c r="AB492" t="n">
        <v/>
      </c>
      <c r="AC492" t="n">
        <v>28.24363</v>
      </c>
      <c r="AD492" t="n">
        <v>50.19927</v>
      </c>
      <c r="AE492" t="n">
        <v>92.4024</v>
      </c>
      <c r="AF492" t="n">
        <v/>
      </c>
      <c r="AG492" t="n">
        <v/>
      </c>
      <c r="AH492" t="n">
        <v>58.45986</v>
      </c>
      <c r="AI492" t="n">
        <v/>
      </c>
      <c r="AJ492" t="n">
        <v>8.884690000000001</v>
      </c>
      <c r="AK492" t="n">
        <v>57.61544</v>
      </c>
      <c r="AL492" t="n">
        <v>59.11769</v>
      </c>
      <c r="AM492" t="n">
        <v>43.15424</v>
      </c>
      <c r="AN492" t="n">
        <v>33.56629</v>
      </c>
      <c r="AO492" t="n">
        <v/>
      </c>
      <c r="AP492" t="n">
        <v>35.36497</v>
      </c>
      <c r="AQ492" t="n">
        <v/>
      </c>
      <c r="AR492" t="n">
        <v/>
      </c>
      <c r="AS492" t="n">
        <v/>
      </c>
      <c r="AT492" t="n">
        <v/>
      </c>
      <c r="AU492" t="n">
        <v>63.59482</v>
      </c>
      <c r="AV492" t="n">
        <v/>
      </c>
      <c r="AW492" t="n">
        <v>54.20099</v>
      </c>
      <c r="AX492" t="n">
        <v/>
      </c>
    </row>
    <row r="493">
      <c r="A493" s="92" t="n">
        <v>32843</v>
      </c>
      <c r="B493" t="n">
        <v>58.83156</v>
      </c>
      <c r="C493" t="n">
        <v>60.12584</v>
      </c>
      <c r="D493" t="n">
        <v/>
      </c>
      <c r="E493" t="n">
        <v>62.46985</v>
      </c>
      <c r="F493" t="n">
        <v>73.84605999999999</v>
      </c>
      <c r="G493" t="n">
        <v/>
      </c>
      <c r="H493" t="n">
        <v/>
      </c>
      <c r="I493" t="n">
        <v/>
      </c>
      <c r="J493" t="n">
        <v/>
      </c>
      <c r="K493" t="n">
        <v/>
      </c>
      <c r="L493" t="n">
        <v>62.98224</v>
      </c>
      <c r="M493" t="n">
        <v>61.78518</v>
      </c>
      <c r="N493" t="n">
        <v/>
      </c>
      <c r="O493" t="n">
        <v>48.45424</v>
      </c>
      <c r="P493" t="n">
        <v/>
      </c>
      <c r="Q493" t="n">
        <v/>
      </c>
      <c r="R493" t="n">
        <v>63.6884</v>
      </c>
      <c r="S493" t="n">
        <v>67.49271</v>
      </c>
      <c r="T493" t="n">
        <v/>
      </c>
      <c r="U493" t="n">
        <v>60.07254</v>
      </c>
      <c r="V493" t="n">
        <v>58.16181</v>
      </c>
      <c r="W493" t="n">
        <v>27.13282</v>
      </c>
      <c r="X493" t="n">
        <v/>
      </c>
      <c r="Y493" t="n">
        <v/>
      </c>
      <c r="Z493" t="n">
        <v/>
      </c>
      <c r="AA493" t="n">
        <v>55.38707</v>
      </c>
      <c r="AB493" t="n">
        <v/>
      </c>
      <c r="AC493" t="n">
        <v>28.54733</v>
      </c>
      <c r="AD493" t="n">
        <v>50.31694</v>
      </c>
      <c r="AE493" t="n">
        <v>92.53625</v>
      </c>
      <c r="AF493" t="n">
        <v/>
      </c>
      <c r="AG493" t="n">
        <v/>
      </c>
      <c r="AH493" t="n">
        <v>58.49831</v>
      </c>
      <c r="AI493" t="n">
        <v/>
      </c>
      <c r="AJ493" t="n">
        <v>9.147751</v>
      </c>
      <c r="AK493" t="n">
        <v>57.58008</v>
      </c>
      <c r="AL493" t="n">
        <v>59.21162</v>
      </c>
      <c r="AM493" t="n">
        <v>43.31659</v>
      </c>
      <c r="AN493" t="n">
        <v>33.71075</v>
      </c>
      <c r="AO493" t="n">
        <v/>
      </c>
      <c r="AP493" t="n">
        <v>35.55347</v>
      </c>
      <c r="AQ493" t="n">
        <v/>
      </c>
      <c r="AR493" t="n">
        <v/>
      </c>
      <c r="AS493" t="n">
        <v/>
      </c>
      <c r="AT493" t="n">
        <v/>
      </c>
      <c r="AU493" t="n">
        <v>63.82831</v>
      </c>
      <c r="AV493" t="n">
        <v/>
      </c>
      <c r="AW493" t="n">
        <v>54.28355</v>
      </c>
      <c r="AX493" t="n">
        <v/>
      </c>
    </row>
    <row r="494">
      <c r="A494" s="92" t="n">
        <v>32874</v>
      </c>
      <c r="B494" t="n">
        <v>59.07604</v>
      </c>
      <c r="C494" t="n">
        <v>60.31159</v>
      </c>
      <c r="D494" t="n">
        <v/>
      </c>
      <c r="E494" t="n">
        <v>62.62979</v>
      </c>
      <c r="F494" t="n">
        <v>74.20917</v>
      </c>
      <c r="G494" t="n">
        <v/>
      </c>
      <c r="H494" t="n">
        <v/>
      </c>
      <c r="I494" t="n">
        <v/>
      </c>
      <c r="J494" t="n">
        <v/>
      </c>
      <c r="K494" t="n">
        <v/>
      </c>
      <c r="L494" t="n">
        <v>63.30952</v>
      </c>
      <c r="M494" t="n">
        <v>61.61429</v>
      </c>
      <c r="N494" t="n">
        <v/>
      </c>
      <c r="O494" t="n">
        <v>48.80844</v>
      </c>
      <c r="P494" t="n">
        <v/>
      </c>
      <c r="Q494" t="n">
        <v/>
      </c>
      <c r="R494" t="n">
        <v>64.79134000000001</v>
      </c>
      <c r="S494" t="n">
        <v>67.64256</v>
      </c>
      <c r="T494" t="n">
        <v/>
      </c>
      <c r="U494" t="n">
        <v>60.29294</v>
      </c>
      <c r="V494" t="n">
        <v>58.40349</v>
      </c>
      <c r="W494" t="n">
        <v>26.9831</v>
      </c>
      <c r="X494" t="n">
        <v>7.601743</v>
      </c>
      <c r="Y494" t="n">
        <v/>
      </c>
      <c r="Z494" t="n">
        <v/>
      </c>
      <c r="AA494" t="n">
        <v>55.94046</v>
      </c>
      <c r="AB494" t="n">
        <v/>
      </c>
      <c r="AC494" t="n">
        <v>28.85102</v>
      </c>
      <c r="AD494" t="n">
        <v>50.82263</v>
      </c>
      <c r="AE494" t="n">
        <v>92.47427</v>
      </c>
      <c r="AF494" t="n">
        <v>42.55817</v>
      </c>
      <c r="AG494" t="n">
        <v/>
      </c>
      <c r="AH494" t="n">
        <v>58.79517</v>
      </c>
      <c r="AI494" t="n">
        <v/>
      </c>
      <c r="AJ494" t="n">
        <v>9.584936000000001</v>
      </c>
      <c r="AK494" t="n">
        <v>57.32541</v>
      </c>
      <c r="AL494" t="n">
        <v>59.22149</v>
      </c>
      <c r="AM494" t="n">
        <v>43.63536</v>
      </c>
      <c r="AN494" t="n">
        <v>33.95466</v>
      </c>
      <c r="AO494" t="n">
        <v/>
      </c>
      <c r="AP494" t="n">
        <v>36.37745</v>
      </c>
      <c r="AQ494" t="n">
        <v/>
      </c>
      <c r="AR494" t="n">
        <v/>
      </c>
      <c r="AS494" t="n">
        <v/>
      </c>
      <c r="AT494" t="n">
        <v/>
      </c>
      <c r="AU494" t="n">
        <v>65.29246000000001</v>
      </c>
      <c r="AV494" t="n">
        <v/>
      </c>
      <c r="AW494" t="n">
        <v>54.48995</v>
      </c>
      <c r="AX494" t="n">
        <v/>
      </c>
    </row>
    <row r="495">
      <c r="A495" s="92" t="n">
        <v>32905</v>
      </c>
      <c r="B495" t="n">
        <v>59.5694</v>
      </c>
      <c r="C495" t="n">
        <v>60.5896</v>
      </c>
      <c r="D495" t="n">
        <v/>
      </c>
      <c r="E495" t="n">
        <v>62.96408</v>
      </c>
      <c r="F495" t="n">
        <v>74.60012999999999</v>
      </c>
      <c r="G495" t="n">
        <v/>
      </c>
      <c r="H495" t="n">
        <v/>
      </c>
      <c r="I495" t="n">
        <v/>
      </c>
      <c r="J495" t="n">
        <v/>
      </c>
      <c r="K495" t="n">
        <v/>
      </c>
      <c r="L495" t="n">
        <v>63.67576</v>
      </c>
      <c r="M495" t="n">
        <v>61.85131</v>
      </c>
      <c r="N495" t="n">
        <v/>
      </c>
      <c r="O495" t="n">
        <v>49.32269</v>
      </c>
      <c r="P495" t="n">
        <v/>
      </c>
      <c r="Q495" t="n">
        <v/>
      </c>
      <c r="R495" t="n">
        <v>65.00224</v>
      </c>
      <c r="S495" t="n">
        <v>67.82799</v>
      </c>
      <c r="T495" t="n">
        <v/>
      </c>
      <c r="U495" t="n">
        <v>60.58171</v>
      </c>
      <c r="V495" t="n">
        <v>58.77477</v>
      </c>
      <c r="W495" t="n">
        <v>26.94438</v>
      </c>
      <c r="X495" t="n">
        <v>7.872855</v>
      </c>
      <c r="Y495" t="n">
        <v/>
      </c>
      <c r="Z495" t="n">
        <v/>
      </c>
      <c r="AA495" t="n">
        <v>55.94046</v>
      </c>
      <c r="AB495" t="n">
        <v/>
      </c>
      <c r="AC495" t="n">
        <v>29.05348</v>
      </c>
      <c r="AD495" t="n">
        <v>51.20615</v>
      </c>
      <c r="AE495" t="n">
        <v>92.29900000000001</v>
      </c>
      <c r="AF495" t="n">
        <v>42.79937</v>
      </c>
      <c r="AG495" t="n">
        <v/>
      </c>
      <c r="AH495" t="n">
        <v>58.91312</v>
      </c>
      <c r="AI495" t="n">
        <v/>
      </c>
      <c r="AJ495" t="n">
        <v>9.786206</v>
      </c>
      <c r="AK495" t="n">
        <v>57.53763</v>
      </c>
      <c r="AL495" t="n">
        <v>59.38792</v>
      </c>
      <c r="AM495" t="n">
        <v>43.89822</v>
      </c>
      <c r="AN495" t="n">
        <v>34.19353</v>
      </c>
      <c r="AO495" t="n">
        <v/>
      </c>
      <c r="AP495" t="n">
        <v>37.45008</v>
      </c>
      <c r="AQ495" t="n">
        <v/>
      </c>
      <c r="AR495" t="n">
        <v/>
      </c>
      <c r="AS495" t="n">
        <v/>
      </c>
      <c r="AT495" t="n">
        <v/>
      </c>
      <c r="AU495" t="n">
        <v>65.5478</v>
      </c>
      <c r="AV495" t="n">
        <v/>
      </c>
      <c r="AW495" t="n">
        <v>54.82019</v>
      </c>
      <c r="AX495" t="n">
        <v/>
      </c>
    </row>
    <row r="496">
      <c r="A496" s="92" t="n">
        <v>32933</v>
      </c>
      <c r="B496" t="n">
        <v>59.64531</v>
      </c>
      <c r="C496" t="n">
        <v>60.74259</v>
      </c>
      <c r="D496" t="n">
        <v/>
      </c>
      <c r="E496" t="n">
        <v>63.19709</v>
      </c>
      <c r="F496" t="n">
        <v>74.87611</v>
      </c>
      <c r="G496" t="n">
        <v/>
      </c>
      <c r="H496" t="n">
        <v/>
      </c>
      <c r="I496" t="n">
        <v/>
      </c>
      <c r="J496" t="n">
        <v/>
      </c>
      <c r="K496" t="n">
        <v/>
      </c>
      <c r="L496" t="n">
        <v>63.67576</v>
      </c>
      <c r="M496" t="n">
        <v>62.16532</v>
      </c>
      <c r="N496" t="n">
        <v/>
      </c>
      <c r="O496" t="n">
        <v>49.62259</v>
      </c>
      <c r="P496" t="n">
        <v/>
      </c>
      <c r="Q496" t="n">
        <v/>
      </c>
      <c r="R496" t="n">
        <v>65.29656</v>
      </c>
      <c r="S496" t="n">
        <v>68.08071</v>
      </c>
      <c r="T496" t="n">
        <v/>
      </c>
      <c r="U496" t="n">
        <v>60.95966</v>
      </c>
      <c r="V496" t="n">
        <v>59.45396</v>
      </c>
      <c r="W496" t="n">
        <v>28.11878</v>
      </c>
      <c r="X496" t="n">
        <v>8.081044</v>
      </c>
      <c r="Y496" t="n">
        <v/>
      </c>
      <c r="Z496" t="n">
        <v/>
      </c>
      <c r="AA496" t="n">
        <v>55.94046</v>
      </c>
      <c r="AB496" t="n">
        <v/>
      </c>
      <c r="AC496" t="n">
        <v>29.45841</v>
      </c>
      <c r="AD496" t="n">
        <v>51.51757</v>
      </c>
      <c r="AE496" t="n">
        <v>92.59654999999999</v>
      </c>
      <c r="AF496" t="n">
        <v>43.3971</v>
      </c>
      <c r="AG496" t="n">
        <v/>
      </c>
      <c r="AH496" t="n">
        <v>58.97764</v>
      </c>
      <c r="AI496" t="n">
        <v/>
      </c>
      <c r="AJ496" t="n">
        <v>9.944281</v>
      </c>
      <c r="AK496" t="n">
        <v>57.85512</v>
      </c>
      <c r="AL496" t="n">
        <v>60.27409</v>
      </c>
      <c r="AM496" t="n">
        <v>44.22768</v>
      </c>
      <c r="AN496" t="n">
        <v>34.44633</v>
      </c>
      <c r="AO496" t="n">
        <v/>
      </c>
      <c r="AP496" t="n">
        <v>37.51027</v>
      </c>
      <c r="AQ496" t="n">
        <v/>
      </c>
      <c r="AR496" t="n">
        <v/>
      </c>
      <c r="AS496" t="n">
        <v/>
      </c>
      <c r="AT496" t="n">
        <v/>
      </c>
      <c r="AU496" t="n">
        <v>66.50659</v>
      </c>
      <c r="AV496" t="n">
        <v/>
      </c>
      <c r="AW496" t="n">
        <v>55.27428</v>
      </c>
      <c r="AX496" t="n">
        <v/>
      </c>
    </row>
    <row r="497">
      <c r="A497" s="92" t="n">
        <v>32964</v>
      </c>
      <c r="B497" t="n">
        <v>59.82607</v>
      </c>
      <c r="C497" t="n">
        <v>61.09111</v>
      </c>
      <c r="D497" t="n">
        <v/>
      </c>
      <c r="E497" t="n">
        <v>63.2723</v>
      </c>
      <c r="F497" t="n">
        <v>74.92932</v>
      </c>
      <c r="G497" t="n">
        <v/>
      </c>
      <c r="H497" t="n">
        <v/>
      </c>
      <c r="I497" t="n">
        <v/>
      </c>
      <c r="J497" t="n">
        <v/>
      </c>
      <c r="K497" t="n">
        <v/>
      </c>
      <c r="L497" t="n">
        <v>63.77625</v>
      </c>
      <c r="M497" t="n">
        <v>62.2379</v>
      </c>
      <c r="N497" t="n">
        <v/>
      </c>
      <c r="O497" t="n">
        <v>49.94619</v>
      </c>
      <c r="P497" t="n">
        <v/>
      </c>
      <c r="Q497" t="n">
        <v/>
      </c>
      <c r="R497" t="n">
        <v>65.57961</v>
      </c>
      <c r="S497" t="n">
        <v>68.38184</v>
      </c>
      <c r="T497" t="n">
        <v/>
      </c>
      <c r="U497" t="n">
        <v>61.31604</v>
      </c>
      <c r="V497" t="n">
        <v>61.42609</v>
      </c>
      <c r="W497" t="n">
        <v>28.65561</v>
      </c>
      <c r="X497" t="n">
        <v>8.362329000000001</v>
      </c>
      <c r="Y497" t="n">
        <v/>
      </c>
      <c r="Z497" t="n">
        <v/>
      </c>
      <c r="AA497" t="n">
        <v>56.25222</v>
      </c>
      <c r="AB497" t="n">
        <v/>
      </c>
      <c r="AC497" t="n">
        <v>30.26826</v>
      </c>
      <c r="AD497" t="n">
        <v>51.69747</v>
      </c>
      <c r="AE497" t="n">
        <v>93.62344</v>
      </c>
      <c r="AF497" t="n">
        <v>43.69543</v>
      </c>
      <c r="AG497" t="n">
        <v/>
      </c>
      <c r="AH497" t="n">
        <v>59.11163</v>
      </c>
      <c r="AI497" t="n">
        <v/>
      </c>
      <c r="AJ497" t="n">
        <v>10.12522</v>
      </c>
      <c r="AK497" t="n">
        <v>58.1516</v>
      </c>
      <c r="AL497" t="n">
        <v>60.35985</v>
      </c>
      <c r="AM497" t="n">
        <v>44.56094</v>
      </c>
      <c r="AN497" t="n">
        <v>34.81691</v>
      </c>
      <c r="AO497" t="n">
        <v/>
      </c>
      <c r="AP497" t="n">
        <v>37.91434</v>
      </c>
      <c r="AQ497" t="n">
        <v/>
      </c>
      <c r="AR497" t="n">
        <v/>
      </c>
      <c r="AS497" t="n">
        <v/>
      </c>
      <c r="AT497" t="n">
        <v/>
      </c>
      <c r="AU497" t="n">
        <v>66.84161</v>
      </c>
      <c r="AV497" t="n">
        <v/>
      </c>
      <c r="AW497" t="n">
        <v>55.39812</v>
      </c>
      <c r="AX497" t="n">
        <v/>
      </c>
    </row>
    <row r="498">
      <c r="A498" s="92" t="n">
        <v>32994</v>
      </c>
      <c r="B498" t="n">
        <v>59.78674</v>
      </c>
      <c r="C498" t="n">
        <v>61.23865</v>
      </c>
      <c r="D498" t="n">
        <v/>
      </c>
      <c r="E498" t="n">
        <v>63.60369</v>
      </c>
      <c r="F498" t="n">
        <v>75.53372</v>
      </c>
      <c r="G498" t="n">
        <v/>
      </c>
      <c r="H498" t="n">
        <v/>
      </c>
      <c r="I498" t="n">
        <v/>
      </c>
      <c r="J498" t="n">
        <v/>
      </c>
      <c r="K498" t="n">
        <v/>
      </c>
      <c r="L498" t="n">
        <v>63.92793</v>
      </c>
      <c r="M498" t="n">
        <v>62.86163</v>
      </c>
      <c r="N498" t="n">
        <v/>
      </c>
      <c r="O498" t="n">
        <v>50.1687</v>
      </c>
      <c r="P498" t="n">
        <v/>
      </c>
      <c r="Q498" t="n">
        <v/>
      </c>
      <c r="R498" t="n">
        <v>65.84896999999999</v>
      </c>
      <c r="S498" t="n">
        <v>68.53904</v>
      </c>
      <c r="T498" t="n">
        <v/>
      </c>
      <c r="U498" t="n">
        <v>61.47976</v>
      </c>
      <c r="V498" t="n">
        <v>61.92722</v>
      </c>
      <c r="W498" t="n">
        <v>29.17594</v>
      </c>
      <c r="X498" t="n">
        <v>8.365762</v>
      </c>
      <c r="Y498" t="n">
        <v/>
      </c>
      <c r="Z498" t="n">
        <v/>
      </c>
      <c r="AA498" t="n">
        <v>56.25222</v>
      </c>
      <c r="AB498" t="n">
        <v/>
      </c>
      <c r="AC498" t="n">
        <v>30.67319</v>
      </c>
      <c r="AD498" t="n">
        <v>51.84987</v>
      </c>
      <c r="AE498" t="n">
        <v>93.94652000000001</v>
      </c>
      <c r="AF498" t="n">
        <v>44.05619</v>
      </c>
      <c r="AG498" t="n">
        <v/>
      </c>
      <c r="AH498" t="n">
        <v>59.28967</v>
      </c>
      <c r="AI498" t="n">
        <v/>
      </c>
      <c r="AJ498" t="n">
        <v>10.33249</v>
      </c>
      <c r="AK498" t="n">
        <v>58.25484</v>
      </c>
      <c r="AL498" t="n">
        <v>60.42668</v>
      </c>
      <c r="AM498" t="n">
        <v>44.75391</v>
      </c>
      <c r="AN498" t="n">
        <v>35.0112</v>
      </c>
      <c r="AO498" t="n">
        <v/>
      </c>
      <c r="AP498" t="n">
        <v>38.49139</v>
      </c>
      <c r="AQ498" t="n">
        <v/>
      </c>
      <c r="AR498" t="n">
        <v/>
      </c>
      <c r="AS498" t="n">
        <v/>
      </c>
      <c r="AT498" t="n">
        <v/>
      </c>
      <c r="AU498" t="n">
        <v>67.26049</v>
      </c>
      <c r="AV498" t="n">
        <v/>
      </c>
      <c r="AW498" t="n">
        <v>55.48068</v>
      </c>
      <c r="AX498" t="n">
        <v/>
      </c>
    </row>
    <row r="499">
      <c r="A499" s="92" t="n">
        <v>33025</v>
      </c>
      <c r="B499" t="n">
        <v>60.09935</v>
      </c>
      <c r="C499" t="n">
        <v>61.3977</v>
      </c>
      <c r="D499" t="n">
        <v/>
      </c>
      <c r="E499" t="n">
        <v>63.67908</v>
      </c>
      <c r="F499" t="n">
        <v>75.62311</v>
      </c>
      <c r="G499" t="n">
        <v/>
      </c>
      <c r="H499" t="n">
        <v/>
      </c>
      <c r="I499" t="n">
        <v/>
      </c>
      <c r="J499" t="n">
        <v/>
      </c>
      <c r="K499" t="n">
        <v/>
      </c>
      <c r="L499" t="n">
        <v>64.04388</v>
      </c>
      <c r="M499" t="n">
        <v>62.81715</v>
      </c>
      <c r="N499" t="n">
        <v/>
      </c>
      <c r="O499" t="n">
        <v>50.38198</v>
      </c>
      <c r="P499" t="n">
        <v/>
      </c>
      <c r="Q499" t="n">
        <v/>
      </c>
      <c r="R499" t="n">
        <v>66.271</v>
      </c>
      <c r="S499" t="n">
        <v>68.69399</v>
      </c>
      <c r="T499" t="n">
        <v/>
      </c>
      <c r="U499" t="n">
        <v>61.64229</v>
      </c>
      <c r="V499" t="n">
        <v>62.21167</v>
      </c>
      <c r="W499" t="n">
        <v>29.83379</v>
      </c>
      <c r="X499" t="n">
        <v>8.359614000000001</v>
      </c>
      <c r="Y499" t="n">
        <v/>
      </c>
      <c r="Z499" t="n">
        <v/>
      </c>
      <c r="AA499" t="n">
        <v>56.25222</v>
      </c>
      <c r="AB499" t="n">
        <v/>
      </c>
      <c r="AC499" t="n">
        <v>31.07812</v>
      </c>
      <c r="AD499" t="n">
        <v>52.06346</v>
      </c>
      <c r="AE499" t="n">
        <v>94.02663</v>
      </c>
      <c r="AF499" t="n">
        <v>44.35452</v>
      </c>
      <c r="AG499" t="n">
        <v/>
      </c>
      <c r="AH499" t="n">
        <v>59.36048</v>
      </c>
      <c r="AI499" t="n">
        <v/>
      </c>
      <c r="AJ499" t="n">
        <v>10.56201</v>
      </c>
      <c r="AK499" t="n">
        <v>58.19874</v>
      </c>
      <c r="AL499" t="n">
        <v>60.62303</v>
      </c>
      <c r="AM499" t="n">
        <v>44.93836</v>
      </c>
      <c r="AN499" t="n">
        <v>35.1677</v>
      </c>
      <c r="AO499" t="n">
        <v/>
      </c>
      <c r="AP499" t="n">
        <v>38.66489</v>
      </c>
      <c r="AQ499" t="n">
        <v/>
      </c>
      <c r="AR499" t="n">
        <v/>
      </c>
      <c r="AS499" t="n">
        <v/>
      </c>
      <c r="AT499" t="n">
        <v/>
      </c>
      <c r="AU499" t="n">
        <v>67.18571</v>
      </c>
      <c r="AV499" t="n">
        <v/>
      </c>
      <c r="AW499" t="n">
        <v>55.6458</v>
      </c>
      <c r="AX499" t="n">
        <v/>
      </c>
    </row>
    <row r="500">
      <c r="A500" s="92" t="n">
        <v>33055</v>
      </c>
      <c r="B500" t="n">
        <v>60.9753</v>
      </c>
      <c r="C500" t="n">
        <v>61.74908</v>
      </c>
      <c r="D500" t="n">
        <v/>
      </c>
      <c r="E500" t="n">
        <v>63.94022</v>
      </c>
      <c r="F500" t="n">
        <v>75.68198</v>
      </c>
      <c r="G500" t="n">
        <v/>
      </c>
      <c r="H500" t="n">
        <v/>
      </c>
      <c r="I500" t="n">
        <v/>
      </c>
      <c r="J500" t="n">
        <v/>
      </c>
      <c r="K500" t="n">
        <v/>
      </c>
      <c r="L500" t="n">
        <v>64.07290999999999</v>
      </c>
      <c r="M500" t="n">
        <v>62.44639</v>
      </c>
      <c r="N500" t="n">
        <v/>
      </c>
      <c r="O500" t="n">
        <v>50.64618</v>
      </c>
      <c r="P500" t="n">
        <v/>
      </c>
      <c r="Q500" t="n">
        <v/>
      </c>
      <c r="R500" t="n">
        <v>66.23972999999999</v>
      </c>
      <c r="S500" t="n">
        <v>68.84913</v>
      </c>
      <c r="T500" t="n">
        <v/>
      </c>
      <c r="U500" t="n">
        <v>61.83314</v>
      </c>
      <c r="V500" t="n">
        <v>62.3779</v>
      </c>
      <c r="W500" t="n">
        <v>29.60568</v>
      </c>
      <c r="X500" t="n">
        <v>8.582354</v>
      </c>
      <c r="Y500" t="n">
        <v/>
      </c>
      <c r="Z500" t="n">
        <v/>
      </c>
      <c r="AA500" t="n">
        <v>56.9439</v>
      </c>
      <c r="AB500" t="n">
        <v/>
      </c>
      <c r="AC500" t="n">
        <v>31.68551</v>
      </c>
      <c r="AD500" t="n">
        <v>52.24453</v>
      </c>
      <c r="AE500" t="n">
        <v>93.82989999999999</v>
      </c>
      <c r="AF500" t="n">
        <v>44.47512</v>
      </c>
      <c r="AG500" t="n">
        <v/>
      </c>
      <c r="AH500" t="n">
        <v>59.47746</v>
      </c>
      <c r="AI500" t="n">
        <v/>
      </c>
      <c r="AJ500" t="n">
        <v>10.7595</v>
      </c>
      <c r="AK500" t="n">
        <v>58.36641</v>
      </c>
      <c r="AL500" t="n">
        <v>60.60079</v>
      </c>
      <c r="AM500" t="n">
        <v>45.126</v>
      </c>
      <c r="AN500" t="n">
        <v>35.27708</v>
      </c>
      <c r="AO500" t="n">
        <v/>
      </c>
      <c r="AP500" t="n">
        <v>38.99697</v>
      </c>
      <c r="AQ500" t="n">
        <v/>
      </c>
      <c r="AR500" t="n">
        <v/>
      </c>
      <c r="AS500" t="n">
        <v/>
      </c>
      <c r="AT500" t="n">
        <v/>
      </c>
      <c r="AU500" t="n">
        <v>67.61506</v>
      </c>
      <c r="AV500" t="n">
        <v/>
      </c>
      <c r="AW500" t="n">
        <v>55.93476</v>
      </c>
      <c r="AX500" t="n">
        <v/>
      </c>
    </row>
    <row r="501">
      <c r="A501" s="92" t="n">
        <v>33086</v>
      </c>
      <c r="B501" t="n">
        <v>61.21291</v>
      </c>
      <c r="C501" t="n">
        <v>61.78421</v>
      </c>
      <c r="D501" t="n">
        <v/>
      </c>
      <c r="E501" t="n">
        <v>64.17529</v>
      </c>
      <c r="F501" t="n">
        <v>76.45889</v>
      </c>
      <c r="G501" t="n">
        <v/>
      </c>
      <c r="H501" t="n">
        <v/>
      </c>
      <c r="I501" t="n">
        <v/>
      </c>
      <c r="J501" t="n">
        <v/>
      </c>
      <c r="K501" t="n">
        <v/>
      </c>
      <c r="L501" t="n">
        <v>64.17062</v>
      </c>
      <c r="M501" t="n">
        <v>62.93902</v>
      </c>
      <c r="N501" t="n">
        <v/>
      </c>
      <c r="O501" t="n">
        <v>50.70053</v>
      </c>
      <c r="P501" t="n">
        <v/>
      </c>
      <c r="Q501" t="n">
        <v/>
      </c>
      <c r="R501" t="n">
        <v>66.54053999999999</v>
      </c>
      <c r="S501" t="n">
        <v>69.05445</v>
      </c>
      <c r="T501" t="n">
        <v/>
      </c>
      <c r="U501" t="n">
        <v>62.11392</v>
      </c>
      <c r="V501" t="n">
        <v>62.8271</v>
      </c>
      <c r="W501" t="n">
        <v>29.35043</v>
      </c>
      <c r="X501" t="n">
        <v>8.718093</v>
      </c>
      <c r="Y501" t="n">
        <v/>
      </c>
      <c r="Z501" t="n">
        <v/>
      </c>
      <c r="AA501" t="n">
        <v>56.9439</v>
      </c>
      <c r="AB501" t="n">
        <v/>
      </c>
      <c r="AC501" t="n">
        <v>32.19167</v>
      </c>
      <c r="AD501" t="n">
        <v>52.49411</v>
      </c>
      <c r="AE501" t="n">
        <v>93.72485</v>
      </c>
      <c r="AF501" t="n">
        <v>44.59361</v>
      </c>
      <c r="AG501" t="n">
        <v/>
      </c>
      <c r="AH501" t="n">
        <v>59.6757</v>
      </c>
      <c r="AI501" t="n">
        <v/>
      </c>
      <c r="AJ501" t="n">
        <v>10.93816</v>
      </c>
      <c r="AK501" t="n">
        <v>58.48594</v>
      </c>
      <c r="AL501" t="n">
        <v>60.4626</v>
      </c>
      <c r="AM501" t="n">
        <v>45.36485</v>
      </c>
      <c r="AN501" t="n">
        <v>35.45282</v>
      </c>
      <c r="AO501" t="n">
        <v/>
      </c>
      <c r="AP501" t="n">
        <v>39.38404</v>
      </c>
      <c r="AQ501" t="n">
        <v/>
      </c>
      <c r="AR501" t="n">
        <v/>
      </c>
      <c r="AS501" t="n">
        <v/>
      </c>
      <c r="AT501" t="n">
        <v/>
      </c>
      <c r="AU501" t="n">
        <v>67.93301</v>
      </c>
      <c r="AV501" t="n">
        <v/>
      </c>
      <c r="AW501" t="n">
        <v>56.30628</v>
      </c>
      <c r="AX501" t="n">
        <v/>
      </c>
    </row>
    <row r="502">
      <c r="A502" s="92" t="n">
        <v>33117</v>
      </c>
      <c r="B502" t="n">
        <v>60.49995</v>
      </c>
      <c r="C502" t="n">
        <v>61.80301</v>
      </c>
      <c r="D502" t="n">
        <v/>
      </c>
      <c r="E502" t="n">
        <v>64.35178000000001</v>
      </c>
      <c r="F502" t="n">
        <v>76.63515</v>
      </c>
      <c r="G502" t="n">
        <v/>
      </c>
      <c r="H502" t="n">
        <v/>
      </c>
      <c r="I502" t="n">
        <v/>
      </c>
      <c r="J502" t="n">
        <v/>
      </c>
      <c r="K502" t="n">
        <v/>
      </c>
      <c r="L502" t="n">
        <v>64.39596</v>
      </c>
      <c r="M502" t="n">
        <v>63.41262</v>
      </c>
      <c r="N502" t="n">
        <v/>
      </c>
      <c r="O502" t="n">
        <v>50.9473</v>
      </c>
      <c r="P502" t="n">
        <v/>
      </c>
      <c r="Q502" t="n">
        <v/>
      </c>
      <c r="R502" t="n">
        <v>66.9385</v>
      </c>
      <c r="S502" t="n">
        <v>69.26537999999999</v>
      </c>
      <c r="T502" t="n">
        <v/>
      </c>
      <c r="U502" t="n">
        <v>62.44326</v>
      </c>
      <c r="V502" t="n">
        <v>63.28534</v>
      </c>
      <c r="W502" t="n">
        <v>30.60256</v>
      </c>
      <c r="X502" t="n">
        <v>8.866273</v>
      </c>
      <c r="Y502" t="n">
        <v/>
      </c>
      <c r="Z502" t="n">
        <v/>
      </c>
      <c r="AA502" t="n">
        <v>56.9439</v>
      </c>
      <c r="AB502" t="n">
        <v/>
      </c>
      <c r="AC502" t="n">
        <v>32.90029</v>
      </c>
      <c r="AD502" t="n">
        <v>52.70604</v>
      </c>
      <c r="AE502" t="n">
        <v>94.30314</v>
      </c>
      <c r="AF502" t="n">
        <v>44.65391</v>
      </c>
      <c r="AG502" t="n">
        <v/>
      </c>
      <c r="AH502" t="n">
        <v>59.93219</v>
      </c>
      <c r="AI502" t="n">
        <v/>
      </c>
      <c r="AJ502" t="n">
        <v>11.12633</v>
      </c>
      <c r="AK502" t="n">
        <v>58.90859</v>
      </c>
      <c r="AL502" t="n">
        <v>61.15589</v>
      </c>
      <c r="AM502" t="n">
        <v>45.72279</v>
      </c>
      <c r="AN502" t="n">
        <v>35.8216</v>
      </c>
      <c r="AO502" t="n">
        <v/>
      </c>
      <c r="AP502" t="n">
        <v>39.61433</v>
      </c>
      <c r="AQ502" t="n">
        <v/>
      </c>
      <c r="AR502" t="n">
        <v/>
      </c>
      <c r="AS502" t="n">
        <v/>
      </c>
      <c r="AT502" t="n">
        <v/>
      </c>
      <c r="AU502" t="n">
        <v>68.5707</v>
      </c>
      <c r="AV502" t="n">
        <v/>
      </c>
      <c r="AW502" t="n">
        <v>56.63652</v>
      </c>
      <c r="AX502" t="n">
        <v/>
      </c>
    </row>
    <row r="503">
      <c r="A503" s="92" t="n">
        <v>33147</v>
      </c>
      <c r="B503" t="n">
        <v>60.34623</v>
      </c>
      <c r="C503" t="n">
        <v>61.75212</v>
      </c>
      <c r="D503" t="n">
        <v/>
      </c>
      <c r="E503" t="n">
        <v>64.74841000000001</v>
      </c>
      <c r="F503" t="n">
        <v>76.81741</v>
      </c>
      <c r="G503" t="n">
        <v/>
      </c>
      <c r="H503" t="n">
        <v/>
      </c>
      <c r="I503" t="n">
        <v/>
      </c>
      <c r="J503" t="n">
        <v/>
      </c>
      <c r="K503" t="n">
        <v/>
      </c>
      <c r="L503" t="n">
        <v>64.73753000000001</v>
      </c>
      <c r="M503" t="n">
        <v>63.44944</v>
      </c>
      <c r="N503" t="n">
        <v/>
      </c>
      <c r="O503" t="n">
        <v>51.19876</v>
      </c>
      <c r="P503" t="n">
        <v/>
      </c>
      <c r="Q503" t="n">
        <v/>
      </c>
      <c r="R503" t="n">
        <v>66.98701</v>
      </c>
      <c r="S503" t="n">
        <v>69.52654</v>
      </c>
      <c r="T503" t="n">
        <v/>
      </c>
      <c r="U503" t="n">
        <v>62.74571</v>
      </c>
      <c r="V503" t="n">
        <v>63.76697</v>
      </c>
      <c r="W503" t="n">
        <v>31.51733</v>
      </c>
      <c r="X503" t="n">
        <v>8.966623</v>
      </c>
      <c r="Y503" t="n">
        <v/>
      </c>
      <c r="Z503" t="n">
        <v/>
      </c>
      <c r="AA503" t="n">
        <v>57.20213</v>
      </c>
      <c r="AB503" t="n">
        <v/>
      </c>
      <c r="AC503" t="n">
        <v>33.40644</v>
      </c>
      <c r="AD503" t="n">
        <v>53.05563</v>
      </c>
      <c r="AE503" t="n">
        <v>94.66458</v>
      </c>
      <c r="AF503" t="n">
        <v>44.8327</v>
      </c>
      <c r="AG503" t="n">
        <v/>
      </c>
      <c r="AH503" t="n">
        <v>60.37493</v>
      </c>
      <c r="AI503" t="n">
        <v/>
      </c>
      <c r="AJ503" t="n">
        <v>11.31803</v>
      </c>
      <c r="AK503" t="n">
        <v>59.03992</v>
      </c>
      <c r="AL503" t="n">
        <v>61.56295</v>
      </c>
      <c r="AM503" t="n">
        <v>46.05754</v>
      </c>
      <c r="AN503" t="n">
        <v>36.16782</v>
      </c>
      <c r="AO503" t="n">
        <v/>
      </c>
      <c r="AP503" t="n">
        <v>39.97598</v>
      </c>
      <c r="AQ503" t="n">
        <v/>
      </c>
      <c r="AR503" t="n">
        <v/>
      </c>
      <c r="AS503" t="n">
        <v/>
      </c>
      <c r="AT503" t="n">
        <v/>
      </c>
      <c r="AU503" t="n">
        <v>69.07246000000001</v>
      </c>
      <c r="AV503" t="n">
        <v/>
      </c>
      <c r="AW503" t="n">
        <v>56.88421</v>
      </c>
      <c r="AX503" t="n">
        <v/>
      </c>
    </row>
    <row r="504">
      <c r="A504" s="92" t="n">
        <v>33178</v>
      </c>
      <c r="B504" t="n">
        <v>60.45876</v>
      </c>
      <c r="C504" t="n">
        <v>61.82501</v>
      </c>
      <c r="D504" t="n">
        <v/>
      </c>
      <c r="E504" t="n">
        <v>65.03494999999999</v>
      </c>
      <c r="F504" t="n">
        <v>78.0367</v>
      </c>
      <c r="G504" t="n">
        <v/>
      </c>
      <c r="H504" t="n">
        <v/>
      </c>
      <c r="I504" t="n">
        <v/>
      </c>
      <c r="J504" t="n">
        <v/>
      </c>
      <c r="K504" t="n">
        <v/>
      </c>
      <c r="L504" t="n">
        <v>64.66562999999999</v>
      </c>
      <c r="M504" t="n">
        <v>63.66638</v>
      </c>
      <c r="N504" t="n">
        <v/>
      </c>
      <c r="O504" t="n">
        <v>51.44287</v>
      </c>
      <c r="P504" t="n">
        <v/>
      </c>
      <c r="Q504" t="n">
        <v/>
      </c>
      <c r="R504" t="n">
        <v>66.97622</v>
      </c>
      <c r="S504" t="n">
        <v>69.60777</v>
      </c>
      <c r="T504" t="n">
        <v/>
      </c>
      <c r="U504" t="n">
        <v>62.89697</v>
      </c>
      <c r="V504" t="n">
        <v>63.70855</v>
      </c>
      <c r="W504" t="n">
        <v>32.03016</v>
      </c>
      <c r="X504" t="n">
        <v>9.243207999999999</v>
      </c>
      <c r="Y504" t="n">
        <v/>
      </c>
      <c r="Z504" t="n">
        <v/>
      </c>
      <c r="AA504" t="n">
        <v>57.20213</v>
      </c>
      <c r="AB504" t="n">
        <v/>
      </c>
      <c r="AC504" t="n">
        <v>33.71014</v>
      </c>
      <c r="AD504" t="n">
        <v>53.43686</v>
      </c>
      <c r="AE504" t="n">
        <v>94.91114</v>
      </c>
      <c r="AF504" t="n">
        <v>45.07285</v>
      </c>
      <c r="AG504" t="n">
        <v/>
      </c>
      <c r="AH504" t="n">
        <v>60.44463</v>
      </c>
      <c r="AI504" t="n">
        <v/>
      </c>
      <c r="AJ504" t="n">
        <v>11.58431</v>
      </c>
      <c r="AK504" t="n">
        <v>59.09656</v>
      </c>
      <c r="AL504" t="n">
        <v>61.64861</v>
      </c>
      <c r="AM504" t="n">
        <v>46.28619</v>
      </c>
      <c r="AN504" t="n">
        <v>36.37462</v>
      </c>
      <c r="AO504" t="n">
        <v/>
      </c>
      <c r="AP504" t="n">
        <v>40.50086</v>
      </c>
      <c r="AQ504" t="n">
        <v/>
      </c>
      <c r="AR504" t="n">
        <v/>
      </c>
      <c r="AS504" t="n">
        <v/>
      </c>
      <c r="AT504" t="n">
        <v/>
      </c>
      <c r="AU504" t="n">
        <v>69.46120000000001</v>
      </c>
      <c r="AV504" t="n">
        <v/>
      </c>
      <c r="AW504" t="n">
        <v>57.04933</v>
      </c>
      <c r="AX504" t="n">
        <v/>
      </c>
    </row>
    <row r="505">
      <c r="A505" s="92" t="n">
        <v>33208</v>
      </c>
      <c r="B505" t="n">
        <v>60.63122</v>
      </c>
      <c r="C505" t="n">
        <v>62.0368</v>
      </c>
      <c r="D505" t="n">
        <v/>
      </c>
      <c r="E505" t="n">
        <v>65.0278</v>
      </c>
      <c r="F505" t="n">
        <v>78.1228</v>
      </c>
      <c r="G505" t="n">
        <v/>
      </c>
      <c r="H505" t="n">
        <v/>
      </c>
      <c r="I505" t="n">
        <v/>
      </c>
      <c r="J505" t="n">
        <v/>
      </c>
      <c r="K505" t="n">
        <v/>
      </c>
      <c r="L505" t="n">
        <v>64.72178</v>
      </c>
      <c r="M505" t="n">
        <v>63.54895</v>
      </c>
      <c r="N505" t="n">
        <v/>
      </c>
      <c r="O505" t="n">
        <v>51.67619</v>
      </c>
      <c r="P505" t="n">
        <v/>
      </c>
      <c r="Q505" t="n">
        <v/>
      </c>
      <c r="R505" t="n">
        <v>66.98036999999999</v>
      </c>
      <c r="S505" t="n">
        <v>69.69619</v>
      </c>
      <c r="T505" t="n">
        <v/>
      </c>
      <c r="U505" t="n">
        <v>62.95678</v>
      </c>
      <c r="V505" t="n">
        <v>63.74649</v>
      </c>
      <c r="W505" t="n">
        <v>32.71837</v>
      </c>
      <c r="X505" t="n">
        <v>9.158310999999999</v>
      </c>
      <c r="Y505" t="n">
        <v/>
      </c>
      <c r="Z505" t="n">
        <v/>
      </c>
      <c r="AA505" t="n">
        <v>57.20213</v>
      </c>
      <c r="AB505" t="n">
        <v/>
      </c>
      <c r="AC505" t="n">
        <v>34.01384</v>
      </c>
      <c r="AD505" t="n">
        <v>53.56207</v>
      </c>
      <c r="AE505" t="n">
        <v>95.04170000000001</v>
      </c>
      <c r="AF505" t="n">
        <v>45.19345</v>
      </c>
      <c r="AG505" t="n">
        <v/>
      </c>
      <c r="AH505" t="n">
        <v>60.4463</v>
      </c>
      <c r="AI505" t="n">
        <v/>
      </c>
      <c r="AJ505" t="n">
        <v>11.91736</v>
      </c>
      <c r="AK505" t="n">
        <v>59.03355</v>
      </c>
      <c r="AL505" t="n">
        <v>61.58693</v>
      </c>
      <c r="AM505" t="n">
        <v>46.42733</v>
      </c>
      <c r="AN505" t="n">
        <v>36.48777</v>
      </c>
      <c r="AO505" t="n">
        <v/>
      </c>
      <c r="AP505" t="n">
        <v>40.66536</v>
      </c>
      <c r="AQ505" t="n">
        <v/>
      </c>
      <c r="AR505" t="n">
        <v/>
      </c>
      <c r="AS505" t="n">
        <v/>
      </c>
      <c r="AT505" t="n">
        <v/>
      </c>
      <c r="AU505" t="n">
        <v>69.65853</v>
      </c>
      <c r="AV505" t="n">
        <v/>
      </c>
      <c r="AW505" t="n">
        <v>57.09061</v>
      </c>
      <c r="AX505" t="n">
        <v/>
      </c>
    </row>
    <row r="506">
      <c r="A506" s="92" t="n">
        <v>33239</v>
      </c>
      <c r="B506" t="n">
        <v>61.05174</v>
      </c>
      <c r="C506" t="n">
        <v>62.85892</v>
      </c>
      <c r="D506" t="n">
        <v/>
      </c>
      <c r="E506" t="n">
        <v>66.60002</v>
      </c>
      <c r="F506" t="n">
        <v>78.55123</v>
      </c>
      <c r="G506" t="n">
        <v/>
      </c>
      <c r="H506" t="n">
        <v/>
      </c>
      <c r="I506" t="n">
        <v/>
      </c>
      <c r="J506" t="n">
        <v/>
      </c>
      <c r="K506" t="n">
        <v/>
      </c>
      <c r="L506" t="n">
        <v>65.00851</v>
      </c>
      <c r="M506" t="n">
        <v>63.56111</v>
      </c>
      <c r="N506" t="n">
        <v/>
      </c>
      <c r="O506" t="n">
        <v>52.4819</v>
      </c>
      <c r="P506" t="n">
        <v/>
      </c>
      <c r="Q506" t="n">
        <v/>
      </c>
      <c r="R506" t="n">
        <v>68.13754</v>
      </c>
      <c r="S506" t="n">
        <v>70.03142</v>
      </c>
      <c r="T506" t="n">
        <v/>
      </c>
      <c r="U506" t="n">
        <v>63.31596</v>
      </c>
      <c r="V506" t="n">
        <v>63.87163</v>
      </c>
      <c r="W506" t="n">
        <v>32.71222</v>
      </c>
      <c r="X506" t="n">
        <v>10.09615</v>
      </c>
      <c r="Y506" t="n">
        <v/>
      </c>
      <c r="Z506" t="n">
        <v/>
      </c>
      <c r="AA506" t="n">
        <v>57.89187</v>
      </c>
      <c r="AB506" t="n">
        <v/>
      </c>
      <c r="AC506" t="n">
        <v>34.2163</v>
      </c>
      <c r="AD506" t="n">
        <v>53.63744</v>
      </c>
      <c r="AE506" t="n">
        <v>94.91295</v>
      </c>
      <c r="AF506" t="n">
        <v>46.15088</v>
      </c>
      <c r="AG506" t="n">
        <v/>
      </c>
      <c r="AH506" t="n">
        <v>60.67395</v>
      </c>
      <c r="AI506" t="n">
        <v/>
      </c>
      <c r="AJ506" t="n">
        <v>12.23424</v>
      </c>
      <c r="AK506" t="n">
        <v>58.86727</v>
      </c>
      <c r="AL506" t="n">
        <v>61.68941</v>
      </c>
      <c r="AM506" t="n">
        <v>46.80751</v>
      </c>
      <c r="AN506" t="n">
        <v>36.76541</v>
      </c>
      <c r="AO506" t="n">
        <v/>
      </c>
      <c r="AP506" t="n">
        <v>42.1032</v>
      </c>
      <c r="AQ506" t="n">
        <v/>
      </c>
      <c r="AR506" t="n">
        <v/>
      </c>
      <c r="AS506" t="n">
        <v/>
      </c>
      <c r="AT506" t="n">
        <v/>
      </c>
      <c r="AU506" t="n">
        <v>71.1695</v>
      </c>
      <c r="AV506" t="n">
        <v/>
      </c>
      <c r="AW506" t="n">
        <v>57.54469</v>
      </c>
      <c r="AX506" t="n">
        <v/>
      </c>
    </row>
    <row r="507">
      <c r="A507" s="92" t="n">
        <v>33270</v>
      </c>
      <c r="B507" t="n">
        <v>61.52486</v>
      </c>
      <c r="C507" t="n">
        <v>63.133</v>
      </c>
      <c r="D507" t="n">
        <v/>
      </c>
      <c r="E507" t="n">
        <v>66.9967</v>
      </c>
      <c r="F507" t="n">
        <v>79.32761000000001</v>
      </c>
      <c r="G507" t="n">
        <v/>
      </c>
      <c r="H507" t="n">
        <v/>
      </c>
      <c r="I507" t="n">
        <v/>
      </c>
      <c r="J507" t="n">
        <v/>
      </c>
      <c r="K507" t="n">
        <v/>
      </c>
      <c r="L507" t="n">
        <v>65.31186</v>
      </c>
      <c r="M507" t="n">
        <v>63.86455</v>
      </c>
      <c r="N507" t="n">
        <v/>
      </c>
      <c r="O507" t="n">
        <v>52.79708</v>
      </c>
      <c r="P507" t="n">
        <v/>
      </c>
      <c r="Q507" t="n">
        <v/>
      </c>
      <c r="R507" t="n">
        <v>68.57115</v>
      </c>
      <c r="S507" t="n">
        <v>70.26859</v>
      </c>
      <c r="T507" t="n">
        <v/>
      </c>
      <c r="U507" t="n">
        <v>63.62828</v>
      </c>
      <c r="V507" t="n">
        <v>64.26054999999999</v>
      </c>
      <c r="W507" t="n">
        <v>32.41935</v>
      </c>
      <c r="X507" t="n">
        <v>10.4582</v>
      </c>
      <c r="Y507" t="n">
        <v/>
      </c>
      <c r="Z507" t="n">
        <v/>
      </c>
      <c r="AA507" t="n">
        <v>57.89187</v>
      </c>
      <c r="AB507" t="n">
        <v/>
      </c>
      <c r="AC507" t="n">
        <v>34.51999</v>
      </c>
      <c r="AD507" t="n">
        <v>54.06558</v>
      </c>
      <c r="AE507" t="n">
        <v>94.74146</v>
      </c>
      <c r="AF507" t="n">
        <v>46.63012</v>
      </c>
      <c r="AG507" t="n">
        <v/>
      </c>
      <c r="AH507" t="n">
        <v>60.76029</v>
      </c>
      <c r="AI507" t="n">
        <v/>
      </c>
      <c r="AJ507" t="n">
        <v>12.47842</v>
      </c>
      <c r="AK507" t="n">
        <v>58.98865</v>
      </c>
      <c r="AL507" t="n">
        <v>61.95866</v>
      </c>
      <c r="AM507" t="n">
        <v>47.11158</v>
      </c>
      <c r="AN507" t="n">
        <v>37.04675</v>
      </c>
      <c r="AO507" t="n">
        <v/>
      </c>
      <c r="AP507" t="n">
        <v>42.86571</v>
      </c>
      <c r="AQ507" t="n">
        <v/>
      </c>
      <c r="AR507" t="n">
        <v/>
      </c>
      <c r="AS507" t="n">
        <v/>
      </c>
      <c r="AT507" t="n">
        <v/>
      </c>
      <c r="AU507" t="n">
        <v>73.93943</v>
      </c>
      <c r="AV507" t="n">
        <v/>
      </c>
      <c r="AW507" t="n">
        <v>57.91621</v>
      </c>
      <c r="AX507" t="n">
        <v/>
      </c>
    </row>
    <row r="508">
      <c r="A508" s="92" t="n">
        <v>33298</v>
      </c>
      <c r="B508" t="n">
        <v>61.72129</v>
      </c>
      <c r="C508" t="n">
        <v>63.31274</v>
      </c>
      <c r="D508" t="n">
        <v/>
      </c>
      <c r="E508" t="n">
        <v>67.48314999999999</v>
      </c>
      <c r="F508" t="n">
        <v>79.53668999999999</v>
      </c>
      <c r="G508" t="n">
        <v/>
      </c>
      <c r="H508" t="n">
        <v/>
      </c>
      <c r="I508" t="n">
        <v/>
      </c>
      <c r="J508" t="n">
        <v/>
      </c>
      <c r="K508" t="n">
        <v/>
      </c>
      <c r="L508" t="n">
        <v>65.43979</v>
      </c>
      <c r="M508" t="n">
        <v>64.18016</v>
      </c>
      <c r="N508" t="n">
        <v/>
      </c>
      <c r="O508" t="n">
        <v>53.09709</v>
      </c>
      <c r="P508" t="n">
        <v/>
      </c>
      <c r="Q508" t="n">
        <v/>
      </c>
      <c r="R508" t="n">
        <v>68.82227</v>
      </c>
      <c r="S508" t="n">
        <v>70.45462999999999</v>
      </c>
      <c r="T508" t="n">
        <v/>
      </c>
      <c r="U508" t="n">
        <v>63.91053</v>
      </c>
      <c r="V508" t="n">
        <v>64.58609</v>
      </c>
      <c r="W508" t="n">
        <v>33.21792</v>
      </c>
      <c r="X508" t="n">
        <v>10.94392</v>
      </c>
      <c r="Y508" t="n">
        <v/>
      </c>
      <c r="Z508" t="n">
        <v/>
      </c>
      <c r="AA508" t="n">
        <v>57.89187</v>
      </c>
      <c r="AB508" t="n">
        <v/>
      </c>
      <c r="AC508" t="n">
        <v>35.12738</v>
      </c>
      <c r="AD508" t="n">
        <v>54.39517</v>
      </c>
      <c r="AE508" t="n">
        <v>95.29401</v>
      </c>
      <c r="AF508" t="n">
        <v>47.22784</v>
      </c>
      <c r="AG508" t="n">
        <v/>
      </c>
      <c r="AH508" t="n">
        <v>60.86637</v>
      </c>
      <c r="AI508" t="n">
        <v/>
      </c>
      <c r="AJ508" t="n">
        <v>12.68762</v>
      </c>
      <c r="AK508" t="n">
        <v>59.36665</v>
      </c>
      <c r="AL508" t="n">
        <v>62.48766</v>
      </c>
      <c r="AM508" t="n">
        <v>47.38838</v>
      </c>
      <c r="AN508" t="n">
        <v>37.27351</v>
      </c>
      <c r="AO508" t="n">
        <v/>
      </c>
      <c r="AP508" t="n">
        <v>43.2886</v>
      </c>
      <c r="AQ508" t="n">
        <v/>
      </c>
      <c r="AR508" t="n">
        <v/>
      </c>
      <c r="AS508" t="n">
        <v/>
      </c>
      <c r="AT508" t="n">
        <v/>
      </c>
      <c r="AU508" t="n">
        <v>74.31485000000001</v>
      </c>
      <c r="AV508" t="n">
        <v/>
      </c>
      <c r="AW508" t="n">
        <v>58.16389</v>
      </c>
      <c r="AX508" t="n">
        <v/>
      </c>
    </row>
    <row r="509">
      <c r="A509" s="92" t="n">
        <v>33329</v>
      </c>
      <c r="B509" t="n">
        <v>61.73359</v>
      </c>
      <c r="C509" t="n">
        <v>63.42772</v>
      </c>
      <c r="D509" t="n">
        <v/>
      </c>
      <c r="E509" t="n">
        <v>67.52731</v>
      </c>
      <c r="F509" t="n">
        <v>79.71571</v>
      </c>
      <c r="G509" t="n">
        <v/>
      </c>
      <c r="H509" t="n">
        <v/>
      </c>
      <c r="I509" t="n">
        <v/>
      </c>
      <c r="J509" t="n">
        <v/>
      </c>
      <c r="K509" t="n">
        <v/>
      </c>
      <c r="L509" t="n">
        <v>65.68073</v>
      </c>
      <c r="M509" t="n">
        <v>64.25127999999999</v>
      </c>
      <c r="N509" t="n">
        <v/>
      </c>
      <c r="O509" t="n">
        <v>53.38697</v>
      </c>
      <c r="P509" t="n">
        <v/>
      </c>
      <c r="Q509" t="n">
        <v/>
      </c>
      <c r="R509" t="n">
        <v>69.09862</v>
      </c>
      <c r="S509" t="n">
        <v>70.64807</v>
      </c>
      <c r="T509" t="n">
        <v/>
      </c>
      <c r="U509" t="n">
        <v>64.12048</v>
      </c>
      <c r="V509" t="n">
        <v>65.19231000000001</v>
      </c>
      <c r="W509" t="n">
        <v>34.3935</v>
      </c>
      <c r="X509" t="n">
        <v>11.45585</v>
      </c>
      <c r="Y509" t="n">
        <v/>
      </c>
      <c r="Z509" t="n">
        <v/>
      </c>
      <c r="AA509" t="n">
        <v>58.3945</v>
      </c>
      <c r="AB509" t="n">
        <v/>
      </c>
      <c r="AC509" t="n">
        <v>35.93724</v>
      </c>
      <c r="AD509" t="n">
        <v>54.60588</v>
      </c>
      <c r="AE509" t="n">
        <v>95.96832000000001</v>
      </c>
      <c r="AF509" t="n">
        <v>47.46799</v>
      </c>
      <c r="AG509" t="n">
        <v/>
      </c>
      <c r="AH509" t="n">
        <v>61.04353</v>
      </c>
      <c r="AI509" t="n">
        <v/>
      </c>
      <c r="AJ509" t="n">
        <v>12.83068</v>
      </c>
      <c r="AK509" t="n">
        <v>59.44245</v>
      </c>
      <c r="AL509" t="n">
        <v>62.71865</v>
      </c>
      <c r="AM509" t="n">
        <v>47.63539</v>
      </c>
      <c r="AN509" t="n">
        <v>37.57393</v>
      </c>
      <c r="AO509" t="n">
        <v/>
      </c>
      <c r="AP509" t="n">
        <v>43.8541</v>
      </c>
      <c r="AQ509" t="n">
        <v/>
      </c>
      <c r="AR509" t="n">
        <v/>
      </c>
      <c r="AS509" t="n">
        <v/>
      </c>
      <c r="AT509" t="n">
        <v/>
      </c>
      <c r="AU509" t="n">
        <v>74.90634</v>
      </c>
      <c r="AV509" t="n">
        <v/>
      </c>
      <c r="AW509" t="n">
        <v>58.24646</v>
      </c>
      <c r="AX509" t="n">
        <v/>
      </c>
    </row>
    <row r="510">
      <c r="A510" s="92" t="n">
        <v>33359</v>
      </c>
      <c r="B510" t="n">
        <v>61.66832</v>
      </c>
      <c r="C510" t="n">
        <v>63.62942</v>
      </c>
      <c r="D510" t="n">
        <v/>
      </c>
      <c r="E510" t="n">
        <v>67.75666</v>
      </c>
      <c r="F510" t="n">
        <v>80.58461</v>
      </c>
      <c r="G510" t="n">
        <v/>
      </c>
      <c r="H510" t="n">
        <v/>
      </c>
      <c r="I510" t="n">
        <v/>
      </c>
      <c r="J510" t="n">
        <v/>
      </c>
      <c r="K510" t="n">
        <v/>
      </c>
      <c r="L510" t="n">
        <v>65.83284999999999</v>
      </c>
      <c r="M510" t="n">
        <v>64.71648999999999</v>
      </c>
      <c r="N510" t="n">
        <v/>
      </c>
      <c r="O510" t="n">
        <v>53.58549</v>
      </c>
      <c r="P510" t="n">
        <v/>
      </c>
      <c r="Q510" t="n">
        <v/>
      </c>
      <c r="R510" t="n">
        <v>69.51473</v>
      </c>
      <c r="S510" t="n">
        <v>70.83916000000001</v>
      </c>
      <c r="T510" t="n">
        <v/>
      </c>
      <c r="U510" t="n">
        <v>64.30817999999999</v>
      </c>
      <c r="V510" t="n">
        <v>65.33113</v>
      </c>
      <c r="W510" t="n">
        <v>34.57553</v>
      </c>
      <c r="X510" t="n">
        <v>11.47808</v>
      </c>
      <c r="Y510" t="n">
        <v/>
      </c>
      <c r="Z510" t="n">
        <v/>
      </c>
      <c r="AA510" t="n">
        <v>58.3945</v>
      </c>
      <c r="AB510" t="n">
        <v/>
      </c>
      <c r="AC510" t="n">
        <v>36.64586</v>
      </c>
      <c r="AD510" t="n">
        <v>55.0472</v>
      </c>
      <c r="AE510" t="n">
        <v>96.56531</v>
      </c>
      <c r="AF510" t="n">
        <v>47.76738</v>
      </c>
      <c r="AG510" t="n">
        <v/>
      </c>
      <c r="AH510" t="n">
        <v>61.36921</v>
      </c>
      <c r="AI510" t="n">
        <v/>
      </c>
      <c r="AJ510" t="n">
        <v>12.95521</v>
      </c>
      <c r="AK510" t="n">
        <v>59.55791</v>
      </c>
      <c r="AL510" t="n">
        <v>62.77486</v>
      </c>
      <c r="AM510" t="n">
        <v>47.83944</v>
      </c>
      <c r="AN510" t="n">
        <v>37.80371</v>
      </c>
      <c r="AO510" t="n">
        <v/>
      </c>
      <c r="AP510" t="n">
        <v>44.22084</v>
      </c>
      <c r="AQ510" t="n">
        <v/>
      </c>
      <c r="AR510" t="n">
        <v/>
      </c>
      <c r="AS510" t="n">
        <v/>
      </c>
      <c r="AT510" t="n">
        <v/>
      </c>
      <c r="AU510" t="n">
        <v>74.90613999999999</v>
      </c>
      <c r="AV510" t="n">
        <v/>
      </c>
      <c r="AW510" t="n">
        <v>58.32902</v>
      </c>
      <c r="AX510" t="n">
        <v/>
      </c>
    </row>
    <row r="511">
      <c r="A511" s="92" t="n">
        <v>33390</v>
      </c>
      <c r="B511" t="n">
        <v>61.97676</v>
      </c>
      <c r="C511" t="n">
        <v>63.85094</v>
      </c>
      <c r="D511" t="n">
        <v/>
      </c>
      <c r="E511" t="n">
        <v>67.86373</v>
      </c>
      <c r="F511" t="n">
        <v>80.74404</v>
      </c>
      <c r="G511" t="n">
        <v/>
      </c>
      <c r="H511" t="n">
        <v/>
      </c>
      <c r="I511" t="n">
        <v/>
      </c>
      <c r="J511" t="n">
        <v/>
      </c>
      <c r="K511" t="n">
        <v/>
      </c>
      <c r="L511" t="n">
        <v>66.23583000000001</v>
      </c>
      <c r="M511" t="n">
        <v>64.76403999999999</v>
      </c>
      <c r="N511" t="n">
        <v/>
      </c>
      <c r="O511" t="n">
        <v>53.76736</v>
      </c>
      <c r="P511" t="n">
        <v/>
      </c>
      <c r="Q511" t="n">
        <v/>
      </c>
      <c r="R511" t="n">
        <v>69.48823</v>
      </c>
      <c r="S511" t="n">
        <v>71.01472</v>
      </c>
      <c r="T511" t="n">
        <v/>
      </c>
      <c r="U511" t="n">
        <v>64.43987</v>
      </c>
      <c r="V511" t="n">
        <v>65.54997</v>
      </c>
      <c r="W511" t="n">
        <v>35.12845</v>
      </c>
      <c r="X511" t="n">
        <v>11.48597</v>
      </c>
      <c r="Y511" t="n">
        <v/>
      </c>
      <c r="Z511" t="n">
        <v/>
      </c>
      <c r="AA511" t="n">
        <v>58.3945</v>
      </c>
      <c r="AB511" t="n">
        <v/>
      </c>
      <c r="AC511" t="n">
        <v>37.55694</v>
      </c>
      <c r="AD511" t="n">
        <v>55.29681</v>
      </c>
      <c r="AE511" t="n">
        <v>96.46850999999999</v>
      </c>
      <c r="AF511" t="n">
        <v>48.12496</v>
      </c>
      <c r="AG511" t="n">
        <v/>
      </c>
      <c r="AH511" t="n">
        <v>61.44874</v>
      </c>
      <c r="AI511" t="n">
        <v/>
      </c>
      <c r="AJ511" t="n">
        <v>13.09033</v>
      </c>
      <c r="AK511" t="n">
        <v>59.57579</v>
      </c>
      <c r="AL511" t="n">
        <v>62.85093</v>
      </c>
      <c r="AM511" t="n">
        <v>48.00887</v>
      </c>
      <c r="AN511" t="n">
        <v>38.04033</v>
      </c>
      <c r="AO511" t="n">
        <v/>
      </c>
      <c r="AP511" t="n">
        <v>44.44844</v>
      </c>
      <c r="AQ511" t="n">
        <v/>
      </c>
      <c r="AR511" t="n">
        <v/>
      </c>
      <c r="AS511" t="n">
        <v/>
      </c>
      <c r="AT511" t="n">
        <v/>
      </c>
      <c r="AU511" t="n">
        <v>74.66673</v>
      </c>
      <c r="AV511" t="n">
        <v/>
      </c>
      <c r="AW511" t="n">
        <v>58.41158</v>
      </c>
      <c r="AX511" t="n">
        <v/>
      </c>
    </row>
    <row r="512">
      <c r="A512" s="92" t="n">
        <v>33420</v>
      </c>
      <c r="B512" t="n">
        <v>62.94914</v>
      </c>
      <c r="C512" t="n">
        <v>64.16607999999999</v>
      </c>
      <c r="D512" t="n">
        <v/>
      </c>
      <c r="E512" t="n">
        <v>67.98369</v>
      </c>
      <c r="F512" t="n">
        <v>80.96478</v>
      </c>
      <c r="G512" t="n">
        <v/>
      </c>
      <c r="H512" t="n">
        <v/>
      </c>
      <c r="I512" t="n">
        <v/>
      </c>
      <c r="J512" t="n">
        <v/>
      </c>
      <c r="K512" t="n">
        <v/>
      </c>
      <c r="L512" t="n">
        <v>66.76622999999999</v>
      </c>
      <c r="M512" t="n">
        <v>64.39943</v>
      </c>
      <c r="N512" t="n">
        <v/>
      </c>
      <c r="O512" t="n">
        <v>53.99818</v>
      </c>
      <c r="P512" t="n">
        <v/>
      </c>
      <c r="Q512" t="n">
        <v/>
      </c>
      <c r="R512" t="n">
        <v>69.18541999999999</v>
      </c>
      <c r="S512" t="n">
        <v>71.19607000000001</v>
      </c>
      <c r="T512" t="n">
        <v/>
      </c>
      <c r="U512" t="n">
        <v>64.62181</v>
      </c>
      <c r="V512" t="n">
        <v>65.42582</v>
      </c>
      <c r="W512" t="n">
        <v>35.14191</v>
      </c>
      <c r="X512" t="n">
        <v>11.90789</v>
      </c>
      <c r="Y512" t="n">
        <v/>
      </c>
      <c r="Z512" t="n">
        <v/>
      </c>
      <c r="AA512" t="n">
        <v>59.17657</v>
      </c>
      <c r="AB512" t="n">
        <v/>
      </c>
      <c r="AC512" t="n">
        <v>38.87296</v>
      </c>
      <c r="AD512" t="n">
        <v>55.49463</v>
      </c>
      <c r="AE512" t="n">
        <v>96.34520999999999</v>
      </c>
      <c r="AF512" t="n">
        <v>48.48466</v>
      </c>
      <c r="AG512" t="n">
        <v/>
      </c>
      <c r="AH512" t="n">
        <v>61.72479</v>
      </c>
      <c r="AI512" t="n">
        <v/>
      </c>
      <c r="AJ512" t="n">
        <v>13.21775</v>
      </c>
      <c r="AK512" t="n">
        <v>60.01131</v>
      </c>
      <c r="AL512" t="n">
        <v>62.68099</v>
      </c>
      <c r="AM512" t="n">
        <v>48.19724</v>
      </c>
      <c r="AN512" t="n">
        <v>38.23805</v>
      </c>
      <c r="AO512" t="n">
        <v/>
      </c>
      <c r="AP512" t="n">
        <v>44.74491</v>
      </c>
      <c r="AQ512" t="n">
        <v/>
      </c>
      <c r="AR512" t="n">
        <v/>
      </c>
      <c r="AS512" t="n">
        <v/>
      </c>
      <c r="AT512" t="n">
        <v/>
      </c>
      <c r="AU512" t="n">
        <v>74.52837</v>
      </c>
      <c r="AV512" t="n">
        <v/>
      </c>
      <c r="AW512" t="n">
        <v>58.61798</v>
      </c>
      <c r="AX512" t="n">
        <v/>
      </c>
    </row>
    <row r="513">
      <c r="A513" s="92" t="n">
        <v>33451</v>
      </c>
      <c r="B513" t="n">
        <v>63.32335</v>
      </c>
      <c r="C513" t="n">
        <v>64.29255999999999</v>
      </c>
      <c r="D513" t="n">
        <v/>
      </c>
      <c r="E513" t="n">
        <v>68.28873</v>
      </c>
      <c r="F513" t="n">
        <v>81.56133</v>
      </c>
      <c r="G513" t="n">
        <v/>
      </c>
      <c r="H513" t="n">
        <v/>
      </c>
      <c r="I513" t="n">
        <v/>
      </c>
      <c r="J513" t="n">
        <v/>
      </c>
      <c r="K513" t="n">
        <v/>
      </c>
      <c r="L513" t="n">
        <v>66.88179</v>
      </c>
      <c r="M513" t="n">
        <v>64.54900000000001</v>
      </c>
      <c r="N513" t="n">
        <v/>
      </c>
      <c r="O513" t="n">
        <v>54.15339</v>
      </c>
      <c r="P513" t="n">
        <v/>
      </c>
      <c r="Q513" t="n">
        <v/>
      </c>
      <c r="R513" t="n">
        <v>69.3056</v>
      </c>
      <c r="S513" t="n">
        <v>71.3475</v>
      </c>
      <c r="T513" t="n">
        <v/>
      </c>
      <c r="U513" t="n">
        <v>64.82173</v>
      </c>
      <c r="V513" t="n">
        <v>65.51946</v>
      </c>
      <c r="W513" t="n">
        <v>35.07544</v>
      </c>
      <c r="X513" t="n">
        <v>11.87926</v>
      </c>
      <c r="Y513" t="n">
        <v/>
      </c>
      <c r="Z513" t="n">
        <v/>
      </c>
      <c r="AA513" t="n">
        <v>59.17657</v>
      </c>
      <c r="AB513" t="n">
        <v/>
      </c>
      <c r="AC513" t="n">
        <v>39.68281</v>
      </c>
      <c r="AD513" t="n">
        <v>55.63797</v>
      </c>
      <c r="AE513" t="n">
        <v>96.25190000000001</v>
      </c>
      <c r="AF513" t="n">
        <v>48.60526</v>
      </c>
      <c r="AG513" t="n">
        <v/>
      </c>
      <c r="AH513" t="n">
        <v>61.85352</v>
      </c>
      <c r="AI513" t="n">
        <v/>
      </c>
      <c r="AJ513" t="n">
        <v>13.33572</v>
      </c>
      <c r="AK513" t="n">
        <v>60.27554</v>
      </c>
      <c r="AL513" t="n">
        <v>62.63597</v>
      </c>
      <c r="AM513" t="n">
        <v>48.38974</v>
      </c>
      <c r="AN513" t="n">
        <v>38.39748</v>
      </c>
      <c r="AO513" t="n">
        <v/>
      </c>
      <c r="AP513" t="n">
        <v>44.99184</v>
      </c>
      <c r="AQ513" t="n">
        <v/>
      </c>
      <c r="AR513" t="n">
        <v/>
      </c>
      <c r="AS513" t="n">
        <v/>
      </c>
      <c r="AT513" t="n">
        <v/>
      </c>
      <c r="AU513" t="n">
        <v>74.54886999999999</v>
      </c>
      <c r="AV513" t="n">
        <v/>
      </c>
      <c r="AW513" t="n">
        <v>58.90694</v>
      </c>
      <c r="AX513" t="n">
        <v/>
      </c>
    </row>
    <row r="514">
      <c r="A514" s="92" t="n">
        <v>33482</v>
      </c>
      <c r="B514" t="n">
        <v>62.7182</v>
      </c>
      <c r="C514" t="n">
        <v>64.38154</v>
      </c>
      <c r="D514" t="n">
        <v/>
      </c>
      <c r="E514" t="n">
        <v>68.25449</v>
      </c>
      <c r="F514" t="n">
        <v>81.71120000000001</v>
      </c>
      <c r="G514" t="n">
        <v/>
      </c>
      <c r="H514" t="n">
        <v/>
      </c>
      <c r="I514" t="n">
        <v/>
      </c>
      <c r="J514" t="n">
        <v/>
      </c>
      <c r="K514" t="n">
        <v/>
      </c>
      <c r="L514" t="n">
        <v>66.89738</v>
      </c>
      <c r="M514" t="n">
        <v>65.02009</v>
      </c>
      <c r="N514" t="n">
        <v/>
      </c>
      <c r="O514" t="n">
        <v>54.45683</v>
      </c>
      <c r="P514" t="n">
        <v/>
      </c>
      <c r="Q514" t="n">
        <v/>
      </c>
      <c r="R514" t="n">
        <v>69.56690999999999</v>
      </c>
      <c r="S514" t="n">
        <v>71.53254</v>
      </c>
      <c r="T514" t="n">
        <v/>
      </c>
      <c r="U514" t="n">
        <v>65.09844</v>
      </c>
      <c r="V514" t="n">
        <v>65.95189000000001</v>
      </c>
      <c r="W514" t="n">
        <v>36.56116</v>
      </c>
      <c r="X514" t="n">
        <v>12.09084</v>
      </c>
      <c r="Y514" t="n">
        <v/>
      </c>
      <c r="Z514" t="n">
        <v/>
      </c>
      <c r="AA514" t="n">
        <v>59.17657</v>
      </c>
      <c r="AB514" t="n">
        <v/>
      </c>
      <c r="AC514" t="n">
        <v>40.2902</v>
      </c>
      <c r="AD514" t="n">
        <v>55.87062</v>
      </c>
      <c r="AE514" t="n">
        <v>96.85675999999999</v>
      </c>
      <c r="AF514" t="n">
        <v>48.7248</v>
      </c>
      <c r="AG514" t="n">
        <v/>
      </c>
      <c r="AH514" t="n">
        <v>62.01742</v>
      </c>
      <c r="AI514" t="n">
        <v/>
      </c>
      <c r="AJ514" t="n">
        <v>13.51007</v>
      </c>
      <c r="AK514" t="n">
        <v>60.84808</v>
      </c>
      <c r="AL514" t="n">
        <v>63.17208</v>
      </c>
      <c r="AM514" t="n">
        <v>48.70412</v>
      </c>
      <c r="AN514" t="n">
        <v>38.72101</v>
      </c>
      <c r="AO514" t="n">
        <v/>
      </c>
      <c r="AP514" t="n">
        <v>45.2885</v>
      </c>
      <c r="AQ514" t="n">
        <v/>
      </c>
      <c r="AR514" t="n">
        <v/>
      </c>
      <c r="AS514" t="n">
        <v/>
      </c>
      <c r="AT514" t="n">
        <v/>
      </c>
      <c r="AU514" t="n">
        <v>75.77576000000001</v>
      </c>
      <c r="AV514" t="n">
        <v/>
      </c>
      <c r="AW514" t="n">
        <v>59.1959</v>
      </c>
      <c r="AX514" t="n">
        <v/>
      </c>
    </row>
    <row r="515">
      <c r="A515" s="92" t="n">
        <v>33512</v>
      </c>
      <c r="B515" t="n">
        <v>62.53387</v>
      </c>
      <c r="C515" t="n">
        <v>64.60612999999999</v>
      </c>
      <c r="D515" t="n">
        <v/>
      </c>
      <c r="E515" t="n">
        <v>68.42393</v>
      </c>
      <c r="F515" t="n">
        <v>81.75975</v>
      </c>
      <c r="G515" t="n">
        <v/>
      </c>
      <c r="H515" t="n">
        <v/>
      </c>
      <c r="I515" t="n">
        <v/>
      </c>
      <c r="J515" t="n">
        <v/>
      </c>
      <c r="K515" t="n">
        <v/>
      </c>
      <c r="L515" t="n">
        <v>68.04389</v>
      </c>
      <c r="M515" t="n">
        <v>65.13564</v>
      </c>
      <c r="N515" t="n">
        <v/>
      </c>
      <c r="O515" t="n">
        <v>54.80194</v>
      </c>
      <c r="P515" t="n">
        <v/>
      </c>
      <c r="Q515" t="n">
        <v/>
      </c>
      <c r="R515" t="n">
        <v>69.68497000000001</v>
      </c>
      <c r="S515" t="n">
        <v>71.81609</v>
      </c>
      <c r="T515" t="n">
        <v/>
      </c>
      <c r="U515" t="n">
        <v>65.44687999999999</v>
      </c>
      <c r="V515" t="n">
        <v>66.21665</v>
      </c>
      <c r="W515" t="n">
        <v>37.41244</v>
      </c>
      <c r="X515" t="n">
        <v>12.19306</v>
      </c>
      <c r="Y515" t="n">
        <v/>
      </c>
      <c r="Z515" t="n">
        <v/>
      </c>
      <c r="AA515" t="n">
        <v>59.70728</v>
      </c>
      <c r="AB515" t="n">
        <v/>
      </c>
      <c r="AC515" t="n">
        <v>40.2902</v>
      </c>
      <c r="AD515" t="n">
        <v>56.11547</v>
      </c>
      <c r="AE515" t="n">
        <v>97.36708</v>
      </c>
      <c r="AF515" t="n">
        <v>48.96389</v>
      </c>
      <c r="AG515" t="n">
        <v/>
      </c>
      <c r="AH515" t="n">
        <v>62.23436</v>
      </c>
      <c r="AI515" t="n">
        <v/>
      </c>
      <c r="AJ515" t="n">
        <v>13.68866</v>
      </c>
      <c r="AK515" t="n">
        <v>60.95297</v>
      </c>
      <c r="AL515" t="n">
        <v>63.23284</v>
      </c>
      <c r="AM515" t="n">
        <v>49.06624</v>
      </c>
      <c r="AN515" t="n">
        <v>39.16716</v>
      </c>
      <c r="AO515" t="n">
        <v/>
      </c>
      <c r="AP515" t="n">
        <v>45.66813</v>
      </c>
      <c r="AQ515" t="n">
        <v/>
      </c>
      <c r="AR515" t="n">
        <v/>
      </c>
      <c r="AS515" t="n">
        <v/>
      </c>
      <c r="AT515" t="n">
        <v/>
      </c>
      <c r="AU515" t="n">
        <v>76.21178</v>
      </c>
      <c r="AV515" t="n">
        <v/>
      </c>
      <c r="AW515" t="n">
        <v>59.4023</v>
      </c>
      <c r="AX515" t="n">
        <v/>
      </c>
    </row>
    <row r="516">
      <c r="A516" s="92" t="n">
        <v>33543</v>
      </c>
      <c r="B516" t="n">
        <v>62.72802</v>
      </c>
      <c r="C516" t="n">
        <v>64.73282</v>
      </c>
      <c r="D516" t="n">
        <v/>
      </c>
      <c r="E516" t="n">
        <v>68.706</v>
      </c>
      <c r="F516" t="n">
        <v>82.74487000000001</v>
      </c>
      <c r="G516" t="n">
        <v/>
      </c>
      <c r="H516" t="n">
        <v/>
      </c>
      <c r="I516" t="n">
        <v/>
      </c>
      <c r="J516" t="n">
        <v/>
      </c>
      <c r="K516" t="n">
        <v/>
      </c>
      <c r="L516" t="n">
        <v>68.26749</v>
      </c>
      <c r="M516" t="n">
        <v>65.45556999999999</v>
      </c>
      <c r="N516" t="n">
        <v/>
      </c>
      <c r="O516" t="n">
        <v>55.12267</v>
      </c>
      <c r="P516" t="n">
        <v/>
      </c>
      <c r="Q516" t="n">
        <v/>
      </c>
      <c r="R516" t="n">
        <v>69.71647</v>
      </c>
      <c r="S516" t="n">
        <v>72.01765</v>
      </c>
      <c r="T516" t="n">
        <v/>
      </c>
      <c r="U516" t="n">
        <v>65.65591000000001</v>
      </c>
      <c r="V516" t="n">
        <v>66.42825999999999</v>
      </c>
      <c r="W516" t="n">
        <v>38.00885</v>
      </c>
      <c r="X516" t="n">
        <v>12.35304</v>
      </c>
      <c r="Y516" t="n">
        <v/>
      </c>
      <c r="Z516" t="n">
        <v/>
      </c>
      <c r="AA516" t="n">
        <v>59.70728</v>
      </c>
      <c r="AB516" t="n">
        <v/>
      </c>
      <c r="AC516" t="n">
        <v>40.49266</v>
      </c>
      <c r="AD516" t="n">
        <v>56.46181</v>
      </c>
      <c r="AE516" t="n">
        <v>97.41275</v>
      </c>
      <c r="AF516" t="n">
        <v>49.26329</v>
      </c>
      <c r="AG516" t="n">
        <v/>
      </c>
      <c r="AH516" t="n">
        <v>62.45711</v>
      </c>
      <c r="AI516" t="n">
        <v/>
      </c>
      <c r="AJ516" t="n">
        <v>13.95811</v>
      </c>
      <c r="AK516" t="n">
        <v>61.02365</v>
      </c>
      <c r="AL516" t="n">
        <v>63.22662</v>
      </c>
      <c r="AM516" t="n">
        <v>49.32835</v>
      </c>
      <c r="AN516" t="n">
        <v>39.44806</v>
      </c>
      <c r="AO516" t="n">
        <v/>
      </c>
      <c r="AP516" t="n">
        <v>46.05648</v>
      </c>
      <c r="AQ516" t="n">
        <v/>
      </c>
      <c r="AR516" t="n">
        <v/>
      </c>
      <c r="AS516" t="n">
        <v/>
      </c>
      <c r="AT516" t="n">
        <v/>
      </c>
      <c r="AU516" t="n">
        <v>76.42097</v>
      </c>
      <c r="AV516" t="n">
        <v/>
      </c>
      <c r="AW516" t="n">
        <v>59.6087</v>
      </c>
      <c r="AX516" t="n">
        <v/>
      </c>
    </row>
    <row r="517">
      <c r="A517" s="92" t="n">
        <v>33573</v>
      </c>
      <c r="B517" t="n">
        <v>62.79589</v>
      </c>
      <c r="C517" t="n">
        <v>64.85326000000001</v>
      </c>
      <c r="D517" t="n">
        <v/>
      </c>
      <c r="E517" t="n">
        <v>68.49462</v>
      </c>
      <c r="F517" t="n">
        <v>82.78239000000001</v>
      </c>
      <c r="G517" t="n">
        <v/>
      </c>
      <c r="H517" t="n">
        <v/>
      </c>
      <c r="I517" t="n">
        <v/>
      </c>
      <c r="J517" t="n">
        <v/>
      </c>
      <c r="K517" t="n">
        <v/>
      </c>
      <c r="L517" t="n">
        <v>68.46563999999999</v>
      </c>
      <c r="M517" t="n">
        <v>65.36478</v>
      </c>
      <c r="N517" t="n">
        <v/>
      </c>
      <c r="O517" t="n">
        <v>55.3343</v>
      </c>
      <c r="P517" t="n">
        <v/>
      </c>
      <c r="Q517" t="n">
        <v/>
      </c>
      <c r="R517" t="n">
        <v>70.20319000000001</v>
      </c>
      <c r="S517" t="n">
        <v>72.11664</v>
      </c>
      <c r="T517" t="n">
        <v/>
      </c>
      <c r="U517" t="n">
        <v>65.70211</v>
      </c>
      <c r="V517" t="n">
        <v>66.50302000000001</v>
      </c>
      <c r="W517" t="n">
        <v>38.63284</v>
      </c>
      <c r="X517" t="n">
        <v>12.40224</v>
      </c>
      <c r="Y517" t="n">
        <v/>
      </c>
      <c r="Z517" t="n">
        <v/>
      </c>
      <c r="AA517" t="n">
        <v>59.70728</v>
      </c>
      <c r="AB517" t="n">
        <v/>
      </c>
      <c r="AC517" t="n">
        <v>40.59389</v>
      </c>
      <c r="AD517" t="n">
        <v>56.59886</v>
      </c>
      <c r="AE517" t="n">
        <v>97.50588</v>
      </c>
      <c r="AF517" t="n">
        <v>49.38284</v>
      </c>
      <c r="AG517" t="n">
        <v/>
      </c>
      <c r="AH517" t="n">
        <v>62.58905</v>
      </c>
      <c r="AI517" t="n">
        <v/>
      </c>
      <c r="AJ517" t="n">
        <v>14.228</v>
      </c>
      <c r="AK517" t="n">
        <v>60.907</v>
      </c>
      <c r="AL517" t="n">
        <v>63.29739</v>
      </c>
      <c r="AM517" t="n">
        <v>49.47425</v>
      </c>
      <c r="AN517" t="n">
        <v>39.64852</v>
      </c>
      <c r="AO517" t="n">
        <v/>
      </c>
      <c r="AP517" t="n">
        <v>46.37772</v>
      </c>
      <c r="AQ517" t="n">
        <v/>
      </c>
      <c r="AR517" t="n">
        <v/>
      </c>
      <c r="AS517" t="n">
        <v/>
      </c>
      <c r="AT517" t="n">
        <v/>
      </c>
      <c r="AU517" t="n">
        <v>76.66737000000001</v>
      </c>
      <c r="AV517" t="n">
        <v/>
      </c>
      <c r="AW517" t="n">
        <v>59.6087</v>
      </c>
      <c r="AX517" t="n">
        <v/>
      </c>
    </row>
    <row r="518">
      <c r="A518" s="92" t="n">
        <v>33604</v>
      </c>
      <c r="B518" t="n">
        <v>63.39531</v>
      </c>
      <c r="C518" t="n">
        <v>65.20684</v>
      </c>
      <c r="D518" t="n">
        <v/>
      </c>
      <c r="E518" t="n">
        <v>68.61214</v>
      </c>
      <c r="F518" t="n">
        <v>83.31762000000001</v>
      </c>
      <c r="G518" t="n">
        <v/>
      </c>
      <c r="H518" t="n">
        <v/>
      </c>
      <c r="I518" t="n">
        <v/>
      </c>
      <c r="J518" t="n">
        <v/>
      </c>
      <c r="K518" t="n">
        <v/>
      </c>
      <c r="L518" t="n">
        <v>68.90064</v>
      </c>
      <c r="M518" t="n">
        <v>65.15849</v>
      </c>
      <c r="N518" t="n">
        <v/>
      </c>
      <c r="O518" t="n">
        <v>55.94541</v>
      </c>
      <c r="P518" t="n">
        <v/>
      </c>
      <c r="Q518" t="n">
        <v/>
      </c>
      <c r="R518" t="n">
        <v>70.59868</v>
      </c>
      <c r="S518" t="n">
        <v>72.2302</v>
      </c>
      <c r="T518" t="n">
        <v/>
      </c>
      <c r="U518" t="n">
        <v>65.85979</v>
      </c>
      <c r="V518" t="n">
        <v>66.46762</v>
      </c>
      <c r="W518" t="n">
        <v>38.41644</v>
      </c>
      <c r="X518" t="n">
        <v>13.2862</v>
      </c>
      <c r="Y518" t="n">
        <v/>
      </c>
      <c r="Z518" t="n">
        <v/>
      </c>
      <c r="AA518" t="n">
        <v>60.30421</v>
      </c>
      <c r="AB518" t="n">
        <v/>
      </c>
      <c r="AC518" t="n">
        <v>40.2902</v>
      </c>
      <c r="AD518" t="n">
        <v>56.94703</v>
      </c>
      <c r="AE518" t="n">
        <v>97.08665000000001</v>
      </c>
      <c r="AF518" t="n">
        <v>49.68328</v>
      </c>
      <c r="AG518" t="n">
        <v/>
      </c>
      <c r="AH518" t="n">
        <v>63.17479</v>
      </c>
      <c r="AI518" t="n">
        <v/>
      </c>
      <c r="AJ518" t="n">
        <v>14.5097</v>
      </c>
      <c r="AK518" t="n">
        <v>60.84039</v>
      </c>
      <c r="AL518" t="n">
        <v>63.16508</v>
      </c>
      <c r="AM518" t="n">
        <v>49.734</v>
      </c>
      <c r="AN518" t="n">
        <v>39.99146</v>
      </c>
      <c r="AO518" t="n">
        <v/>
      </c>
      <c r="AP518" t="n">
        <v>47.47775</v>
      </c>
      <c r="AQ518" t="n">
        <v/>
      </c>
      <c r="AR518" t="n">
        <v/>
      </c>
      <c r="AS518" t="n">
        <v/>
      </c>
      <c r="AT518" t="n">
        <v/>
      </c>
      <c r="AU518" t="n">
        <v>76.99757</v>
      </c>
      <c r="AV518" t="n">
        <v/>
      </c>
      <c r="AW518" t="n">
        <v>59.81511</v>
      </c>
      <c r="AX518" t="n">
        <v/>
      </c>
    </row>
    <row r="519">
      <c r="A519" s="92" t="n">
        <v>33635</v>
      </c>
      <c r="B519" t="n">
        <v>64.13303000000001</v>
      </c>
      <c r="C519" t="n">
        <v>65.45322</v>
      </c>
      <c r="D519" t="n">
        <v/>
      </c>
      <c r="E519" t="n">
        <v>68.76322999999999</v>
      </c>
      <c r="F519" t="n">
        <v>83.99741</v>
      </c>
      <c r="G519" t="n">
        <v/>
      </c>
      <c r="H519" t="n">
        <v/>
      </c>
      <c r="I519" t="n">
        <v/>
      </c>
      <c r="J519" t="n">
        <v/>
      </c>
      <c r="K519" t="n">
        <v/>
      </c>
      <c r="L519" t="n">
        <v>69.23753000000001</v>
      </c>
      <c r="M519" t="n">
        <v>65.56883999999999</v>
      </c>
      <c r="N519" t="n">
        <v/>
      </c>
      <c r="O519" t="n">
        <v>56.51711</v>
      </c>
      <c r="P519" t="n">
        <v/>
      </c>
      <c r="Q519" t="n">
        <v/>
      </c>
      <c r="R519" t="n">
        <v>70.83479</v>
      </c>
      <c r="S519" t="n">
        <v>72.58240000000001</v>
      </c>
      <c r="T519" t="n">
        <v/>
      </c>
      <c r="U519" t="n">
        <v>66.13724999999999</v>
      </c>
      <c r="V519" t="n">
        <v>66.80579</v>
      </c>
      <c r="W519" t="n">
        <v>38.50246</v>
      </c>
      <c r="X519" t="n">
        <v>13.70669</v>
      </c>
      <c r="Y519" t="n">
        <v/>
      </c>
      <c r="Z519" t="n">
        <v/>
      </c>
      <c r="AA519" t="n">
        <v>60.30421</v>
      </c>
      <c r="AB519" t="n">
        <v/>
      </c>
      <c r="AC519" t="n">
        <v>40.49266</v>
      </c>
      <c r="AD519" t="n">
        <v>57.29218</v>
      </c>
      <c r="AE519" t="n">
        <v>97.12390000000001</v>
      </c>
      <c r="AF519" t="n">
        <v>50.04192</v>
      </c>
      <c r="AG519" t="n">
        <v/>
      </c>
      <c r="AH519" t="n">
        <v>63.41804</v>
      </c>
      <c r="AI519" t="n">
        <v/>
      </c>
      <c r="AJ519" t="n">
        <v>14.70524</v>
      </c>
      <c r="AK519" t="n">
        <v>61.16141</v>
      </c>
      <c r="AL519" t="n">
        <v>63.3638</v>
      </c>
      <c r="AM519" t="n">
        <v>50.00615</v>
      </c>
      <c r="AN519" t="n">
        <v>40.27528</v>
      </c>
      <c r="AO519" t="n">
        <v/>
      </c>
      <c r="AP519" t="n">
        <v>48.12488</v>
      </c>
      <c r="AQ519" t="n">
        <v/>
      </c>
      <c r="AR519" t="n">
        <v/>
      </c>
      <c r="AS519" t="n">
        <v/>
      </c>
      <c r="AT519" t="n">
        <v/>
      </c>
      <c r="AU519" t="n">
        <v>77.09524999999999</v>
      </c>
      <c r="AV519" t="n">
        <v/>
      </c>
      <c r="AW519" t="n">
        <v>60.10407</v>
      </c>
      <c r="AX519" t="n">
        <v/>
      </c>
    </row>
    <row r="520">
      <c r="A520" s="92" t="n">
        <v>33664</v>
      </c>
      <c r="B520" t="n">
        <v>64.37527</v>
      </c>
      <c r="C520" t="n">
        <v>65.71983</v>
      </c>
      <c r="D520" t="n">
        <v/>
      </c>
      <c r="E520" t="n">
        <v>69.03646999999999</v>
      </c>
      <c r="F520" t="n">
        <v>84.25087000000001</v>
      </c>
      <c r="G520" t="n">
        <v/>
      </c>
      <c r="H520" t="n">
        <v/>
      </c>
      <c r="I520" t="n">
        <v/>
      </c>
      <c r="J520" t="n">
        <v/>
      </c>
      <c r="K520" t="n">
        <v/>
      </c>
      <c r="L520" t="n">
        <v>69.64523</v>
      </c>
      <c r="M520" t="n">
        <v>65.88388999999999</v>
      </c>
      <c r="N520" t="n">
        <v/>
      </c>
      <c r="O520" t="n">
        <v>56.8421</v>
      </c>
      <c r="P520" t="n">
        <v/>
      </c>
      <c r="Q520" t="n">
        <v/>
      </c>
      <c r="R520" t="n">
        <v>71.13431</v>
      </c>
      <c r="S520" t="n">
        <v>72.84281</v>
      </c>
      <c r="T520" t="n">
        <v/>
      </c>
      <c r="U520" t="n">
        <v>66.4872</v>
      </c>
      <c r="V520" t="n">
        <v>66.98730999999999</v>
      </c>
      <c r="W520" t="n">
        <v>39.59557</v>
      </c>
      <c r="X520" t="n">
        <v>13.91222</v>
      </c>
      <c r="Y520" t="n">
        <v/>
      </c>
      <c r="Z520" t="n">
        <v/>
      </c>
      <c r="AA520" t="n">
        <v>60.30421</v>
      </c>
      <c r="AB520" t="n">
        <v/>
      </c>
      <c r="AC520" t="n">
        <v>40.69513</v>
      </c>
      <c r="AD520" t="n">
        <v>57.61945</v>
      </c>
      <c r="AE520" t="n">
        <v>97.73658</v>
      </c>
      <c r="AF520" t="n">
        <v>50.8195</v>
      </c>
      <c r="AG520" t="n">
        <v/>
      </c>
      <c r="AH520" t="n">
        <v>63.52297</v>
      </c>
      <c r="AI520" t="n">
        <v/>
      </c>
      <c r="AJ520" t="n">
        <v>14.85984</v>
      </c>
      <c r="AK520" t="n">
        <v>61.73842</v>
      </c>
      <c r="AL520" t="n">
        <v>64.00032</v>
      </c>
      <c r="AM520" t="n">
        <v>50.33177</v>
      </c>
      <c r="AN520" t="n">
        <v>40.56284</v>
      </c>
      <c r="AO520" t="n">
        <v/>
      </c>
      <c r="AP520" t="n">
        <v>48.53026</v>
      </c>
      <c r="AQ520" t="n">
        <v/>
      </c>
      <c r="AR520" t="n">
        <v/>
      </c>
      <c r="AS520" t="n">
        <v/>
      </c>
      <c r="AT520" t="n">
        <v/>
      </c>
      <c r="AU520" t="n">
        <v>77.55714</v>
      </c>
      <c r="AV520" t="n">
        <v/>
      </c>
      <c r="AW520" t="n">
        <v>60.43431</v>
      </c>
      <c r="AX520" t="n">
        <v/>
      </c>
    </row>
    <row r="521">
      <c r="A521" s="92" t="n">
        <v>33695</v>
      </c>
      <c r="B521" t="n">
        <v>64.3065</v>
      </c>
      <c r="C521" t="n">
        <v>65.64845</v>
      </c>
      <c r="D521" t="n">
        <v/>
      </c>
      <c r="E521" t="n">
        <v>69.08089</v>
      </c>
      <c r="F521" t="n">
        <v>84.39067</v>
      </c>
      <c r="G521" t="n">
        <v/>
      </c>
      <c r="H521" t="n">
        <v/>
      </c>
      <c r="I521" t="n">
        <v/>
      </c>
      <c r="J521" t="n">
        <v/>
      </c>
      <c r="K521" t="n">
        <v/>
      </c>
      <c r="L521" t="n">
        <v>69.90534</v>
      </c>
      <c r="M521" t="n">
        <v>66.05228</v>
      </c>
      <c r="N521" t="n">
        <v/>
      </c>
      <c r="O521" t="n">
        <v>57.10538</v>
      </c>
      <c r="P521" t="n">
        <v/>
      </c>
      <c r="Q521" t="n">
        <v/>
      </c>
      <c r="R521" t="n">
        <v>71.37957</v>
      </c>
      <c r="S521" t="n">
        <v>72.99594999999999</v>
      </c>
      <c r="T521" t="n">
        <v/>
      </c>
      <c r="U521" t="n">
        <v>66.77743</v>
      </c>
      <c r="V521" t="n">
        <v>68.22369999999999</v>
      </c>
      <c r="W521" t="n">
        <v>40.31499</v>
      </c>
      <c r="X521" t="n">
        <v>14.08841</v>
      </c>
      <c r="Y521" t="n">
        <v/>
      </c>
      <c r="Z521" t="n">
        <v/>
      </c>
      <c r="AA521" t="n">
        <v>60.84018</v>
      </c>
      <c r="AB521" t="n">
        <v/>
      </c>
      <c r="AC521" t="n">
        <v>41.50498</v>
      </c>
      <c r="AD521" t="n">
        <v>57.83534</v>
      </c>
      <c r="AE521" t="n">
        <v>98.78447</v>
      </c>
      <c r="AF521" t="n">
        <v>51.0004</v>
      </c>
      <c r="AG521" t="n">
        <v/>
      </c>
      <c r="AH521" t="n">
        <v>63.73326</v>
      </c>
      <c r="AI521" t="n">
        <v/>
      </c>
      <c r="AJ521" t="n">
        <v>15.01064</v>
      </c>
      <c r="AK521" t="n">
        <v>61.93892</v>
      </c>
      <c r="AL521" t="n">
        <v>64.24997999999999</v>
      </c>
      <c r="AM521" t="n">
        <v>50.60601</v>
      </c>
      <c r="AN521" t="n">
        <v>40.89673</v>
      </c>
      <c r="AO521" t="n">
        <v/>
      </c>
      <c r="AP521" t="n">
        <v>48.85131</v>
      </c>
      <c r="AQ521" t="n">
        <v/>
      </c>
      <c r="AR521" t="n">
        <v/>
      </c>
      <c r="AS521" t="n">
        <v/>
      </c>
      <c r="AT521" t="n">
        <v/>
      </c>
      <c r="AU521" t="n">
        <v>77.74903999999999</v>
      </c>
      <c r="AV521" t="n">
        <v/>
      </c>
      <c r="AW521" t="n">
        <v>60.51687</v>
      </c>
      <c r="AX521" t="n">
        <v/>
      </c>
    </row>
    <row r="522">
      <c r="A522" s="92" t="n">
        <v>33725</v>
      </c>
      <c r="B522" t="n">
        <v>64.46777</v>
      </c>
      <c r="C522" t="n">
        <v>65.85136</v>
      </c>
      <c r="D522" t="n">
        <v/>
      </c>
      <c r="E522" t="n">
        <v>69.13055</v>
      </c>
      <c r="F522" t="n">
        <v>84.76031</v>
      </c>
      <c r="G522" t="n">
        <v/>
      </c>
      <c r="H522" t="n">
        <v/>
      </c>
      <c r="I522" t="n">
        <v/>
      </c>
      <c r="J522" t="n">
        <v/>
      </c>
      <c r="K522" t="n">
        <v/>
      </c>
      <c r="L522" t="n">
        <v>70.07807</v>
      </c>
      <c r="M522" t="n">
        <v>66.48802999999999</v>
      </c>
      <c r="N522" t="n">
        <v/>
      </c>
      <c r="O522" t="n">
        <v>57.28939</v>
      </c>
      <c r="P522" t="n">
        <v/>
      </c>
      <c r="Q522" t="n">
        <v/>
      </c>
      <c r="R522" t="n">
        <v>71.4859</v>
      </c>
      <c r="S522" t="n">
        <v>73.22506</v>
      </c>
      <c r="T522" t="n">
        <v/>
      </c>
      <c r="U522" t="n">
        <v>66.90167</v>
      </c>
      <c r="V522" t="n">
        <v>68.43147</v>
      </c>
      <c r="W522" t="n">
        <v>40.41928</v>
      </c>
      <c r="X522" t="n">
        <v>14.21899</v>
      </c>
      <c r="Y522" t="n">
        <v/>
      </c>
      <c r="Z522" t="n">
        <v/>
      </c>
      <c r="AA522" t="n">
        <v>60.84018</v>
      </c>
      <c r="AB522" t="n">
        <v/>
      </c>
      <c r="AC522" t="n">
        <v>41.80867</v>
      </c>
      <c r="AD522" t="n">
        <v>58.15154</v>
      </c>
      <c r="AE522" t="n">
        <v>99.03008</v>
      </c>
      <c r="AF522" t="n">
        <v>51.23843</v>
      </c>
      <c r="AG522" t="n">
        <v/>
      </c>
      <c r="AH522" t="n">
        <v>64.04052</v>
      </c>
      <c r="AI522" t="n">
        <v/>
      </c>
      <c r="AJ522" t="n">
        <v>15.16519</v>
      </c>
      <c r="AK522" t="n">
        <v>62.02776</v>
      </c>
      <c r="AL522" t="n">
        <v>64.34011</v>
      </c>
      <c r="AM522" t="n">
        <v>50.76179</v>
      </c>
      <c r="AN522" t="n">
        <v>41.09991</v>
      </c>
      <c r="AO522" t="n">
        <v/>
      </c>
      <c r="AP522" t="n">
        <v>49.69173</v>
      </c>
      <c r="AQ522" t="n">
        <v/>
      </c>
      <c r="AR522" t="n">
        <v/>
      </c>
      <c r="AS522" t="n">
        <v/>
      </c>
      <c r="AT522" t="n">
        <v/>
      </c>
      <c r="AU522" t="n">
        <v>77.67238999999999</v>
      </c>
      <c r="AV522" t="n">
        <v/>
      </c>
      <c r="AW522" t="n">
        <v>60.55815</v>
      </c>
      <c r="AX522" t="n">
        <v/>
      </c>
    </row>
    <row r="523">
      <c r="A523" s="92" t="n">
        <v>33756</v>
      </c>
      <c r="B523" t="n">
        <v>64.81031</v>
      </c>
      <c r="C523" t="n">
        <v>66.17522</v>
      </c>
      <c r="D523" t="n">
        <v/>
      </c>
      <c r="E523" t="n">
        <v>69.12521</v>
      </c>
      <c r="F523" t="n">
        <v>84.9117</v>
      </c>
      <c r="G523" t="n">
        <v/>
      </c>
      <c r="H523" t="n">
        <v/>
      </c>
      <c r="I523" t="n">
        <v/>
      </c>
      <c r="J523" t="n">
        <v/>
      </c>
      <c r="K523" t="n">
        <v/>
      </c>
      <c r="L523" t="n">
        <v>70.28487</v>
      </c>
      <c r="M523" t="n">
        <v>66.49525</v>
      </c>
      <c r="N523" t="n">
        <v/>
      </c>
      <c r="O523" t="n">
        <v>57.44949</v>
      </c>
      <c r="P523" t="n">
        <v/>
      </c>
      <c r="Q523" t="n">
        <v/>
      </c>
      <c r="R523" t="n">
        <v>71.91271</v>
      </c>
      <c r="S523" t="n">
        <v>73.34829000000001</v>
      </c>
      <c r="T523" t="n">
        <v/>
      </c>
      <c r="U523" t="n">
        <v>67.01521</v>
      </c>
      <c r="V523" t="n">
        <v>68.47856</v>
      </c>
      <c r="W523" t="n">
        <v>41.09302</v>
      </c>
      <c r="X523" t="n">
        <v>14.35761</v>
      </c>
      <c r="Y523" t="n">
        <v/>
      </c>
      <c r="Z523" t="n">
        <v/>
      </c>
      <c r="AA523" t="n">
        <v>60.84018</v>
      </c>
      <c r="AB523" t="n">
        <v/>
      </c>
      <c r="AC523" t="n">
        <v>42.01114</v>
      </c>
      <c r="AD523" t="n">
        <v>58.3019</v>
      </c>
      <c r="AE523" t="n">
        <v>99.25629000000001</v>
      </c>
      <c r="AF523" t="n">
        <v>51.29768</v>
      </c>
      <c r="AG523" t="n">
        <v/>
      </c>
      <c r="AH523" t="n">
        <v>64.14136000000001</v>
      </c>
      <c r="AI523" t="n">
        <v/>
      </c>
      <c r="AJ523" t="n">
        <v>15.29946</v>
      </c>
      <c r="AK523" t="n">
        <v>61.77306</v>
      </c>
      <c r="AL523" t="n">
        <v>64.42041</v>
      </c>
      <c r="AM523" t="n">
        <v>50.89871</v>
      </c>
      <c r="AN523" t="n">
        <v>41.25664</v>
      </c>
      <c r="AO523" t="n">
        <v/>
      </c>
      <c r="AP523" t="n">
        <v>50.17041</v>
      </c>
      <c r="AQ523" t="n">
        <v/>
      </c>
      <c r="AR523" t="n">
        <v/>
      </c>
      <c r="AS523" t="n">
        <v/>
      </c>
      <c r="AT523" t="n">
        <v/>
      </c>
      <c r="AU523" t="n">
        <v>77.36206</v>
      </c>
      <c r="AV523" t="n">
        <v/>
      </c>
      <c r="AW523" t="n">
        <v>60.64071</v>
      </c>
      <c r="AX523" t="n">
        <v/>
      </c>
    </row>
    <row r="524">
      <c r="A524" s="92" t="n">
        <v>33786</v>
      </c>
      <c r="B524" t="n">
        <v>65.79843</v>
      </c>
      <c r="C524" t="n">
        <v>66.52992</v>
      </c>
      <c r="D524" t="n">
        <v/>
      </c>
      <c r="E524" t="n">
        <v>69.23204</v>
      </c>
      <c r="F524" t="n">
        <v>84.92386</v>
      </c>
      <c r="G524" t="n">
        <v/>
      </c>
      <c r="H524" t="n">
        <v/>
      </c>
      <c r="I524" t="n">
        <v/>
      </c>
      <c r="J524" t="n">
        <v/>
      </c>
      <c r="K524" t="n">
        <v/>
      </c>
      <c r="L524" t="n">
        <v>70.65443999999999</v>
      </c>
      <c r="M524" t="n">
        <v>66.20921</v>
      </c>
      <c r="N524" t="n">
        <v/>
      </c>
      <c r="O524" t="n">
        <v>57.64545</v>
      </c>
      <c r="P524" t="n">
        <v/>
      </c>
      <c r="Q524" t="n">
        <v/>
      </c>
      <c r="R524" t="n">
        <v>71.83553000000001</v>
      </c>
      <c r="S524" t="n">
        <v>73.4864</v>
      </c>
      <c r="T524" t="n">
        <v/>
      </c>
      <c r="U524" t="n">
        <v>67.10397</v>
      </c>
      <c r="V524" t="n">
        <v>68.32575</v>
      </c>
      <c r="W524" t="n">
        <v>40.86985</v>
      </c>
      <c r="X524" t="n">
        <v>14.47148</v>
      </c>
      <c r="Y524" t="n">
        <v/>
      </c>
      <c r="Z524" t="n">
        <v/>
      </c>
      <c r="AA524" t="n">
        <v>61.28977</v>
      </c>
      <c r="AB524" t="n">
        <v/>
      </c>
      <c r="AC524" t="n">
        <v>42.41606</v>
      </c>
      <c r="AD524" t="n">
        <v>58.48104</v>
      </c>
      <c r="AE524" t="n">
        <v>98.65665</v>
      </c>
      <c r="AF524" t="n">
        <v>51.35798</v>
      </c>
      <c r="AG524" t="n">
        <v/>
      </c>
      <c r="AH524" t="n">
        <v>64.30704</v>
      </c>
      <c r="AI524" t="n">
        <v/>
      </c>
      <c r="AJ524" t="n">
        <v>15.42458</v>
      </c>
      <c r="AK524" t="n">
        <v>62.2162</v>
      </c>
      <c r="AL524" t="n">
        <v>64.52697999999999</v>
      </c>
      <c r="AM524" t="n">
        <v>51.02746</v>
      </c>
      <c r="AN524" t="n">
        <v>41.43661</v>
      </c>
      <c r="AO524" t="n">
        <v/>
      </c>
      <c r="AP524" t="n">
        <v>50.42747</v>
      </c>
      <c r="AQ524" t="n">
        <v/>
      </c>
      <c r="AR524" t="n">
        <v/>
      </c>
      <c r="AS524" t="n">
        <v/>
      </c>
      <c r="AT524" t="n">
        <v/>
      </c>
      <c r="AU524" t="n">
        <v>77.44704</v>
      </c>
      <c r="AV524" t="n">
        <v/>
      </c>
      <c r="AW524" t="n">
        <v>60.80583</v>
      </c>
      <c r="AX524" t="n">
        <v/>
      </c>
    </row>
    <row r="525">
      <c r="A525" s="92" t="n">
        <v>33817</v>
      </c>
      <c r="B525" t="n">
        <v>66.08183</v>
      </c>
      <c r="C525" t="n">
        <v>66.58323</v>
      </c>
      <c r="D525" t="n">
        <v/>
      </c>
      <c r="E525" t="n">
        <v>69.33047000000001</v>
      </c>
      <c r="F525" t="n">
        <v>85.46884</v>
      </c>
      <c r="G525" t="n">
        <v/>
      </c>
      <c r="H525" t="n">
        <v/>
      </c>
      <c r="I525" t="n">
        <v/>
      </c>
      <c r="J525" t="n">
        <v/>
      </c>
      <c r="K525" t="n">
        <v/>
      </c>
      <c r="L525" t="n">
        <v>70.81507999999999</v>
      </c>
      <c r="M525" t="n">
        <v>66.37867</v>
      </c>
      <c r="N525" t="n">
        <v/>
      </c>
      <c r="O525" t="n">
        <v>57.90483</v>
      </c>
      <c r="P525" t="n">
        <v/>
      </c>
      <c r="Q525" t="n">
        <v/>
      </c>
      <c r="R525" t="n">
        <v>71.80744</v>
      </c>
      <c r="S525" t="n">
        <v>73.63139</v>
      </c>
      <c r="T525" t="n">
        <v/>
      </c>
      <c r="U525" t="n">
        <v>67.25548999999999</v>
      </c>
      <c r="V525" t="n">
        <v>68.41977</v>
      </c>
      <c r="W525" t="n">
        <v>40.66754</v>
      </c>
      <c r="X525" t="n">
        <v>14.56298</v>
      </c>
      <c r="Y525" t="n">
        <v/>
      </c>
      <c r="Z525" t="n">
        <v/>
      </c>
      <c r="AA525" t="n">
        <v>61.28977</v>
      </c>
      <c r="AB525" t="n">
        <v/>
      </c>
      <c r="AC525" t="n">
        <v>42.92222</v>
      </c>
      <c r="AD525" t="n">
        <v>58.72054</v>
      </c>
      <c r="AE525" t="n">
        <v>98.70453000000001</v>
      </c>
      <c r="AF525" t="n">
        <v>51.35798</v>
      </c>
      <c r="AG525" t="n">
        <v/>
      </c>
      <c r="AH525" t="n">
        <v>64.40528</v>
      </c>
      <c r="AI525" t="n">
        <v/>
      </c>
      <c r="AJ525" t="n">
        <v>15.55962</v>
      </c>
      <c r="AK525" t="n">
        <v>62.50331</v>
      </c>
      <c r="AL525" t="n">
        <v>64.32198</v>
      </c>
      <c r="AM525" t="n">
        <v>51.20107</v>
      </c>
      <c r="AN525" t="n">
        <v>41.63382</v>
      </c>
      <c r="AO525" t="n">
        <v/>
      </c>
      <c r="AP525" t="n">
        <v>50.67113</v>
      </c>
      <c r="AQ525" t="n">
        <v/>
      </c>
      <c r="AR525" t="n">
        <v/>
      </c>
      <c r="AS525" t="n">
        <v/>
      </c>
      <c r="AT525" t="n">
        <v/>
      </c>
      <c r="AU525" t="n">
        <v>77.59926</v>
      </c>
      <c r="AV525" t="n">
        <v/>
      </c>
      <c r="AW525" t="n">
        <v>60.97095</v>
      </c>
      <c r="AX525" t="n">
        <v/>
      </c>
    </row>
    <row r="526">
      <c r="A526" s="92" t="n">
        <v>33848</v>
      </c>
      <c r="B526" t="n">
        <v>65.40459</v>
      </c>
      <c r="C526" t="n">
        <v>66.57494</v>
      </c>
      <c r="D526" t="n">
        <v/>
      </c>
      <c r="E526" t="n">
        <v>69.44591</v>
      </c>
      <c r="F526" t="n">
        <v>85.57024</v>
      </c>
      <c r="G526" t="n">
        <v/>
      </c>
      <c r="H526" t="n">
        <v/>
      </c>
      <c r="I526" t="n">
        <v/>
      </c>
      <c r="J526" t="n">
        <v/>
      </c>
      <c r="K526" t="n">
        <v/>
      </c>
      <c r="L526" t="n">
        <v>70.87729</v>
      </c>
      <c r="M526" t="n">
        <v>66.6857</v>
      </c>
      <c r="N526" t="n">
        <v/>
      </c>
      <c r="O526" t="n">
        <v>58.37325</v>
      </c>
      <c r="P526" t="n">
        <v/>
      </c>
      <c r="Q526" t="n">
        <v/>
      </c>
      <c r="R526" t="n">
        <v>72.27915</v>
      </c>
      <c r="S526" t="n">
        <v>73.83224</v>
      </c>
      <c r="T526" t="n">
        <v/>
      </c>
      <c r="U526" t="n">
        <v>67.45358</v>
      </c>
      <c r="V526" t="n">
        <v>68.79716999999999</v>
      </c>
      <c r="W526" t="n">
        <v>42.06211</v>
      </c>
      <c r="X526" t="n">
        <v>14.83128</v>
      </c>
      <c r="Y526" t="n">
        <v/>
      </c>
      <c r="Z526" t="n">
        <v/>
      </c>
      <c r="AA526" t="n">
        <v>61.28977</v>
      </c>
      <c r="AB526" t="n">
        <v/>
      </c>
      <c r="AC526" t="n">
        <v>43.32715</v>
      </c>
      <c r="AD526" t="n">
        <v>58.82387</v>
      </c>
      <c r="AE526" t="n">
        <v>99.22392000000001</v>
      </c>
      <c r="AF526" t="n">
        <v>51.47752</v>
      </c>
      <c r="AG526" t="n">
        <v/>
      </c>
      <c r="AH526" t="n">
        <v>64.64843999999999</v>
      </c>
      <c r="AI526" t="n">
        <v/>
      </c>
      <c r="AJ526" t="n">
        <v>15.73844</v>
      </c>
      <c r="AK526" t="n">
        <v>63.1101</v>
      </c>
      <c r="AL526" t="n">
        <v>64.81277</v>
      </c>
      <c r="AM526" t="n">
        <v>51.4959</v>
      </c>
      <c r="AN526" t="n">
        <v>42.00342</v>
      </c>
      <c r="AO526" t="n">
        <v/>
      </c>
      <c r="AP526" t="n">
        <v>50.92833</v>
      </c>
      <c r="AQ526" t="n">
        <v/>
      </c>
      <c r="AR526" t="n">
        <v/>
      </c>
      <c r="AS526" t="n">
        <v/>
      </c>
      <c r="AT526" t="n">
        <v/>
      </c>
      <c r="AU526" t="n">
        <v>79.18817</v>
      </c>
      <c r="AV526" t="n">
        <v/>
      </c>
      <c r="AW526" t="n">
        <v>61.13607</v>
      </c>
      <c r="AX526" t="n">
        <v/>
      </c>
    </row>
    <row r="527">
      <c r="A527" s="92" t="n">
        <v>33878</v>
      </c>
      <c r="B527" t="n">
        <v>65.28398</v>
      </c>
      <c r="C527" t="n">
        <v>66.7573</v>
      </c>
      <c r="D527" t="n">
        <v/>
      </c>
      <c r="E527" t="n">
        <v>69.59367</v>
      </c>
      <c r="F527" t="n">
        <v>85.62394999999999</v>
      </c>
      <c r="G527" t="n">
        <v/>
      </c>
      <c r="H527" t="n">
        <v/>
      </c>
      <c r="I527" t="n">
        <v/>
      </c>
      <c r="J527" t="n">
        <v/>
      </c>
      <c r="K527" t="n">
        <v/>
      </c>
      <c r="L527" t="n">
        <v>70.87331</v>
      </c>
      <c r="M527" t="n">
        <v>66.56036</v>
      </c>
      <c r="N527" t="n">
        <v/>
      </c>
      <c r="O527" t="n">
        <v>58.63629</v>
      </c>
      <c r="P527" t="n">
        <v/>
      </c>
      <c r="Q527" t="n">
        <v/>
      </c>
      <c r="R527" t="n">
        <v>72.62617</v>
      </c>
      <c r="S527" t="n">
        <v>73.97153</v>
      </c>
      <c r="T527" t="n">
        <v/>
      </c>
      <c r="U527" t="n">
        <v>67.70927</v>
      </c>
      <c r="V527" t="n">
        <v>68.99052</v>
      </c>
      <c r="W527" t="n">
        <v>43.50762</v>
      </c>
      <c r="X527" t="n">
        <v>15.0765</v>
      </c>
      <c r="Y527" t="n">
        <v/>
      </c>
      <c r="Z527" t="n">
        <v/>
      </c>
      <c r="AA527" t="n">
        <v>61.74303</v>
      </c>
      <c r="AB527" t="n">
        <v/>
      </c>
      <c r="AC527" t="n">
        <v>43.32715</v>
      </c>
      <c r="AD527" t="n">
        <v>59.08498</v>
      </c>
      <c r="AE527" t="n">
        <v>99.28962</v>
      </c>
      <c r="AF527" t="n">
        <v>51.65737</v>
      </c>
      <c r="AG527" t="n">
        <v/>
      </c>
      <c r="AH527" t="n">
        <v>64.9383</v>
      </c>
      <c r="AI527" t="n">
        <v/>
      </c>
      <c r="AJ527" t="n">
        <v>15.86003</v>
      </c>
      <c r="AK527" t="n">
        <v>63.14424</v>
      </c>
      <c r="AL527" t="n">
        <v>64.95117</v>
      </c>
      <c r="AM527" t="n">
        <v>51.80862</v>
      </c>
      <c r="AN527" t="n">
        <v>42.33479</v>
      </c>
      <c r="AO527" t="n">
        <v/>
      </c>
      <c r="AP527" t="n">
        <v>51.40214</v>
      </c>
      <c r="AQ527" t="n">
        <v/>
      </c>
      <c r="AR527" t="n">
        <v/>
      </c>
      <c r="AS527" t="n">
        <v/>
      </c>
      <c r="AT527" t="n">
        <v/>
      </c>
      <c r="AU527" t="n">
        <v>79.35623</v>
      </c>
      <c r="AV527" t="n">
        <v/>
      </c>
      <c r="AW527" t="n">
        <v>61.5076</v>
      </c>
      <c r="AX527" t="n">
        <v/>
      </c>
    </row>
    <row r="528">
      <c r="A528" s="92" t="n">
        <v>33909</v>
      </c>
      <c r="B528" t="n">
        <v>65.47123000000001</v>
      </c>
      <c r="C528" t="n">
        <v>66.9716</v>
      </c>
      <c r="D528" t="n">
        <v/>
      </c>
      <c r="E528" t="n">
        <v>69.90021</v>
      </c>
      <c r="F528" t="n">
        <v>86.58846</v>
      </c>
      <c r="G528" t="n">
        <v/>
      </c>
      <c r="H528" t="n">
        <v/>
      </c>
      <c r="I528" t="n">
        <v/>
      </c>
      <c r="J528" t="n">
        <v/>
      </c>
      <c r="K528" t="n">
        <v/>
      </c>
      <c r="L528" t="n">
        <v>71.19758</v>
      </c>
      <c r="M528" t="n">
        <v>66.78896</v>
      </c>
      <c r="N528" t="n">
        <v/>
      </c>
      <c r="O528" t="n">
        <v>58.94853</v>
      </c>
      <c r="P528" t="n">
        <v/>
      </c>
      <c r="Q528" t="n">
        <v/>
      </c>
      <c r="R528" t="n">
        <v>72.71519000000001</v>
      </c>
      <c r="S528" t="n">
        <v>74.03194999999999</v>
      </c>
      <c r="T528" t="n">
        <v/>
      </c>
      <c r="U528" t="n">
        <v>67.89028</v>
      </c>
      <c r="V528" t="n">
        <v>68.81073000000001</v>
      </c>
      <c r="W528" t="n">
        <v>44.10094</v>
      </c>
      <c r="X528" t="n">
        <v>15.28986</v>
      </c>
      <c r="Y528" t="n">
        <v/>
      </c>
      <c r="Z528" t="n">
        <v/>
      </c>
      <c r="AA528" t="n">
        <v>61.74303</v>
      </c>
      <c r="AB528" t="n">
        <v>37.49695</v>
      </c>
      <c r="AC528" t="n">
        <v>43.73207</v>
      </c>
      <c r="AD528" t="n">
        <v>59.6174</v>
      </c>
      <c r="AE528" t="n">
        <v>99.58002999999999</v>
      </c>
      <c r="AF528" t="n">
        <v>51.77692</v>
      </c>
      <c r="AG528" t="n">
        <v/>
      </c>
      <c r="AH528" t="n">
        <v>65.15131</v>
      </c>
      <c r="AI528" t="n">
        <v/>
      </c>
      <c r="AJ528" t="n">
        <v>15.99259</v>
      </c>
      <c r="AK528" t="n">
        <v>63.15223</v>
      </c>
      <c r="AL528" t="n">
        <v>64.96588</v>
      </c>
      <c r="AM528" t="n">
        <v>52.0317</v>
      </c>
      <c r="AN528" t="n">
        <v>42.61728</v>
      </c>
      <c r="AO528" t="n">
        <v/>
      </c>
      <c r="AP528" t="n">
        <v>51.85225</v>
      </c>
      <c r="AQ528" t="n">
        <v/>
      </c>
      <c r="AR528" t="n">
        <v/>
      </c>
      <c r="AS528" t="n">
        <v/>
      </c>
      <c r="AT528" t="n">
        <v/>
      </c>
      <c r="AU528" t="n">
        <v>79.01678</v>
      </c>
      <c r="AV528" t="n">
        <v/>
      </c>
      <c r="AW528" t="n">
        <v>61.63144</v>
      </c>
      <c r="AX528" t="n">
        <v/>
      </c>
    </row>
    <row r="529">
      <c r="A529" s="92" t="n">
        <v>33939</v>
      </c>
      <c r="B529" t="n">
        <v>65.62264</v>
      </c>
      <c r="C529" t="n">
        <v>67.03773</v>
      </c>
      <c r="D529" t="n">
        <v/>
      </c>
      <c r="E529" t="n">
        <v>69.85868000000001</v>
      </c>
      <c r="F529" t="n">
        <v>86.64317</v>
      </c>
      <c r="G529" t="n">
        <v/>
      </c>
      <c r="H529" t="n">
        <v/>
      </c>
      <c r="I529" t="n">
        <v/>
      </c>
      <c r="J529" t="n">
        <v/>
      </c>
      <c r="K529" t="n">
        <v/>
      </c>
      <c r="L529" t="n">
        <v>71.3382</v>
      </c>
      <c r="M529" t="n">
        <v>66.72429</v>
      </c>
      <c r="N529" t="n">
        <v/>
      </c>
      <c r="O529" t="n">
        <v>59.08723</v>
      </c>
      <c r="P529" t="n">
        <v/>
      </c>
      <c r="Q529" t="n">
        <v/>
      </c>
      <c r="R529" t="n">
        <v>72.47797</v>
      </c>
      <c r="S529" t="n">
        <v>74.09246</v>
      </c>
      <c r="T529" t="n">
        <v/>
      </c>
      <c r="U529" t="n">
        <v>67.88499</v>
      </c>
      <c r="V529" t="n">
        <v>68.38802</v>
      </c>
      <c r="W529" t="n">
        <v>44.81387</v>
      </c>
      <c r="X529" t="n">
        <v>15.46866</v>
      </c>
      <c r="Y529" t="n">
        <v/>
      </c>
      <c r="Z529" t="n">
        <v/>
      </c>
      <c r="AA529" t="n">
        <v>61.74303</v>
      </c>
      <c r="AB529" t="n">
        <v>37.74555</v>
      </c>
      <c r="AC529" t="n">
        <v>44.137</v>
      </c>
      <c r="AD529" t="n">
        <v>59.82214</v>
      </c>
      <c r="AE529" t="n">
        <v>99.67403</v>
      </c>
      <c r="AF529" t="n">
        <v>51.89646</v>
      </c>
      <c r="AG529" t="n">
        <v/>
      </c>
      <c r="AH529" t="n">
        <v>65.20032999999999</v>
      </c>
      <c r="AI529" t="n">
        <v/>
      </c>
      <c r="AJ529" t="n">
        <v>16.17434</v>
      </c>
      <c r="AK529" t="n">
        <v>62.9642</v>
      </c>
      <c r="AL529" t="n">
        <v>65.0872</v>
      </c>
      <c r="AM529" t="n">
        <v>52.11852</v>
      </c>
      <c r="AN529" t="n">
        <v>42.75178</v>
      </c>
      <c r="AO529" t="n">
        <v/>
      </c>
      <c r="AP529" t="n">
        <v>52.05065</v>
      </c>
      <c r="AQ529" t="n">
        <v/>
      </c>
      <c r="AR529" t="n">
        <v/>
      </c>
      <c r="AS529" t="n">
        <v/>
      </c>
      <c r="AT529" t="n">
        <v/>
      </c>
      <c r="AU529" t="n">
        <v>79.22035</v>
      </c>
      <c r="AV529" t="n">
        <v/>
      </c>
      <c r="AW529" t="n">
        <v>61.59016</v>
      </c>
      <c r="AX529" t="n">
        <v/>
      </c>
    </row>
    <row r="530">
      <c r="A530" s="92" t="n">
        <v>33970</v>
      </c>
      <c r="B530" t="n">
        <v>66.43853</v>
      </c>
      <c r="C530" t="n">
        <v>67.48707</v>
      </c>
      <c r="D530" t="n">
        <v/>
      </c>
      <c r="E530" t="n">
        <v>70.02106000000001</v>
      </c>
      <c r="F530" t="n">
        <v>87.80221</v>
      </c>
      <c r="G530" t="n">
        <v/>
      </c>
      <c r="H530" t="n">
        <v/>
      </c>
      <c r="I530" t="n">
        <v/>
      </c>
      <c r="J530" t="n">
        <v/>
      </c>
      <c r="K530" t="n">
        <v/>
      </c>
      <c r="L530" t="n">
        <v>72.71489</v>
      </c>
      <c r="M530" t="n">
        <v>66.53596</v>
      </c>
      <c r="N530" t="n">
        <v/>
      </c>
      <c r="O530" t="n">
        <v>59.50186</v>
      </c>
      <c r="P530" t="n">
        <v/>
      </c>
      <c r="Q530" t="n">
        <v/>
      </c>
      <c r="R530" t="n">
        <v>72.83848999999999</v>
      </c>
      <c r="S530" t="n">
        <v>74.29867</v>
      </c>
      <c r="T530" t="n">
        <v/>
      </c>
      <c r="U530" t="n">
        <v>68.11888999999999</v>
      </c>
      <c r="V530" t="n">
        <v>67.6444</v>
      </c>
      <c r="W530" t="n">
        <v>44.34855</v>
      </c>
      <c r="X530" t="n">
        <v>16.35722</v>
      </c>
      <c r="Y530" t="n">
        <v/>
      </c>
      <c r="Z530" t="n">
        <v/>
      </c>
      <c r="AA530" t="n">
        <v>62.20133</v>
      </c>
      <c r="AB530" t="n">
        <v>37.95271</v>
      </c>
      <c r="AC530" t="n">
        <v>44.84562</v>
      </c>
      <c r="AD530" t="n">
        <v>60.17765</v>
      </c>
      <c r="AE530" t="n">
        <v>98.94176</v>
      </c>
      <c r="AF530" t="n">
        <v>52.25721</v>
      </c>
      <c r="AG530" t="n">
        <v/>
      </c>
      <c r="AH530" t="n">
        <v>65.87483</v>
      </c>
      <c r="AI530" t="n">
        <v/>
      </c>
      <c r="AJ530" t="n">
        <v>16.38685</v>
      </c>
      <c r="AK530" t="n">
        <v>63.0111</v>
      </c>
      <c r="AL530" t="n">
        <v>65.18201000000001</v>
      </c>
      <c r="AM530" t="n">
        <v>52.39915</v>
      </c>
      <c r="AN530" t="n">
        <v>43.13721</v>
      </c>
      <c r="AO530" t="n">
        <v/>
      </c>
      <c r="AP530" t="n">
        <v>53.16462</v>
      </c>
      <c r="AQ530" t="n">
        <v/>
      </c>
      <c r="AR530" t="n">
        <v/>
      </c>
      <c r="AS530" t="n">
        <v/>
      </c>
      <c r="AT530" t="n">
        <v/>
      </c>
      <c r="AU530" t="n">
        <v>80.56596</v>
      </c>
      <c r="AV530" t="n">
        <v/>
      </c>
      <c r="AW530" t="n">
        <v>61.87912</v>
      </c>
      <c r="AX530" t="n">
        <v/>
      </c>
    </row>
    <row r="531">
      <c r="A531" s="92" t="n">
        <v>34001</v>
      </c>
      <c r="B531" t="n">
        <v>66.91234</v>
      </c>
      <c r="C531" t="n">
        <v>67.80891</v>
      </c>
      <c r="D531" t="n">
        <v/>
      </c>
      <c r="E531" t="n">
        <v>70.28612</v>
      </c>
      <c r="F531" t="n">
        <v>88.48050000000001</v>
      </c>
      <c r="G531" t="n">
        <v/>
      </c>
      <c r="H531" t="n">
        <v/>
      </c>
      <c r="I531" t="n">
        <v/>
      </c>
      <c r="J531" t="n">
        <v/>
      </c>
      <c r="K531" t="n">
        <v/>
      </c>
      <c r="L531" t="n">
        <v>73.35699</v>
      </c>
      <c r="M531" t="n">
        <v>66.79624</v>
      </c>
      <c r="N531" t="n">
        <v/>
      </c>
      <c r="O531" t="n">
        <v>59.87122</v>
      </c>
      <c r="P531" t="n">
        <v/>
      </c>
      <c r="Q531" t="n">
        <v/>
      </c>
      <c r="R531" t="n">
        <v>73.07256</v>
      </c>
      <c r="S531" t="n">
        <v>74.69345</v>
      </c>
      <c r="T531" t="n">
        <v/>
      </c>
      <c r="U531" t="n">
        <v>68.47020999999999</v>
      </c>
      <c r="V531" t="n">
        <v>68.02374</v>
      </c>
      <c r="W531" t="n">
        <v>44.49981</v>
      </c>
      <c r="X531" t="n">
        <v>16.65136</v>
      </c>
      <c r="Y531" t="n">
        <v/>
      </c>
      <c r="Z531" t="n">
        <v/>
      </c>
      <c r="AA531" t="n">
        <v>62.20133</v>
      </c>
      <c r="AB531" t="n">
        <v>38.11845</v>
      </c>
      <c r="AC531" t="n">
        <v>45.45301</v>
      </c>
      <c r="AD531" t="n">
        <v>60.44386</v>
      </c>
      <c r="AE531" t="n">
        <v>98.91508</v>
      </c>
      <c r="AF531" t="n">
        <v>52.73434</v>
      </c>
      <c r="AG531" t="n">
        <v/>
      </c>
      <c r="AH531" t="n">
        <v>66.15478</v>
      </c>
      <c r="AI531" t="n">
        <v/>
      </c>
      <c r="AJ531" t="n">
        <v>16.56209</v>
      </c>
      <c r="AK531" t="n">
        <v>63.50054</v>
      </c>
      <c r="AL531" t="n">
        <v>65.46674</v>
      </c>
      <c r="AM531" t="n">
        <v>52.71469</v>
      </c>
      <c r="AN531" t="n">
        <v>43.46566</v>
      </c>
      <c r="AO531" t="n">
        <v/>
      </c>
      <c r="AP531" t="n">
        <v>53.8544</v>
      </c>
      <c r="AQ531" t="n">
        <v/>
      </c>
      <c r="AR531" t="n">
        <v/>
      </c>
      <c r="AS531" t="n">
        <v/>
      </c>
      <c r="AT531" t="n">
        <v/>
      </c>
      <c r="AU531" t="n">
        <v>80.79594</v>
      </c>
      <c r="AV531" t="n">
        <v/>
      </c>
      <c r="AW531" t="n">
        <v>62.25064</v>
      </c>
      <c r="AX531" t="n">
        <v/>
      </c>
    </row>
    <row r="532">
      <c r="A532" s="92" t="n">
        <v>34029</v>
      </c>
      <c r="B532" t="n">
        <v>67.24507</v>
      </c>
      <c r="C532" t="n">
        <v>68.0391</v>
      </c>
      <c r="D532" t="n">
        <v/>
      </c>
      <c r="E532" t="n">
        <v>70.295</v>
      </c>
      <c r="F532" t="n">
        <v>88.62681000000001</v>
      </c>
      <c r="G532" t="n">
        <v/>
      </c>
      <c r="H532" t="n">
        <v/>
      </c>
      <c r="I532" t="n">
        <v/>
      </c>
      <c r="J532" t="n">
        <v/>
      </c>
      <c r="K532" t="n">
        <v/>
      </c>
      <c r="L532" t="n">
        <v>73.57481</v>
      </c>
      <c r="M532" t="n">
        <v>66.99912999999999</v>
      </c>
      <c r="N532" t="n">
        <v/>
      </c>
      <c r="O532" t="n">
        <v>60.20256</v>
      </c>
      <c r="P532" t="n">
        <v/>
      </c>
      <c r="Q532" t="n">
        <v/>
      </c>
      <c r="R532" t="n">
        <v>73.16916999999999</v>
      </c>
      <c r="S532" t="n">
        <v>74.98751</v>
      </c>
      <c r="T532" t="n">
        <v/>
      </c>
      <c r="U532" t="n">
        <v>68.7041</v>
      </c>
      <c r="V532" t="n">
        <v>68.20093</v>
      </c>
      <c r="W532" t="n">
        <v>46.72876</v>
      </c>
      <c r="X532" t="n">
        <v>16.80861</v>
      </c>
      <c r="Y532" t="n">
        <v/>
      </c>
      <c r="Z532" t="n">
        <v/>
      </c>
      <c r="AA532" t="n">
        <v>62.20133</v>
      </c>
      <c r="AB532" t="n">
        <v>38.24274</v>
      </c>
      <c r="AC532" t="n">
        <v>46.16163</v>
      </c>
      <c r="AD532" t="n">
        <v>60.6805</v>
      </c>
      <c r="AE532" t="n">
        <v>99.16817</v>
      </c>
      <c r="AF532" t="n">
        <v>53.51297</v>
      </c>
      <c r="AG532" t="n">
        <v/>
      </c>
      <c r="AH532" t="n">
        <v>66.36584000000001</v>
      </c>
      <c r="AI532" t="n">
        <v/>
      </c>
      <c r="AJ532" t="n">
        <v>16.71974</v>
      </c>
      <c r="AK532" t="n">
        <v>63.87369</v>
      </c>
      <c r="AL532" t="n">
        <v>66.21377</v>
      </c>
      <c r="AM532" t="n">
        <v>52.97873</v>
      </c>
      <c r="AN532" t="n">
        <v>43.73827</v>
      </c>
      <c r="AO532" t="n">
        <v/>
      </c>
      <c r="AP532" t="n">
        <v>54.25502</v>
      </c>
      <c r="AQ532" t="n">
        <v/>
      </c>
      <c r="AR532" t="n">
        <v/>
      </c>
      <c r="AS532" t="n">
        <v/>
      </c>
      <c r="AT532" t="n">
        <v/>
      </c>
      <c r="AU532" t="n">
        <v>81.16598</v>
      </c>
      <c r="AV532" t="n">
        <v/>
      </c>
      <c r="AW532" t="n">
        <v>62.49832</v>
      </c>
      <c r="AX532" t="n">
        <v/>
      </c>
    </row>
    <row r="533">
      <c r="A533" s="92" t="n">
        <v>34060</v>
      </c>
      <c r="B533" t="n">
        <v>67.23314999999999</v>
      </c>
      <c r="C533" t="n">
        <v>68.17505</v>
      </c>
      <c r="D533" t="n">
        <v/>
      </c>
      <c r="E533" t="n">
        <v>70.3241</v>
      </c>
      <c r="F533" t="n">
        <v>88.67182</v>
      </c>
      <c r="G533" t="n">
        <v/>
      </c>
      <c r="H533" t="n">
        <v/>
      </c>
      <c r="I533" t="n">
        <v/>
      </c>
      <c r="J533" t="n">
        <v/>
      </c>
      <c r="K533" t="n">
        <v/>
      </c>
      <c r="L533" t="n">
        <v>73.73244</v>
      </c>
      <c r="M533" t="n">
        <v>67.06361</v>
      </c>
      <c r="N533" t="n">
        <v/>
      </c>
      <c r="O533" t="n">
        <v>60.61001</v>
      </c>
      <c r="P533" t="n">
        <v/>
      </c>
      <c r="Q533" t="n">
        <v/>
      </c>
      <c r="R533" t="n">
        <v>73.4464</v>
      </c>
      <c r="S533" t="n">
        <v>75.11991999999999</v>
      </c>
      <c r="T533" t="n">
        <v/>
      </c>
      <c r="U533" t="n">
        <v>68.96821</v>
      </c>
      <c r="V533" t="n">
        <v>68.91489</v>
      </c>
      <c r="W533" t="n">
        <v>47.32329</v>
      </c>
      <c r="X533" t="n">
        <v>16.98956</v>
      </c>
      <c r="Y533" t="n">
        <v/>
      </c>
      <c r="Z533" t="n">
        <v/>
      </c>
      <c r="AA533" t="n">
        <v>61.83537</v>
      </c>
      <c r="AB533" t="n">
        <v>38.40848</v>
      </c>
      <c r="AC533" t="n">
        <v>46.87025</v>
      </c>
      <c r="AD533" t="n">
        <v>60.90095</v>
      </c>
      <c r="AE533" t="n">
        <v>100.2176</v>
      </c>
      <c r="AF533" t="n">
        <v>53.75206</v>
      </c>
      <c r="AG533" t="n">
        <v/>
      </c>
      <c r="AH533" t="n">
        <v>66.48869999999999</v>
      </c>
      <c r="AI533" t="n">
        <v/>
      </c>
      <c r="AJ533" t="n">
        <v>16.83887</v>
      </c>
      <c r="AK533" t="n">
        <v>64.18115</v>
      </c>
      <c r="AL533" t="n">
        <v>66.27760000000001</v>
      </c>
      <c r="AM533" t="n">
        <v>53.24842</v>
      </c>
      <c r="AN533" t="n">
        <v>44.02837</v>
      </c>
      <c r="AO533" t="n">
        <v/>
      </c>
      <c r="AP533" t="n">
        <v>54.77607</v>
      </c>
      <c r="AQ533" t="n">
        <v/>
      </c>
      <c r="AR533" t="n">
        <v/>
      </c>
      <c r="AS533" t="n">
        <v/>
      </c>
      <c r="AT533" t="n">
        <v/>
      </c>
      <c r="AU533" t="n">
        <v>81.59114</v>
      </c>
      <c r="AV533" t="n">
        <v/>
      </c>
      <c r="AW533" t="n">
        <v>62.62217</v>
      </c>
      <c r="AX533" t="n">
        <v/>
      </c>
    </row>
    <row r="534">
      <c r="A534" s="92" t="n">
        <v>34090</v>
      </c>
      <c r="B534" t="n">
        <v>67.27094</v>
      </c>
      <c r="C534" t="n">
        <v>68.30502</v>
      </c>
      <c r="D534" t="n">
        <v/>
      </c>
      <c r="E534" t="n">
        <v>70.35114</v>
      </c>
      <c r="F534" t="n">
        <v>88.89446</v>
      </c>
      <c r="G534" t="n">
        <v/>
      </c>
      <c r="H534" t="n">
        <v/>
      </c>
      <c r="I534" t="n">
        <v/>
      </c>
      <c r="J534" t="n">
        <v/>
      </c>
      <c r="K534" t="n">
        <v/>
      </c>
      <c r="L534" t="n">
        <v>73.84114</v>
      </c>
      <c r="M534" t="n">
        <v>67.49562</v>
      </c>
      <c r="N534" t="n">
        <v/>
      </c>
      <c r="O534" t="n">
        <v>60.83947</v>
      </c>
      <c r="P534" t="n">
        <v/>
      </c>
      <c r="Q534" t="n">
        <v/>
      </c>
      <c r="R534" t="n">
        <v>73.65044</v>
      </c>
      <c r="S534" t="n">
        <v>75.21981</v>
      </c>
      <c r="T534" t="n">
        <v/>
      </c>
      <c r="U534" t="n">
        <v>69.02897</v>
      </c>
      <c r="V534" t="n">
        <v>69.13306</v>
      </c>
      <c r="W534" t="n">
        <v>47.65823</v>
      </c>
      <c r="X534" t="n">
        <v>17.10599</v>
      </c>
      <c r="Y534" t="n">
        <v/>
      </c>
      <c r="Z534" t="n">
        <v/>
      </c>
      <c r="AA534" t="n">
        <v>61.83537</v>
      </c>
      <c r="AB534" t="n">
        <v>38.49134</v>
      </c>
      <c r="AC534" t="n">
        <v>47.17395</v>
      </c>
      <c r="AD534" t="n">
        <v>61.13535</v>
      </c>
      <c r="AE534" t="n">
        <v>100.2832</v>
      </c>
      <c r="AF534" t="n">
        <v>53.93085</v>
      </c>
      <c r="AG534" t="n">
        <v/>
      </c>
      <c r="AH534" t="n">
        <v>66.66744</v>
      </c>
      <c r="AI534" t="n">
        <v/>
      </c>
      <c r="AJ534" t="n">
        <v>16.92649</v>
      </c>
      <c r="AK534" t="n">
        <v>64.21356</v>
      </c>
      <c r="AL534" t="n">
        <v>66.3309</v>
      </c>
      <c r="AM534" t="n">
        <v>53.37304</v>
      </c>
      <c r="AN534" t="n">
        <v>44.24714</v>
      </c>
      <c r="AO534" t="n">
        <v/>
      </c>
      <c r="AP534" t="n">
        <v>55.15023</v>
      </c>
      <c r="AQ534" t="n">
        <v/>
      </c>
      <c r="AR534" t="n">
        <v/>
      </c>
      <c r="AS534" t="n">
        <v/>
      </c>
      <c r="AT534" t="n">
        <v/>
      </c>
      <c r="AU534" t="n">
        <v>81.38697000000001</v>
      </c>
      <c r="AV534" t="n">
        <v/>
      </c>
      <c r="AW534" t="n">
        <v>62.62217</v>
      </c>
      <c r="AX534" t="n">
        <v/>
      </c>
    </row>
    <row r="535">
      <c r="A535" s="92" t="n">
        <v>34121</v>
      </c>
      <c r="B535" t="n">
        <v>67.53668</v>
      </c>
      <c r="C535" t="n">
        <v>68.46160999999999</v>
      </c>
      <c r="D535" t="n">
        <v/>
      </c>
      <c r="E535" t="n">
        <v>70.28149000000001</v>
      </c>
      <c r="F535" t="n">
        <v>88.91073</v>
      </c>
      <c r="G535" t="n">
        <v/>
      </c>
      <c r="H535" t="n">
        <v/>
      </c>
      <c r="I535" t="n">
        <v/>
      </c>
      <c r="J535" t="n">
        <v/>
      </c>
      <c r="K535" t="n">
        <v/>
      </c>
      <c r="L535" t="n">
        <v>74.06283000000001</v>
      </c>
      <c r="M535" t="n">
        <v>67.58396999999999</v>
      </c>
      <c r="N535" t="n">
        <v/>
      </c>
      <c r="O535" t="n">
        <v>61.11769</v>
      </c>
      <c r="P535" t="n">
        <v/>
      </c>
      <c r="Q535" t="n">
        <v/>
      </c>
      <c r="R535" t="n">
        <v>73.52378</v>
      </c>
      <c r="S535" t="n">
        <v>75.31358</v>
      </c>
      <c r="T535" t="n">
        <v/>
      </c>
      <c r="U535" t="n">
        <v>69.12273</v>
      </c>
      <c r="V535" t="n">
        <v>69.11269</v>
      </c>
      <c r="W535" t="n">
        <v>48.32827</v>
      </c>
      <c r="X535" t="n">
        <v>17.23765</v>
      </c>
      <c r="Y535" t="n">
        <v/>
      </c>
      <c r="Z535" t="n">
        <v/>
      </c>
      <c r="AA535" t="n">
        <v>61.83537</v>
      </c>
      <c r="AB535" t="n">
        <v>38.49134</v>
      </c>
      <c r="AC535" t="n">
        <v>47.37641</v>
      </c>
      <c r="AD535" t="n">
        <v>61.45029</v>
      </c>
      <c r="AE535" t="n">
        <v>100.4642</v>
      </c>
      <c r="AF535" t="n">
        <v>54.05145</v>
      </c>
      <c r="AG535" t="n">
        <v/>
      </c>
      <c r="AH535" t="n">
        <v>66.75682</v>
      </c>
      <c r="AI535" t="n">
        <v/>
      </c>
      <c r="AJ535" t="n">
        <v>17.02273</v>
      </c>
      <c r="AK535" t="n">
        <v>63.92972</v>
      </c>
      <c r="AL535" t="n">
        <v>66.44322</v>
      </c>
      <c r="AM535" t="n">
        <v>53.50201</v>
      </c>
      <c r="AN535" t="n">
        <v>44.43725</v>
      </c>
      <c r="AO535" t="n">
        <v/>
      </c>
      <c r="AP535" t="n">
        <v>55.4436</v>
      </c>
      <c r="AQ535" t="n">
        <v/>
      </c>
      <c r="AR535" t="n">
        <v/>
      </c>
      <c r="AS535" t="n">
        <v/>
      </c>
      <c r="AT535" t="n">
        <v/>
      </c>
      <c r="AU535" t="n">
        <v>81.18977</v>
      </c>
      <c r="AV535" t="n">
        <v/>
      </c>
      <c r="AW535" t="n">
        <v>62.66344</v>
      </c>
      <c r="AX535" t="n">
        <v/>
      </c>
    </row>
    <row r="536">
      <c r="A536" s="92" t="n">
        <v>34151</v>
      </c>
      <c r="B536" t="n">
        <v>68.43004999999999</v>
      </c>
      <c r="C536" t="n">
        <v>68.86217000000001</v>
      </c>
      <c r="D536" t="n">
        <v/>
      </c>
      <c r="E536" t="n">
        <v>70.52306</v>
      </c>
      <c r="F536" t="n">
        <v>88.97139</v>
      </c>
      <c r="G536" t="n">
        <v/>
      </c>
      <c r="H536" t="n">
        <v/>
      </c>
      <c r="I536" t="n">
        <v/>
      </c>
      <c r="J536" t="n">
        <v/>
      </c>
      <c r="K536" t="n">
        <v/>
      </c>
      <c r="L536" t="n">
        <v>74.6138</v>
      </c>
      <c r="M536" t="n">
        <v>67.37618000000001</v>
      </c>
      <c r="N536" t="n">
        <v/>
      </c>
      <c r="O536" t="n">
        <v>61.29884</v>
      </c>
      <c r="P536" t="n">
        <v/>
      </c>
      <c r="Q536" t="n">
        <v/>
      </c>
      <c r="R536" t="n">
        <v>73.26099000000001</v>
      </c>
      <c r="S536" t="n">
        <v>75.32716000000001</v>
      </c>
      <c r="T536" t="n">
        <v/>
      </c>
      <c r="U536" t="n">
        <v>69.22826000000001</v>
      </c>
      <c r="V536" t="n">
        <v>68.98291</v>
      </c>
      <c r="W536" t="n">
        <v>47.59227</v>
      </c>
      <c r="X536" t="n">
        <v>17.39095</v>
      </c>
      <c r="Y536" t="n">
        <v/>
      </c>
      <c r="Z536" t="n">
        <v/>
      </c>
      <c r="AA536" t="n">
        <v>62.29102</v>
      </c>
      <c r="AB536" t="n">
        <v>39.02997</v>
      </c>
      <c r="AC536" t="n">
        <v>47.47765</v>
      </c>
      <c r="AD536" t="n">
        <v>61.71538</v>
      </c>
      <c r="AE536" t="n">
        <v>100.23</v>
      </c>
      <c r="AF536" t="n">
        <v>54.11176</v>
      </c>
      <c r="AG536" t="n">
        <v/>
      </c>
      <c r="AH536" t="n">
        <v>67.03861000000001</v>
      </c>
      <c r="AI536" t="n">
        <v/>
      </c>
      <c r="AJ536" t="n">
        <v>17.10222</v>
      </c>
      <c r="AK536" t="n">
        <v>64.4757</v>
      </c>
      <c r="AL536" t="n">
        <v>66.21335999999999</v>
      </c>
      <c r="AM536" t="n">
        <v>53.65197</v>
      </c>
      <c r="AN536" t="n">
        <v>44.67885</v>
      </c>
      <c r="AO536" t="n">
        <v/>
      </c>
      <c r="AP536" t="n">
        <v>55.52345</v>
      </c>
      <c r="AQ536" t="n">
        <v/>
      </c>
      <c r="AR536" t="n">
        <v/>
      </c>
      <c r="AS536" t="n">
        <v/>
      </c>
      <c r="AT536" t="n">
        <v/>
      </c>
      <c r="AU536" t="n">
        <v>80.91795999999999</v>
      </c>
      <c r="AV536" t="n">
        <v/>
      </c>
      <c r="AW536" t="n">
        <v>62.74601</v>
      </c>
      <c r="AX536" t="n">
        <v/>
      </c>
    </row>
    <row r="537">
      <c r="A537" s="92" t="n">
        <v>34182</v>
      </c>
      <c r="B537" t="n">
        <v>68.72497</v>
      </c>
      <c r="C537" t="n">
        <v>69.03286</v>
      </c>
      <c r="D537" t="n">
        <v/>
      </c>
      <c r="E537" t="n">
        <v>70.74079999999999</v>
      </c>
      <c r="F537" t="n">
        <v>89.53667</v>
      </c>
      <c r="G537" t="n">
        <v/>
      </c>
      <c r="H537" t="n">
        <v/>
      </c>
      <c r="I537" t="n">
        <v/>
      </c>
      <c r="J537" t="n">
        <v/>
      </c>
      <c r="K537" t="n">
        <v/>
      </c>
      <c r="L537" t="n">
        <v>74.70589</v>
      </c>
      <c r="M537" t="n">
        <v>67.45824</v>
      </c>
      <c r="N537" t="n">
        <v/>
      </c>
      <c r="O537" t="n">
        <v>61.41584</v>
      </c>
      <c r="P537" t="n">
        <v/>
      </c>
      <c r="Q537" t="n">
        <v/>
      </c>
      <c r="R537" t="n">
        <v>73.17462999999999</v>
      </c>
      <c r="S537" t="n">
        <v>75.4512</v>
      </c>
      <c r="T537" t="n">
        <v/>
      </c>
      <c r="U537" t="n">
        <v>69.41972</v>
      </c>
      <c r="V537" t="n">
        <v>69.35995</v>
      </c>
      <c r="W537" t="n">
        <v>47.52958</v>
      </c>
      <c r="X537" t="n">
        <v>17.59336</v>
      </c>
      <c r="Y537" t="n">
        <v/>
      </c>
      <c r="Z537" t="n">
        <v/>
      </c>
      <c r="AA537" t="n">
        <v>62.29102</v>
      </c>
      <c r="AB537" t="n">
        <v>39.32001</v>
      </c>
      <c r="AC537" t="n">
        <v>47.78134</v>
      </c>
      <c r="AD537" t="n">
        <v>61.85409</v>
      </c>
      <c r="AE537" t="n">
        <v>100.1749</v>
      </c>
      <c r="AF537" t="n">
        <v>54.17205</v>
      </c>
      <c r="AG537" t="n">
        <v/>
      </c>
      <c r="AH537" t="n">
        <v>67.26363000000001</v>
      </c>
      <c r="AI537" t="n">
        <v/>
      </c>
      <c r="AJ537" t="n">
        <v>17.21365</v>
      </c>
      <c r="AK537" t="n">
        <v>64.91973</v>
      </c>
      <c r="AL537" t="n">
        <v>66.16477999999999</v>
      </c>
      <c r="AM537" t="n">
        <v>53.86734</v>
      </c>
      <c r="AN537" t="n">
        <v>44.92458</v>
      </c>
      <c r="AO537" t="n">
        <v/>
      </c>
      <c r="AP537" t="n">
        <v>55.838</v>
      </c>
      <c r="AQ537" t="n">
        <v/>
      </c>
      <c r="AR537" t="n">
        <v/>
      </c>
      <c r="AS537" t="n">
        <v/>
      </c>
      <c r="AT537" t="n">
        <v/>
      </c>
      <c r="AU537" t="n">
        <v>81.10657999999999</v>
      </c>
      <c r="AV537" t="n">
        <v/>
      </c>
      <c r="AW537" t="n">
        <v>62.99369</v>
      </c>
      <c r="AX537" t="n">
        <v/>
      </c>
    </row>
    <row r="538">
      <c r="A538" s="92" t="n">
        <v>34213</v>
      </c>
      <c r="B538" t="n">
        <v>68.03359</v>
      </c>
      <c r="C538" t="n">
        <v>68.89727000000001</v>
      </c>
      <c r="D538" t="n">
        <v/>
      </c>
      <c r="E538" t="n">
        <v>70.7784</v>
      </c>
      <c r="F538" t="n">
        <v>89.58919</v>
      </c>
      <c r="G538" t="n">
        <v/>
      </c>
      <c r="H538" t="n">
        <v/>
      </c>
      <c r="I538" t="n">
        <v/>
      </c>
      <c r="J538" t="n">
        <v/>
      </c>
      <c r="K538" t="n">
        <v/>
      </c>
      <c r="L538" t="n">
        <v>74.67195</v>
      </c>
      <c r="M538" t="n">
        <v>67.72145</v>
      </c>
      <c r="N538" t="n">
        <v/>
      </c>
      <c r="O538" t="n">
        <v>61.59411</v>
      </c>
      <c r="P538" t="n">
        <v/>
      </c>
      <c r="Q538" t="n">
        <v/>
      </c>
      <c r="R538" t="n">
        <v>73.38136</v>
      </c>
      <c r="S538" t="n">
        <v>75.67974</v>
      </c>
      <c r="T538" t="n">
        <v/>
      </c>
      <c r="U538" t="n">
        <v>69.57679</v>
      </c>
      <c r="V538" t="n">
        <v>69.75851</v>
      </c>
      <c r="W538" t="n">
        <v>48.94113</v>
      </c>
      <c r="X538" t="n">
        <v>18.09215</v>
      </c>
      <c r="Y538" t="n">
        <v/>
      </c>
      <c r="Z538" t="n">
        <v/>
      </c>
      <c r="AA538" t="n">
        <v>62.29102</v>
      </c>
      <c r="AB538" t="n">
        <v>39.44431</v>
      </c>
      <c r="AC538" t="n">
        <v>48.2875</v>
      </c>
      <c r="AD538" t="n">
        <v>62.00039</v>
      </c>
      <c r="AE538" t="n">
        <v>100.5656</v>
      </c>
      <c r="AF538" t="n">
        <v>54.17205</v>
      </c>
      <c r="AG538" t="n">
        <v/>
      </c>
      <c r="AH538" t="n">
        <v>67.38497</v>
      </c>
      <c r="AI538" t="n">
        <v/>
      </c>
      <c r="AJ538" t="n">
        <v>17.36792</v>
      </c>
      <c r="AK538" t="n">
        <v>65.46387</v>
      </c>
      <c r="AL538" t="n">
        <v>66.52518000000001</v>
      </c>
      <c r="AM538" t="n">
        <v>54.09889</v>
      </c>
      <c r="AN538" t="n">
        <v>45.23177</v>
      </c>
      <c r="AO538" t="n">
        <v/>
      </c>
      <c r="AP538" t="n">
        <v>55.97759</v>
      </c>
      <c r="AQ538" t="n">
        <v/>
      </c>
      <c r="AR538" t="n">
        <v/>
      </c>
      <c r="AS538" t="n">
        <v/>
      </c>
      <c r="AT538" t="n">
        <v/>
      </c>
      <c r="AU538" t="n">
        <v>82.1709</v>
      </c>
      <c r="AV538" t="n">
        <v/>
      </c>
      <c r="AW538" t="n">
        <v>63.11753</v>
      </c>
      <c r="AX538" t="n">
        <v/>
      </c>
    </row>
    <row r="539">
      <c r="A539" s="92" t="n">
        <v>34243</v>
      </c>
      <c r="B539" t="n">
        <v>68.0043</v>
      </c>
      <c r="C539" t="n">
        <v>68.98425</v>
      </c>
      <c r="D539" t="n">
        <v/>
      </c>
      <c r="E539" t="n">
        <v>71.01572</v>
      </c>
      <c r="F539" t="n">
        <v>89.65170000000001</v>
      </c>
      <c r="G539" t="n">
        <v/>
      </c>
      <c r="H539" t="n">
        <v/>
      </c>
      <c r="I539" t="n">
        <v/>
      </c>
      <c r="J539" t="n">
        <v/>
      </c>
      <c r="K539" t="n">
        <v/>
      </c>
      <c r="L539" t="n">
        <v>74.63585</v>
      </c>
      <c r="M539" t="n">
        <v>67.85484</v>
      </c>
      <c r="N539" t="n">
        <v/>
      </c>
      <c r="O539" t="n">
        <v>61.82914</v>
      </c>
      <c r="P539" t="n">
        <v/>
      </c>
      <c r="Q539" t="n">
        <v/>
      </c>
      <c r="R539" t="n">
        <v>73.46192000000001</v>
      </c>
      <c r="S539" t="n">
        <v>75.78225999999999</v>
      </c>
      <c r="T539" t="n">
        <v/>
      </c>
      <c r="U539" t="n">
        <v>69.77755000000001</v>
      </c>
      <c r="V539" t="n">
        <v>69.80054</v>
      </c>
      <c r="W539" t="n">
        <v>49.80399</v>
      </c>
      <c r="X539" t="n">
        <v>18.31032</v>
      </c>
      <c r="Y539" t="n">
        <v/>
      </c>
      <c r="Z539" t="n">
        <v/>
      </c>
      <c r="AA539" t="n">
        <v>62.60576</v>
      </c>
      <c r="AB539" t="n">
        <v>39.5686</v>
      </c>
      <c r="AC539" t="n">
        <v>49.09735</v>
      </c>
      <c r="AD539" t="n">
        <v>62.34441</v>
      </c>
      <c r="AE539" t="n">
        <v>100.8016</v>
      </c>
      <c r="AF539" t="n">
        <v>54.4122</v>
      </c>
      <c r="AG539" t="n">
        <v/>
      </c>
      <c r="AH539" t="n">
        <v>67.61994</v>
      </c>
      <c r="AI539" t="n">
        <v/>
      </c>
      <c r="AJ539" t="n">
        <v>17.47145</v>
      </c>
      <c r="AK539" t="n">
        <v>65.41661999999999</v>
      </c>
      <c r="AL539" t="n">
        <v>66.57655</v>
      </c>
      <c r="AM539" t="n">
        <v>54.36577</v>
      </c>
      <c r="AN539" t="n">
        <v>45.54131</v>
      </c>
      <c r="AO539" t="n">
        <v/>
      </c>
      <c r="AP539" t="n">
        <v>56.27715</v>
      </c>
      <c r="AQ539" t="n">
        <v/>
      </c>
      <c r="AR539" t="n">
        <v/>
      </c>
      <c r="AS539" t="n">
        <v/>
      </c>
      <c r="AT539" t="n">
        <v/>
      </c>
      <c r="AU539" t="n">
        <v>82.64995999999999</v>
      </c>
      <c r="AV539" t="n">
        <v/>
      </c>
      <c r="AW539" t="n">
        <v>63.36521</v>
      </c>
      <c r="AX539" t="n">
        <v/>
      </c>
    </row>
    <row r="540">
      <c r="A540" s="92" t="n">
        <v>34274</v>
      </c>
      <c r="B540" t="n">
        <v>68.22929999999999</v>
      </c>
      <c r="C540" t="n">
        <v>69.06844</v>
      </c>
      <c r="D540" t="n">
        <v/>
      </c>
      <c r="E540" t="n">
        <v>71.36279999999999</v>
      </c>
      <c r="F540" t="n">
        <v>89.50654</v>
      </c>
      <c r="G540" t="n">
        <v/>
      </c>
      <c r="H540" t="n">
        <v/>
      </c>
      <c r="I540" t="n">
        <v/>
      </c>
      <c r="J540" t="n">
        <v/>
      </c>
      <c r="K540" t="n">
        <v/>
      </c>
      <c r="L540" t="n">
        <v>74.73384</v>
      </c>
      <c r="M540" t="n">
        <v>68.06622</v>
      </c>
      <c r="N540" t="n">
        <v/>
      </c>
      <c r="O540" t="n">
        <v>61.94222</v>
      </c>
      <c r="P540" t="n">
        <v/>
      </c>
      <c r="Q540" t="n">
        <v/>
      </c>
      <c r="R540" t="n">
        <v>73.4619</v>
      </c>
      <c r="S540" t="n">
        <v>75.79039</v>
      </c>
      <c r="T540" t="n">
        <v/>
      </c>
      <c r="U540" t="n">
        <v>69.90356</v>
      </c>
      <c r="V540" t="n">
        <v>69.77070999999999</v>
      </c>
      <c r="W540" t="n">
        <v>50.0343</v>
      </c>
      <c r="X540" t="n">
        <v>18.43635</v>
      </c>
      <c r="Y540" t="n">
        <v/>
      </c>
      <c r="Z540" t="n">
        <v/>
      </c>
      <c r="AA540" t="n">
        <v>62.60576</v>
      </c>
      <c r="AB540" t="n">
        <v>39.5686</v>
      </c>
      <c r="AC540" t="n">
        <v>49.40105</v>
      </c>
      <c r="AD540" t="n">
        <v>62.57586</v>
      </c>
      <c r="AE540" t="n">
        <v>100.7515</v>
      </c>
      <c r="AF540" t="n">
        <v>54.4122</v>
      </c>
      <c r="AG540" t="n">
        <v/>
      </c>
      <c r="AH540" t="n">
        <v>67.80947</v>
      </c>
      <c r="AI540" t="n">
        <v/>
      </c>
      <c r="AJ540" t="n">
        <v>17.55542</v>
      </c>
      <c r="AK540" t="n">
        <v>65.43281</v>
      </c>
      <c r="AL540" t="n">
        <v>66.65697</v>
      </c>
      <c r="AM540" t="n">
        <v>54.55317</v>
      </c>
      <c r="AN540" t="n">
        <v>45.78872</v>
      </c>
      <c r="AO540" t="n">
        <v/>
      </c>
      <c r="AP540" t="n">
        <v>56.60309</v>
      </c>
      <c r="AQ540" t="n">
        <v/>
      </c>
      <c r="AR540" t="n">
        <v/>
      </c>
      <c r="AS540" t="n">
        <v/>
      </c>
      <c r="AT540" t="n">
        <v/>
      </c>
      <c r="AU540" t="n">
        <v>82.66195999999999</v>
      </c>
      <c r="AV540" t="n">
        <v/>
      </c>
      <c r="AW540" t="n">
        <v>63.53033</v>
      </c>
      <c r="AX540" t="n">
        <v/>
      </c>
    </row>
    <row r="541">
      <c r="A541" s="92" t="n">
        <v>34304</v>
      </c>
      <c r="B541" t="n">
        <v>68.38755</v>
      </c>
      <c r="C541" t="n">
        <v>69.15282999999999</v>
      </c>
      <c r="D541" t="n">
        <v/>
      </c>
      <c r="E541" t="n">
        <v>71.16964</v>
      </c>
      <c r="F541" t="n">
        <v>89.49787000000001</v>
      </c>
      <c r="G541" t="n">
        <v/>
      </c>
      <c r="H541" t="n">
        <v/>
      </c>
      <c r="I541" t="n">
        <v/>
      </c>
      <c r="J541" t="n">
        <v/>
      </c>
      <c r="K541" t="n">
        <v/>
      </c>
      <c r="L541" t="n">
        <v>74.98784999999999</v>
      </c>
      <c r="M541" t="n">
        <v>68.01736</v>
      </c>
      <c r="N541" t="n">
        <v/>
      </c>
      <c r="O541" t="n">
        <v>62.04427</v>
      </c>
      <c r="P541" t="n">
        <v/>
      </c>
      <c r="Q541" t="n">
        <v/>
      </c>
      <c r="R541" t="n">
        <v>73.55994</v>
      </c>
      <c r="S541" t="n">
        <v>75.82726</v>
      </c>
      <c r="T541" t="n">
        <v/>
      </c>
      <c r="U541" t="n">
        <v>69.91665</v>
      </c>
      <c r="V541" t="n">
        <v>69.80333</v>
      </c>
      <c r="W541" t="n">
        <v>50.71273</v>
      </c>
      <c r="X541" t="n">
        <v>18.67747</v>
      </c>
      <c r="Y541" t="n">
        <v/>
      </c>
      <c r="Z541" t="n">
        <v/>
      </c>
      <c r="AA541" t="n">
        <v>62.60576</v>
      </c>
      <c r="AB541" t="n">
        <v>39.48574</v>
      </c>
      <c r="AC541" t="n">
        <v>49.9072</v>
      </c>
      <c r="AD541" t="n">
        <v>62.67105</v>
      </c>
      <c r="AE541" t="n">
        <v>100.5435</v>
      </c>
      <c r="AF541" t="n">
        <v>54.53069</v>
      </c>
      <c r="AG541" t="n">
        <v/>
      </c>
      <c r="AH541" t="n">
        <v>67.87106</v>
      </c>
      <c r="AI541" t="n">
        <v/>
      </c>
      <c r="AJ541" t="n">
        <v>17.65613</v>
      </c>
      <c r="AK541" t="n">
        <v>65.08881</v>
      </c>
      <c r="AL541" t="n">
        <v>66.62401</v>
      </c>
      <c r="AM541" t="n">
        <v>54.63979</v>
      </c>
      <c r="AN541" t="n">
        <v>45.97068</v>
      </c>
      <c r="AO541" t="n">
        <v/>
      </c>
      <c r="AP541" t="n">
        <v>56.66813</v>
      </c>
      <c r="AQ541" t="n">
        <v/>
      </c>
      <c r="AR541" t="n">
        <v/>
      </c>
      <c r="AS541" t="n">
        <v/>
      </c>
      <c r="AT541" t="n">
        <v/>
      </c>
      <c r="AU541" t="n">
        <v>82.31938</v>
      </c>
      <c r="AV541" t="n">
        <v/>
      </c>
      <c r="AW541" t="n">
        <v>63.53033</v>
      </c>
      <c r="AX541" t="n">
        <v/>
      </c>
    </row>
    <row r="542">
      <c r="A542" s="92" t="n">
        <v>34335</v>
      </c>
      <c r="B542" t="n">
        <v>68.84819</v>
      </c>
      <c r="C542" t="n">
        <v>69.50870999999999</v>
      </c>
      <c r="D542" t="n">
        <v/>
      </c>
      <c r="E542" t="n">
        <v>71.17717</v>
      </c>
      <c r="F542" t="n">
        <v>90.18328</v>
      </c>
      <c r="G542" t="n">
        <v/>
      </c>
      <c r="H542" t="n">
        <v/>
      </c>
      <c r="I542" t="n">
        <v/>
      </c>
      <c r="J542" t="n">
        <v/>
      </c>
      <c r="K542" t="n">
        <v/>
      </c>
      <c r="L542" t="n">
        <v>75.18952</v>
      </c>
      <c r="M542" t="n">
        <v>67.92912</v>
      </c>
      <c r="N542" t="n">
        <v/>
      </c>
      <c r="O542" t="n">
        <v>62.51636</v>
      </c>
      <c r="P542" t="n">
        <v/>
      </c>
      <c r="Q542" t="n">
        <v/>
      </c>
      <c r="R542" t="n">
        <v>73.26705</v>
      </c>
      <c r="S542" t="n">
        <v>75.96987</v>
      </c>
      <c r="T542" t="n">
        <v/>
      </c>
      <c r="U542" t="n">
        <v>69.97389</v>
      </c>
      <c r="V542" t="n">
        <v>69.40425999999999</v>
      </c>
      <c r="W542" t="n">
        <v>50.42791</v>
      </c>
      <c r="X542" t="n">
        <v>19.32186</v>
      </c>
      <c r="Y542" t="n">
        <v/>
      </c>
      <c r="Z542" t="n">
        <v/>
      </c>
      <c r="AA542" t="n">
        <v>63.01856</v>
      </c>
      <c r="AB542" t="n">
        <v>39.5686</v>
      </c>
      <c r="AC542" t="n">
        <v>50.31213</v>
      </c>
      <c r="AD542" t="n">
        <v>62.89607</v>
      </c>
      <c r="AE542" t="n">
        <v>100.0024</v>
      </c>
      <c r="AF542" t="n">
        <v>55.12842</v>
      </c>
      <c r="AG542" t="n">
        <v/>
      </c>
      <c r="AH542" t="n">
        <v>68.04222</v>
      </c>
      <c r="AI542" t="n">
        <v/>
      </c>
      <c r="AJ542" t="n">
        <v>17.77173</v>
      </c>
      <c r="AK542" t="n">
        <v>65.26569000000001</v>
      </c>
      <c r="AL542" t="n">
        <v>66.45753000000001</v>
      </c>
      <c r="AM542" t="n">
        <v>54.80654</v>
      </c>
      <c r="AN542" t="n">
        <v>46.21098</v>
      </c>
      <c r="AO542" t="n">
        <v/>
      </c>
      <c r="AP542" t="n">
        <v>57.5152</v>
      </c>
      <c r="AQ542" t="n">
        <v/>
      </c>
      <c r="AR542" t="n">
        <v/>
      </c>
      <c r="AS542" t="n">
        <v/>
      </c>
      <c r="AT542" t="n">
        <v/>
      </c>
      <c r="AU542" t="n">
        <v>82.53971</v>
      </c>
      <c r="AV542" t="n">
        <v>0.3292296</v>
      </c>
      <c r="AW542" t="n">
        <v>63.69545</v>
      </c>
      <c r="AX542" t="n">
        <v/>
      </c>
    </row>
    <row r="543">
      <c r="A543" s="92" t="n">
        <v>34366</v>
      </c>
      <c r="B543" t="n">
        <v>69.37911</v>
      </c>
      <c r="C543" t="n">
        <v>69.81746</v>
      </c>
      <c r="D543" t="n">
        <v/>
      </c>
      <c r="E543" t="n">
        <v>70.46201000000001</v>
      </c>
      <c r="F543" t="n">
        <v>90.60496000000001</v>
      </c>
      <c r="G543" t="n">
        <v/>
      </c>
      <c r="H543" t="n">
        <v/>
      </c>
      <c r="I543" t="n">
        <v/>
      </c>
      <c r="J543" t="n">
        <v/>
      </c>
      <c r="K543" t="n">
        <v/>
      </c>
      <c r="L543" t="n">
        <v>75.79083</v>
      </c>
      <c r="M543" t="n">
        <v>68.21651</v>
      </c>
      <c r="N543" t="n">
        <v/>
      </c>
      <c r="O543" t="n">
        <v>62.73485</v>
      </c>
      <c r="P543" t="n">
        <v/>
      </c>
      <c r="Q543" t="n">
        <v/>
      </c>
      <c r="R543" t="n">
        <v>73.5732</v>
      </c>
      <c r="S543" t="n">
        <v>76.20332000000001</v>
      </c>
      <c r="T543" t="n">
        <v/>
      </c>
      <c r="U543" t="n">
        <v>70.22354</v>
      </c>
      <c r="V543" t="n">
        <v>69.85136</v>
      </c>
      <c r="W543" t="n">
        <v>50.2698</v>
      </c>
      <c r="X543" t="n">
        <v>19.59948</v>
      </c>
      <c r="Y543" t="n">
        <v/>
      </c>
      <c r="Z543" t="n">
        <v/>
      </c>
      <c r="AA543" t="n">
        <v>63.01856</v>
      </c>
      <c r="AB543" t="n">
        <v>39.52717</v>
      </c>
      <c r="AC543" t="n">
        <v>50.5146</v>
      </c>
      <c r="AD543" t="n">
        <v>63.20007</v>
      </c>
      <c r="AE543" t="n">
        <v>99.84473</v>
      </c>
      <c r="AF543" t="n">
        <v>55.66796</v>
      </c>
      <c r="AG543" t="n">
        <v/>
      </c>
      <c r="AH543" t="n">
        <v>68.25832</v>
      </c>
      <c r="AI543" t="n">
        <v/>
      </c>
      <c r="AJ543" t="n">
        <v>17.915</v>
      </c>
      <c r="AK543" t="n">
        <v>65.62582999999999</v>
      </c>
      <c r="AL543" t="n">
        <v>66.65877</v>
      </c>
      <c r="AM543" t="n">
        <v>55.07664</v>
      </c>
      <c r="AN543" t="n">
        <v>46.57939</v>
      </c>
      <c r="AO543" t="n">
        <v/>
      </c>
      <c r="AP543" t="n">
        <v>57.99427</v>
      </c>
      <c r="AQ543" t="n">
        <v/>
      </c>
      <c r="AR543" t="n">
        <v/>
      </c>
      <c r="AS543" t="n">
        <v/>
      </c>
      <c r="AT543" t="n">
        <v/>
      </c>
      <c r="AU543" t="n">
        <v>82.60661</v>
      </c>
      <c r="AV543" t="n">
        <v>0.3459868</v>
      </c>
      <c r="AW543" t="n">
        <v>63.98441</v>
      </c>
      <c r="AX543" t="n">
        <v/>
      </c>
    </row>
    <row r="544">
      <c r="A544" s="92" t="n">
        <v>34394</v>
      </c>
      <c r="B544" t="n">
        <v>69.58358</v>
      </c>
      <c r="C544" t="n">
        <v>69.97075</v>
      </c>
      <c r="D544" t="n">
        <v/>
      </c>
      <c r="E544" t="n">
        <v>70.55749</v>
      </c>
      <c r="F544" t="n">
        <v>90.67193</v>
      </c>
      <c r="G544" t="n">
        <v/>
      </c>
      <c r="H544" t="n">
        <v/>
      </c>
      <c r="I544" t="n">
        <v/>
      </c>
      <c r="J544" t="n">
        <v/>
      </c>
      <c r="K544" t="n">
        <v/>
      </c>
      <c r="L544" t="n">
        <v>75.90819999999999</v>
      </c>
      <c r="M544" t="n">
        <v>68.30876000000001</v>
      </c>
      <c r="N544" t="n">
        <v/>
      </c>
      <c r="O544" t="n">
        <v>63.0636</v>
      </c>
      <c r="P544" t="n">
        <v/>
      </c>
      <c r="Q544" t="n">
        <v/>
      </c>
      <c r="R544" t="n">
        <v>73.68008</v>
      </c>
      <c r="S544" t="n">
        <v>76.42847</v>
      </c>
      <c r="T544" t="n">
        <v/>
      </c>
      <c r="U544" t="n">
        <v>70.50909</v>
      </c>
      <c r="V544" t="n">
        <v>70.05727</v>
      </c>
      <c r="W544" t="n">
        <v>51.87847</v>
      </c>
      <c r="X544" t="n">
        <v>19.80873</v>
      </c>
      <c r="Y544" t="n">
        <v/>
      </c>
      <c r="Z544" t="n">
        <v/>
      </c>
      <c r="AA544" t="n">
        <v>63.01856</v>
      </c>
      <c r="AB544" t="n">
        <v>39.65147</v>
      </c>
      <c r="AC544" t="n">
        <v>51.02075</v>
      </c>
      <c r="AD544" t="n">
        <v>63.38224</v>
      </c>
      <c r="AE544" t="n">
        <v>100.3064</v>
      </c>
      <c r="AF544" t="n">
        <v>56.26569</v>
      </c>
      <c r="AG544" t="n">
        <v/>
      </c>
      <c r="AH544" t="n">
        <v>68.3228</v>
      </c>
      <c r="AI544" t="n">
        <v/>
      </c>
      <c r="AJ544" t="n">
        <v>18.02684</v>
      </c>
      <c r="AK544" t="n">
        <v>66.03259</v>
      </c>
      <c r="AL544" t="n">
        <v>66.96144</v>
      </c>
      <c r="AM544" t="n">
        <v>55.37952</v>
      </c>
      <c r="AN544" t="n">
        <v>46.8722</v>
      </c>
      <c r="AO544" t="n">
        <v/>
      </c>
      <c r="AP544" t="n">
        <v>58.31778</v>
      </c>
      <c r="AQ544" t="n">
        <v/>
      </c>
      <c r="AR544" t="n">
        <v/>
      </c>
      <c r="AS544" t="n">
        <v/>
      </c>
      <c r="AT544" t="n">
        <v/>
      </c>
      <c r="AU544" t="n">
        <v>83.05373</v>
      </c>
      <c r="AV544" t="n">
        <v>0.3627439</v>
      </c>
      <c r="AW544" t="n">
        <v>64.31465</v>
      </c>
      <c r="AX544" t="n">
        <v/>
      </c>
    </row>
    <row r="545">
      <c r="A545" s="92" t="n">
        <v>34425</v>
      </c>
      <c r="B545" t="n">
        <v>69.49905</v>
      </c>
      <c r="C545" t="n">
        <v>70.14466</v>
      </c>
      <c r="D545" t="n">
        <v/>
      </c>
      <c r="E545" t="n">
        <v>70.50353</v>
      </c>
      <c r="F545" t="n">
        <v>90.74453</v>
      </c>
      <c r="G545" t="n">
        <v/>
      </c>
      <c r="H545" t="n">
        <v/>
      </c>
      <c r="I545" t="n">
        <v/>
      </c>
      <c r="J545" t="n">
        <v/>
      </c>
      <c r="K545" t="n">
        <v/>
      </c>
      <c r="L545" t="n">
        <v>75.93989999999999</v>
      </c>
      <c r="M545" t="n">
        <v>68.50047000000001</v>
      </c>
      <c r="N545" t="n">
        <v/>
      </c>
      <c r="O545" t="n">
        <v>63.24318</v>
      </c>
      <c r="P545" t="n">
        <v/>
      </c>
      <c r="Q545" t="n">
        <v/>
      </c>
      <c r="R545" t="n">
        <v>73.69853999999999</v>
      </c>
      <c r="S545" t="n">
        <v>76.55376</v>
      </c>
      <c r="T545" t="n">
        <v/>
      </c>
      <c r="U545" t="n">
        <v>70.68073</v>
      </c>
      <c r="V545" t="n">
        <v>70.78317</v>
      </c>
      <c r="W545" t="n">
        <v>52.55584</v>
      </c>
      <c r="X545" t="n">
        <v>20.05821</v>
      </c>
      <c r="Y545" t="n">
        <v/>
      </c>
      <c r="Z545" t="n">
        <v/>
      </c>
      <c r="AA545" t="n">
        <v>63.31324</v>
      </c>
      <c r="AB545" t="n">
        <v>39.6929</v>
      </c>
      <c r="AC545" t="n">
        <v>52.1343</v>
      </c>
      <c r="AD545" t="n">
        <v>63.48557</v>
      </c>
      <c r="AE545" t="n">
        <v>101.1191</v>
      </c>
      <c r="AF545" t="n">
        <v>56.44553</v>
      </c>
      <c r="AG545" t="n">
        <v/>
      </c>
      <c r="AH545" t="n">
        <v>68.36236</v>
      </c>
      <c r="AI545" t="n">
        <v/>
      </c>
      <c r="AJ545" t="n">
        <v>18.12916</v>
      </c>
      <c r="AK545" t="n">
        <v>66.17912</v>
      </c>
      <c r="AL545" t="n">
        <v>67.12873999999999</v>
      </c>
      <c r="AM545" t="n">
        <v>55.79</v>
      </c>
      <c r="AN545" t="n">
        <v>47.58116</v>
      </c>
      <c r="AO545" t="n">
        <v/>
      </c>
      <c r="AP545" t="n">
        <v>58.56017</v>
      </c>
      <c r="AQ545" t="n">
        <v/>
      </c>
      <c r="AR545" t="n">
        <v/>
      </c>
      <c r="AS545" t="n">
        <v/>
      </c>
      <c r="AT545" t="n">
        <v/>
      </c>
      <c r="AU545" t="n">
        <v>83.34654999999999</v>
      </c>
      <c r="AV545" t="n">
        <v>0.432237</v>
      </c>
      <c r="AW545" t="n">
        <v>64.35593</v>
      </c>
      <c r="AX545" t="n">
        <v/>
      </c>
    </row>
    <row r="546">
      <c r="A546" s="92" t="n">
        <v>34455</v>
      </c>
      <c r="B546" t="n">
        <v>69.45926</v>
      </c>
      <c r="C546" t="n">
        <v>70.25105000000001</v>
      </c>
      <c r="D546" t="n">
        <v/>
      </c>
      <c r="E546" t="n">
        <v>70.24169000000001</v>
      </c>
      <c r="F546" t="n">
        <v>90.00385</v>
      </c>
      <c r="G546" t="n">
        <v/>
      </c>
      <c r="H546" t="n">
        <v/>
      </c>
      <c r="I546" t="n">
        <v/>
      </c>
      <c r="J546" t="n">
        <v/>
      </c>
      <c r="K546" t="n">
        <v/>
      </c>
      <c r="L546" t="n">
        <v>76.08253999999999</v>
      </c>
      <c r="M546" t="n">
        <v>68.84122000000001</v>
      </c>
      <c r="N546" t="n">
        <v/>
      </c>
      <c r="O546" t="n">
        <v>63.46918</v>
      </c>
      <c r="P546" t="n">
        <v/>
      </c>
      <c r="Q546" t="n">
        <v/>
      </c>
      <c r="R546" t="n">
        <v>73.66455000000001</v>
      </c>
      <c r="S546" t="n">
        <v>76.6221</v>
      </c>
      <c r="T546" t="n">
        <v/>
      </c>
      <c r="U546" t="n">
        <v>70.79886</v>
      </c>
      <c r="V546" t="n">
        <v>70.97411</v>
      </c>
      <c r="W546" t="n">
        <v>52.46161</v>
      </c>
      <c r="X546" t="n">
        <v>20.23078</v>
      </c>
      <c r="Y546" t="n">
        <v/>
      </c>
      <c r="Z546" t="n">
        <v/>
      </c>
      <c r="AA546" t="n">
        <v>63.31324</v>
      </c>
      <c r="AB546" t="n">
        <v>39.77577</v>
      </c>
      <c r="AC546" t="n">
        <v>52.94415</v>
      </c>
      <c r="AD546" t="n">
        <v>63.95021</v>
      </c>
      <c r="AE546" t="n">
        <v>101.4688</v>
      </c>
      <c r="AF546" t="n">
        <v>56.68568</v>
      </c>
      <c r="AG546" t="n">
        <v/>
      </c>
      <c r="AH546" t="n">
        <v>68.45968000000001</v>
      </c>
      <c r="AI546" t="n">
        <v/>
      </c>
      <c r="AJ546" t="n">
        <v>18.22121</v>
      </c>
      <c r="AK546" t="n">
        <v>66.16602</v>
      </c>
      <c r="AL546" t="n">
        <v>67.10814999999999</v>
      </c>
      <c r="AM546" t="n">
        <v>56.02504</v>
      </c>
      <c r="AN546" t="n">
        <v>47.99319</v>
      </c>
      <c r="AO546" t="n">
        <v/>
      </c>
      <c r="AP546" t="n">
        <v>58.70095</v>
      </c>
      <c r="AQ546" t="n">
        <v/>
      </c>
      <c r="AR546" t="n">
        <v/>
      </c>
      <c r="AS546" t="n">
        <v/>
      </c>
      <c r="AT546" t="n">
        <v/>
      </c>
      <c r="AU546" t="n">
        <v>83.45977000000001</v>
      </c>
      <c r="AV546" t="n">
        <v>0.4696943</v>
      </c>
      <c r="AW546" t="n">
        <v>64.39722</v>
      </c>
      <c r="AX546" t="n">
        <v/>
      </c>
    </row>
    <row r="547">
      <c r="A547" s="92" t="n">
        <v>34486</v>
      </c>
      <c r="B547" t="n">
        <v>69.70704000000001</v>
      </c>
      <c r="C547" t="n">
        <v>70.33933</v>
      </c>
      <c r="D547" t="n">
        <v/>
      </c>
      <c r="E547" t="n">
        <v>70.30667</v>
      </c>
      <c r="F547" t="n">
        <v>90.02097999999999</v>
      </c>
      <c r="G547" t="n">
        <v/>
      </c>
      <c r="H547" t="n">
        <v/>
      </c>
      <c r="I547" t="n">
        <v/>
      </c>
      <c r="J547" t="n">
        <v/>
      </c>
      <c r="K547" t="n">
        <v/>
      </c>
      <c r="L547" t="n">
        <v>76.16136</v>
      </c>
      <c r="M547" t="n">
        <v>68.89391000000001</v>
      </c>
      <c r="N547" t="n">
        <v/>
      </c>
      <c r="O547" t="n">
        <v>63.61578</v>
      </c>
      <c r="P547" t="n">
        <v/>
      </c>
      <c r="Q547" t="n">
        <v/>
      </c>
      <c r="R547" t="n">
        <v>74.65221</v>
      </c>
      <c r="S547" t="n">
        <v>76.64539000000001</v>
      </c>
      <c r="T547" t="n">
        <v/>
      </c>
      <c r="U547" t="n">
        <v>70.84898</v>
      </c>
      <c r="V547" t="n">
        <v>70.9603</v>
      </c>
      <c r="W547" t="n">
        <v>53.02034</v>
      </c>
      <c r="X547" t="n">
        <v>20.42058</v>
      </c>
      <c r="Y547" t="n">
        <v/>
      </c>
      <c r="Z547" t="n">
        <v/>
      </c>
      <c r="AA547" t="n">
        <v>63.31324</v>
      </c>
      <c r="AB547" t="n">
        <v>39.85863</v>
      </c>
      <c r="AC547" t="n">
        <v>53.75401</v>
      </c>
      <c r="AD547" t="n">
        <v>63.99215</v>
      </c>
      <c r="AE547" t="n">
        <v>101.3729</v>
      </c>
      <c r="AF547" t="n">
        <v>57.10356</v>
      </c>
      <c r="AG547" t="n">
        <v/>
      </c>
      <c r="AH547" t="n">
        <v>68.49605</v>
      </c>
      <c r="AI547" t="n">
        <v/>
      </c>
      <c r="AJ547" t="n">
        <v>18.30723</v>
      </c>
      <c r="AK547" t="n">
        <v>65.83047000000001</v>
      </c>
      <c r="AL547" t="n">
        <v>67.24767</v>
      </c>
      <c r="AM547" t="n">
        <v>56.15813</v>
      </c>
      <c r="AN547" t="n">
        <v>48.18877</v>
      </c>
      <c r="AO547" t="n">
        <v/>
      </c>
      <c r="AP547" t="n">
        <v>58.88272</v>
      </c>
      <c r="AQ547" t="n">
        <v/>
      </c>
      <c r="AR547" t="n">
        <v/>
      </c>
      <c r="AS547" t="n">
        <v/>
      </c>
      <c r="AT547" t="n">
        <v/>
      </c>
      <c r="AU547" t="n">
        <v>83.36897999999999</v>
      </c>
      <c r="AV547" t="n">
        <v>0.4884229</v>
      </c>
      <c r="AW547" t="n">
        <v>64.47977</v>
      </c>
      <c r="AX547" t="n">
        <v/>
      </c>
    </row>
    <row r="548">
      <c r="A548" s="92" t="n">
        <v>34516</v>
      </c>
      <c r="B548" t="n">
        <v>70.57478</v>
      </c>
      <c r="C548" t="n">
        <v>70.72995</v>
      </c>
      <c r="D548" t="n">
        <v/>
      </c>
      <c r="E548" t="n">
        <v>70.48180000000001</v>
      </c>
      <c r="F548" t="n">
        <v>90.03476999999999</v>
      </c>
      <c r="G548" t="n">
        <v/>
      </c>
      <c r="H548" t="n">
        <v/>
      </c>
      <c r="I548" t="n">
        <v/>
      </c>
      <c r="J548" t="n">
        <v/>
      </c>
      <c r="K548" t="n">
        <v/>
      </c>
      <c r="L548" t="n">
        <v>76.44526</v>
      </c>
      <c r="M548" t="n">
        <v>68.66437000000001</v>
      </c>
      <c r="N548" t="n">
        <v/>
      </c>
      <c r="O548" t="n">
        <v>63.72554</v>
      </c>
      <c r="P548" t="n">
        <v/>
      </c>
      <c r="Q548" t="n">
        <v/>
      </c>
      <c r="R548" t="n">
        <v>74.64932</v>
      </c>
      <c r="S548" t="n">
        <v>76.68544</v>
      </c>
      <c r="T548" t="n">
        <v/>
      </c>
      <c r="U548" t="n">
        <v>70.87251999999999</v>
      </c>
      <c r="V548" t="n">
        <v>70.60406</v>
      </c>
      <c r="W548" t="n">
        <v>52.51652</v>
      </c>
      <c r="X548" t="n">
        <v>20.63513</v>
      </c>
      <c r="Y548" t="n">
        <v/>
      </c>
      <c r="Z548" t="n">
        <v/>
      </c>
      <c r="AA548" t="n">
        <v>63.9002</v>
      </c>
      <c r="AB548" t="n">
        <v>39.90007</v>
      </c>
      <c r="AC548" t="n">
        <v>54.3614</v>
      </c>
      <c r="AD548" t="n">
        <v>64.161</v>
      </c>
      <c r="AE548" t="n">
        <v>100.8789</v>
      </c>
      <c r="AF548" t="n">
        <v>57.28447</v>
      </c>
      <c r="AG548" t="n">
        <v/>
      </c>
      <c r="AH548" t="n">
        <v>68.75883</v>
      </c>
      <c r="AI548" t="n">
        <v/>
      </c>
      <c r="AJ548" t="n">
        <v>18.36981</v>
      </c>
      <c r="AK548" t="n">
        <v>66.20001000000001</v>
      </c>
      <c r="AL548" t="n">
        <v>67.25471</v>
      </c>
      <c r="AM548" t="n">
        <v>56.28653</v>
      </c>
      <c r="AN548" t="n">
        <v>48.42381</v>
      </c>
      <c r="AO548" t="n">
        <v/>
      </c>
      <c r="AP548" t="n">
        <v>59.01529</v>
      </c>
      <c r="AQ548" t="n">
        <v/>
      </c>
      <c r="AR548" t="n">
        <v/>
      </c>
      <c r="AS548" t="n">
        <v/>
      </c>
      <c r="AT548" t="n">
        <v/>
      </c>
      <c r="AU548" t="n">
        <v>83.21925</v>
      </c>
      <c r="AV548" t="n">
        <v>0.5101087</v>
      </c>
      <c r="AW548" t="n">
        <v>64.56234000000001</v>
      </c>
      <c r="AX548" t="n">
        <v/>
      </c>
    </row>
    <row r="549">
      <c r="A549" s="92" t="n">
        <v>34547</v>
      </c>
      <c r="B549" t="n">
        <v>71.01655</v>
      </c>
      <c r="C549" t="n">
        <v>70.76594</v>
      </c>
      <c r="D549" t="n">
        <v/>
      </c>
      <c r="E549" t="n">
        <v>70.57658000000001</v>
      </c>
      <c r="F549" t="n">
        <v>90.53037</v>
      </c>
      <c r="G549" t="n">
        <v/>
      </c>
      <c r="H549" t="n">
        <v/>
      </c>
      <c r="I549" t="n">
        <v/>
      </c>
      <c r="J549" t="n">
        <v/>
      </c>
      <c r="K549" t="n">
        <v/>
      </c>
      <c r="L549" t="n">
        <v>76.67358</v>
      </c>
      <c r="M549" t="n">
        <v>68.86211</v>
      </c>
      <c r="N549" t="n">
        <v/>
      </c>
      <c r="O549" t="n">
        <v>64.03851</v>
      </c>
      <c r="P549" t="n">
        <v/>
      </c>
      <c r="Q549" t="n">
        <v/>
      </c>
      <c r="R549" t="n">
        <v>74.93094000000001</v>
      </c>
      <c r="S549" t="n">
        <v>76.75483</v>
      </c>
      <c r="T549" t="n">
        <v/>
      </c>
      <c r="U549" t="n">
        <v>71.07299999999999</v>
      </c>
      <c r="V549" t="n">
        <v>70.90522</v>
      </c>
      <c r="W549" t="n">
        <v>52.73008</v>
      </c>
      <c r="X549" t="n">
        <v>20.92297</v>
      </c>
      <c r="Y549" t="n">
        <v/>
      </c>
      <c r="Z549" t="n">
        <v/>
      </c>
      <c r="AA549" t="n">
        <v>63.9002</v>
      </c>
      <c r="AB549" t="n">
        <v>39.90007</v>
      </c>
      <c r="AC549" t="n">
        <v>54.66509</v>
      </c>
      <c r="AD549" t="n">
        <v>64.28283</v>
      </c>
      <c r="AE549" t="n">
        <v>100.9042</v>
      </c>
      <c r="AF549" t="n">
        <v>57.46326</v>
      </c>
      <c r="AG549" t="n">
        <v/>
      </c>
      <c r="AH549" t="n">
        <v>68.80522000000001</v>
      </c>
      <c r="AI549" t="n">
        <v/>
      </c>
      <c r="AJ549" t="n">
        <v>18.45284</v>
      </c>
      <c r="AK549" t="n">
        <v>66.56828</v>
      </c>
      <c r="AL549" t="n">
        <v>67.14894</v>
      </c>
      <c r="AM549" t="n">
        <v>56.52518</v>
      </c>
      <c r="AN549" t="n">
        <v>48.72403</v>
      </c>
      <c r="AO549" t="n">
        <v/>
      </c>
      <c r="AP549" t="n">
        <v>59.20488</v>
      </c>
      <c r="AQ549" t="n">
        <v/>
      </c>
      <c r="AR549" t="n">
        <v/>
      </c>
      <c r="AS549" t="n">
        <v/>
      </c>
      <c r="AT549" t="n">
        <v/>
      </c>
      <c r="AU549" t="n">
        <v>83.14139</v>
      </c>
      <c r="AV549" t="n">
        <v>0.5308087</v>
      </c>
      <c r="AW549" t="n">
        <v>64.81001999999999</v>
      </c>
      <c r="AX549" t="n">
        <v/>
      </c>
    </row>
    <row r="550">
      <c r="A550" s="92" t="n">
        <v>34578</v>
      </c>
      <c r="B550" t="n">
        <v>70.27306</v>
      </c>
      <c r="C550" t="n">
        <v>70.63273</v>
      </c>
      <c r="D550" t="n">
        <v/>
      </c>
      <c r="E550" t="n">
        <v>70.86855</v>
      </c>
      <c r="F550" t="n">
        <v>90.53686</v>
      </c>
      <c r="G550" t="n">
        <v/>
      </c>
      <c r="H550" t="n">
        <v/>
      </c>
      <c r="I550" t="n">
        <v/>
      </c>
      <c r="J550" t="n">
        <v/>
      </c>
      <c r="K550" t="n">
        <v/>
      </c>
      <c r="L550" t="n">
        <v>76.55428999999999</v>
      </c>
      <c r="M550" t="n">
        <v>68.98112999999999</v>
      </c>
      <c r="N550" t="n">
        <v/>
      </c>
      <c r="O550" t="n">
        <v>64.25660999999999</v>
      </c>
      <c r="P550" t="n">
        <v/>
      </c>
      <c r="Q550" t="n">
        <v/>
      </c>
      <c r="R550" t="n">
        <v>75.20596</v>
      </c>
      <c r="S550" t="n">
        <v>76.95976</v>
      </c>
      <c r="T550" t="n">
        <v/>
      </c>
      <c r="U550" t="n">
        <v>71.27685</v>
      </c>
      <c r="V550" t="n">
        <v>71.20613</v>
      </c>
      <c r="W550" t="n">
        <v>54.38685</v>
      </c>
      <c r="X550" t="n">
        <v>21.27779</v>
      </c>
      <c r="Y550" t="n">
        <v/>
      </c>
      <c r="Z550" t="n">
        <v/>
      </c>
      <c r="AA550" t="n">
        <v>63.9002</v>
      </c>
      <c r="AB550" t="n">
        <v>39.98294</v>
      </c>
      <c r="AC550" t="n">
        <v>55.17125</v>
      </c>
      <c r="AD550" t="n">
        <v>64.45065</v>
      </c>
      <c r="AE550" t="n">
        <v>101.3605</v>
      </c>
      <c r="AF550" t="n">
        <v>57.40295</v>
      </c>
      <c r="AG550" t="n">
        <v/>
      </c>
      <c r="AH550" t="n">
        <v>69.01881</v>
      </c>
      <c r="AI550" t="n">
        <v/>
      </c>
      <c r="AJ550" t="n">
        <v>18.58964</v>
      </c>
      <c r="AK550" t="n">
        <v>67.1782</v>
      </c>
      <c r="AL550" t="n">
        <v>67.65863</v>
      </c>
      <c r="AM550" t="n">
        <v>56.81815</v>
      </c>
      <c r="AN550" t="n">
        <v>49.10345</v>
      </c>
      <c r="AO550" t="n">
        <v/>
      </c>
      <c r="AP550" t="n">
        <v>59.38025</v>
      </c>
      <c r="AQ550" t="n">
        <v/>
      </c>
      <c r="AR550" t="n">
        <v/>
      </c>
      <c r="AS550" t="n">
        <v/>
      </c>
      <c r="AT550" t="n">
        <v/>
      </c>
      <c r="AU550" t="n">
        <v>84.21593</v>
      </c>
      <c r="AV550" t="n">
        <v>0.5628446</v>
      </c>
      <c r="AW550" t="n">
        <v>65.01642</v>
      </c>
      <c r="AX550" t="n">
        <v/>
      </c>
    </row>
    <row r="551">
      <c r="A551" s="92" t="n">
        <v>34608</v>
      </c>
      <c r="B551" t="n">
        <v>70.14475</v>
      </c>
      <c r="C551" t="n">
        <v>70.55929</v>
      </c>
      <c r="D551" t="n">
        <v/>
      </c>
      <c r="E551" t="n">
        <v>70.75747</v>
      </c>
      <c r="F551" t="n">
        <v>90.5363</v>
      </c>
      <c r="G551" t="n">
        <v/>
      </c>
      <c r="H551" t="n">
        <v/>
      </c>
      <c r="I551" t="n">
        <v/>
      </c>
      <c r="J551" t="n">
        <v/>
      </c>
      <c r="K551" t="n">
        <v/>
      </c>
      <c r="L551" t="n">
        <v>76.41347</v>
      </c>
      <c r="M551" t="n">
        <v>69.17874999999999</v>
      </c>
      <c r="N551" t="n">
        <v/>
      </c>
      <c r="O551" t="n">
        <v>64.54255999999999</v>
      </c>
      <c r="P551" t="n">
        <v/>
      </c>
      <c r="Q551" t="n">
        <v/>
      </c>
      <c r="R551" t="n">
        <v>75.42265999999999</v>
      </c>
      <c r="S551" t="n">
        <v>77.04102</v>
      </c>
      <c r="T551" t="n">
        <v/>
      </c>
      <c r="U551" t="n">
        <v>71.43606</v>
      </c>
      <c r="V551" t="n">
        <v>71.40307</v>
      </c>
      <c r="W551" t="n">
        <v>55.18079</v>
      </c>
      <c r="X551" t="n">
        <v>21.59181</v>
      </c>
      <c r="Y551" t="n">
        <v/>
      </c>
      <c r="Z551" t="n">
        <v/>
      </c>
      <c r="AA551" t="n">
        <v>64.12808</v>
      </c>
      <c r="AB551" t="n">
        <v>39.9415</v>
      </c>
      <c r="AC551" t="n">
        <v>55.77864</v>
      </c>
      <c r="AD551" t="n">
        <v>64.76174</v>
      </c>
      <c r="AE551" t="n">
        <v>101.5732</v>
      </c>
      <c r="AF551" t="n">
        <v>57.46326</v>
      </c>
      <c r="AG551" t="n">
        <v/>
      </c>
      <c r="AH551" t="n">
        <v>69.1078</v>
      </c>
      <c r="AI551" t="n">
        <v/>
      </c>
      <c r="AJ551" t="n">
        <v>18.67494</v>
      </c>
      <c r="AK551" t="n">
        <v>67.21732</v>
      </c>
      <c r="AL551" t="n">
        <v>67.75497</v>
      </c>
      <c r="AM551" t="n">
        <v>57.07896</v>
      </c>
      <c r="AN551" t="n">
        <v>49.44776</v>
      </c>
      <c r="AO551" t="n">
        <v/>
      </c>
      <c r="AP551" t="n">
        <v>59.80756</v>
      </c>
      <c r="AQ551" t="n">
        <v/>
      </c>
      <c r="AR551" t="n">
        <v/>
      </c>
      <c r="AS551" t="n">
        <v/>
      </c>
      <c r="AT551" t="n">
        <v/>
      </c>
      <c r="AU551" t="n">
        <v>84.55265</v>
      </c>
      <c r="AV551" t="n">
        <v>0.5943875</v>
      </c>
      <c r="AW551" t="n">
        <v>65.22282</v>
      </c>
      <c r="AX551" t="n">
        <v/>
      </c>
    </row>
    <row r="552">
      <c r="A552" s="92" t="n">
        <v>34639</v>
      </c>
      <c r="B552" t="n">
        <v>70.20274000000001</v>
      </c>
      <c r="C552" t="n">
        <v>70.70493</v>
      </c>
      <c r="D552" t="n">
        <v/>
      </c>
      <c r="E552" t="n">
        <v>71.13786</v>
      </c>
      <c r="F552" t="n">
        <v>90.65903</v>
      </c>
      <c r="G552" t="n">
        <v/>
      </c>
      <c r="H552" t="n">
        <v/>
      </c>
      <c r="I552" t="n">
        <v/>
      </c>
      <c r="J552" t="n">
        <v/>
      </c>
      <c r="K552" t="n">
        <v/>
      </c>
      <c r="L552" t="n">
        <v>76.5651</v>
      </c>
      <c r="M552" t="n">
        <v>69.37054000000001</v>
      </c>
      <c r="N552" t="n">
        <v/>
      </c>
      <c r="O552" t="n">
        <v>64.61264</v>
      </c>
      <c r="P552" t="n">
        <v/>
      </c>
      <c r="Q552" t="n">
        <v/>
      </c>
      <c r="R552" t="n">
        <v>75.38945</v>
      </c>
      <c r="S552" t="n">
        <v>77.16501</v>
      </c>
      <c r="T552" t="n">
        <v/>
      </c>
      <c r="U552" t="n">
        <v>71.54498</v>
      </c>
      <c r="V552" t="n">
        <v>71.47963</v>
      </c>
      <c r="W552" t="n">
        <v>55.43159</v>
      </c>
      <c r="X552" t="n">
        <v>21.93705</v>
      </c>
      <c r="Y552" t="n">
        <v/>
      </c>
      <c r="Z552" t="n">
        <v/>
      </c>
      <c r="AA552" t="n">
        <v>64.12808</v>
      </c>
      <c r="AB552" t="n">
        <v>40.02437</v>
      </c>
      <c r="AC552" t="n">
        <v>56.18357</v>
      </c>
      <c r="AD552" t="n">
        <v>65.02692</v>
      </c>
      <c r="AE552" t="n">
        <v>101.5665</v>
      </c>
      <c r="AF552" t="n">
        <v>57.64416</v>
      </c>
      <c r="AG552" t="n">
        <v/>
      </c>
      <c r="AH552" t="n">
        <v>69.33976</v>
      </c>
      <c r="AI552" t="n">
        <v/>
      </c>
      <c r="AJ552" t="n">
        <v>18.76673</v>
      </c>
      <c r="AK552" t="n">
        <v>67.07272</v>
      </c>
      <c r="AL552" t="n">
        <v>67.74741</v>
      </c>
      <c r="AM552" t="n">
        <v>57.28316</v>
      </c>
      <c r="AN552" t="n">
        <v>49.78151</v>
      </c>
      <c r="AO552" t="n">
        <v/>
      </c>
      <c r="AP552" t="n">
        <v>59.98613</v>
      </c>
      <c r="AQ552" t="n">
        <v/>
      </c>
      <c r="AR552" t="n">
        <v/>
      </c>
      <c r="AS552" t="n">
        <v/>
      </c>
      <c r="AT552" t="n">
        <v/>
      </c>
      <c r="AU552" t="n">
        <v>84.49507</v>
      </c>
      <c r="AV552" t="n">
        <v>0.6249447</v>
      </c>
      <c r="AW552" t="n">
        <v>65.30538</v>
      </c>
      <c r="AX552" t="n">
        <v/>
      </c>
    </row>
    <row r="553">
      <c r="A553" s="92" t="n">
        <v>34669</v>
      </c>
      <c r="B553" t="n">
        <v>70.25051000000001</v>
      </c>
      <c r="C553" t="n">
        <v>70.7273</v>
      </c>
      <c r="D553" t="n">
        <v/>
      </c>
      <c r="E553" t="n">
        <v>71.26012</v>
      </c>
      <c r="F553" t="n">
        <v>90.65176</v>
      </c>
      <c r="G553" t="n">
        <v/>
      </c>
      <c r="H553" t="n">
        <v/>
      </c>
      <c r="I553" t="n">
        <v/>
      </c>
      <c r="J553" t="n">
        <v/>
      </c>
      <c r="K553" t="n">
        <v/>
      </c>
      <c r="L553" t="n">
        <v>76.79331999999999</v>
      </c>
      <c r="M553" t="n">
        <v>69.42341999999999</v>
      </c>
      <c r="N553" t="n">
        <v/>
      </c>
      <c r="O553" t="n">
        <v>64.77012000000001</v>
      </c>
      <c r="P553" t="n">
        <v/>
      </c>
      <c r="Q553" t="n">
        <v/>
      </c>
      <c r="R553" t="n">
        <v>75.3857</v>
      </c>
      <c r="S553" t="n">
        <v>77.23878000000001</v>
      </c>
      <c r="T553" t="n">
        <v/>
      </c>
      <c r="U553" t="n">
        <v>71.53671</v>
      </c>
      <c r="V553" t="n">
        <v>71.70949</v>
      </c>
      <c r="W553" t="n">
        <v>56.05212</v>
      </c>
      <c r="X553" t="n">
        <v>22.25015</v>
      </c>
      <c r="Y553" t="n">
        <v/>
      </c>
      <c r="Z553" t="n">
        <v/>
      </c>
      <c r="AA553" t="n">
        <v>64.12808</v>
      </c>
      <c r="AB553" t="n">
        <v>40.10723</v>
      </c>
      <c r="AC553" t="n">
        <v>56.68972</v>
      </c>
      <c r="AD553" t="n">
        <v>65.13845000000001</v>
      </c>
      <c r="AE553" t="n">
        <v>101.5796</v>
      </c>
      <c r="AF553" t="n">
        <v>57.70446</v>
      </c>
      <c r="AG553" t="n">
        <v/>
      </c>
      <c r="AH553" t="n">
        <v>69.42204</v>
      </c>
      <c r="AI553" t="n">
        <v/>
      </c>
      <c r="AJ553" t="n">
        <v>18.91294</v>
      </c>
      <c r="AK553" t="n">
        <v>66.81316</v>
      </c>
      <c r="AL553" t="n">
        <v>67.83667</v>
      </c>
      <c r="AM553" t="n">
        <v>57.44638</v>
      </c>
      <c r="AN553" t="n">
        <v>50.17851</v>
      </c>
      <c r="AO553" t="n">
        <v/>
      </c>
      <c r="AP553" t="n">
        <v>60.0227</v>
      </c>
      <c r="AQ553" t="n">
        <v/>
      </c>
      <c r="AR553" t="n">
        <v/>
      </c>
      <c r="AS553" t="n">
        <v/>
      </c>
      <c r="AT553" t="n">
        <v/>
      </c>
      <c r="AU553" t="n">
        <v>84.39153</v>
      </c>
      <c r="AV553" t="n">
        <v>0.662402</v>
      </c>
      <c r="AW553" t="n">
        <v>65.18154</v>
      </c>
      <c r="AX553" t="n">
        <v/>
      </c>
    </row>
    <row r="554">
      <c r="A554" s="92" t="n">
        <v>34700</v>
      </c>
      <c r="B554" t="n">
        <v>70.74773</v>
      </c>
      <c r="C554" t="n">
        <v>70.93786</v>
      </c>
      <c r="D554" t="n">
        <v/>
      </c>
      <c r="E554" t="n">
        <v>71.36789</v>
      </c>
      <c r="F554" t="n">
        <v>90.99722</v>
      </c>
      <c r="G554" t="n">
        <v/>
      </c>
      <c r="H554" t="n">
        <v/>
      </c>
      <c r="I554" t="n">
        <v>22.92207</v>
      </c>
      <c r="J554" t="n">
        <v>17.17257</v>
      </c>
      <c r="K554" t="n">
        <v>64.40000000000001</v>
      </c>
      <c r="L554" t="n">
        <v>77.03201</v>
      </c>
      <c r="M554" t="n">
        <v>69.28303</v>
      </c>
      <c r="N554" t="n">
        <v/>
      </c>
      <c r="O554" t="n">
        <v>65.19620999999999</v>
      </c>
      <c r="P554" t="n">
        <v/>
      </c>
      <c r="Q554" t="n">
        <v/>
      </c>
      <c r="R554" t="n">
        <v>75.86021</v>
      </c>
      <c r="S554" t="n">
        <v>77.20932000000001</v>
      </c>
      <c r="T554" t="n">
        <v/>
      </c>
      <c r="U554" t="n">
        <v>71.70202999999999</v>
      </c>
      <c r="V554" t="n">
        <v>71.52573</v>
      </c>
      <c r="W554" t="n">
        <v>55.84968</v>
      </c>
      <c r="X554" t="n">
        <v>22.92106</v>
      </c>
      <c r="Y554" t="n">
        <v/>
      </c>
      <c r="Z554" t="n">
        <v/>
      </c>
      <c r="AA554" t="n">
        <v>64.47649</v>
      </c>
      <c r="AB554" t="n">
        <v>40.3144</v>
      </c>
      <c r="AC554" t="n">
        <v>57.09465</v>
      </c>
      <c r="AD554" t="n">
        <v>65.36368</v>
      </c>
      <c r="AE554" t="n">
        <v>101.0986</v>
      </c>
      <c r="AF554" t="n">
        <v>58.30113</v>
      </c>
      <c r="AG554" t="n">
        <v>47.2646</v>
      </c>
      <c r="AH554" t="n">
        <v>69.7453</v>
      </c>
      <c r="AI554" t="n">
        <v>35.46821</v>
      </c>
      <c r="AJ554" t="n">
        <v>19.55495</v>
      </c>
      <c r="AK554" t="n">
        <v>66.88088999999999</v>
      </c>
      <c r="AL554" t="n">
        <v>68.0162</v>
      </c>
      <c r="AM554" t="n">
        <v>57.76256</v>
      </c>
      <c r="AN554" t="n">
        <v>50.45362</v>
      </c>
      <c r="AO554" t="n">
        <v>35.66955</v>
      </c>
      <c r="AP554" t="n">
        <v>60.6588</v>
      </c>
      <c r="AQ554" t="n">
        <v/>
      </c>
      <c r="AR554" t="n">
        <v/>
      </c>
      <c r="AS554" t="n">
        <v>39.68627</v>
      </c>
      <c r="AT554" t="n">
        <v/>
      </c>
      <c r="AU554" t="n">
        <v>84.59455</v>
      </c>
      <c r="AV554" t="n">
        <v>0.7072521000000001</v>
      </c>
      <c r="AW554" t="n">
        <v>65.51178</v>
      </c>
      <c r="AX554" t="n">
        <v/>
      </c>
    </row>
    <row r="555">
      <c r="A555" s="92" t="n">
        <v>34731</v>
      </c>
      <c r="B555" t="n">
        <v>71.11452</v>
      </c>
      <c r="C555" t="n">
        <v>71.17426</v>
      </c>
      <c r="D555" t="n">
        <v/>
      </c>
      <c r="E555" t="n">
        <v>71.6862</v>
      </c>
      <c r="F555" t="n">
        <v>91.84811000000001</v>
      </c>
      <c r="G555" t="n">
        <v/>
      </c>
      <c r="H555" t="n">
        <v/>
      </c>
      <c r="I555" t="n">
        <v>23.35534</v>
      </c>
      <c r="J555" t="n">
        <v>17.43945</v>
      </c>
      <c r="K555" t="n">
        <v>64.90000000000001</v>
      </c>
      <c r="L555" t="n">
        <v>77.4199</v>
      </c>
      <c r="M555" t="n">
        <v>69.52551</v>
      </c>
      <c r="N555" t="n">
        <v/>
      </c>
      <c r="O555" t="n">
        <v>65.49842</v>
      </c>
      <c r="P555" t="n">
        <v/>
      </c>
      <c r="Q555" t="n">
        <v/>
      </c>
      <c r="R555" t="n">
        <v>76.16672</v>
      </c>
      <c r="S555" t="n">
        <v>77.48866</v>
      </c>
      <c r="T555" t="n">
        <v/>
      </c>
      <c r="U555" t="n">
        <v>72.02757</v>
      </c>
      <c r="V555" t="n">
        <v>72.03180999999999</v>
      </c>
      <c r="W555" t="n">
        <v>55.49464</v>
      </c>
      <c r="X555" t="n">
        <v>23.50607</v>
      </c>
      <c r="Y555" t="n">
        <v/>
      </c>
      <c r="Z555" t="n">
        <v/>
      </c>
      <c r="AA555" t="n">
        <v>64.47649</v>
      </c>
      <c r="AB555" t="n">
        <v>40.3144</v>
      </c>
      <c r="AC555" t="n">
        <v>57.39835</v>
      </c>
      <c r="AD555" t="n">
        <v>65.854</v>
      </c>
      <c r="AE555" t="n">
        <v>100.878</v>
      </c>
      <c r="AF555" t="n">
        <v>58.42068</v>
      </c>
      <c r="AG555" t="n">
        <v>48.2987</v>
      </c>
      <c r="AH555" t="n">
        <v>69.82561</v>
      </c>
      <c r="AI555" t="n">
        <v>36.20853</v>
      </c>
      <c r="AJ555" t="n">
        <v>20.35773</v>
      </c>
      <c r="AK555" t="n">
        <v>67.2653</v>
      </c>
      <c r="AL555" t="n">
        <v>68.19408</v>
      </c>
      <c r="AM555" t="n">
        <v>58.13831</v>
      </c>
      <c r="AN555" t="n">
        <v>50.80325</v>
      </c>
      <c r="AO555" t="n">
        <v>36.53556</v>
      </c>
      <c r="AP555" t="n">
        <v>61.06004</v>
      </c>
      <c r="AQ555" t="n">
        <v/>
      </c>
      <c r="AR555" t="n">
        <v/>
      </c>
      <c r="AS555" t="n">
        <v>40.03396</v>
      </c>
      <c r="AT555" t="n">
        <v/>
      </c>
      <c r="AU555" t="n">
        <v>84.86263</v>
      </c>
      <c r="AV555" t="n">
        <v>0.7294308</v>
      </c>
      <c r="AW555" t="n">
        <v>65.88330999999999</v>
      </c>
      <c r="AX555" t="n">
        <v/>
      </c>
    </row>
    <row r="556">
      <c r="A556" s="92" t="n">
        <v>34759</v>
      </c>
      <c r="B556" t="n">
        <v>71.38946</v>
      </c>
      <c r="C556" t="n">
        <v>71.19195999999999</v>
      </c>
      <c r="D556" t="n">
        <v/>
      </c>
      <c r="E556" t="n">
        <v>71.87479</v>
      </c>
      <c r="F556" t="n">
        <v>92.05309</v>
      </c>
      <c r="G556" t="n">
        <v/>
      </c>
      <c r="H556" t="n">
        <v/>
      </c>
      <c r="I556" t="n">
        <v>24.27091</v>
      </c>
      <c r="J556" t="n">
        <v>17.60001</v>
      </c>
      <c r="K556" t="n">
        <v>65.2</v>
      </c>
      <c r="L556" t="n">
        <v>77.46263</v>
      </c>
      <c r="M556" t="n">
        <v>69.81384</v>
      </c>
      <c r="N556" t="n">
        <v/>
      </c>
      <c r="O556" t="n">
        <v>65.83107</v>
      </c>
      <c r="P556" t="n">
        <v/>
      </c>
      <c r="Q556" t="n">
        <v/>
      </c>
      <c r="R556" t="n">
        <v>76.24335000000001</v>
      </c>
      <c r="S556" t="n">
        <v>77.76823</v>
      </c>
      <c r="T556" t="n">
        <v/>
      </c>
      <c r="U556" t="n">
        <v>72.31702</v>
      </c>
      <c r="V556" t="n">
        <v>72.28581</v>
      </c>
      <c r="W556" t="n">
        <v>57.33648</v>
      </c>
      <c r="X556" t="n">
        <v>24.46605</v>
      </c>
      <c r="Y556" t="n">
        <v/>
      </c>
      <c r="Z556" t="n">
        <v/>
      </c>
      <c r="AA556" t="n">
        <v>64.47649</v>
      </c>
      <c r="AB556" t="n">
        <v>40.27297</v>
      </c>
      <c r="AC556" t="n">
        <v>57.49958</v>
      </c>
      <c r="AD556" t="n">
        <v>66.34348</v>
      </c>
      <c r="AE556" t="n">
        <v>101.1048</v>
      </c>
      <c r="AF556" t="n">
        <v>59.02052</v>
      </c>
      <c r="AG556" t="n">
        <v>49.1895</v>
      </c>
      <c r="AH556" t="n">
        <v>69.87679</v>
      </c>
      <c r="AI556" t="n">
        <v>37.59303</v>
      </c>
      <c r="AJ556" t="n">
        <v>21.53804</v>
      </c>
      <c r="AK556" t="n">
        <v>67.63724999999999</v>
      </c>
      <c r="AL556" t="n">
        <v>68.68729</v>
      </c>
      <c r="AM556" t="n">
        <v>58.5805</v>
      </c>
      <c r="AN556" t="n">
        <v>51.15047</v>
      </c>
      <c r="AO556" t="n">
        <v>37.30144</v>
      </c>
      <c r="AP556" t="n">
        <v>61.32335</v>
      </c>
      <c r="AQ556" t="n">
        <v/>
      </c>
      <c r="AR556" t="n">
        <v/>
      </c>
      <c r="AS556" t="n">
        <v>40.38291</v>
      </c>
      <c r="AT556" t="n">
        <v/>
      </c>
      <c r="AU556" t="n">
        <v>85.16423</v>
      </c>
      <c r="AV556" t="n">
        <v>0.7614666</v>
      </c>
      <c r="AW556" t="n">
        <v>66.21355</v>
      </c>
      <c r="AX556" t="n">
        <v/>
      </c>
    </row>
    <row r="557">
      <c r="A557" s="92" t="n">
        <v>34790</v>
      </c>
      <c r="B557" t="n">
        <v>71.44485</v>
      </c>
      <c r="C557" t="n">
        <v>71.39264</v>
      </c>
      <c r="D557" t="n">
        <v/>
      </c>
      <c r="E557" t="n">
        <v>71.98322</v>
      </c>
      <c r="F557" t="n">
        <v>92.15188999999999</v>
      </c>
      <c r="G557" t="n">
        <v/>
      </c>
      <c r="H557" t="n">
        <v/>
      </c>
      <c r="I557" t="n">
        <v>24.81862</v>
      </c>
      <c r="J557" t="n">
        <v>17.77142</v>
      </c>
      <c r="K557" t="n">
        <v>66.09999999999999</v>
      </c>
      <c r="L557" t="n">
        <v>77.54349999999999</v>
      </c>
      <c r="M557" t="n">
        <v>69.95992</v>
      </c>
      <c r="N557" t="n">
        <v/>
      </c>
      <c r="O557" t="n">
        <v>66.2508</v>
      </c>
      <c r="P557" t="n">
        <v/>
      </c>
      <c r="Q557" t="n">
        <v/>
      </c>
      <c r="R557" t="n">
        <v>76.31997</v>
      </c>
      <c r="S557" t="n">
        <v>77.85451</v>
      </c>
      <c r="T557" t="n">
        <v/>
      </c>
      <c r="U557" t="n">
        <v>72.53155</v>
      </c>
      <c r="V557" t="n">
        <v>73.17140000000001</v>
      </c>
      <c r="W557" t="n">
        <v>57.87953</v>
      </c>
      <c r="X557" t="n">
        <v>25.13468</v>
      </c>
      <c r="Y557" t="n">
        <v/>
      </c>
      <c r="Z557" t="n">
        <v/>
      </c>
      <c r="AA557" t="n">
        <v>65.15282000000001</v>
      </c>
      <c r="AB557" t="n">
        <v>40.14867</v>
      </c>
      <c r="AC557" t="n">
        <v>58.00574</v>
      </c>
      <c r="AD557" t="n">
        <v>66.57684</v>
      </c>
      <c r="AE557" t="n">
        <v>101.5908</v>
      </c>
      <c r="AF557" t="n">
        <v>59.49765</v>
      </c>
      <c r="AG557" t="n">
        <v>50.4201</v>
      </c>
      <c r="AH557" t="n">
        <v>69.89472000000001</v>
      </c>
      <c r="AI557" t="n">
        <v>38.41988</v>
      </c>
      <c r="AJ557" t="n">
        <v>23.2144</v>
      </c>
      <c r="AK557" t="n">
        <v>67.78442</v>
      </c>
      <c r="AL557" t="n">
        <v>68.71237000000001</v>
      </c>
      <c r="AM557" t="n">
        <v>59.06691</v>
      </c>
      <c r="AN557" t="n">
        <v>51.55228</v>
      </c>
      <c r="AO557" t="n">
        <v>38.05984</v>
      </c>
      <c r="AP557" t="n">
        <v>61.65908</v>
      </c>
      <c r="AQ557" t="n">
        <v/>
      </c>
      <c r="AR557" t="n">
        <v/>
      </c>
      <c r="AS557" t="n">
        <v>40.73998</v>
      </c>
      <c r="AT557" t="n">
        <v/>
      </c>
      <c r="AU557" t="n">
        <v>85.69035</v>
      </c>
      <c r="AV557" t="n">
        <v>0.8102596</v>
      </c>
      <c r="AW557" t="n">
        <v>66.33739</v>
      </c>
      <c r="AX557" t="n">
        <v/>
      </c>
    </row>
    <row r="558">
      <c r="A558" s="92" t="n">
        <v>34820</v>
      </c>
      <c r="B558" t="n">
        <v>71.13857</v>
      </c>
      <c r="C558" t="n">
        <v>71.30506</v>
      </c>
      <c r="D558" t="n">
        <v/>
      </c>
      <c r="E558" t="n">
        <v>72.1525</v>
      </c>
      <c r="F558" t="n">
        <v>91.98475000000001</v>
      </c>
      <c r="G558" t="n">
        <v/>
      </c>
      <c r="H558" t="n">
        <v/>
      </c>
      <c r="I558" t="n">
        <v>25.27641</v>
      </c>
      <c r="J558" t="n">
        <v>17.97538</v>
      </c>
      <c r="K558" t="n">
        <v>66.5</v>
      </c>
      <c r="L558" t="n">
        <v>77.47057</v>
      </c>
      <c r="M558" t="n">
        <v>70.28745000000001</v>
      </c>
      <c r="N558" t="n">
        <v/>
      </c>
      <c r="O558" t="n">
        <v>66.46357999999999</v>
      </c>
      <c r="P558" t="n">
        <v/>
      </c>
      <c r="Q558" t="n">
        <v/>
      </c>
      <c r="R558" t="n">
        <v>76.47322</v>
      </c>
      <c r="S558" t="n">
        <v>77.89798999999999</v>
      </c>
      <c r="T558" t="n">
        <v/>
      </c>
      <c r="U558" t="n">
        <v>72.61064</v>
      </c>
      <c r="V558" t="n">
        <v>73.3395</v>
      </c>
      <c r="W558" t="n">
        <v>57.59845</v>
      </c>
      <c r="X558" t="n">
        <v>25.74943</v>
      </c>
      <c r="Y558" t="n">
        <v/>
      </c>
      <c r="Z558" t="n">
        <v/>
      </c>
      <c r="AA558" t="n">
        <v>65.15282000000001</v>
      </c>
      <c r="AB558" t="n">
        <v>40.14867</v>
      </c>
      <c r="AC558" t="n">
        <v>58.71436</v>
      </c>
      <c r="AD558" t="n">
        <v>66.95578</v>
      </c>
      <c r="AE558" t="n">
        <v>101.724</v>
      </c>
      <c r="AF558" t="n">
        <v>59.73779</v>
      </c>
      <c r="AG558" t="n">
        <v>51.9578</v>
      </c>
      <c r="AH558" t="n">
        <v>69.988</v>
      </c>
      <c r="AI558" t="n">
        <v>39.37173</v>
      </c>
      <c r="AJ558" t="n">
        <v>24.14485</v>
      </c>
      <c r="AK558" t="n">
        <v>67.64901</v>
      </c>
      <c r="AL558" t="n">
        <v>68.79604</v>
      </c>
      <c r="AM558" t="n">
        <v>59.30755</v>
      </c>
      <c r="AN558" t="n">
        <v>51.76306</v>
      </c>
      <c r="AO558" t="n">
        <v>38.83019</v>
      </c>
      <c r="AP558" t="n">
        <v>61.94107</v>
      </c>
      <c r="AQ558" t="n">
        <v/>
      </c>
      <c r="AR558" t="n">
        <v/>
      </c>
      <c r="AS558" t="n">
        <v>41.00591</v>
      </c>
      <c r="AT558" t="n">
        <v/>
      </c>
      <c r="AU558" t="n">
        <v>85.68365</v>
      </c>
      <c r="AV558" t="n">
        <v>0.8452526</v>
      </c>
      <c r="AW558" t="n">
        <v>66.37867</v>
      </c>
      <c r="AX558" t="n">
        <v/>
      </c>
    </row>
    <row r="559">
      <c r="A559" s="92" t="n">
        <v>34851</v>
      </c>
      <c r="B559" t="n">
        <v>71.41364</v>
      </c>
      <c r="C559" t="n">
        <v>71.53939</v>
      </c>
      <c r="D559" t="n">
        <v/>
      </c>
      <c r="E559" t="n">
        <v>72.13583</v>
      </c>
      <c r="F559" t="n">
        <v>92.00257000000001</v>
      </c>
      <c r="G559" t="n">
        <v/>
      </c>
      <c r="H559" t="n">
        <v/>
      </c>
      <c r="I559" t="n">
        <v>25.69332</v>
      </c>
      <c r="J559" t="n">
        <v>18.18476</v>
      </c>
      <c r="K559" t="n">
        <v>66.90000000000001</v>
      </c>
      <c r="L559" t="n">
        <v>77.57938</v>
      </c>
      <c r="M559" t="n">
        <v>70.26658999999999</v>
      </c>
      <c r="N559" t="n">
        <v/>
      </c>
      <c r="O559" t="n">
        <v>66.66476</v>
      </c>
      <c r="P559" t="n">
        <v/>
      </c>
      <c r="Q559" t="n">
        <v/>
      </c>
      <c r="R559" t="n">
        <v>76.93298</v>
      </c>
      <c r="S559" t="n">
        <v>77.94524</v>
      </c>
      <c r="T559" t="n">
        <v/>
      </c>
      <c r="U559" t="n">
        <v>72.69301</v>
      </c>
      <c r="V559" t="n">
        <v>73.55840000000001</v>
      </c>
      <c r="W559" t="n">
        <v>58.28913</v>
      </c>
      <c r="X559" t="n">
        <v>26.18491</v>
      </c>
      <c r="Y559" t="n">
        <v/>
      </c>
      <c r="Z559" t="n">
        <v/>
      </c>
      <c r="AA559" t="n">
        <v>65.15282000000001</v>
      </c>
      <c r="AB559" t="n">
        <v>40.27297</v>
      </c>
      <c r="AC559" t="n">
        <v>59.01805</v>
      </c>
      <c r="AD559" t="n">
        <v>67.40201</v>
      </c>
      <c r="AE559" t="n">
        <v>101.6805</v>
      </c>
      <c r="AF559" t="n">
        <v>59.7981</v>
      </c>
      <c r="AG559" t="n">
        <v>52.6689</v>
      </c>
      <c r="AH559" t="n">
        <v>70.04729</v>
      </c>
      <c r="AI559" t="n">
        <v>39.78516</v>
      </c>
      <c r="AJ559" t="n">
        <v>24.82327</v>
      </c>
      <c r="AK559" t="n">
        <v>67.46574</v>
      </c>
      <c r="AL559" t="n">
        <v>68.97960999999999</v>
      </c>
      <c r="AM559" t="n">
        <v>59.51578</v>
      </c>
      <c r="AN559" t="n">
        <v>52.01703</v>
      </c>
      <c r="AO559" t="n">
        <v>39.36586</v>
      </c>
      <c r="AP559" t="n">
        <v>62.22195</v>
      </c>
      <c r="AQ559" t="n">
        <v/>
      </c>
      <c r="AR559" t="n">
        <v/>
      </c>
      <c r="AS559" t="n">
        <v>41.36789</v>
      </c>
      <c r="AT559" t="n">
        <v/>
      </c>
      <c r="AU559" t="n">
        <v>85.62667999999999</v>
      </c>
      <c r="AV559" t="n">
        <v>0.8743312</v>
      </c>
      <c r="AW559" t="n">
        <v>66.41994</v>
      </c>
      <c r="AX559" t="n">
        <v/>
      </c>
    </row>
    <row r="560">
      <c r="A560" s="92" t="n">
        <v>34881</v>
      </c>
      <c r="B560" t="n">
        <v>72.09922</v>
      </c>
      <c r="C560" t="n">
        <v>71.97667</v>
      </c>
      <c r="D560" t="n">
        <v/>
      </c>
      <c r="E560" t="n">
        <v>72.40192</v>
      </c>
      <c r="F560" t="n">
        <v>92.02824</v>
      </c>
      <c r="G560" t="n">
        <v/>
      </c>
      <c r="H560" t="n">
        <v/>
      </c>
      <c r="I560" t="n">
        <v>26.08571</v>
      </c>
      <c r="J560" t="n">
        <v>18.41042</v>
      </c>
      <c r="K560" t="n">
        <v>67.40000000000001</v>
      </c>
      <c r="L560" t="n">
        <v>78.00239000000001</v>
      </c>
      <c r="M560" t="n">
        <v>69.83553000000001</v>
      </c>
      <c r="N560" t="n">
        <v/>
      </c>
      <c r="O560" t="n">
        <v>66.82373</v>
      </c>
      <c r="P560" t="n">
        <v/>
      </c>
      <c r="Q560" t="n">
        <v/>
      </c>
      <c r="R560" t="n">
        <v>76.85635000000001</v>
      </c>
      <c r="S560" t="n">
        <v>77.88728</v>
      </c>
      <c r="T560" t="n">
        <v/>
      </c>
      <c r="U560" t="n">
        <v>72.74232000000001</v>
      </c>
      <c r="V560" t="n">
        <v>73.21014</v>
      </c>
      <c r="W560" t="n">
        <v>57.45395</v>
      </c>
      <c r="X560" t="n">
        <v>26.60739</v>
      </c>
      <c r="Y560" t="n">
        <v/>
      </c>
      <c r="Z560" t="n">
        <v/>
      </c>
      <c r="AA560" t="n">
        <v>65.62130999999999</v>
      </c>
      <c r="AB560" t="n">
        <v>40.3144</v>
      </c>
      <c r="AC560" t="n">
        <v>59.22052</v>
      </c>
      <c r="AD560" t="n">
        <v>67.54527</v>
      </c>
      <c r="AE560" t="n">
        <v>101.3489</v>
      </c>
      <c r="AF560" t="n">
        <v>60.09749</v>
      </c>
      <c r="AG560" t="n">
        <v>53.6494</v>
      </c>
      <c r="AH560" t="n">
        <v>70.05723999999999</v>
      </c>
      <c r="AI560" t="n">
        <v>40.64085</v>
      </c>
      <c r="AJ560" t="n">
        <v>25.26206</v>
      </c>
      <c r="AK560" t="n">
        <v>67.70195</v>
      </c>
      <c r="AL560" t="n">
        <v>68.85382</v>
      </c>
      <c r="AM560" t="n">
        <v>59.68171</v>
      </c>
      <c r="AN560" t="n">
        <v>52.19554</v>
      </c>
      <c r="AO560" t="n">
        <v>39.94819</v>
      </c>
      <c r="AP560" t="n">
        <v>62.39085</v>
      </c>
      <c r="AQ560" t="n">
        <v/>
      </c>
      <c r="AR560" t="n">
        <v/>
      </c>
      <c r="AS560" t="n">
        <v>41.78886</v>
      </c>
      <c r="AT560" t="n">
        <v/>
      </c>
      <c r="AU560" t="n">
        <v>85.64008</v>
      </c>
      <c r="AV560" t="n">
        <v>0.9024242</v>
      </c>
      <c r="AW560" t="n">
        <v>66.50251</v>
      </c>
      <c r="AX560" t="n">
        <v/>
      </c>
    </row>
    <row r="561">
      <c r="A561" s="92" t="n">
        <v>34912</v>
      </c>
      <c r="B561" t="n">
        <v>72.64999</v>
      </c>
      <c r="C561" t="n">
        <v>72.04208</v>
      </c>
      <c r="D561" t="n">
        <v/>
      </c>
      <c r="E561" t="n">
        <v>72.43635</v>
      </c>
      <c r="F561" t="n">
        <v>92.58042</v>
      </c>
      <c r="G561" t="n">
        <v/>
      </c>
      <c r="H561" t="n">
        <v/>
      </c>
      <c r="I561" t="n">
        <v>26.4127</v>
      </c>
      <c r="J561" t="n">
        <v>18.71527</v>
      </c>
      <c r="K561" t="n">
        <v>67.59999999999999</v>
      </c>
      <c r="L561" t="n">
        <v>78.13947</v>
      </c>
      <c r="M561" t="n">
        <v>69.94709</v>
      </c>
      <c r="N561" t="n">
        <v/>
      </c>
      <c r="O561" t="n">
        <v>66.90303</v>
      </c>
      <c r="P561" t="n">
        <v/>
      </c>
      <c r="Q561" t="n">
        <v/>
      </c>
      <c r="R561" t="n">
        <v>76.85635000000001</v>
      </c>
      <c r="S561" t="n">
        <v>78.40797000000001</v>
      </c>
      <c r="T561" t="n">
        <v/>
      </c>
      <c r="U561" t="n">
        <v>72.93198</v>
      </c>
      <c r="V561" t="n">
        <v>73.48042</v>
      </c>
      <c r="W561" t="n">
        <v>57.64508</v>
      </c>
      <c r="X561" t="n">
        <v>26.88898</v>
      </c>
      <c r="Y561" t="n">
        <v/>
      </c>
      <c r="Z561" t="n">
        <v/>
      </c>
      <c r="AA561" t="n">
        <v>65.62130999999999</v>
      </c>
      <c r="AB561" t="n">
        <v>40.4387</v>
      </c>
      <c r="AC561" t="n">
        <v>59.92914</v>
      </c>
      <c r="AD561" t="n">
        <v>67.81037000000001</v>
      </c>
      <c r="AE561" t="n">
        <v>101.2338</v>
      </c>
      <c r="AF561" t="n">
        <v>60.39582</v>
      </c>
      <c r="AG561" t="n">
        <v>54.759</v>
      </c>
      <c r="AH561" t="n">
        <v>70.07597</v>
      </c>
      <c r="AI561" t="n">
        <v>41.31388</v>
      </c>
      <c r="AJ561" t="n">
        <v>25.6956</v>
      </c>
      <c r="AK561" t="n">
        <v>67.96727</v>
      </c>
      <c r="AL561" t="n">
        <v>68.79594</v>
      </c>
      <c r="AM561" t="n">
        <v>59.95591</v>
      </c>
      <c r="AN561" t="n">
        <v>52.52542</v>
      </c>
      <c r="AO561" t="n">
        <v>40.50564</v>
      </c>
      <c r="AP561" t="n">
        <v>62.41392</v>
      </c>
      <c r="AQ561" t="n">
        <v/>
      </c>
      <c r="AR561" t="n">
        <v/>
      </c>
      <c r="AS561" t="n">
        <v>41.82317</v>
      </c>
      <c r="AT561" t="n">
        <v/>
      </c>
      <c r="AU561" t="n">
        <v>85.57977</v>
      </c>
      <c r="AV561" t="n">
        <v>0.9453028</v>
      </c>
      <c r="AW561" t="n">
        <v>66.70891</v>
      </c>
      <c r="AX561" t="n">
        <v/>
      </c>
    </row>
    <row r="562">
      <c r="A562" s="92" t="n">
        <v>34943</v>
      </c>
      <c r="B562" t="n">
        <v>71.6614</v>
      </c>
      <c r="C562" t="n">
        <v>71.84864</v>
      </c>
      <c r="D562" t="n">
        <v/>
      </c>
      <c r="E562" t="n">
        <v>72.57201000000001</v>
      </c>
      <c r="F562" t="n">
        <v>92.60493</v>
      </c>
      <c r="G562" t="n">
        <v/>
      </c>
      <c r="H562" t="n">
        <v/>
      </c>
      <c r="I562" t="n">
        <v>26.707</v>
      </c>
      <c r="J562" t="n">
        <v>19.1221</v>
      </c>
      <c r="K562" t="n">
        <v>68</v>
      </c>
      <c r="L562" t="n">
        <v>78.1461</v>
      </c>
      <c r="M562" t="n">
        <v>70.38955</v>
      </c>
      <c r="N562" t="n">
        <v/>
      </c>
      <c r="O562" t="n">
        <v>67.11812</v>
      </c>
      <c r="P562" t="n">
        <v/>
      </c>
      <c r="Q562" t="n">
        <v/>
      </c>
      <c r="R562" t="n">
        <v>77.00961</v>
      </c>
      <c r="S562" t="n">
        <v>78.75005</v>
      </c>
      <c r="T562" t="n">
        <v/>
      </c>
      <c r="U562" t="n">
        <v>73.1888</v>
      </c>
      <c r="V562" t="n">
        <v>73.9144</v>
      </c>
      <c r="W562" t="n">
        <v>59.20618</v>
      </c>
      <c r="X562" t="n">
        <v>27.39466</v>
      </c>
      <c r="Y562" t="n">
        <v/>
      </c>
      <c r="Z562" t="n">
        <v/>
      </c>
      <c r="AA562" t="n">
        <v>65.62130999999999</v>
      </c>
      <c r="AB562" t="n">
        <v>40.48013</v>
      </c>
      <c r="AC562" t="n">
        <v>60.33406</v>
      </c>
      <c r="AD562" t="n">
        <v>67.96368</v>
      </c>
      <c r="AE562" t="n">
        <v>101.9734</v>
      </c>
      <c r="AF562" t="n">
        <v>60.57567</v>
      </c>
      <c r="AG562" t="n">
        <v>55.705</v>
      </c>
      <c r="AH562" t="n">
        <v>70.20547000000001</v>
      </c>
      <c r="AI562" t="n">
        <v>42.71761</v>
      </c>
      <c r="AJ562" t="n">
        <v>26.24327</v>
      </c>
      <c r="AK562" t="n">
        <v>68.63248</v>
      </c>
      <c r="AL562" t="n">
        <v>69.3138</v>
      </c>
      <c r="AM562" t="n">
        <v>60.35779</v>
      </c>
      <c r="AN562" t="n">
        <v>53.00331</v>
      </c>
      <c r="AO562" t="n">
        <v>41.58431</v>
      </c>
      <c r="AP562" t="n">
        <v>62.61631</v>
      </c>
      <c r="AQ562" t="n">
        <v/>
      </c>
      <c r="AR562" t="n">
        <v/>
      </c>
      <c r="AS562" t="n">
        <v>41.77005</v>
      </c>
      <c r="AT562" t="n">
        <v/>
      </c>
      <c r="AU562" t="n">
        <v>86.32035</v>
      </c>
      <c r="AV562" t="n">
        <v>1.024653</v>
      </c>
      <c r="AW562" t="n">
        <v>66.91531000000001</v>
      </c>
      <c r="AX562" t="n">
        <v/>
      </c>
    </row>
    <row r="563">
      <c r="A563" s="92" t="n">
        <v>34973</v>
      </c>
      <c r="B563" t="n">
        <v>71.43418</v>
      </c>
      <c r="C563" t="n">
        <v>71.80905</v>
      </c>
      <c r="D563" t="n">
        <v/>
      </c>
      <c r="E563" t="n">
        <v>72.54328</v>
      </c>
      <c r="F563" t="n">
        <v>92.59224</v>
      </c>
      <c r="G563" t="n">
        <v/>
      </c>
      <c r="H563" t="n">
        <v/>
      </c>
      <c r="I563" t="n">
        <v>27.00129</v>
      </c>
      <c r="J563" t="n">
        <v>19.62006</v>
      </c>
      <c r="K563" t="n">
        <v>68.40000000000001</v>
      </c>
      <c r="L563" t="n">
        <v>77.96908000000001</v>
      </c>
      <c r="M563" t="n">
        <v>70.49253</v>
      </c>
      <c r="N563" t="n">
        <v/>
      </c>
      <c r="O563" t="n">
        <v>67.3729</v>
      </c>
      <c r="P563" t="n">
        <v/>
      </c>
      <c r="Q563" t="n">
        <v/>
      </c>
      <c r="R563" t="n">
        <v>77.00961</v>
      </c>
      <c r="S563" t="n">
        <v>78.8528</v>
      </c>
      <c r="T563" t="n">
        <v/>
      </c>
      <c r="U563" t="n">
        <v>73.32848</v>
      </c>
      <c r="V563" t="n">
        <v>73.61008</v>
      </c>
      <c r="W563" t="n">
        <v>60.06607</v>
      </c>
      <c r="X563" t="n">
        <v>27.97631</v>
      </c>
      <c r="Y563" t="n">
        <v/>
      </c>
      <c r="Z563" t="n">
        <v/>
      </c>
      <c r="AA563" t="n">
        <v>65.69945</v>
      </c>
      <c r="AB563" t="n">
        <v>40.6873</v>
      </c>
      <c r="AC563" t="n">
        <v>60.94146</v>
      </c>
      <c r="AD563" t="n">
        <v>68.24511</v>
      </c>
      <c r="AE563" t="n">
        <v>101.9007</v>
      </c>
      <c r="AF563" t="n">
        <v>60.63597</v>
      </c>
      <c r="AG563" t="n">
        <v>56.6088</v>
      </c>
      <c r="AH563" t="n">
        <v>70.25494</v>
      </c>
      <c r="AI563" t="n">
        <v>43.48677</v>
      </c>
      <c r="AJ563" t="n">
        <v>26.6815</v>
      </c>
      <c r="AK563" t="n">
        <v>68.60647</v>
      </c>
      <c r="AL563" t="n">
        <v>69.36875999999999</v>
      </c>
      <c r="AM563" t="n">
        <v>60.6495</v>
      </c>
      <c r="AN563" t="n">
        <v>53.2986</v>
      </c>
      <c r="AO563" t="n">
        <v>42.20481</v>
      </c>
      <c r="AP563" t="n">
        <v>62.86375</v>
      </c>
      <c r="AQ563" t="n">
        <v/>
      </c>
      <c r="AR563" t="n">
        <v/>
      </c>
      <c r="AS563" t="n">
        <v>41.97602</v>
      </c>
      <c r="AT563" t="n">
        <v/>
      </c>
      <c r="AU563" t="n">
        <v>86.78279999999999</v>
      </c>
      <c r="AV563" t="n">
        <v>1.090696</v>
      </c>
      <c r="AW563" t="n">
        <v>67.20428</v>
      </c>
      <c r="AX563" t="n">
        <v/>
      </c>
    </row>
    <row r="564">
      <c r="A564" s="92" t="n">
        <v>35004</v>
      </c>
      <c r="B564" t="n">
        <v>71.49318</v>
      </c>
      <c r="C564" t="n">
        <v>71.96305</v>
      </c>
      <c r="D564" t="n">
        <v/>
      </c>
      <c r="E564" t="n">
        <v>72.87473</v>
      </c>
      <c r="F564" t="n">
        <v>92.65340999999999</v>
      </c>
      <c r="G564" t="n">
        <v/>
      </c>
      <c r="H564" t="n">
        <v/>
      </c>
      <c r="I564" t="n">
        <v>27.30375</v>
      </c>
      <c r="J564" t="n">
        <v>19.8251</v>
      </c>
      <c r="K564" t="n">
        <v>68.90000000000001</v>
      </c>
      <c r="L564" t="n">
        <v>77.95847000000001</v>
      </c>
      <c r="M564" t="n">
        <v>70.64677</v>
      </c>
      <c r="N564" t="n">
        <v/>
      </c>
      <c r="O564" t="n">
        <v>67.43385000000001</v>
      </c>
      <c r="P564" t="n">
        <v/>
      </c>
      <c r="Q564" t="n">
        <v/>
      </c>
      <c r="R564" t="n">
        <v>76.85635000000001</v>
      </c>
      <c r="S564" t="n">
        <v>78.85518999999999</v>
      </c>
      <c r="T564" t="n">
        <v/>
      </c>
      <c r="U564" t="n">
        <v>73.43113</v>
      </c>
      <c r="V564" t="n">
        <v>73.64957</v>
      </c>
      <c r="W564" t="n">
        <v>60.32058</v>
      </c>
      <c r="X564" t="n">
        <v>28.39052</v>
      </c>
      <c r="Y564" t="n">
        <v/>
      </c>
      <c r="Z564" t="n">
        <v/>
      </c>
      <c r="AA564" t="n">
        <v>65.69945</v>
      </c>
      <c r="AB564" t="n">
        <v>40.8116</v>
      </c>
      <c r="AC564" t="n">
        <v>61.44761</v>
      </c>
      <c r="AD564" t="n">
        <v>68.70162000000001</v>
      </c>
      <c r="AE564" t="n">
        <v>101.9714</v>
      </c>
      <c r="AF564" t="n">
        <v>60.81476</v>
      </c>
      <c r="AG564" t="n">
        <v>58.0734</v>
      </c>
      <c r="AH564" t="n">
        <v>70.41261</v>
      </c>
      <c r="AI564" t="n">
        <v>43.506</v>
      </c>
      <c r="AJ564" t="n">
        <v>27.16765</v>
      </c>
      <c r="AK564" t="n">
        <v>68.53246</v>
      </c>
      <c r="AL564" t="n">
        <v>69.32276</v>
      </c>
      <c r="AM564" t="n">
        <v>60.87271</v>
      </c>
      <c r="AN564" t="n">
        <v>53.56839</v>
      </c>
      <c r="AO564" t="n">
        <v>42.75037</v>
      </c>
      <c r="AP564" t="n">
        <v>62.94784</v>
      </c>
      <c r="AQ564" t="n">
        <v/>
      </c>
      <c r="AR564" t="n">
        <v/>
      </c>
      <c r="AS564" t="n">
        <v>42.23258</v>
      </c>
      <c r="AT564" t="n">
        <v/>
      </c>
      <c r="AU564" t="n">
        <v>86.83642</v>
      </c>
      <c r="AV564" t="n">
        <v>1.139489</v>
      </c>
      <c r="AW564" t="n">
        <v>67.28682999999999</v>
      </c>
      <c r="AX564" t="n">
        <v/>
      </c>
    </row>
    <row r="565">
      <c r="A565" s="92" t="n">
        <v>35034</v>
      </c>
      <c r="B565" t="n">
        <v>71.47013</v>
      </c>
      <c r="C565" t="n">
        <v>71.84738</v>
      </c>
      <c r="D565" t="n">
        <v/>
      </c>
      <c r="E565" t="n">
        <v>72.52623</v>
      </c>
      <c r="F565" t="n">
        <v>92.65302</v>
      </c>
      <c r="G565" t="n">
        <v/>
      </c>
      <c r="H565" t="n">
        <v/>
      </c>
      <c r="I565" t="n">
        <v>27.549</v>
      </c>
      <c r="J565" t="n">
        <v>20.01387</v>
      </c>
      <c r="K565" t="n">
        <v>69.2</v>
      </c>
      <c r="L565" t="n">
        <v>78.25937999999999</v>
      </c>
      <c r="M565" t="n">
        <v>70.61523</v>
      </c>
      <c r="N565" t="n">
        <v/>
      </c>
      <c r="O565" t="n">
        <v>67.60405</v>
      </c>
      <c r="P565" t="n">
        <v/>
      </c>
      <c r="Q565" t="n">
        <v/>
      </c>
      <c r="R565" t="n">
        <v>76.85635000000001</v>
      </c>
      <c r="S565" t="n">
        <v>78.88435</v>
      </c>
      <c r="T565" t="n">
        <v/>
      </c>
      <c r="U565" t="n">
        <v>73.39575000000001</v>
      </c>
      <c r="V565" t="n">
        <v>73.84589</v>
      </c>
      <c r="W565" t="n">
        <v>61.08502</v>
      </c>
      <c r="X565" t="n">
        <v>28.72155</v>
      </c>
      <c r="Y565" t="n">
        <v/>
      </c>
      <c r="Z565" t="n">
        <v/>
      </c>
      <c r="AA565" t="n">
        <v>65.69945</v>
      </c>
      <c r="AB565" t="n">
        <v>40.85303</v>
      </c>
      <c r="AC565" t="n">
        <v>62.3587</v>
      </c>
      <c r="AD565" t="n">
        <v>68.78055999999999</v>
      </c>
      <c r="AE565" t="n">
        <v>101.9005</v>
      </c>
      <c r="AF565" t="n">
        <v>61.11627</v>
      </c>
      <c r="AG565" t="n">
        <v>59.1314</v>
      </c>
      <c r="AH565" t="n">
        <v>70.42992</v>
      </c>
      <c r="AI565" t="n">
        <v>44.08288</v>
      </c>
      <c r="AJ565" t="n">
        <v>27.93498</v>
      </c>
      <c r="AK565" t="n">
        <v>68.28774</v>
      </c>
      <c r="AL565" t="n">
        <v>69.32162</v>
      </c>
      <c r="AM565" t="n">
        <v>61.0369</v>
      </c>
      <c r="AN565" t="n">
        <v>53.83205</v>
      </c>
      <c r="AO565" t="n">
        <v>43.38856</v>
      </c>
      <c r="AP565" t="n">
        <v>62.85086</v>
      </c>
      <c r="AQ565" t="n">
        <v/>
      </c>
      <c r="AR565" t="n">
        <v/>
      </c>
      <c r="AS565" t="n">
        <v>42.68829</v>
      </c>
      <c r="AT565" t="n">
        <v/>
      </c>
      <c r="AU565" t="n">
        <v>86.59849</v>
      </c>
      <c r="AV565" t="n">
        <v>1.182368</v>
      </c>
      <c r="AW565" t="n">
        <v>67.16298999999999</v>
      </c>
      <c r="AX565" t="n">
        <v/>
      </c>
    </row>
    <row r="566">
      <c r="A566" s="92" t="n">
        <v>35065</v>
      </c>
      <c r="B566" t="n">
        <v>71.73282</v>
      </c>
      <c r="C566" t="n">
        <v>72.48479</v>
      </c>
      <c r="D566" t="n">
        <v/>
      </c>
      <c r="E566" t="n">
        <v>72.66871</v>
      </c>
      <c r="F566" t="n">
        <v>92.73334</v>
      </c>
      <c r="G566" t="n">
        <v/>
      </c>
      <c r="H566" t="n">
        <v/>
      </c>
      <c r="I566" t="n">
        <v>27.76972</v>
      </c>
      <c r="J566" t="n">
        <v>20.44348</v>
      </c>
      <c r="K566" t="n">
        <v>70.3</v>
      </c>
      <c r="L566" t="n">
        <v>79.26236</v>
      </c>
      <c r="M566" t="n">
        <v>70.49679999999999</v>
      </c>
      <c r="N566" t="n">
        <v>75.09999999999999</v>
      </c>
      <c r="O566" t="n">
        <v>67.77866</v>
      </c>
      <c r="P566" t="n">
        <v/>
      </c>
      <c r="Q566" t="n">
        <v/>
      </c>
      <c r="R566" t="n">
        <v>76.47322</v>
      </c>
      <c r="S566" t="n">
        <v>78.98232</v>
      </c>
      <c r="T566" t="n">
        <v/>
      </c>
      <c r="U566" t="n">
        <v>73.61218</v>
      </c>
      <c r="V566" t="n">
        <v>73.43735</v>
      </c>
      <c r="W566" t="n">
        <v>61.00103</v>
      </c>
      <c r="X566" t="n">
        <v>29.89677</v>
      </c>
      <c r="Y566" t="n">
        <v/>
      </c>
      <c r="Z566" t="n">
        <v/>
      </c>
      <c r="AA566" t="n">
        <v>65.95277</v>
      </c>
      <c r="AB566" t="n">
        <v>40.89446</v>
      </c>
      <c r="AC566" t="n">
        <v>62.66239</v>
      </c>
      <c r="AD566" t="n">
        <v>69.04004</v>
      </c>
      <c r="AE566" t="n">
        <v>101.423</v>
      </c>
      <c r="AF566" t="n">
        <v>61.53415</v>
      </c>
      <c r="AG566" t="n">
        <v>59.9605</v>
      </c>
      <c r="AH566" t="n">
        <v>70.44013</v>
      </c>
      <c r="AI566" t="n">
        <v>45.91926</v>
      </c>
      <c r="AJ566" t="n">
        <v>28.91154</v>
      </c>
      <c r="AK566" t="n">
        <v>69.36095</v>
      </c>
      <c r="AL566" t="n">
        <v>70.02075000000001</v>
      </c>
      <c r="AM566" t="n">
        <v>61.44716</v>
      </c>
      <c r="AN566" t="n">
        <v>54.3573</v>
      </c>
      <c r="AO566" t="n">
        <v>44.80677</v>
      </c>
      <c r="AP566" t="n">
        <v>63.18909</v>
      </c>
      <c r="AQ566" t="n">
        <v/>
      </c>
      <c r="AR566" t="n">
        <v/>
      </c>
      <c r="AS566" t="n">
        <v>42.95238</v>
      </c>
      <c r="AT566" t="n">
        <v/>
      </c>
      <c r="AU566" t="n">
        <v>87.13131</v>
      </c>
      <c r="AV566" t="n">
        <v>1.276997</v>
      </c>
      <c r="AW566" t="n">
        <v>67.45196</v>
      </c>
      <c r="AX566" t="n">
        <v/>
      </c>
    </row>
    <row r="567">
      <c r="A567" s="92" t="n">
        <v>35096</v>
      </c>
      <c r="B567" t="n">
        <v>72.10608000000001</v>
      </c>
      <c r="C567" t="n">
        <v>72.61372</v>
      </c>
      <c r="D567" t="n">
        <v/>
      </c>
      <c r="E567" t="n">
        <v>72.78736000000001</v>
      </c>
      <c r="F567" t="n">
        <v>92.92871</v>
      </c>
      <c r="G567" t="n">
        <v/>
      </c>
      <c r="H567" t="n">
        <v/>
      </c>
      <c r="I567" t="n">
        <v>28.3256</v>
      </c>
      <c r="J567" t="n">
        <v>20.7722</v>
      </c>
      <c r="K567" t="n">
        <v>70.59999999999999</v>
      </c>
      <c r="L567" t="n">
        <v>79.74026000000001</v>
      </c>
      <c r="M567" t="n">
        <v>70.87384</v>
      </c>
      <c r="N567" t="n">
        <v>75.42</v>
      </c>
      <c r="O567" t="n">
        <v>68.11682999999999</v>
      </c>
      <c r="P567" t="n">
        <v/>
      </c>
      <c r="Q567" t="n">
        <v/>
      </c>
      <c r="R567" t="n">
        <v>76.77973</v>
      </c>
      <c r="S567" t="n">
        <v>79.28183</v>
      </c>
      <c r="T567" t="n">
        <v/>
      </c>
      <c r="U567" t="n">
        <v>73.88553</v>
      </c>
      <c r="V567" t="n">
        <v>73.84029</v>
      </c>
      <c r="W567" t="n">
        <v>60.63133</v>
      </c>
      <c r="X567" t="n">
        <v>30.6951</v>
      </c>
      <c r="Y567" t="n">
        <v/>
      </c>
      <c r="Z567" t="n">
        <v/>
      </c>
      <c r="AA567" t="n">
        <v>65.95277</v>
      </c>
      <c r="AB567" t="n">
        <v>40.9359</v>
      </c>
      <c r="AC567" t="n">
        <v>63.26978</v>
      </c>
      <c r="AD567" t="n">
        <v>69.33413</v>
      </c>
      <c r="AE567" t="n">
        <v>101.1208</v>
      </c>
      <c r="AF567" t="n">
        <v>61.71294</v>
      </c>
      <c r="AG567" t="n">
        <v>60.7372</v>
      </c>
      <c r="AH567" t="n">
        <v>70.5432</v>
      </c>
      <c r="AI567" t="n">
        <v>46.61151</v>
      </c>
      <c r="AJ567" t="n">
        <v>29.56542</v>
      </c>
      <c r="AK567" t="n">
        <v>69.65058999999999</v>
      </c>
      <c r="AL567" t="n">
        <v>70.13759</v>
      </c>
      <c r="AM567" t="n">
        <v>61.78236</v>
      </c>
      <c r="AN567" t="n">
        <v>54.73581</v>
      </c>
      <c r="AO567" t="n">
        <v>45.42454</v>
      </c>
      <c r="AP567" t="n">
        <v>63.5455</v>
      </c>
      <c r="AQ567" t="n">
        <v/>
      </c>
      <c r="AR567" t="n">
        <v/>
      </c>
      <c r="AS567" t="n">
        <v>43.23007</v>
      </c>
      <c r="AT567" t="n">
        <v/>
      </c>
      <c r="AU567" t="n">
        <v>87.21844</v>
      </c>
      <c r="AV567" t="n">
        <v>1.328254</v>
      </c>
      <c r="AW567" t="n">
        <v>67.7822</v>
      </c>
      <c r="AX567" t="n">
        <v/>
      </c>
    </row>
    <row r="568">
      <c r="A568" s="92" t="n">
        <v>35125</v>
      </c>
      <c r="B568" t="n">
        <v>72.42397</v>
      </c>
      <c r="C568" t="n">
        <v>72.57088</v>
      </c>
      <c r="D568" t="n">
        <v/>
      </c>
      <c r="E568" t="n">
        <v>73.05302</v>
      </c>
      <c r="F568" t="n">
        <v>92.96306</v>
      </c>
      <c r="G568" t="n">
        <v/>
      </c>
      <c r="H568" t="n">
        <v/>
      </c>
      <c r="I568" t="n">
        <v>29.60904</v>
      </c>
      <c r="J568" t="n">
        <v>20.94578</v>
      </c>
      <c r="K568" t="n">
        <v>71</v>
      </c>
      <c r="L568" t="n">
        <v>79.62585</v>
      </c>
      <c r="M568" t="n">
        <v>71.29083</v>
      </c>
      <c r="N568" t="n">
        <v>75.69</v>
      </c>
      <c r="O568" t="n">
        <v>68.44645</v>
      </c>
      <c r="P568" t="n">
        <v/>
      </c>
      <c r="Q568" t="n">
        <v/>
      </c>
      <c r="R568" t="n">
        <v>76.70310000000001</v>
      </c>
      <c r="S568" t="n">
        <v>79.72586</v>
      </c>
      <c r="T568" t="n">
        <v/>
      </c>
      <c r="U568" t="n">
        <v>74.15217</v>
      </c>
      <c r="V568" t="n">
        <v>74.14251</v>
      </c>
      <c r="W568" t="n">
        <v>62.35091</v>
      </c>
      <c r="X568" t="n">
        <v>31.33196</v>
      </c>
      <c r="Y568" t="n">
        <v/>
      </c>
      <c r="Z568" t="n">
        <v/>
      </c>
      <c r="AA568" t="n">
        <v>65.95277</v>
      </c>
      <c r="AB568" t="n">
        <v>40.97733</v>
      </c>
      <c r="AC568" t="n">
        <v>63.57348</v>
      </c>
      <c r="AD568" t="n">
        <v>69.6065</v>
      </c>
      <c r="AE568" t="n">
        <v>101.5148</v>
      </c>
      <c r="AF568" t="n">
        <v>62.37308</v>
      </c>
      <c r="AG568" t="n">
        <v>61.8048</v>
      </c>
      <c r="AH568" t="n">
        <v>70.55083999999999</v>
      </c>
      <c r="AI568" t="n">
        <v>47.05378</v>
      </c>
      <c r="AJ568" t="n">
        <v>30.21013</v>
      </c>
      <c r="AK568" t="n">
        <v>70.23088</v>
      </c>
      <c r="AL568" t="n">
        <v>70.45585</v>
      </c>
      <c r="AM568" t="n">
        <v>62.15509</v>
      </c>
      <c r="AN568" t="n">
        <v>55.0638</v>
      </c>
      <c r="AO568" t="n">
        <v>45.84209</v>
      </c>
      <c r="AP568" t="n">
        <v>63.86546</v>
      </c>
      <c r="AQ568" t="n">
        <v/>
      </c>
      <c r="AR568" t="n">
        <v/>
      </c>
      <c r="AS568" t="n">
        <v>43.4567</v>
      </c>
      <c r="AT568" t="n">
        <v/>
      </c>
      <c r="AU568" t="n">
        <v>87.43961</v>
      </c>
      <c r="AV568" t="n">
        <v>1.382961</v>
      </c>
      <c r="AW568" t="n">
        <v>68.07116000000001</v>
      </c>
      <c r="AX568" t="n">
        <v/>
      </c>
    </row>
    <row r="569">
      <c r="A569" s="92" t="n">
        <v>35156</v>
      </c>
      <c r="B569" t="n">
        <v>72.29179999999999</v>
      </c>
      <c r="C569" t="n">
        <v>72.57156000000001</v>
      </c>
      <c r="D569" t="n">
        <v/>
      </c>
      <c r="E569" t="n">
        <v>73.03100999999999</v>
      </c>
      <c r="F569" t="n">
        <v>92.96106</v>
      </c>
      <c r="G569" t="n">
        <v/>
      </c>
      <c r="H569" t="n">
        <v/>
      </c>
      <c r="I569" t="n">
        <v>30.24667</v>
      </c>
      <c r="J569" t="n">
        <v>21.09115</v>
      </c>
      <c r="K569" t="n">
        <v>71.40000000000001</v>
      </c>
      <c r="L569" t="n">
        <v>79.49229</v>
      </c>
      <c r="M569" t="n">
        <v>71.39418000000001</v>
      </c>
      <c r="N569" t="n">
        <v>75.72</v>
      </c>
      <c r="O569" t="n">
        <v>68.69970000000001</v>
      </c>
      <c r="P569" t="n">
        <v/>
      </c>
      <c r="Q569" t="n">
        <v/>
      </c>
      <c r="R569" t="n">
        <v>76.77973</v>
      </c>
      <c r="S569" t="n">
        <v>79.78857000000001</v>
      </c>
      <c r="T569" t="n">
        <v/>
      </c>
      <c r="U569" t="n">
        <v>74.26000000000001</v>
      </c>
      <c r="V569" t="n">
        <v>74.54546000000001</v>
      </c>
      <c r="W569" t="n">
        <v>62.89821</v>
      </c>
      <c r="X569" t="n">
        <v>31.85089</v>
      </c>
      <c r="Y569" t="n">
        <v/>
      </c>
      <c r="Z569" t="n">
        <v/>
      </c>
      <c r="AA569" t="n">
        <v>66.00557000000001</v>
      </c>
      <c r="AB569" t="n">
        <v>41.01876</v>
      </c>
      <c r="AC569" t="n">
        <v>64.48457000000001</v>
      </c>
      <c r="AD569" t="n">
        <v>69.76279</v>
      </c>
      <c r="AE569" t="n">
        <v>102.0632</v>
      </c>
      <c r="AF569" t="n">
        <v>62.61111</v>
      </c>
      <c r="AG569" t="n">
        <v>62.4013</v>
      </c>
      <c r="AH569" t="n">
        <v>70.61322</v>
      </c>
      <c r="AI569" t="n">
        <v>47.33261</v>
      </c>
      <c r="AJ569" t="n">
        <v>30.91218</v>
      </c>
      <c r="AK569" t="n">
        <v>70.42943</v>
      </c>
      <c r="AL569" t="n">
        <v>70.50336</v>
      </c>
      <c r="AM569" t="n">
        <v>62.42334</v>
      </c>
      <c r="AN569" t="n">
        <v>55.36273</v>
      </c>
      <c r="AO569" t="n">
        <v>46.55197</v>
      </c>
      <c r="AP569" t="n">
        <v>64.03263</v>
      </c>
      <c r="AQ569" t="n">
        <v/>
      </c>
      <c r="AR569" t="n">
        <v/>
      </c>
      <c r="AS569" t="n">
        <v>43.62244</v>
      </c>
      <c r="AT569" t="n">
        <v/>
      </c>
      <c r="AU569" t="n">
        <v>87.52338</v>
      </c>
      <c r="AV569" t="n">
        <v>1.46034</v>
      </c>
      <c r="AW569" t="n">
        <v>68.11244000000001</v>
      </c>
      <c r="AX569" t="n">
        <v/>
      </c>
    </row>
    <row r="570">
      <c r="A570" s="92" t="n">
        <v>35186</v>
      </c>
      <c r="B570" t="n">
        <v>72.15626</v>
      </c>
      <c r="C570" t="n">
        <v>72.37488999999999</v>
      </c>
      <c r="D570" t="n">
        <v/>
      </c>
      <c r="E570" t="n">
        <v>73.19992999999999</v>
      </c>
      <c r="F570" t="n">
        <v>92.67979</v>
      </c>
      <c r="G570" t="n">
        <v/>
      </c>
      <c r="H570" t="n">
        <v/>
      </c>
      <c r="I570" t="n">
        <v>30.90883</v>
      </c>
      <c r="J570" t="n">
        <v>21.40468</v>
      </c>
      <c r="K570" t="n">
        <v>71.8</v>
      </c>
      <c r="L570" t="n">
        <v>79.67789999999999</v>
      </c>
      <c r="M570" t="n">
        <v>71.68311</v>
      </c>
      <c r="N570" t="n">
        <v>75.88</v>
      </c>
      <c r="O570" t="n">
        <v>68.82724</v>
      </c>
      <c r="P570" t="n">
        <v/>
      </c>
      <c r="Q570" t="n">
        <v/>
      </c>
      <c r="R570" t="n">
        <v>76.85635000000001</v>
      </c>
      <c r="S570" t="n">
        <v>79.86305</v>
      </c>
      <c r="T570" t="n">
        <v/>
      </c>
      <c r="U570" t="n">
        <v>74.36732000000001</v>
      </c>
      <c r="V570" t="n">
        <v>74.74693000000001</v>
      </c>
      <c r="W570" t="n">
        <v>62.63136</v>
      </c>
      <c r="X570" t="n">
        <v>32.52856</v>
      </c>
      <c r="Y570" t="n">
        <v/>
      </c>
      <c r="Z570" t="n">
        <v/>
      </c>
      <c r="AA570" t="n">
        <v>66.00557000000001</v>
      </c>
      <c r="AB570" t="n">
        <v>41.10163</v>
      </c>
      <c r="AC570" t="n">
        <v>65.90179999999999</v>
      </c>
      <c r="AD570" t="n">
        <v>70.00785</v>
      </c>
      <c r="AE570" t="n">
        <v>102.278</v>
      </c>
      <c r="AF570" t="n">
        <v>62.78991</v>
      </c>
      <c r="AG570" t="n">
        <v>62.8099</v>
      </c>
      <c r="AH570" t="n">
        <v>70.65774999999999</v>
      </c>
      <c r="AI570" t="n">
        <v>47.63066</v>
      </c>
      <c r="AJ570" t="n">
        <v>31.42072</v>
      </c>
      <c r="AK570" t="n">
        <v>70.39403</v>
      </c>
      <c r="AL570" t="n">
        <v>70.52432</v>
      </c>
      <c r="AM570" t="n">
        <v>62.64402</v>
      </c>
      <c r="AN570" t="n">
        <v>55.64164</v>
      </c>
      <c r="AO570" t="n">
        <v>47.26125</v>
      </c>
      <c r="AP570" t="n">
        <v>64.11351999999999</v>
      </c>
      <c r="AQ570" t="n">
        <v/>
      </c>
      <c r="AR570" t="n">
        <v/>
      </c>
      <c r="AS570" t="n">
        <v>43.75827</v>
      </c>
      <c r="AT570" t="n">
        <v/>
      </c>
      <c r="AU570" t="n">
        <v>87.3994</v>
      </c>
      <c r="AV570" t="n">
        <v>1.528847</v>
      </c>
      <c r="AW570" t="n">
        <v>68.15372000000001</v>
      </c>
      <c r="AX570" t="n">
        <v/>
      </c>
    </row>
    <row r="571">
      <c r="A571" s="92" t="n">
        <v>35217</v>
      </c>
      <c r="B571" t="n">
        <v>72.46948</v>
      </c>
      <c r="C571" t="n">
        <v>72.43989999999999</v>
      </c>
      <c r="D571" t="n">
        <v/>
      </c>
      <c r="E571" t="n">
        <v>73.21105</v>
      </c>
      <c r="F571" t="n">
        <v>92.69942</v>
      </c>
      <c r="G571" t="n">
        <v/>
      </c>
      <c r="H571" t="n">
        <v/>
      </c>
      <c r="I571" t="n">
        <v>31.52194</v>
      </c>
      <c r="J571" t="n">
        <v>21.58477</v>
      </c>
      <c r="K571" t="n">
        <v>72.2</v>
      </c>
      <c r="L571" t="n">
        <v>79.87965</v>
      </c>
      <c r="M571" t="n">
        <v>71.68062</v>
      </c>
      <c r="N571" t="n">
        <v>76</v>
      </c>
      <c r="O571" t="n">
        <v>68.97459000000001</v>
      </c>
      <c r="P571" t="n">
        <v/>
      </c>
      <c r="Q571" t="n">
        <v/>
      </c>
      <c r="R571" t="n">
        <v>76.85635000000001</v>
      </c>
      <c r="S571" t="n">
        <v>79.91694</v>
      </c>
      <c r="T571" t="n">
        <v/>
      </c>
      <c r="U571" t="n">
        <v>74.4297</v>
      </c>
      <c r="V571" t="n">
        <v>74.84766</v>
      </c>
      <c r="W571" t="n">
        <v>63.23353</v>
      </c>
      <c r="X571" t="n">
        <v>32.84108</v>
      </c>
      <c r="Y571" t="n">
        <v/>
      </c>
      <c r="Z571" t="n">
        <v/>
      </c>
      <c r="AA571" t="n">
        <v>66.00557000000001</v>
      </c>
      <c r="AB571" t="n">
        <v>41.10163</v>
      </c>
      <c r="AC571" t="n">
        <v>66.61042999999999</v>
      </c>
      <c r="AD571" t="n">
        <v>70.15483</v>
      </c>
      <c r="AE571" t="n">
        <v>102.2482</v>
      </c>
      <c r="AF571" t="n">
        <v>62.90945</v>
      </c>
      <c r="AG571" t="n">
        <v>63.9498</v>
      </c>
      <c r="AH571" t="n">
        <v>70.64725</v>
      </c>
      <c r="AI571" t="n">
        <v>48.27484</v>
      </c>
      <c r="AJ571" t="n">
        <v>31.92518</v>
      </c>
      <c r="AK571" t="n">
        <v>70.1507</v>
      </c>
      <c r="AL571" t="n">
        <v>70.66579</v>
      </c>
      <c r="AM571" t="n">
        <v>62.83152</v>
      </c>
      <c r="AN571" t="n">
        <v>55.90441</v>
      </c>
      <c r="AO571" t="n">
        <v>47.93607</v>
      </c>
      <c r="AP571" t="n">
        <v>64.40806000000001</v>
      </c>
      <c r="AQ571" t="n">
        <v/>
      </c>
      <c r="AR571" t="n">
        <v/>
      </c>
      <c r="AS571" t="n">
        <v>44.11471</v>
      </c>
      <c r="AT571" t="n">
        <v/>
      </c>
      <c r="AU571" t="n">
        <v>87.17487</v>
      </c>
      <c r="AV571" t="n">
        <v>1.589962</v>
      </c>
      <c r="AW571" t="n">
        <v>68.19499999999999</v>
      </c>
      <c r="AX571" t="n">
        <v/>
      </c>
    </row>
    <row r="572">
      <c r="A572" s="92" t="n">
        <v>35247</v>
      </c>
      <c r="B572" t="n">
        <v>73.18684</v>
      </c>
      <c r="C572" t="n">
        <v>73.15424</v>
      </c>
      <c r="D572" t="n">
        <v/>
      </c>
      <c r="E572" t="n">
        <v>73.42001</v>
      </c>
      <c r="F572" t="n">
        <v>92.73074</v>
      </c>
      <c r="G572" t="n">
        <v/>
      </c>
      <c r="H572" t="n">
        <v/>
      </c>
      <c r="I572" t="n">
        <v>31.93068</v>
      </c>
      <c r="J572" t="n">
        <v>21.8126</v>
      </c>
      <c r="K572" t="n">
        <v>72.8</v>
      </c>
      <c r="L572" t="n">
        <v>79.99001</v>
      </c>
      <c r="M572" t="n">
        <v>71.33014</v>
      </c>
      <c r="N572" t="n">
        <v>76.04000000000001</v>
      </c>
      <c r="O572" t="n">
        <v>69.08492</v>
      </c>
      <c r="P572" t="n">
        <v/>
      </c>
      <c r="Q572" t="n">
        <v/>
      </c>
      <c r="R572" t="n">
        <v>76.85635000000001</v>
      </c>
      <c r="S572" t="n">
        <v>79.77069</v>
      </c>
      <c r="T572" t="n">
        <v/>
      </c>
      <c r="U572" t="n">
        <v>74.45014</v>
      </c>
      <c r="V572" t="n">
        <v>74.44472</v>
      </c>
      <c r="W572" t="n">
        <v>62.3555</v>
      </c>
      <c r="X572" t="n">
        <v>33.03651</v>
      </c>
      <c r="Y572" t="n">
        <v/>
      </c>
      <c r="Z572" t="n">
        <v/>
      </c>
      <c r="AA572" t="n">
        <v>66.39546</v>
      </c>
      <c r="AB572" t="n">
        <v>41.22593</v>
      </c>
      <c r="AC572" t="n">
        <v>66.71165999999999</v>
      </c>
      <c r="AD572" t="n">
        <v>70.28079</v>
      </c>
      <c r="AE572" t="n">
        <v>101.862</v>
      </c>
      <c r="AF572" t="n">
        <v>63.03005</v>
      </c>
      <c r="AG572" t="n">
        <v>64.94329999999999</v>
      </c>
      <c r="AH572" t="n">
        <v>70.70159</v>
      </c>
      <c r="AI572" t="n">
        <v>48.91901</v>
      </c>
      <c r="AJ572" t="n">
        <v>32.39771</v>
      </c>
      <c r="AK572" t="n">
        <v>70.26846</v>
      </c>
      <c r="AL572" t="n">
        <v>70.52579</v>
      </c>
      <c r="AM572" t="n">
        <v>62.97264</v>
      </c>
      <c r="AN572" t="n">
        <v>56.05163</v>
      </c>
      <c r="AO572" t="n">
        <v>48.48316</v>
      </c>
      <c r="AP572" t="n">
        <v>64.45661</v>
      </c>
      <c r="AQ572" t="n">
        <v/>
      </c>
      <c r="AR572" t="n">
        <v/>
      </c>
      <c r="AS572" t="n">
        <v>44.15016</v>
      </c>
      <c r="AT572" t="n">
        <v/>
      </c>
      <c r="AU572" t="n">
        <v>86.63200000000001</v>
      </c>
      <c r="AV572" t="n">
        <v>1.644669</v>
      </c>
      <c r="AW572" t="n">
        <v>68.31883999999999</v>
      </c>
      <c r="AX572" t="n">
        <v/>
      </c>
    </row>
    <row r="573">
      <c r="A573" s="92" t="n">
        <v>35278</v>
      </c>
      <c r="B573" t="n">
        <v>73.66679000000001</v>
      </c>
      <c r="C573" t="n">
        <v>73.52036</v>
      </c>
      <c r="D573" t="n">
        <v/>
      </c>
      <c r="E573" t="n">
        <v>73.46154</v>
      </c>
      <c r="F573" t="n">
        <v>93.17529</v>
      </c>
      <c r="G573" t="n">
        <v/>
      </c>
      <c r="H573" t="n">
        <v/>
      </c>
      <c r="I573" t="n">
        <v>32.29037</v>
      </c>
      <c r="J573" t="n">
        <v>22.02958</v>
      </c>
      <c r="K573" t="n">
        <v>73</v>
      </c>
      <c r="L573" t="n">
        <v>80.09205</v>
      </c>
      <c r="M573" t="n">
        <v>71.54848</v>
      </c>
      <c r="N573" t="n">
        <v>76.12</v>
      </c>
      <c r="O573" t="n">
        <v>69.15456</v>
      </c>
      <c r="P573" t="n">
        <v/>
      </c>
      <c r="Q573" t="n">
        <v/>
      </c>
      <c r="R573" t="n">
        <v>76.85635000000001</v>
      </c>
      <c r="S573" t="n">
        <v>79.82838</v>
      </c>
      <c r="T573" t="n">
        <v/>
      </c>
      <c r="U573" t="n">
        <v>74.54255999999999</v>
      </c>
      <c r="V573" t="n">
        <v>74.74693000000001</v>
      </c>
      <c r="W573" t="n">
        <v>62.39298</v>
      </c>
      <c r="X573" t="n">
        <v>33.22149</v>
      </c>
      <c r="Y573" t="n">
        <v/>
      </c>
      <c r="Z573" t="n">
        <v/>
      </c>
      <c r="AA573" t="n">
        <v>66.39546</v>
      </c>
      <c r="AB573" t="n">
        <v>41.3088</v>
      </c>
      <c r="AC573" t="n">
        <v>66.71165999999999</v>
      </c>
      <c r="AD573" t="n">
        <v>70.40974</v>
      </c>
      <c r="AE573" t="n">
        <v>101.646</v>
      </c>
      <c r="AF573" t="n">
        <v>63.32944</v>
      </c>
      <c r="AG573" t="n">
        <v>65.29389999999999</v>
      </c>
      <c r="AH573" t="n">
        <v>70.77851</v>
      </c>
      <c r="AI573" t="n">
        <v>49.39974</v>
      </c>
      <c r="AJ573" t="n">
        <v>32.85836</v>
      </c>
      <c r="AK573" t="n">
        <v>70.36614</v>
      </c>
      <c r="AL573" t="n">
        <v>70.59905999999999</v>
      </c>
      <c r="AM573" t="n">
        <v>63.18101</v>
      </c>
      <c r="AN573" t="n">
        <v>56.33759</v>
      </c>
      <c r="AO573" t="n">
        <v>48.93254</v>
      </c>
      <c r="AP573" t="n">
        <v>64.61154000000001</v>
      </c>
      <c r="AQ573" t="n">
        <v/>
      </c>
      <c r="AR573" t="n">
        <v/>
      </c>
      <c r="AS573" t="n">
        <v>44.24876</v>
      </c>
      <c r="AT573" t="n">
        <v/>
      </c>
      <c r="AU573" t="n">
        <v>86.37732</v>
      </c>
      <c r="AV573" t="n">
        <v>1.719091</v>
      </c>
      <c r="AW573" t="n">
        <v>68.44268</v>
      </c>
      <c r="AX573" t="n">
        <v/>
      </c>
    </row>
    <row r="574">
      <c r="A574" s="92" t="n">
        <v>35309</v>
      </c>
      <c r="B574" t="n">
        <v>72.86136999999999</v>
      </c>
      <c r="C574" t="n">
        <v>73.22421</v>
      </c>
      <c r="D574" t="n">
        <v/>
      </c>
      <c r="E574" t="n">
        <v>73.5645</v>
      </c>
      <c r="F574" t="n">
        <v>93.18433</v>
      </c>
      <c r="G574" t="n">
        <v/>
      </c>
      <c r="H574" t="n">
        <v/>
      </c>
      <c r="I574" t="n">
        <v>32.65823</v>
      </c>
      <c r="J574" t="n">
        <v>22.1858</v>
      </c>
      <c r="K574" t="n">
        <v>73.2</v>
      </c>
      <c r="L574" t="n">
        <v>80.06643</v>
      </c>
      <c r="M574" t="n">
        <v>71.89042999999999</v>
      </c>
      <c r="N574" t="n">
        <v>76.25</v>
      </c>
      <c r="O574" t="n">
        <v>69.28879999999999</v>
      </c>
      <c r="P574" t="n">
        <v/>
      </c>
      <c r="Q574" t="n">
        <v/>
      </c>
      <c r="R574" t="n">
        <v>77.00961</v>
      </c>
      <c r="S574" t="n">
        <v>79.97362</v>
      </c>
      <c r="T574" t="n">
        <v/>
      </c>
      <c r="U574" t="n">
        <v>74.79167</v>
      </c>
      <c r="V574" t="n">
        <v>75.25062</v>
      </c>
      <c r="W574" t="n">
        <v>63.99916</v>
      </c>
      <c r="X574" t="n">
        <v>33.63396</v>
      </c>
      <c r="Y574" t="n">
        <v/>
      </c>
      <c r="Z574" t="n">
        <v/>
      </c>
      <c r="AA574" t="n">
        <v>66.39546</v>
      </c>
      <c r="AB574" t="n">
        <v>41.47453</v>
      </c>
      <c r="AC574" t="n">
        <v>66.91412</v>
      </c>
      <c r="AD574" t="n">
        <v>70.48971</v>
      </c>
      <c r="AE574" t="n">
        <v>102.2493</v>
      </c>
      <c r="AF574" t="n">
        <v>63.45005</v>
      </c>
      <c r="AG574" t="n">
        <v>65.812</v>
      </c>
      <c r="AH574" t="n">
        <v>70.81349</v>
      </c>
      <c r="AI574" t="n">
        <v>50.11122</v>
      </c>
      <c r="AJ574" t="n">
        <v>33.43882</v>
      </c>
      <c r="AK574" t="n">
        <v>71.071</v>
      </c>
      <c r="AL574" t="n">
        <v>71.00027</v>
      </c>
      <c r="AM574" t="n">
        <v>63.56064</v>
      </c>
      <c r="AN574" t="n">
        <v>56.78093</v>
      </c>
      <c r="AO574" t="n">
        <v>49.75962</v>
      </c>
      <c r="AP574" t="n">
        <v>64.73705</v>
      </c>
      <c r="AQ574" t="n">
        <v/>
      </c>
      <c r="AR574" t="n">
        <v/>
      </c>
      <c r="AS574" t="n">
        <v>44.33158</v>
      </c>
      <c r="AT574" t="n">
        <v/>
      </c>
      <c r="AU574" t="n">
        <v>86.81631</v>
      </c>
      <c r="AV574" t="n">
        <v>1.84132</v>
      </c>
      <c r="AW574" t="n">
        <v>68.69036</v>
      </c>
      <c r="AX574" t="n">
        <v/>
      </c>
    </row>
    <row r="575">
      <c r="A575" s="92" t="n">
        <v>35339</v>
      </c>
      <c r="B575" t="n">
        <v>72.58351</v>
      </c>
      <c r="C575" t="n">
        <v>73.23872</v>
      </c>
      <c r="D575" t="n">
        <v/>
      </c>
      <c r="E575" t="n">
        <v>73.54313999999999</v>
      </c>
      <c r="F575" t="n">
        <v>93.12882</v>
      </c>
      <c r="G575" t="n">
        <v/>
      </c>
      <c r="H575" t="n">
        <v/>
      </c>
      <c r="I575" t="n">
        <v>33.0915</v>
      </c>
      <c r="J575" t="n">
        <v>22.44617</v>
      </c>
      <c r="K575" t="n">
        <v>73.5</v>
      </c>
      <c r="L575" t="n">
        <v>79.99397</v>
      </c>
      <c r="M575" t="n">
        <v>71.90058000000001</v>
      </c>
      <c r="N575" t="n">
        <v>76.31</v>
      </c>
      <c r="O575" t="n">
        <v>69.42533</v>
      </c>
      <c r="P575" t="n">
        <v/>
      </c>
      <c r="Q575" t="n">
        <v/>
      </c>
      <c r="R575" t="n">
        <v>77.08624</v>
      </c>
      <c r="S575" t="n">
        <v>80.07841999999999</v>
      </c>
      <c r="T575" t="n">
        <v/>
      </c>
      <c r="U575" t="n">
        <v>74.95954</v>
      </c>
      <c r="V575" t="n">
        <v>75.35135</v>
      </c>
      <c r="W575" t="n">
        <v>65.07307</v>
      </c>
      <c r="X575" t="n">
        <v>34.02969</v>
      </c>
      <c r="Y575" t="n">
        <v/>
      </c>
      <c r="Z575" t="n">
        <v/>
      </c>
      <c r="AA575" t="n">
        <v>66.88858</v>
      </c>
      <c r="AB575" t="n">
        <v>41.39166</v>
      </c>
      <c r="AC575" t="n">
        <v>67.52151000000001</v>
      </c>
      <c r="AD575" t="n">
        <v>70.55605</v>
      </c>
      <c r="AE575" t="n">
        <v>102.4582</v>
      </c>
      <c r="AF575" t="n">
        <v>63.5696</v>
      </c>
      <c r="AG575" t="n">
        <v>66.0288</v>
      </c>
      <c r="AH575" t="n">
        <v>70.87513</v>
      </c>
      <c r="AI575" t="n">
        <v>50.64964</v>
      </c>
      <c r="AJ575" t="n">
        <v>33.82752</v>
      </c>
      <c r="AK575" t="n">
        <v>71.21388</v>
      </c>
      <c r="AL575" t="n">
        <v>71.13458</v>
      </c>
      <c r="AM575" t="n">
        <v>63.8685</v>
      </c>
      <c r="AN575" t="n">
        <v>57.1511</v>
      </c>
      <c r="AO575" t="n">
        <v>50.55375</v>
      </c>
      <c r="AP575" t="n">
        <v>65.02025</v>
      </c>
      <c r="AQ575" t="n">
        <v/>
      </c>
      <c r="AR575" t="n">
        <v/>
      </c>
      <c r="AS575" t="n">
        <v>44.59256</v>
      </c>
      <c r="AT575" t="n">
        <v/>
      </c>
      <c r="AU575" t="n">
        <v>86.94701000000001</v>
      </c>
      <c r="AV575" t="n">
        <v>1.961084</v>
      </c>
      <c r="AW575" t="n">
        <v>68.93804</v>
      </c>
      <c r="AX575" t="n">
        <v/>
      </c>
    </row>
    <row r="576">
      <c r="A576" s="92" t="n">
        <v>35370</v>
      </c>
      <c r="B576" t="n">
        <v>72.73866</v>
      </c>
      <c r="C576" t="n">
        <v>73.44457</v>
      </c>
      <c r="D576" t="n">
        <v/>
      </c>
      <c r="E576" t="n">
        <v>73.86113</v>
      </c>
      <c r="F576" t="n">
        <v>93.08325000000001</v>
      </c>
      <c r="G576" t="n">
        <v/>
      </c>
      <c r="H576" t="n">
        <v/>
      </c>
      <c r="I576" t="n">
        <v>33.38579</v>
      </c>
      <c r="J576" t="n">
        <v>22.64253</v>
      </c>
      <c r="K576" t="n">
        <v>73.8</v>
      </c>
      <c r="L576" t="n">
        <v>79.91446999999999</v>
      </c>
      <c r="M576" t="n">
        <v>72.14548000000001</v>
      </c>
      <c r="N576" t="n">
        <v>76.26000000000001</v>
      </c>
      <c r="O576" t="n">
        <v>69.46144</v>
      </c>
      <c r="P576" t="n">
        <v/>
      </c>
      <c r="Q576" t="n">
        <v/>
      </c>
      <c r="R576" t="n">
        <v>76.85635000000001</v>
      </c>
      <c r="S576" t="n">
        <v>79.84988</v>
      </c>
      <c r="T576" t="n">
        <v/>
      </c>
      <c r="U576" t="n">
        <v>75.02038</v>
      </c>
      <c r="V576" t="n">
        <v>75.45209</v>
      </c>
      <c r="W576" t="n">
        <v>65.27925</v>
      </c>
      <c r="X576" t="n">
        <v>34.29203</v>
      </c>
      <c r="Y576" t="n">
        <v/>
      </c>
      <c r="Z576" t="n">
        <v/>
      </c>
      <c r="AA576" t="n">
        <v>66.88858</v>
      </c>
      <c r="AB576" t="n">
        <v>41.39166</v>
      </c>
      <c r="AC576" t="n">
        <v>68.02767</v>
      </c>
      <c r="AD576" t="n">
        <v>70.84308</v>
      </c>
      <c r="AE576" t="n">
        <v>102.4302</v>
      </c>
      <c r="AF576" t="n">
        <v>63.5696</v>
      </c>
      <c r="AG576" t="n">
        <v>66.37990000000001</v>
      </c>
      <c r="AH576" t="n">
        <v>71.01393</v>
      </c>
      <c r="AI576" t="n">
        <v>51.2169</v>
      </c>
      <c r="AJ576" t="n">
        <v>34.26137</v>
      </c>
      <c r="AK576" t="n">
        <v>71.10608999999999</v>
      </c>
      <c r="AL576" t="n">
        <v>71.08128000000001</v>
      </c>
      <c r="AM576" t="n">
        <v>64.05082</v>
      </c>
      <c r="AN576" t="n">
        <v>57.3895</v>
      </c>
      <c r="AO576" t="n">
        <v>50.92361</v>
      </c>
      <c r="AP576" t="n">
        <v>65.33843</v>
      </c>
      <c r="AQ576" t="n">
        <v/>
      </c>
      <c r="AR576" t="n">
        <v/>
      </c>
      <c r="AS576" t="n">
        <v>44.76461</v>
      </c>
      <c r="AT576" t="n">
        <v/>
      </c>
      <c r="AU576" t="n">
        <v>86.89004</v>
      </c>
      <c r="AV576" t="n">
        <v>2.04487</v>
      </c>
      <c r="AW576" t="n">
        <v>69.02061</v>
      </c>
      <c r="AX576" t="n">
        <v/>
      </c>
    </row>
    <row r="577">
      <c r="A577" s="92" t="n">
        <v>35400</v>
      </c>
      <c r="B577" t="n">
        <v>72.83667</v>
      </c>
      <c r="C577" t="n">
        <v>73.55647</v>
      </c>
      <c r="D577" t="n">
        <v/>
      </c>
      <c r="E577" t="n">
        <v>73.85753</v>
      </c>
      <c r="F577" t="n">
        <v>93.07133</v>
      </c>
      <c r="G577" t="n">
        <v/>
      </c>
      <c r="H577" t="n">
        <v/>
      </c>
      <c r="I577" t="n">
        <v>33.59833</v>
      </c>
      <c r="J577" t="n">
        <v>22.80635</v>
      </c>
      <c r="K577" t="n">
        <v>74.09999999999999</v>
      </c>
      <c r="L577" t="n">
        <v>80.21012</v>
      </c>
      <c r="M577" t="n">
        <v>72.17525000000001</v>
      </c>
      <c r="N577" t="n">
        <v>76.42</v>
      </c>
      <c r="O577" t="n">
        <v>69.62461</v>
      </c>
      <c r="P577" t="n">
        <v/>
      </c>
      <c r="Q577" t="n">
        <v/>
      </c>
      <c r="R577" t="n">
        <v>76.93298</v>
      </c>
      <c r="S577" t="n">
        <v>79.96583</v>
      </c>
      <c r="T577" t="n">
        <v/>
      </c>
      <c r="U577" t="n">
        <v>75.01061</v>
      </c>
      <c r="V577" t="n">
        <v>75.65356</v>
      </c>
      <c r="W577" t="n">
        <v>66.09216000000001</v>
      </c>
      <c r="X577" t="n">
        <v>34.61328</v>
      </c>
      <c r="Y577" t="n">
        <v/>
      </c>
      <c r="Z577" t="n">
        <v/>
      </c>
      <c r="AA577" t="n">
        <v>66.88858</v>
      </c>
      <c r="AB577" t="n">
        <v>41.35023</v>
      </c>
      <c r="AC577" t="n">
        <v>68.73629</v>
      </c>
      <c r="AD577" t="n">
        <v>70.92542</v>
      </c>
      <c r="AE577" t="n">
        <v>102.2141</v>
      </c>
      <c r="AF577" t="n">
        <v>63.62884</v>
      </c>
      <c r="AG577" t="n">
        <v>66.782</v>
      </c>
      <c r="AH577" t="n">
        <v>71.07004999999999</v>
      </c>
      <c r="AI577" t="n">
        <v>51.43803</v>
      </c>
      <c r="AJ577" t="n">
        <v>35.42305</v>
      </c>
      <c r="AK577" t="n">
        <v>70.89703</v>
      </c>
      <c r="AL577" t="n">
        <v>71.14798999999999</v>
      </c>
      <c r="AM577" t="n">
        <v>64.25183</v>
      </c>
      <c r="AN577" t="n">
        <v>57.71513</v>
      </c>
      <c r="AO577" t="n">
        <v>51.2729</v>
      </c>
      <c r="AP577" t="n">
        <v>65.14426</v>
      </c>
      <c r="AQ577" t="n">
        <v/>
      </c>
      <c r="AR577" t="n">
        <v/>
      </c>
      <c r="AS577" t="n">
        <v>45.01336</v>
      </c>
      <c r="AT577" t="n">
        <v/>
      </c>
      <c r="AU577" t="n">
        <v>86.63535</v>
      </c>
      <c r="AV577" t="n">
        <v>2.132599</v>
      </c>
      <c r="AW577" t="n">
        <v>68.93804</v>
      </c>
      <c r="AX577" t="n">
        <v/>
      </c>
    </row>
    <row r="578">
      <c r="A578" s="92" t="n">
        <v>35431</v>
      </c>
      <c r="B578" t="n">
        <v>72.92831</v>
      </c>
      <c r="C578" t="n">
        <v>73.83472</v>
      </c>
      <c r="D578" t="n">
        <v/>
      </c>
      <c r="E578" t="n">
        <v>73.96510000000001</v>
      </c>
      <c r="F578" t="n">
        <v>93.15709</v>
      </c>
      <c r="G578" t="n">
        <v/>
      </c>
      <c r="H578" t="n">
        <v/>
      </c>
      <c r="I578" t="n">
        <v>33.85992</v>
      </c>
      <c r="J578" t="n">
        <v>23.2837</v>
      </c>
      <c r="K578" t="n">
        <v>74.90000000000001</v>
      </c>
      <c r="L578" t="n">
        <v>80.72116</v>
      </c>
      <c r="M578" t="n">
        <v>72.15046</v>
      </c>
      <c r="N578" t="n">
        <v>76.39</v>
      </c>
      <c r="O578" t="n">
        <v>69.8951</v>
      </c>
      <c r="P578" t="n">
        <v/>
      </c>
      <c r="Q578" t="n">
        <v/>
      </c>
      <c r="R578" t="n">
        <v>76.77973</v>
      </c>
      <c r="S578" t="n">
        <v>79.81444</v>
      </c>
      <c r="T578" t="n">
        <v/>
      </c>
      <c r="U578" t="n">
        <v>75.09947</v>
      </c>
      <c r="V578" t="n">
        <v>74.94840000000001</v>
      </c>
      <c r="W578" t="n">
        <v>65.54639</v>
      </c>
      <c r="X578" t="n">
        <v>35.97007</v>
      </c>
      <c r="Y578" t="n">
        <v/>
      </c>
      <c r="Z578" t="n">
        <v/>
      </c>
      <c r="AA578" t="n">
        <v>66.44324</v>
      </c>
      <c r="AB578" t="n">
        <v>41.43309</v>
      </c>
      <c r="AC578" t="n">
        <v>68.93875</v>
      </c>
      <c r="AD578" t="n">
        <v>71.14552999999999</v>
      </c>
      <c r="AE578" t="n">
        <v>101.8544</v>
      </c>
      <c r="AF578" t="n">
        <v>63.86793</v>
      </c>
      <c r="AG578" t="n">
        <v>67.36499999999999</v>
      </c>
      <c r="AH578" t="n">
        <v>71.18823999999999</v>
      </c>
      <c r="AI578" t="n">
        <v>52.30335</v>
      </c>
      <c r="AJ578" t="n">
        <v>36.20074</v>
      </c>
      <c r="AK578" t="n">
        <v>70.47132000000001</v>
      </c>
      <c r="AL578" t="n">
        <v>71.22136999999999</v>
      </c>
      <c r="AM578" t="n">
        <v>64.50440999999999</v>
      </c>
      <c r="AN578" t="n">
        <v>58.03226</v>
      </c>
      <c r="AO578" t="n">
        <v>52.71978</v>
      </c>
      <c r="AP578" t="n">
        <v>66.89525999999999</v>
      </c>
      <c r="AQ578" t="n">
        <v/>
      </c>
      <c r="AR578" t="n">
        <v/>
      </c>
      <c r="AS578" t="n">
        <v>45.54534</v>
      </c>
      <c r="AT578" t="n">
        <v/>
      </c>
      <c r="AU578" t="n">
        <v>86.55828</v>
      </c>
      <c r="AV578" t="n">
        <v>2.265178</v>
      </c>
      <c r="AW578" t="n">
        <v>69.14445000000001</v>
      </c>
      <c r="AX578" t="n">
        <v/>
      </c>
    </row>
    <row r="579">
      <c r="A579" s="92" t="n">
        <v>35462</v>
      </c>
      <c r="B579" t="n">
        <v>73.14326</v>
      </c>
      <c r="C579" t="n">
        <v>73.98134</v>
      </c>
      <c r="D579" t="n">
        <v/>
      </c>
      <c r="E579" t="n">
        <v>74.10259000000001</v>
      </c>
      <c r="F579" t="n">
        <v>93.33938000000001</v>
      </c>
      <c r="G579" t="n">
        <v/>
      </c>
      <c r="H579" t="n">
        <v/>
      </c>
      <c r="I579" t="n">
        <v>34.51391</v>
      </c>
      <c r="J579" t="n">
        <v>23.50827</v>
      </c>
      <c r="K579" t="n">
        <v>75.3</v>
      </c>
      <c r="L579" t="n">
        <v>80.88171</v>
      </c>
      <c r="M579" t="n">
        <v>72.17362</v>
      </c>
      <c r="N579" t="n">
        <v>76.69</v>
      </c>
      <c r="O579" t="n">
        <v>70.06283000000001</v>
      </c>
      <c r="P579" t="n">
        <v/>
      </c>
      <c r="Q579" t="n">
        <v/>
      </c>
      <c r="R579" t="n">
        <v>76.93298</v>
      </c>
      <c r="S579" t="n">
        <v>80.23975</v>
      </c>
      <c r="T579" t="n">
        <v/>
      </c>
      <c r="U579" t="n">
        <v>75.33006</v>
      </c>
      <c r="V579" t="n">
        <v>75.25062</v>
      </c>
      <c r="W579" t="n">
        <v>65.28063</v>
      </c>
      <c r="X579" t="n">
        <v>36.80442</v>
      </c>
      <c r="Y579" t="n">
        <v/>
      </c>
      <c r="Z579" t="n">
        <v/>
      </c>
      <c r="AA579" t="n">
        <v>66.93562</v>
      </c>
      <c r="AB579" t="n">
        <v>41.39166</v>
      </c>
      <c r="AC579" t="n">
        <v>69.54613999999999</v>
      </c>
      <c r="AD579" t="n">
        <v>71.25348</v>
      </c>
      <c r="AE579" t="n">
        <v>101.5762</v>
      </c>
      <c r="AF579" t="n">
        <v>64.10702000000001</v>
      </c>
      <c r="AG579" t="n">
        <v>68.3274</v>
      </c>
      <c r="AH579" t="n">
        <v>71.37309</v>
      </c>
      <c r="AI579" t="n">
        <v>52.40911</v>
      </c>
      <c r="AJ579" t="n">
        <v>36.86103</v>
      </c>
      <c r="AK579" t="n">
        <v>70.77697000000001</v>
      </c>
      <c r="AL579" t="n">
        <v>71.59013</v>
      </c>
      <c r="AM579" t="n">
        <v>64.8079</v>
      </c>
      <c r="AN579" t="n">
        <v>58.34555</v>
      </c>
      <c r="AO579" t="n">
        <v>53.55004</v>
      </c>
      <c r="AP579" t="n">
        <v>67.18827</v>
      </c>
      <c r="AQ579" t="n">
        <v/>
      </c>
      <c r="AR579" t="n">
        <v/>
      </c>
      <c r="AS579" t="n">
        <v>45.72828</v>
      </c>
      <c r="AT579" t="n">
        <v/>
      </c>
      <c r="AU579" t="n">
        <v>86.42422999999999</v>
      </c>
      <c r="AV579" t="n">
        <v>2.349457</v>
      </c>
      <c r="AW579" t="n">
        <v>69.47469</v>
      </c>
      <c r="AX579" t="n">
        <v/>
      </c>
    </row>
    <row r="580">
      <c r="A580" s="92" t="n">
        <v>35490</v>
      </c>
      <c r="B580" t="n">
        <v>73.24769999999999</v>
      </c>
      <c r="C580" t="n">
        <v>73.73898</v>
      </c>
      <c r="D580" t="n">
        <v/>
      </c>
      <c r="E580" t="n">
        <v>74.25319</v>
      </c>
      <c r="F580" t="n">
        <v>93.39628999999999</v>
      </c>
      <c r="G580" t="n">
        <v/>
      </c>
      <c r="H580" t="n">
        <v/>
      </c>
      <c r="I580" t="n">
        <v>35.90362</v>
      </c>
      <c r="J580" t="n">
        <v>23.81312</v>
      </c>
      <c r="K580" t="n">
        <v>75.5</v>
      </c>
      <c r="L580" t="n">
        <v>80.99055</v>
      </c>
      <c r="M580" t="n">
        <v>72.29736</v>
      </c>
      <c r="N580" t="n">
        <v>76.94</v>
      </c>
      <c r="O580" t="n">
        <v>70.25879999999999</v>
      </c>
      <c r="P580" t="n">
        <v/>
      </c>
      <c r="Q580" t="n">
        <v/>
      </c>
      <c r="R580" t="n">
        <v>77.16285999999999</v>
      </c>
      <c r="S580" t="n">
        <v>80.49818</v>
      </c>
      <c r="T580" t="n">
        <v/>
      </c>
      <c r="U580" t="n">
        <v>75.60764</v>
      </c>
      <c r="V580" t="n">
        <v>75.65356</v>
      </c>
      <c r="W580" t="n">
        <v>67.33902</v>
      </c>
      <c r="X580" t="n">
        <v>37.47288</v>
      </c>
      <c r="Y580" t="n">
        <v/>
      </c>
      <c r="Z580" t="n">
        <v/>
      </c>
      <c r="AA580" t="n">
        <v>67.05056</v>
      </c>
      <c r="AB580" t="n">
        <v>41.43309</v>
      </c>
      <c r="AC580" t="n">
        <v>70.0523</v>
      </c>
      <c r="AD580" t="n">
        <v>71.50462</v>
      </c>
      <c r="AE580" t="n">
        <v>101.9486</v>
      </c>
      <c r="AF580" t="n">
        <v>64.52701999999999</v>
      </c>
      <c r="AG580" t="n">
        <v>68.67829999999999</v>
      </c>
      <c r="AH580" t="n">
        <v>71.35102000000001</v>
      </c>
      <c r="AI580" t="n">
        <v>52.71677</v>
      </c>
      <c r="AJ580" t="n">
        <v>37.39911</v>
      </c>
      <c r="AK580" t="n">
        <v>71.56225999999999</v>
      </c>
      <c r="AL580" t="n">
        <v>71.76398</v>
      </c>
      <c r="AM580" t="n">
        <v>65.16739</v>
      </c>
      <c r="AN580" t="n">
        <v>58.70005</v>
      </c>
      <c r="AO580" t="n">
        <v>54.21034</v>
      </c>
      <c r="AP580" t="n">
        <v>67.41275</v>
      </c>
      <c r="AQ580" t="n">
        <v/>
      </c>
      <c r="AR580" t="n">
        <v/>
      </c>
      <c r="AS580" t="n">
        <v>45.97987</v>
      </c>
      <c r="AT580" t="n">
        <v/>
      </c>
      <c r="AU580" t="n">
        <v>86.90679</v>
      </c>
      <c r="AV580" t="n">
        <v>2.434229</v>
      </c>
      <c r="AW580" t="n">
        <v>69.76365</v>
      </c>
      <c r="AX580" t="n">
        <v/>
      </c>
    </row>
    <row r="581">
      <c r="A581" s="92" t="n">
        <v>35521</v>
      </c>
      <c r="B581" t="n">
        <v>73.22901</v>
      </c>
      <c r="C581" t="n">
        <v>73.51569000000001</v>
      </c>
      <c r="D581" t="n">
        <v/>
      </c>
      <c r="E581" t="n">
        <v>74.41264</v>
      </c>
      <c r="F581" t="n">
        <v>93.43687</v>
      </c>
      <c r="G581" t="n">
        <v/>
      </c>
      <c r="H581" t="n">
        <v/>
      </c>
      <c r="I581" t="n">
        <v>36.46768</v>
      </c>
      <c r="J581" t="n">
        <v>24.1733</v>
      </c>
      <c r="K581" t="n">
        <v>76.09999999999999</v>
      </c>
      <c r="L581" t="n">
        <v>80.79148000000001</v>
      </c>
      <c r="M581" t="n">
        <v>72.49431</v>
      </c>
      <c r="N581" t="n">
        <v>76.89</v>
      </c>
      <c r="O581" t="n">
        <v>70.40645000000001</v>
      </c>
      <c r="P581" t="n">
        <v/>
      </c>
      <c r="Q581" t="n">
        <v/>
      </c>
      <c r="R581" t="n">
        <v>77.54600000000001</v>
      </c>
      <c r="S581" t="n">
        <v>80.55992999999999</v>
      </c>
      <c r="T581" t="n">
        <v/>
      </c>
      <c r="U581" t="n">
        <v>75.89987000000001</v>
      </c>
      <c r="V581" t="n">
        <v>75.95577</v>
      </c>
      <c r="W581" t="n">
        <v>67.89404999999999</v>
      </c>
      <c r="X581" t="n">
        <v>38.02922</v>
      </c>
      <c r="Y581" t="n">
        <v/>
      </c>
      <c r="Z581" t="n">
        <v/>
      </c>
      <c r="AA581" t="n">
        <v>66.99552</v>
      </c>
      <c r="AB581" t="n">
        <v>41.43309</v>
      </c>
      <c r="AC581" t="n">
        <v>70.76093</v>
      </c>
      <c r="AD581" t="n">
        <v>71.60605</v>
      </c>
      <c r="AE581" t="n">
        <v>103.7175</v>
      </c>
      <c r="AF581" t="n">
        <v>64.70686000000001</v>
      </c>
      <c r="AG581" t="n">
        <v>69.3912</v>
      </c>
      <c r="AH581" t="n">
        <v>71.39122</v>
      </c>
      <c r="AI581" t="n">
        <v>53.42825</v>
      </c>
      <c r="AJ581" t="n">
        <v>37.88684</v>
      </c>
      <c r="AK581" t="n">
        <v>71.68246000000001</v>
      </c>
      <c r="AL581" t="n">
        <v>71.95138</v>
      </c>
      <c r="AM581" t="n">
        <v>65.51612</v>
      </c>
      <c r="AN581" t="n">
        <v>58.98328</v>
      </c>
      <c r="AO581" t="n">
        <v>54.7433</v>
      </c>
      <c r="AP581" t="n">
        <v>67.56408999999999</v>
      </c>
      <c r="AQ581" t="n">
        <v/>
      </c>
      <c r="AR581" t="n">
        <v/>
      </c>
      <c r="AS581" t="n">
        <v>46.36851</v>
      </c>
      <c r="AT581" t="n">
        <v/>
      </c>
      <c r="AU581" t="n">
        <v>87.30222000000001</v>
      </c>
      <c r="AV581" t="n">
        <v>2.568286</v>
      </c>
      <c r="AW581" t="n">
        <v>69.92877</v>
      </c>
      <c r="AX581" t="n">
        <v/>
      </c>
    </row>
    <row r="582">
      <c r="A582" s="92" t="n">
        <v>35551</v>
      </c>
      <c r="B582" t="n">
        <v>73.35744</v>
      </c>
      <c r="C582" t="n">
        <v>73.37138</v>
      </c>
      <c r="D582" t="n">
        <v/>
      </c>
      <c r="E582" t="n">
        <v>74.45578</v>
      </c>
      <c r="F582" t="n">
        <v>93.08242</v>
      </c>
      <c r="G582" t="n">
        <v/>
      </c>
      <c r="H582" t="n">
        <v/>
      </c>
      <c r="I582" t="n">
        <v>37.13801</v>
      </c>
      <c r="J582" t="n">
        <v>24.30999</v>
      </c>
      <c r="K582" t="n">
        <v>76.5</v>
      </c>
      <c r="L582" t="n">
        <v>80.94201</v>
      </c>
      <c r="M582" t="n">
        <v>72.89771</v>
      </c>
      <c r="N582" t="n">
        <v>77.06999999999999</v>
      </c>
      <c r="O582" t="n">
        <v>70.53206</v>
      </c>
      <c r="P582" t="n">
        <v/>
      </c>
      <c r="Q582" t="n">
        <v/>
      </c>
      <c r="R582" t="n">
        <v>77.62262</v>
      </c>
      <c r="S582" t="n">
        <v>80.58986</v>
      </c>
      <c r="T582" t="n">
        <v/>
      </c>
      <c r="U582" t="n">
        <v>75.95787</v>
      </c>
      <c r="V582" t="n">
        <v>76.15725</v>
      </c>
      <c r="W582" t="n">
        <v>67.84377000000001</v>
      </c>
      <c r="X582" t="n">
        <v>38.4157</v>
      </c>
      <c r="Y582" t="n">
        <v/>
      </c>
      <c r="Z582" t="n">
        <v/>
      </c>
      <c r="AA582" t="n">
        <v>67.21254</v>
      </c>
      <c r="AB582" t="n">
        <v>41.43309</v>
      </c>
      <c r="AC582" t="n">
        <v>71.06462000000001</v>
      </c>
      <c r="AD582" t="n">
        <v>71.87984</v>
      </c>
      <c r="AE582" t="n">
        <v>103.9841</v>
      </c>
      <c r="AF582" t="n">
        <v>64.88565</v>
      </c>
      <c r="AG582" t="n">
        <v>70.55329999999999</v>
      </c>
      <c r="AH582" t="n">
        <v>71.47102</v>
      </c>
      <c r="AI582" t="n">
        <v>53.60132</v>
      </c>
      <c r="AJ582" t="n">
        <v>38.3191</v>
      </c>
      <c r="AK582" t="n">
        <v>71.70599</v>
      </c>
      <c r="AL582" t="n">
        <v>71.8325</v>
      </c>
      <c r="AM582" t="n">
        <v>65.7094</v>
      </c>
      <c r="AN582" t="n">
        <v>59.31152</v>
      </c>
      <c r="AO582" t="n">
        <v>55.05904</v>
      </c>
      <c r="AP582" t="n">
        <v>67.74442999999999</v>
      </c>
      <c r="AQ582" t="n">
        <v/>
      </c>
      <c r="AR582" t="n">
        <v/>
      </c>
      <c r="AS582" t="n">
        <v>46.6485</v>
      </c>
      <c r="AT582" t="n">
        <v/>
      </c>
      <c r="AU582" t="n">
        <v>87.19163</v>
      </c>
      <c r="AV582" t="n">
        <v>2.718115</v>
      </c>
      <c r="AW582" t="n">
        <v>69.88749</v>
      </c>
      <c r="AX582" t="n">
        <v/>
      </c>
    </row>
    <row r="583">
      <c r="A583" s="92" t="n">
        <v>35582</v>
      </c>
      <c r="B583" t="n">
        <v>73.37984</v>
      </c>
      <c r="C583" t="n">
        <v>73.44963</v>
      </c>
      <c r="D583" t="n">
        <v/>
      </c>
      <c r="E583" t="n">
        <v>74.58907000000001</v>
      </c>
      <c r="F583" t="n">
        <v>93.07433</v>
      </c>
      <c r="G583" t="n">
        <v/>
      </c>
      <c r="H583" t="n">
        <v/>
      </c>
      <c r="I583" t="n">
        <v>37.6939</v>
      </c>
      <c r="J583" t="n">
        <v>24.47164</v>
      </c>
      <c r="K583" t="n">
        <v>77.2</v>
      </c>
      <c r="L583" t="n">
        <v>81.0373</v>
      </c>
      <c r="M583" t="n">
        <v>73.03637999999999</v>
      </c>
      <c r="N583" t="n">
        <v>77.09999999999999</v>
      </c>
      <c r="O583" t="n">
        <v>70.64767000000001</v>
      </c>
      <c r="P583" t="n">
        <v/>
      </c>
      <c r="Q583" t="n">
        <v/>
      </c>
      <c r="R583" t="n">
        <v>77.77587</v>
      </c>
      <c r="S583" t="n">
        <v>80.59010000000001</v>
      </c>
      <c r="T583" t="n">
        <v/>
      </c>
      <c r="U583" t="n">
        <v>75.95041999999999</v>
      </c>
      <c r="V583" t="n">
        <v>76.15725</v>
      </c>
      <c r="W583" t="n">
        <v>68.05943000000001</v>
      </c>
      <c r="X583" t="n">
        <v>38.79827</v>
      </c>
      <c r="Y583" t="n">
        <v/>
      </c>
      <c r="Z583" t="n">
        <v/>
      </c>
      <c r="AA583" t="n">
        <v>67.33413</v>
      </c>
      <c r="AB583" t="n">
        <v>41.64026</v>
      </c>
      <c r="AC583" t="n">
        <v>72.07693</v>
      </c>
      <c r="AD583" t="n">
        <v>71.90286</v>
      </c>
      <c r="AE583" t="n">
        <v>103.9737</v>
      </c>
      <c r="AF583" t="n">
        <v>65.0052</v>
      </c>
      <c r="AG583" t="n">
        <v>71.08159999999999</v>
      </c>
      <c r="AH583" t="n">
        <v>71.47535000000001</v>
      </c>
      <c r="AI583" t="n">
        <v>53.76477</v>
      </c>
      <c r="AJ583" t="n">
        <v>38.71233</v>
      </c>
      <c r="AK583" t="n">
        <v>71.26139999999999</v>
      </c>
      <c r="AL583" t="n">
        <v>72.12969</v>
      </c>
      <c r="AM583" t="n">
        <v>65.82259000000001</v>
      </c>
      <c r="AN583" t="n">
        <v>59.50013</v>
      </c>
      <c r="AO583" t="n">
        <v>55.46077</v>
      </c>
      <c r="AP583" t="n">
        <v>67.81332</v>
      </c>
      <c r="AQ583" t="n">
        <v/>
      </c>
      <c r="AR583" t="n">
        <v/>
      </c>
      <c r="AS583" t="n">
        <v>46.72834</v>
      </c>
      <c r="AT583" t="n">
        <v/>
      </c>
      <c r="AU583" t="n">
        <v>87.19833</v>
      </c>
      <c r="AV583" t="n">
        <v>2.813237</v>
      </c>
      <c r="AW583" t="n">
        <v>69.84621</v>
      </c>
      <c r="AX583" t="n">
        <v/>
      </c>
    </row>
    <row r="584">
      <c r="A584" s="92" t="n">
        <v>35612</v>
      </c>
      <c r="B584" t="n">
        <v>73.41522999999999</v>
      </c>
      <c r="C584" t="n">
        <v>74.15282999999999</v>
      </c>
      <c r="D584" t="n">
        <v/>
      </c>
      <c r="E584" t="n">
        <v>74.58523</v>
      </c>
      <c r="F584" t="n">
        <v>93.08754999999999</v>
      </c>
      <c r="G584" t="n">
        <v/>
      </c>
      <c r="H584" t="n">
        <v/>
      </c>
      <c r="I584" t="n">
        <v>38.06993</v>
      </c>
      <c r="J584" t="n">
        <v>24.78951</v>
      </c>
      <c r="K584" t="n">
        <v>78.5</v>
      </c>
      <c r="L584" t="n">
        <v>81.95733</v>
      </c>
      <c r="M584" t="n">
        <v>72.70993</v>
      </c>
      <c r="N584" t="n">
        <v>77.19</v>
      </c>
      <c r="O584" t="n">
        <v>70.87407</v>
      </c>
      <c r="P584" t="n">
        <v/>
      </c>
      <c r="Q584" t="n">
        <v/>
      </c>
      <c r="R584" t="n">
        <v>77.77587</v>
      </c>
      <c r="S584" t="n">
        <v>80.423</v>
      </c>
      <c r="T584" t="n">
        <v/>
      </c>
      <c r="U584" t="n">
        <v>76.04591000000001</v>
      </c>
      <c r="V584" t="n">
        <v>75.7543</v>
      </c>
      <c r="W584" t="n">
        <v>66.90000999999999</v>
      </c>
      <c r="X584" t="n">
        <v>38.99364</v>
      </c>
      <c r="Y584" t="n">
        <v/>
      </c>
      <c r="Z584" t="n">
        <v/>
      </c>
      <c r="AA584" t="n">
        <v>67.06377000000001</v>
      </c>
      <c r="AB584" t="n">
        <v>41.72313</v>
      </c>
      <c r="AC584" t="n">
        <v>72.98802000000001</v>
      </c>
      <c r="AD584" t="n">
        <v>71.97456</v>
      </c>
      <c r="AE584" t="n">
        <v>103.6655</v>
      </c>
      <c r="AF584" t="n">
        <v>65.12474</v>
      </c>
      <c r="AG584" t="n">
        <v>71.539</v>
      </c>
      <c r="AH584" t="n">
        <v>71.60455</v>
      </c>
      <c r="AI584" t="n">
        <v>55.08196</v>
      </c>
      <c r="AJ584" t="n">
        <v>39.06884</v>
      </c>
      <c r="AK584" t="n">
        <v>71.31775</v>
      </c>
      <c r="AL584" t="n">
        <v>72.1276</v>
      </c>
      <c r="AM584" t="n">
        <v>66.05264</v>
      </c>
      <c r="AN584" t="n">
        <v>59.90027</v>
      </c>
      <c r="AO584" t="n">
        <v>56.05446</v>
      </c>
      <c r="AP584" t="n">
        <v>67.90568</v>
      </c>
      <c r="AQ584" t="n">
        <v/>
      </c>
      <c r="AR584" t="n">
        <v/>
      </c>
      <c r="AS584" t="n">
        <v>46.96505</v>
      </c>
      <c r="AT584" t="n">
        <v/>
      </c>
      <c r="AU584" t="n">
        <v>86.68897</v>
      </c>
      <c r="AV584" t="n">
        <v>3.001509</v>
      </c>
      <c r="AW584" t="n">
        <v>69.97005</v>
      </c>
      <c r="AX584" t="n">
        <v/>
      </c>
    </row>
    <row r="585">
      <c r="A585" s="92" t="n">
        <v>35643</v>
      </c>
      <c r="B585" t="n">
        <v>73.42749000000001</v>
      </c>
      <c r="C585" t="n">
        <v>74.4295</v>
      </c>
      <c r="D585" t="n">
        <v/>
      </c>
      <c r="E585" t="n">
        <v>74.64447</v>
      </c>
      <c r="F585" t="n">
        <v>93.26929</v>
      </c>
      <c r="G585" t="n">
        <v/>
      </c>
      <c r="H585" t="n">
        <v/>
      </c>
      <c r="I585" t="n">
        <v>38.3724</v>
      </c>
      <c r="J585" t="n">
        <v>24.99781</v>
      </c>
      <c r="K585" t="n">
        <v>79</v>
      </c>
      <c r="L585" t="n">
        <v>82.00632</v>
      </c>
      <c r="M585" t="n">
        <v>72.86114000000001</v>
      </c>
      <c r="N585" t="n">
        <v>77.31</v>
      </c>
      <c r="O585" t="n">
        <v>71.03465</v>
      </c>
      <c r="P585" t="n">
        <v/>
      </c>
      <c r="Q585" t="n">
        <v/>
      </c>
      <c r="R585" t="n">
        <v>77.77587</v>
      </c>
      <c r="S585" t="n">
        <v>80.64001</v>
      </c>
      <c r="T585" t="n">
        <v/>
      </c>
      <c r="U585" t="n">
        <v>76.10563</v>
      </c>
      <c r="V585" t="n">
        <v>76.15725</v>
      </c>
      <c r="W585" t="n">
        <v>66.94710000000001</v>
      </c>
      <c r="X585" t="n">
        <v>39.12721</v>
      </c>
      <c r="Y585" t="n">
        <v/>
      </c>
      <c r="Z585" t="n">
        <v/>
      </c>
      <c r="AA585" t="n">
        <v>67.05399</v>
      </c>
      <c r="AB585" t="n">
        <v>41.76456</v>
      </c>
      <c r="AC585" t="n">
        <v>72.88679</v>
      </c>
      <c r="AD585" t="n">
        <v>72.09685</v>
      </c>
      <c r="AE585" t="n">
        <v>103.4579</v>
      </c>
      <c r="AF585" t="n">
        <v>65.36489</v>
      </c>
      <c r="AG585" t="n">
        <v>71.949</v>
      </c>
      <c r="AH585" t="n">
        <v>71.66551</v>
      </c>
      <c r="AI585" t="n">
        <v>56.50492</v>
      </c>
      <c r="AJ585" t="n">
        <v>39.41726</v>
      </c>
      <c r="AK585" t="n">
        <v>71.49459</v>
      </c>
      <c r="AL585" t="n">
        <v>71.92492</v>
      </c>
      <c r="AM585" t="n">
        <v>66.27263000000001</v>
      </c>
      <c r="AN585" t="n">
        <v>60.32155</v>
      </c>
      <c r="AO585" t="n">
        <v>56.52243</v>
      </c>
      <c r="AP585" t="n">
        <v>68.03052</v>
      </c>
      <c r="AQ585" t="n">
        <v/>
      </c>
      <c r="AR585" t="n">
        <v/>
      </c>
      <c r="AS585" t="n">
        <v>47.35994</v>
      </c>
      <c r="AT585" t="n">
        <v/>
      </c>
      <c r="AU585" t="n">
        <v>86.67222</v>
      </c>
      <c r="AV585" t="n">
        <v>3.199145</v>
      </c>
      <c r="AW585" t="n">
        <v>70.01133</v>
      </c>
      <c r="AX585" t="n">
        <v/>
      </c>
    </row>
    <row r="586">
      <c r="A586" s="92" t="n">
        <v>35674</v>
      </c>
      <c r="B586" t="n">
        <v>73.49133</v>
      </c>
      <c r="C586" t="n">
        <v>73.93134000000001</v>
      </c>
      <c r="D586" t="n">
        <v/>
      </c>
      <c r="E586" t="n">
        <v>74.75998</v>
      </c>
      <c r="F586" t="n">
        <v>93.26448000000001</v>
      </c>
      <c r="G586" t="n">
        <v/>
      </c>
      <c r="H586" t="n">
        <v/>
      </c>
      <c r="I586" t="n">
        <v>38.65852</v>
      </c>
      <c r="J586" t="n">
        <v>25.13993</v>
      </c>
      <c r="K586" t="n">
        <v>79.5</v>
      </c>
      <c r="L586" t="n">
        <v>81.8199</v>
      </c>
      <c r="M586" t="n">
        <v>73.23349</v>
      </c>
      <c r="N586" t="n">
        <v>77.40000000000001</v>
      </c>
      <c r="O586" t="n">
        <v>71.04730000000001</v>
      </c>
      <c r="P586" t="n">
        <v/>
      </c>
      <c r="Q586" t="n">
        <v/>
      </c>
      <c r="R586" t="n">
        <v>77.92913</v>
      </c>
      <c r="S586" t="n">
        <v>80.77276999999999</v>
      </c>
      <c r="T586" t="n">
        <v/>
      </c>
      <c r="U586" t="n">
        <v>76.34282</v>
      </c>
      <c r="V586" t="n">
        <v>76.56019999999999</v>
      </c>
      <c r="W586" t="n">
        <v>68.73213</v>
      </c>
      <c r="X586" t="n">
        <v>39.56738</v>
      </c>
      <c r="Y586" t="n">
        <v/>
      </c>
      <c r="Z586" t="n">
        <v/>
      </c>
      <c r="AA586" t="n">
        <v>67.36829</v>
      </c>
      <c r="AB586" t="n">
        <v>41.84742</v>
      </c>
      <c r="AC586" t="n">
        <v>72.78556</v>
      </c>
      <c r="AD586" t="n">
        <v>72.19302</v>
      </c>
      <c r="AE586" t="n">
        <v>104.5886</v>
      </c>
      <c r="AF586" t="n">
        <v>65.60504</v>
      </c>
      <c r="AG586" t="n">
        <v>72.3058</v>
      </c>
      <c r="AH586" t="n">
        <v>71.78951000000001</v>
      </c>
      <c r="AI586" t="n">
        <v>57.13948</v>
      </c>
      <c r="AJ586" t="n">
        <v>39.92767</v>
      </c>
      <c r="AK586" t="n">
        <v>72.30036</v>
      </c>
      <c r="AL586" t="n">
        <v>72.50951999999999</v>
      </c>
      <c r="AM586" t="n">
        <v>66.68403000000001</v>
      </c>
      <c r="AN586" t="n">
        <v>60.84998</v>
      </c>
      <c r="AO586" t="n">
        <v>57.41847</v>
      </c>
      <c r="AP586" t="n">
        <v>68.12954999999999</v>
      </c>
      <c r="AQ586" t="n">
        <v/>
      </c>
      <c r="AR586" t="n">
        <v/>
      </c>
      <c r="AS586" t="n">
        <v>47.56441</v>
      </c>
      <c r="AT586" t="n">
        <v/>
      </c>
      <c r="AU586" t="n">
        <v>87.77472</v>
      </c>
      <c r="AV586" t="n">
        <v>3.457403</v>
      </c>
      <c r="AW586" t="n">
        <v>70.17645</v>
      </c>
      <c r="AX586" t="n">
        <v/>
      </c>
    </row>
    <row r="587">
      <c r="A587" s="92" t="n">
        <v>35704</v>
      </c>
      <c r="B587" t="n">
        <v>73.65716999999999</v>
      </c>
      <c r="C587" t="n">
        <v>73.94489</v>
      </c>
      <c r="D587" t="n">
        <v/>
      </c>
      <c r="E587" t="n">
        <v>74.79472</v>
      </c>
      <c r="F587" t="n">
        <v>93.22581</v>
      </c>
      <c r="G587" t="n">
        <v/>
      </c>
      <c r="H587" t="n">
        <v/>
      </c>
      <c r="I587" t="n">
        <v>39.05091</v>
      </c>
      <c r="J587" t="n">
        <v>25.34388</v>
      </c>
      <c r="K587" t="n">
        <v>79.90000000000001</v>
      </c>
      <c r="L587" t="n">
        <v>81.68231</v>
      </c>
      <c r="M587" t="n">
        <v>73.25555</v>
      </c>
      <c r="N587" t="n">
        <v>77.40000000000001</v>
      </c>
      <c r="O587" t="n">
        <v>71.09533</v>
      </c>
      <c r="P587" t="n">
        <v/>
      </c>
      <c r="Q587" t="n">
        <v/>
      </c>
      <c r="R587" t="n">
        <v>78.23563</v>
      </c>
      <c r="S587" t="n">
        <v>80.64663</v>
      </c>
      <c r="T587" t="n">
        <v/>
      </c>
      <c r="U587" t="n">
        <v>76.56039</v>
      </c>
      <c r="V587" t="n">
        <v>76.66092999999999</v>
      </c>
      <c r="W587" t="n">
        <v>69.29244</v>
      </c>
      <c r="X587" t="n">
        <v>39.95553</v>
      </c>
      <c r="Y587" t="n">
        <v/>
      </c>
      <c r="Z587" t="n">
        <v/>
      </c>
      <c r="AA587" t="n">
        <v>67.69855</v>
      </c>
      <c r="AB587" t="n">
        <v>41.88886</v>
      </c>
      <c r="AC587" t="n">
        <v>73.69664</v>
      </c>
      <c r="AD587" t="n">
        <v>72.39742</v>
      </c>
      <c r="AE587" t="n">
        <v>104.917</v>
      </c>
      <c r="AF587" t="n">
        <v>65.72353</v>
      </c>
      <c r="AG587" t="n">
        <v>72.553</v>
      </c>
      <c r="AH587" t="n">
        <v>72.01672000000001</v>
      </c>
      <c r="AI587" t="n">
        <v>57.31255</v>
      </c>
      <c r="AJ587" t="n">
        <v>40.28704</v>
      </c>
      <c r="AK587" t="n">
        <v>72.40331999999999</v>
      </c>
      <c r="AL587" t="n">
        <v>72.58025000000001</v>
      </c>
      <c r="AM587" t="n">
        <v>67.05418</v>
      </c>
      <c r="AN587" t="n">
        <v>61.28122</v>
      </c>
      <c r="AO587" t="n">
        <v>57.89471</v>
      </c>
      <c r="AP587" t="n">
        <v>68.2037</v>
      </c>
      <c r="AQ587" t="n">
        <v/>
      </c>
      <c r="AR587" t="n">
        <v/>
      </c>
      <c r="AS587" t="n">
        <v>47.94447</v>
      </c>
      <c r="AT587" t="n">
        <v/>
      </c>
      <c r="AU587" t="n">
        <v>88.03274999999999</v>
      </c>
      <c r="AV587" t="n">
        <v>3.717633</v>
      </c>
      <c r="AW587" t="n">
        <v>70.50669000000001</v>
      </c>
      <c r="AX587" t="n">
        <v/>
      </c>
    </row>
    <row r="588">
      <c r="A588" s="92" t="n">
        <v>35735</v>
      </c>
      <c r="B588" t="n">
        <v>73.61181999999999</v>
      </c>
      <c r="C588" t="n">
        <v>74.11915</v>
      </c>
      <c r="D588" t="n">
        <v/>
      </c>
      <c r="E588" t="n">
        <v>74.64931</v>
      </c>
      <c r="F588" t="n">
        <v>93.18510999999999</v>
      </c>
      <c r="G588" t="n">
        <v/>
      </c>
      <c r="H588" t="n">
        <v/>
      </c>
      <c r="I588" t="n">
        <v>39.30433</v>
      </c>
      <c r="J588" t="n">
        <v>25.57496</v>
      </c>
      <c r="K588" t="n">
        <v>80.3</v>
      </c>
      <c r="L588" t="n">
        <v>81.69466</v>
      </c>
      <c r="M588" t="n">
        <v>73.42144</v>
      </c>
      <c r="N588" t="n">
        <v>77.47</v>
      </c>
      <c r="O588" t="n">
        <v>71.19991</v>
      </c>
      <c r="P588" t="n">
        <v/>
      </c>
      <c r="Q588" t="n">
        <v/>
      </c>
      <c r="R588" t="n">
        <v>78.23563</v>
      </c>
      <c r="S588" t="n">
        <v>80.62573</v>
      </c>
      <c r="T588" t="n">
        <v/>
      </c>
      <c r="U588" t="n">
        <v>76.58646</v>
      </c>
      <c r="V588" t="n">
        <v>76.96314</v>
      </c>
      <c r="W588" t="n">
        <v>69.36667</v>
      </c>
      <c r="X588" t="n">
        <v>40.3102</v>
      </c>
      <c r="Y588" t="n">
        <v/>
      </c>
      <c r="Z588" t="n">
        <v/>
      </c>
      <c r="AA588" t="n">
        <v>67.88969</v>
      </c>
      <c r="AB588" t="n">
        <v>41.88886</v>
      </c>
      <c r="AC588" t="n">
        <v>73.59541</v>
      </c>
      <c r="AD588" t="n">
        <v>72.69887</v>
      </c>
      <c r="AE588" t="n">
        <v>104.7996</v>
      </c>
      <c r="AF588" t="n">
        <v>65.78489</v>
      </c>
      <c r="AG588" t="n">
        <v>72.9389</v>
      </c>
      <c r="AH588" t="n">
        <v>72.05988000000001</v>
      </c>
      <c r="AI588" t="n">
        <v>57.43754</v>
      </c>
      <c r="AJ588" t="n">
        <v>40.7015</v>
      </c>
      <c r="AK588" t="n">
        <v>72.33192</v>
      </c>
      <c r="AL588" t="n">
        <v>72.64305</v>
      </c>
      <c r="AM588" t="n">
        <v>67.24511</v>
      </c>
      <c r="AN588" t="n">
        <v>61.67131</v>
      </c>
      <c r="AO588" t="n">
        <v>58.40643</v>
      </c>
      <c r="AP588" t="n">
        <v>68.30253999999999</v>
      </c>
      <c r="AQ588" t="n">
        <v/>
      </c>
      <c r="AR588" t="n">
        <v/>
      </c>
      <c r="AS588" t="n">
        <v>48.2458</v>
      </c>
      <c r="AT588" t="n">
        <v/>
      </c>
      <c r="AU588" t="n">
        <v>87.97578</v>
      </c>
      <c r="AV588" t="n">
        <v>3.914283</v>
      </c>
      <c r="AW588" t="n">
        <v>70.50669000000001</v>
      </c>
      <c r="AX588" t="n">
        <v/>
      </c>
    </row>
    <row r="589">
      <c r="A589" s="92" t="n">
        <v>35765</v>
      </c>
      <c r="B589" t="n">
        <v>73.78700000000001</v>
      </c>
      <c r="C589" t="n">
        <v>74.18608</v>
      </c>
      <c r="D589" t="n">
        <v/>
      </c>
      <c r="E589" t="n">
        <v>74.58488</v>
      </c>
      <c r="F589" t="n">
        <v>93.20762999999999</v>
      </c>
      <c r="G589" t="n">
        <v/>
      </c>
      <c r="H589" t="n">
        <v/>
      </c>
      <c r="I589" t="n">
        <v>39.59044</v>
      </c>
      <c r="J589" t="n">
        <v>25.71817</v>
      </c>
      <c r="K589" t="n">
        <v>80.7</v>
      </c>
      <c r="L589" t="n">
        <v>81.88647</v>
      </c>
      <c r="M589" t="n">
        <v>73.43256</v>
      </c>
      <c r="N589" t="n">
        <v>77.59</v>
      </c>
      <c r="O589" t="n">
        <v>71.3065</v>
      </c>
      <c r="P589" t="n">
        <v/>
      </c>
      <c r="Q589" t="n">
        <v/>
      </c>
      <c r="R589" t="n">
        <v>78.31225999999999</v>
      </c>
      <c r="S589" t="n">
        <v>80.74104</v>
      </c>
      <c r="T589" t="n">
        <v/>
      </c>
      <c r="U589" t="n">
        <v>76.58315</v>
      </c>
      <c r="V589" t="n">
        <v>77.06388</v>
      </c>
      <c r="W589" t="n">
        <v>70.08386</v>
      </c>
      <c r="X589" t="n">
        <v>40.63985</v>
      </c>
      <c r="Y589" t="n">
        <v/>
      </c>
      <c r="Z589" t="n">
        <v/>
      </c>
      <c r="AA589" t="n">
        <v>68.07111</v>
      </c>
      <c r="AB589" t="n">
        <v>41.84742</v>
      </c>
      <c r="AC589" t="n">
        <v>73.39294</v>
      </c>
      <c r="AD589" t="n">
        <v>72.66517</v>
      </c>
      <c r="AE589" t="n">
        <v>104.7084</v>
      </c>
      <c r="AF589" t="n">
        <v>66.08322</v>
      </c>
      <c r="AG589" t="n">
        <v>73.12009999999999</v>
      </c>
      <c r="AH589" t="n">
        <v>72.04221</v>
      </c>
      <c r="AI589" t="n">
        <v>57.53368</v>
      </c>
      <c r="AJ589" t="n">
        <v>41.2384</v>
      </c>
      <c r="AK589" t="n">
        <v>72.10863999999999</v>
      </c>
      <c r="AL589" t="n">
        <v>72.69067</v>
      </c>
      <c r="AM589" t="n">
        <v>67.42567</v>
      </c>
      <c r="AN589" t="n">
        <v>62.02939</v>
      </c>
      <c r="AO589" t="n">
        <v>58.7656</v>
      </c>
      <c r="AP589" t="n">
        <v>68.34408999999999</v>
      </c>
      <c r="AQ589" t="n">
        <v/>
      </c>
      <c r="AR589" t="n">
        <v/>
      </c>
      <c r="AS589" t="n">
        <v>48.44041</v>
      </c>
      <c r="AT589" t="n">
        <v/>
      </c>
      <c r="AU589" t="n">
        <v>87.94562999999999</v>
      </c>
      <c r="AV589" t="n">
        <v>4.10157</v>
      </c>
      <c r="AW589" t="n">
        <v>70.46541999999999</v>
      </c>
      <c r="AX589" t="n">
        <v/>
      </c>
    </row>
    <row r="590">
      <c r="A590" s="92" t="n">
        <v>35796</v>
      </c>
      <c r="B590" t="n">
        <v>73.83264</v>
      </c>
      <c r="C590" t="n">
        <v>74.60151</v>
      </c>
      <c r="D590" t="n">
        <v/>
      </c>
      <c r="E590" t="n">
        <v>74.89555</v>
      </c>
      <c r="F590" t="n">
        <v>93.26031</v>
      </c>
      <c r="G590" t="n">
        <v/>
      </c>
      <c r="H590" t="n">
        <v/>
      </c>
      <c r="I590" t="n">
        <v>39.98283</v>
      </c>
      <c r="J590" t="n">
        <v>26.10656</v>
      </c>
      <c r="K590" t="n">
        <v>82</v>
      </c>
      <c r="L590" t="n">
        <v>81.9046</v>
      </c>
      <c r="M590" t="n">
        <v>73.08029000000001</v>
      </c>
      <c r="N590" t="n">
        <v>77.43000000000001</v>
      </c>
      <c r="O590" t="n">
        <v>71.59997</v>
      </c>
      <c r="P590" t="n">
        <v>59.99063</v>
      </c>
      <c r="Q590" t="n">
        <v/>
      </c>
      <c r="R590" t="n">
        <v>78.23563</v>
      </c>
      <c r="S590" t="n">
        <v>80.44911</v>
      </c>
      <c r="T590" t="n">
        <v/>
      </c>
      <c r="U590" t="n">
        <v>76.56977000000001</v>
      </c>
      <c r="V590" t="n">
        <v>76.25799000000001</v>
      </c>
      <c r="W590" t="n">
        <v>68.97047000000001</v>
      </c>
      <c r="X590" t="n">
        <v>41.86122</v>
      </c>
      <c r="Y590" t="n">
        <v/>
      </c>
      <c r="Z590" t="n">
        <v/>
      </c>
      <c r="AA590" t="n">
        <v>67.55779</v>
      </c>
      <c r="AB590" t="n">
        <v>42.09602</v>
      </c>
      <c r="AC590" t="n">
        <v>73.59541</v>
      </c>
      <c r="AD590" t="n">
        <v>72.86326</v>
      </c>
      <c r="AE590" t="n">
        <v>103.9162</v>
      </c>
      <c r="AF590" t="n">
        <v>67.27973</v>
      </c>
      <c r="AG590" t="n">
        <v>73.4699</v>
      </c>
      <c r="AH590" t="n">
        <v>72.17888000000001</v>
      </c>
      <c r="AI590" t="n">
        <v>58.12979</v>
      </c>
      <c r="AJ590" t="n">
        <v>42.13432</v>
      </c>
      <c r="AK590" t="n">
        <v>71.75559</v>
      </c>
      <c r="AL590" t="n">
        <v>72.73681000000001</v>
      </c>
      <c r="AM590" t="n">
        <v>67.65473</v>
      </c>
      <c r="AN590" t="n">
        <v>62.25472</v>
      </c>
      <c r="AO590" t="n">
        <v>60.44121</v>
      </c>
      <c r="AP590" t="n">
        <v>68.30607999999999</v>
      </c>
      <c r="AQ590" t="n">
        <v/>
      </c>
      <c r="AR590" t="n">
        <v/>
      </c>
      <c r="AS590" t="n">
        <v>49.47737</v>
      </c>
      <c r="AT590" t="n">
        <v/>
      </c>
      <c r="AU590" t="n">
        <v>86.77945</v>
      </c>
      <c r="AV590" t="n">
        <v>4.390385</v>
      </c>
      <c r="AW590" t="n">
        <v>70.67180999999999</v>
      </c>
      <c r="AX590" t="n">
        <v/>
      </c>
    </row>
    <row r="591">
      <c r="A591" s="92" t="n">
        <v>35827</v>
      </c>
      <c r="B591" t="n">
        <v>73.97563</v>
      </c>
      <c r="C591" t="n">
        <v>74.86189</v>
      </c>
      <c r="D591" t="n">
        <v/>
      </c>
      <c r="E591" t="n">
        <v>75.25682999999999</v>
      </c>
      <c r="F591" t="n">
        <v>93.41396</v>
      </c>
      <c r="G591" t="n">
        <v/>
      </c>
      <c r="H591" t="n">
        <v/>
      </c>
      <c r="I591" t="n">
        <v>40.64499</v>
      </c>
      <c r="J591" t="n">
        <v>26.39839</v>
      </c>
      <c r="K591" t="n">
        <v>82.7</v>
      </c>
      <c r="L591" t="n">
        <v>82.22134</v>
      </c>
      <c r="M591" t="n">
        <v>73.54022999999999</v>
      </c>
      <c r="N591" t="n">
        <v>77.78</v>
      </c>
      <c r="O591" t="n">
        <v>71.74379999999999</v>
      </c>
      <c r="P591" t="n">
        <v>60.6717</v>
      </c>
      <c r="Q591" t="n">
        <v/>
      </c>
      <c r="R591" t="n">
        <v>78.15900000000001</v>
      </c>
      <c r="S591" t="n">
        <v>80.86727</v>
      </c>
      <c r="T591" t="n">
        <v/>
      </c>
      <c r="U591" t="n">
        <v>76.87114</v>
      </c>
      <c r="V591" t="n">
        <v>76.56019999999999</v>
      </c>
      <c r="W591" t="n">
        <v>68.59172</v>
      </c>
      <c r="X591" t="n">
        <v>42.71401</v>
      </c>
      <c r="Y591" t="n">
        <v/>
      </c>
      <c r="Z591" t="n">
        <v/>
      </c>
      <c r="AA591" t="n">
        <v>67.92534999999999</v>
      </c>
      <c r="AB591" t="n">
        <v>42.01316</v>
      </c>
      <c r="AC591" t="n">
        <v>73.59541</v>
      </c>
      <c r="AD591" t="n">
        <v>73.13227999999999</v>
      </c>
      <c r="AE591" t="n">
        <v>103.7388</v>
      </c>
      <c r="AF591" t="n">
        <v>67.93882000000001</v>
      </c>
      <c r="AG591" t="n">
        <v>74.3058</v>
      </c>
      <c r="AH591" t="n">
        <v>72.20914</v>
      </c>
      <c r="AI591" t="n">
        <v>58.19709</v>
      </c>
      <c r="AJ591" t="n">
        <v>42.88329</v>
      </c>
      <c r="AK591" t="n">
        <v>72.26685000000001</v>
      </c>
      <c r="AL591" t="n">
        <v>73.17925</v>
      </c>
      <c r="AM591" t="n">
        <v>68.03506</v>
      </c>
      <c r="AN591" t="n">
        <v>62.66453</v>
      </c>
      <c r="AO591" t="n">
        <v>61.86592</v>
      </c>
      <c r="AP591" t="n">
        <v>68.18689000000001</v>
      </c>
      <c r="AQ591" t="n">
        <v/>
      </c>
      <c r="AR591" t="n">
        <v/>
      </c>
      <c r="AS591" t="n">
        <v>49.77114</v>
      </c>
      <c r="AT591" t="n">
        <v/>
      </c>
      <c r="AU591" t="n">
        <v>86.63200000000001</v>
      </c>
      <c r="AV591" t="n">
        <v>4.562392</v>
      </c>
      <c r="AW591" t="n">
        <v>71.04333</v>
      </c>
      <c r="AX591" t="n">
        <v/>
      </c>
    </row>
    <row r="592">
      <c r="A592" s="92" t="n">
        <v>35855</v>
      </c>
      <c r="B592" t="n">
        <v>74.07405</v>
      </c>
      <c r="C592" t="n">
        <v>74.7547</v>
      </c>
      <c r="D592" t="n">
        <v/>
      </c>
      <c r="E592" t="n">
        <v>75.39917</v>
      </c>
      <c r="F592" t="n">
        <v>93.45256999999999</v>
      </c>
      <c r="G592" t="n">
        <v/>
      </c>
      <c r="H592" t="n">
        <v/>
      </c>
      <c r="I592" t="n">
        <v>42.15732</v>
      </c>
      <c r="J592" t="n">
        <v>26.60777</v>
      </c>
      <c r="K592" t="n">
        <v>82.90000000000001</v>
      </c>
      <c r="L592" t="n">
        <v>82.18680000000001</v>
      </c>
      <c r="M592" t="n">
        <v>73.8096</v>
      </c>
      <c r="N592" t="n">
        <v>77.98</v>
      </c>
      <c r="O592" t="n">
        <v>71.86874</v>
      </c>
      <c r="P592" t="n">
        <v>61.40952</v>
      </c>
      <c r="Q592" t="n">
        <v/>
      </c>
      <c r="R592" t="n">
        <v>78.46552</v>
      </c>
      <c r="S592" t="n">
        <v>81.09209</v>
      </c>
      <c r="T592" t="n">
        <v/>
      </c>
      <c r="U592" t="n">
        <v>77.08754</v>
      </c>
      <c r="V592" t="n">
        <v>76.86241</v>
      </c>
      <c r="W592" t="n">
        <v>70.92949</v>
      </c>
      <c r="X592" t="n">
        <v>43.27185</v>
      </c>
      <c r="Y592" t="n">
        <v/>
      </c>
      <c r="Z592" t="n">
        <v/>
      </c>
      <c r="AA592" t="n">
        <v>68.34968000000001</v>
      </c>
      <c r="AB592" t="n">
        <v>42.22032</v>
      </c>
      <c r="AC592" t="n">
        <v>73.39294</v>
      </c>
      <c r="AD592" t="n">
        <v>73.44031</v>
      </c>
      <c r="AE592" t="n">
        <v>104.1465</v>
      </c>
      <c r="AF592" t="n">
        <v>68.4773</v>
      </c>
      <c r="AG592" t="n">
        <v>74.917</v>
      </c>
      <c r="AH592" t="n">
        <v>72.25225</v>
      </c>
      <c r="AI592" t="n">
        <v>58.32208</v>
      </c>
      <c r="AJ592" t="n">
        <v>43.3976</v>
      </c>
      <c r="AK592" t="n">
        <v>72.98283000000001</v>
      </c>
      <c r="AL592" t="n">
        <v>73.59921</v>
      </c>
      <c r="AM592" t="n">
        <v>68.37101</v>
      </c>
      <c r="AN592" t="n">
        <v>63.03782</v>
      </c>
      <c r="AO592" t="n">
        <v>62.34479</v>
      </c>
      <c r="AP592" t="n">
        <v>68.38985</v>
      </c>
      <c r="AQ592" t="n">
        <v/>
      </c>
      <c r="AR592" t="n">
        <v/>
      </c>
      <c r="AS592" t="n">
        <v>50.03898</v>
      </c>
      <c r="AT592" t="n">
        <v/>
      </c>
      <c r="AU592" t="n">
        <v>86.87327999999999</v>
      </c>
      <c r="AV592" t="n">
        <v>4.760029</v>
      </c>
      <c r="AW592" t="n">
        <v>71.24974</v>
      </c>
      <c r="AX592" t="n">
        <v/>
      </c>
    </row>
    <row r="593">
      <c r="A593" s="92" t="n">
        <v>35886</v>
      </c>
      <c r="B593" t="n">
        <v>74.25288</v>
      </c>
      <c r="C593" t="n">
        <v>74.88036</v>
      </c>
      <c r="D593" t="n">
        <v/>
      </c>
      <c r="E593" t="n">
        <v>75.32590999999999</v>
      </c>
      <c r="F593" t="n">
        <v>93.48164</v>
      </c>
      <c r="G593" t="n">
        <v/>
      </c>
      <c r="H593" t="n">
        <v/>
      </c>
      <c r="I593" t="n">
        <v>42.84401</v>
      </c>
      <c r="J593" t="n">
        <v>26.76833</v>
      </c>
      <c r="K593" t="n">
        <v>83.3</v>
      </c>
      <c r="L593" t="n">
        <v>82.19498</v>
      </c>
      <c r="M593" t="n">
        <v>73.90801999999999</v>
      </c>
      <c r="N593" t="n">
        <v>78.09999999999999</v>
      </c>
      <c r="O593" t="n">
        <v>72.11969000000001</v>
      </c>
      <c r="P593" t="n">
        <v>61.6933</v>
      </c>
      <c r="Q593" t="n">
        <v/>
      </c>
      <c r="R593" t="n">
        <v>78.92527</v>
      </c>
      <c r="S593" t="n">
        <v>81.21044000000001</v>
      </c>
      <c r="T593" t="n">
        <v/>
      </c>
      <c r="U593" t="n">
        <v>77.25539000000001</v>
      </c>
      <c r="V593" t="n">
        <v>77.16462</v>
      </c>
      <c r="W593" t="n">
        <v>72.10596</v>
      </c>
      <c r="X593" t="n">
        <v>43.72621</v>
      </c>
      <c r="Y593" t="n">
        <v/>
      </c>
      <c r="Z593" t="n">
        <v/>
      </c>
      <c r="AA593" t="n">
        <v>68.53117</v>
      </c>
      <c r="AB593" t="n">
        <v>42.38605</v>
      </c>
      <c r="AC593" t="n">
        <v>74.50649</v>
      </c>
      <c r="AD593" t="n">
        <v>73.49021</v>
      </c>
      <c r="AE593" t="n">
        <v>104.5968</v>
      </c>
      <c r="AF593" t="n">
        <v>68.59685</v>
      </c>
      <c r="AG593" t="n">
        <v>75.6555</v>
      </c>
      <c r="AH593" t="n">
        <v>72.19059</v>
      </c>
      <c r="AI593" t="n">
        <v>58.87973</v>
      </c>
      <c r="AJ593" t="n">
        <v>43.84002</v>
      </c>
      <c r="AK593" t="n">
        <v>73.10544</v>
      </c>
      <c r="AL593" t="n">
        <v>73.76706</v>
      </c>
      <c r="AM593" t="n">
        <v>68.66992</v>
      </c>
      <c r="AN593" t="n">
        <v>63.40921</v>
      </c>
      <c r="AO593" t="n">
        <v>62.776</v>
      </c>
      <c r="AP593" t="n">
        <v>68.89360000000001</v>
      </c>
      <c r="AQ593" t="n">
        <v/>
      </c>
      <c r="AR593" t="n">
        <v/>
      </c>
      <c r="AS593" t="n">
        <v>50.1863</v>
      </c>
      <c r="AT593" t="n">
        <v/>
      </c>
      <c r="AU593" t="n">
        <v>87.02408</v>
      </c>
      <c r="AV593" t="n">
        <v>5.028144</v>
      </c>
      <c r="AW593" t="n">
        <v>71.41486</v>
      </c>
      <c r="AX593" t="n">
        <v/>
      </c>
    </row>
    <row r="594">
      <c r="A594" s="92" t="n">
        <v>35916</v>
      </c>
      <c r="B594" t="n">
        <v>74.2332</v>
      </c>
      <c r="C594" t="n">
        <v>75.20511999999999</v>
      </c>
      <c r="D594" t="n">
        <v/>
      </c>
      <c r="E594" t="n">
        <v>75.46759</v>
      </c>
      <c r="F594" t="n">
        <v>93.24312999999999</v>
      </c>
      <c r="G594" t="n">
        <v/>
      </c>
      <c r="H594" t="n">
        <v/>
      </c>
      <c r="I594" t="n">
        <v>43.50616</v>
      </c>
      <c r="J594" t="n">
        <v>26.9213</v>
      </c>
      <c r="K594" t="n">
        <v>83.5</v>
      </c>
      <c r="L594" t="n">
        <v>82.27001</v>
      </c>
      <c r="M594" t="n">
        <v>74.28142</v>
      </c>
      <c r="N594" t="n">
        <v>78.23999999999999</v>
      </c>
      <c r="O594" t="n">
        <v>72.28162</v>
      </c>
      <c r="P594" t="n">
        <v>61.92033</v>
      </c>
      <c r="Q594" t="n">
        <v/>
      </c>
      <c r="R594" t="n">
        <v>78.77202</v>
      </c>
      <c r="S594" t="n">
        <v>81.2527</v>
      </c>
      <c r="T594" t="n">
        <v/>
      </c>
      <c r="U594" t="n">
        <v>77.33208</v>
      </c>
      <c r="V594" t="n">
        <v>77.46683</v>
      </c>
      <c r="W594" t="n">
        <v>71.97262000000001</v>
      </c>
      <c r="X594" t="n">
        <v>44.10947</v>
      </c>
      <c r="Y594" t="n">
        <v/>
      </c>
      <c r="Z594" t="n">
        <v/>
      </c>
      <c r="AA594" t="n">
        <v>68.72238</v>
      </c>
      <c r="AB594" t="n">
        <v>42.46892</v>
      </c>
      <c r="AC594" t="n">
        <v>74.60773</v>
      </c>
      <c r="AD594" t="n">
        <v>73.67506</v>
      </c>
      <c r="AE594" t="n">
        <v>104.6219</v>
      </c>
      <c r="AF594" t="n">
        <v>68.4773</v>
      </c>
      <c r="AG594" t="n">
        <v>76.6066</v>
      </c>
      <c r="AH594" t="n">
        <v>72.33011</v>
      </c>
      <c r="AI594" t="n">
        <v>59.01433</v>
      </c>
      <c r="AJ594" t="n">
        <v>44.21526</v>
      </c>
      <c r="AK594" t="n">
        <v>73.00362</v>
      </c>
      <c r="AL594" t="n">
        <v>73.74603</v>
      </c>
      <c r="AM594" t="n">
        <v>68.85526</v>
      </c>
      <c r="AN594" t="n">
        <v>63.72498</v>
      </c>
      <c r="AO594" t="n">
        <v>63.04836</v>
      </c>
      <c r="AP594" t="n">
        <v>69.39008</v>
      </c>
      <c r="AQ594" t="n">
        <v/>
      </c>
      <c r="AR594" t="n">
        <v/>
      </c>
      <c r="AS594" t="n">
        <v>50.32529</v>
      </c>
      <c r="AT594" t="n">
        <v/>
      </c>
      <c r="AU594" t="n">
        <v>87.13467</v>
      </c>
      <c r="AV594" t="n">
        <v>5.269644</v>
      </c>
      <c r="AW594" t="n">
        <v>71.45614</v>
      </c>
      <c r="AX594" t="n">
        <v/>
      </c>
    </row>
    <row r="595">
      <c r="A595" s="92" t="n">
        <v>35947</v>
      </c>
      <c r="B595" t="n">
        <v>74.25803000000001</v>
      </c>
      <c r="C595" t="n">
        <v>75.21191</v>
      </c>
      <c r="D595" t="n">
        <v/>
      </c>
      <c r="E595" t="n">
        <v>75.46372</v>
      </c>
      <c r="F595" t="n">
        <v>93.24854000000001</v>
      </c>
      <c r="G595" t="n">
        <v/>
      </c>
      <c r="H595" t="n">
        <v/>
      </c>
      <c r="I595" t="n">
        <v>44.02117</v>
      </c>
      <c r="J595" t="n">
        <v>27.14045</v>
      </c>
      <c r="K595" t="n">
        <v>83.8</v>
      </c>
      <c r="L595" t="n">
        <v>82.41081</v>
      </c>
      <c r="M595" t="n">
        <v>74.3364</v>
      </c>
      <c r="N595" t="n">
        <v>78.34</v>
      </c>
      <c r="O595" t="n">
        <v>72.42834999999999</v>
      </c>
      <c r="P595" t="n">
        <v>62.2041</v>
      </c>
      <c r="Q595" t="n">
        <v/>
      </c>
      <c r="R595" t="n">
        <v>78.92527</v>
      </c>
      <c r="S595" t="n">
        <v>81.32407000000001</v>
      </c>
      <c r="T595" t="n">
        <v/>
      </c>
      <c r="U595" t="n">
        <v>77.31767000000001</v>
      </c>
      <c r="V595" t="n">
        <v>77.3661</v>
      </c>
      <c r="W595" t="n">
        <v>72.49812</v>
      </c>
      <c r="X595" t="n">
        <v>44.33042</v>
      </c>
      <c r="Y595" t="n">
        <v/>
      </c>
      <c r="Z595" t="n">
        <v/>
      </c>
      <c r="AA595" t="n">
        <v>68.95892000000001</v>
      </c>
      <c r="AB595" t="n">
        <v>42.55179</v>
      </c>
      <c r="AC595" t="n">
        <v>75.21512</v>
      </c>
      <c r="AD595" t="n">
        <v>73.75501</v>
      </c>
      <c r="AE595" t="n">
        <v>104.5396</v>
      </c>
      <c r="AF595" t="n">
        <v>68.3567</v>
      </c>
      <c r="AG595" t="n">
        <v>77.0214</v>
      </c>
      <c r="AH595" t="n">
        <v>72.33435</v>
      </c>
      <c r="AI595" t="n">
        <v>59.61043</v>
      </c>
      <c r="AJ595" t="n">
        <v>44.61225</v>
      </c>
      <c r="AK595" t="n">
        <v>72.70528</v>
      </c>
      <c r="AL595" t="n">
        <v>73.93326999999999</v>
      </c>
      <c r="AM595" t="n">
        <v>68.97349</v>
      </c>
      <c r="AN595" t="n">
        <v>63.97552</v>
      </c>
      <c r="AO595" t="n">
        <v>63.39754</v>
      </c>
      <c r="AP595" t="n">
        <v>69.50899</v>
      </c>
      <c r="AQ595" t="n">
        <v/>
      </c>
      <c r="AR595" t="n">
        <v/>
      </c>
      <c r="AS595" t="n">
        <v>50.41796</v>
      </c>
      <c r="AT595" t="n">
        <v/>
      </c>
      <c r="AU595" t="n">
        <v>86.83642</v>
      </c>
      <c r="AV595" t="n">
        <v>5.496359</v>
      </c>
      <c r="AW595" t="n">
        <v>71.41486</v>
      </c>
      <c r="AX595" t="n">
        <v/>
      </c>
    </row>
    <row r="596">
      <c r="A596" s="92" t="n">
        <v>35977</v>
      </c>
      <c r="B596" t="n">
        <v>74.24072</v>
      </c>
      <c r="C596" t="n">
        <v>75.45898</v>
      </c>
      <c r="D596" t="n">
        <v/>
      </c>
      <c r="E596" t="n">
        <v>75.58844999999999</v>
      </c>
      <c r="F596" t="n">
        <v>93.25317</v>
      </c>
      <c r="G596" t="n">
        <v/>
      </c>
      <c r="H596" t="n">
        <v/>
      </c>
      <c r="I596" t="n">
        <v>44.41356</v>
      </c>
      <c r="J596" t="n">
        <v>27.53426</v>
      </c>
      <c r="K596" t="n">
        <v>84.59999999999999</v>
      </c>
      <c r="L596" t="n">
        <v>82.88992</v>
      </c>
      <c r="M596" t="n">
        <v>74.05953</v>
      </c>
      <c r="N596" t="n">
        <v>78.39</v>
      </c>
      <c r="O596" t="n">
        <v>72.70814</v>
      </c>
      <c r="P596" t="n">
        <v>62.37437</v>
      </c>
      <c r="Q596" t="n">
        <v/>
      </c>
      <c r="R596" t="n">
        <v>78.77202</v>
      </c>
      <c r="S596" t="n">
        <v>81.10854999999999</v>
      </c>
      <c r="T596" t="n">
        <v/>
      </c>
      <c r="U596" t="n">
        <v>77.34653</v>
      </c>
      <c r="V596" t="n">
        <v>76.76167</v>
      </c>
      <c r="W596" t="n">
        <v>71.24606</v>
      </c>
      <c r="X596" t="n">
        <v>44.58474</v>
      </c>
      <c r="Y596" t="n">
        <v/>
      </c>
      <c r="Z596" t="n">
        <v/>
      </c>
      <c r="AA596" t="n">
        <v>68.74196999999999</v>
      </c>
      <c r="AB596" t="n">
        <v>42.59322</v>
      </c>
      <c r="AC596" t="n">
        <v>75.11387999999999</v>
      </c>
      <c r="AD596" t="n">
        <v>73.83537</v>
      </c>
      <c r="AE596" t="n">
        <v>104.1372</v>
      </c>
      <c r="AF596" t="n">
        <v>68.3567</v>
      </c>
      <c r="AG596" t="n">
        <v>77.7085</v>
      </c>
      <c r="AH596" t="n">
        <v>72.51078</v>
      </c>
      <c r="AI596" t="n">
        <v>59.82195</v>
      </c>
      <c r="AJ596" t="n">
        <v>44.98913</v>
      </c>
      <c r="AK596" t="n">
        <v>72.92673000000001</v>
      </c>
      <c r="AL596" t="n">
        <v>73.77119999999999</v>
      </c>
      <c r="AM596" t="n">
        <v>69.10841000000001</v>
      </c>
      <c r="AN596" t="n">
        <v>64.16513999999999</v>
      </c>
      <c r="AO596" t="n">
        <v>63.98481</v>
      </c>
      <c r="AP596" t="n">
        <v>69.6482</v>
      </c>
      <c r="AQ596" t="n">
        <v/>
      </c>
      <c r="AR596" t="n">
        <v/>
      </c>
      <c r="AS596" t="n">
        <v>50.56068</v>
      </c>
      <c r="AT596" t="n">
        <v/>
      </c>
      <c r="AU596" t="n">
        <v>86.50466</v>
      </c>
      <c r="AV596" t="n">
        <v>5.68956</v>
      </c>
      <c r="AW596" t="n">
        <v>71.53870000000001</v>
      </c>
      <c r="AX596" t="n">
        <v/>
      </c>
    </row>
    <row r="597">
      <c r="A597" s="92" t="n">
        <v>36008</v>
      </c>
      <c r="B597" t="n">
        <v>74.37072999999999</v>
      </c>
      <c r="C597" t="n">
        <v>75.43472</v>
      </c>
      <c r="D597" t="n">
        <v/>
      </c>
      <c r="E597" t="n">
        <v>75.69992999999999</v>
      </c>
      <c r="F597" t="n">
        <v>93.69363</v>
      </c>
      <c r="G597" t="n">
        <v/>
      </c>
      <c r="H597" t="n">
        <v/>
      </c>
      <c r="I597" t="n">
        <v>44.84682</v>
      </c>
      <c r="J597" t="n">
        <v>27.8326</v>
      </c>
      <c r="K597" t="n">
        <v>84.7</v>
      </c>
      <c r="L597" t="n">
        <v>82.82162</v>
      </c>
      <c r="M597" t="n">
        <v>74.31961</v>
      </c>
      <c r="N597" t="n">
        <v>78.55</v>
      </c>
      <c r="O597" t="n">
        <v>72.9547</v>
      </c>
      <c r="P597" t="n">
        <v>62.48788</v>
      </c>
      <c r="Q597" t="n">
        <v/>
      </c>
      <c r="R597" t="n">
        <v>78.92527</v>
      </c>
      <c r="S597" t="n">
        <v>81.3312</v>
      </c>
      <c r="T597" t="n">
        <v/>
      </c>
      <c r="U597" t="n">
        <v>77.49355</v>
      </c>
      <c r="V597" t="n">
        <v>77.06388</v>
      </c>
      <c r="W597" t="n">
        <v>71.32863</v>
      </c>
      <c r="X597" t="n">
        <v>44.62128</v>
      </c>
      <c r="Y597" t="n">
        <v/>
      </c>
      <c r="Z597" t="n">
        <v/>
      </c>
      <c r="AA597" t="n">
        <v>68.98314999999999</v>
      </c>
      <c r="AB597" t="n">
        <v>42.34462</v>
      </c>
      <c r="AC597" t="n">
        <v>75.31635</v>
      </c>
      <c r="AD597" t="n">
        <v>73.95237</v>
      </c>
      <c r="AE597" t="n">
        <v>104.0421</v>
      </c>
      <c r="AF597" t="n">
        <v>68.17791</v>
      </c>
      <c r="AG597" t="n">
        <v>77.8672</v>
      </c>
      <c r="AH597" t="n">
        <v>72.52737</v>
      </c>
      <c r="AI597" t="n">
        <v>60.04309</v>
      </c>
      <c r="AJ597" t="n">
        <v>45.46501</v>
      </c>
      <c r="AK597" t="n">
        <v>73.05387</v>
      </c>
      <c r="AL597" t="n">
        <v>73.70245</v>
      </c>
      <c r="AM597" t="n">
        <v>69.35272000000001</v>
      </c>
      <c r="AN597" t="n">
        <v>64.49472</v>
      </c>
      <c r="AO597" t="n">
        <v>64.42780999999999</v>
      </c>
      <c r="AP597" t="n">
        <v>69.53458000000001</v>
      </c>
      <c r="AQ597" t="n">
        <v/>
      </c>
      <c r="AR597" t="n">
        <v/>
      </c>
      <c r="AS597" t="n">
        <v>50.57739</v>
      </c>
      <c r="AT597" t="n">
        <v/>
      </c>
      <c r="AU597" t="n">
        <v>86.04221</v>
      </c>
      <c r="AV597" t="n">
        <v>5.958661</v>
      </c>
      <c r="AW597" t="n">
        <v>71.74509999999999</v>
      </c>
      <c r="AX597" t="n">
        <v/>
      </c>
    </row>
    <row r="598">
      <c r="A598" s="92" t="n">
        <v>36039</v>
      </c>
      <c r="B598" t="n">
        <v>74.42004</v>
      </c>
      <c r="C598" t="n">
        <v>75.45829000000001</v>
      </c>
      <c r="D598" t="n">
        <v/>
      </c>
      <c r="E598" t="n">
        <v>75.73857</v>
      </c>
      <c r="F598" t="n">
        <v>93.68017</v>
      </c>
      <c r="G598" t="n">
        <v/>
      </c>
      <c r="H598" t="n">
        <v/>
      </c>
      <c r="I598" t="n">
        <v>45.15747</v>
      </c>
      <c r="J598" t="n">
        <v>28.03981</v>
      </c>
      <c r="K598" t="n">
        <v>84.8</v>
      </c>
      <c r="L598" t="n">
        <v>82.65826</v>
      </c>
      <c r="M598" t="n">
        <v>74.64821999999999</v>
      </c>
      <c r="N598" t="n">
        <v>78.63</v>
      </c>
      <c r="O598" t="n">
        <v>72.97333999999999</v>
      </c>
      <c r="P598" t="n">
        <v>62.99868</v>
      </c>
      <c r="Q598" t="n">
        <v/>
      </c>
      <c r="R598" t="n">
        <v>79.30840000000001</v>
      </c>
      <c r="S598" t="n">
        <v>81.31569</v>
      </c>
      <c r="T598" t="n">
        <v/>
      </c>
      <c r="U598" t="n">
        <v>77.67052</v>
      </c>
      <c r="V598" t="n">
        <v>77.6683</v>
      </c>
      <c r="W598" t="n">
        <v>73.02776</v>
      </c>
      <c r="X598" t="n">
        <v>44.93498</v>
      </c>
      <c r="Y598" t="n">
        <v/>
      </c>
      <c r="Z598" t="n">
        <v/>
      </c>
      <c r="AA598" t="n">
        <v>69.46725000000001</v>
      </c>
      <c r="AB598" t="n">
        <v>42.38605</v>
      </c>
      <c r="AC598" t="n">
        <v>76.02497</v>
      </c>
      <c r="AD598" t="n">
        <v>73.97453</v>
      </c>
      <c r="AE598" t="n">
        <v>104.5919</v>
      </c>
      <c r="AF598" t="n">
        <v>68.17791</v>
      </c>
      <c r="AG598" t="n">
        <v>78.2371</v>
      </c>
      <c r="AH598" t="n">
        <v>72.48656</v>
      </c>
      <c r="AI598" t="n">
        <v>60.28345</v>
      </c>
      <c r="AJ598" t="n">
        <v>46.21852</v>
      </c>
      <c r="AK598" t="n">
        <v>73.80343999999999</v>
      </c>
      <c r="AL598" t="n">
        <v>74.34282</v>
      </c>
      <c r="AM598" t="n">
        <v>69.71737</v>
      </c>
      <c r="AN598" t="n">
        <v>64.99862</v>
      </c>
      <c r="AO598" t="n">
        <v>64.8772</v>
      </c>
      <c r="AP598" t="n">
        <v>69.62558</v>
      </c>
      <c r="AQ598" t="n">
        <v/>
      </c>
      <c r="AR598" t="n">
        <v/>
      </c>
      <c r="AS598" t="n">
        <v>50.78496</v>
      </c>
      <c r="AT598" t="n">
        <v/>
      </c>
      <c r="AU598" t="n">
        <v>86.74258</v>
      </c>
      <c r="AV598" t="n">
        <v>6.381534</v>
      </c>
      <c r="AW598" t="n">
        <v>71.91022</v>
      </c>
      <c r="AX598" t="n">
        <v/>
      </c>
    </row>
    <row r="599">
      <c r="A599" s="92" t="n">
        <v>36069</v>
      </c>
      <c r="B599" t="n">
        <v>74.44992000000001</v>
      </c>
      <c r="C599" t="n">
        <v>75.54395</v>
      </c>
      <c r="D599" t="n">
        <v/>
      </c>
      <c r="E599" t="n">
        <v>75.99169999999999</v>
      </c>
      <c r="F599" t="n">
        <v>93.66374</v>
      </c>
      <c r="G599" t="n">
        <v/>
      </c>
      <c r="H599" t="n">
        <v/>
      </c>
      <c r="I599" t="n">
        <v>45.57438</v>
      </c>
      <c r="J599" t="n">
        <v>28.26655</v>
      </c>
      <c r="K599" t="n">
        <v>84.7</v>
      </c>
      <c r="L599" t="n">
        <v>82.63356</v>
      </c>
      <c r="M599" t="n">
        <v>74.68994000000001</v>
      </c>
      <c r="N599" t="n">
        <v>78.64</v>
      </c>
      <c r="O599" t="n">
        <v>73.04094000000001</v>
      </c>
      <c r="P599" t="n">
        <v>63.39597</v>
      </c>
      <c r="Q599" t="n">
        <v/>
      </c>
      <c r="R599" t="n">
        <v>79.53828</v>
      </c>
      <c r="S599" t="n">
        <v>81.29510000000001</v>
      </c>
      <c r="T599" t="n">
        <v/>
      </c>
      <c r="U599" t="n">
        <v>77.80104</v>
      </c>
      <c r="V599" t="n">
        <v>77.56757</v>
      </c>
      <c r="W599" t="n">
        <v>73.58992000000001</v>
      </c>
      <c r="X599" t="n">
        <v>45.4001</v>
      </c>
      <c r="Y599" t="n">
        <v/>
      </c>
      <c r="Z599" t="n">
        <v/>
      </c>
      <c r="AA599" t="n">
        <v>69.52872000000001</v>
      </c>
      <c r="AB599" t="n">
        <v>42.63465</v>
      </c>
      <c r="AC599" t="n">
        <v>78.55576000000001</v>
      </c>
      <c r="AD599" t="n">
        <v>74.12397</v>
      </c>
      <c r="AE599" t="n">
        <v>104.6533</v>
      </c>
      <c r="AF599" t="n">
        <v>68.17791</v>
      </c>
      <c r="AG599" t="n">
        <v>78.5307</v>
      </c>
      <c r="AH599" t="n">
        <v>72.55513000000001</v>
      </c>
      <c r="AI599" t="n">
        <v>60.29307</v>
      </c>
      <c r="AJ599" t="n">
        <v>46.74473</v>
      </c>
      <c r="AK599" t="n">
        <v>74.0033</v>
      </c>
      <c r="AL599" t="n">
        <v>74.45089</v>
      </c>
      <c r="AM599" t="n">
        <v>70.01066</v>
      </c>
      <c r="AN599" t="n">
        <v>65.36695</v>
      </c>
      <c r="AO599" t="n">
        <v>65.26353</v>
      </c>
      <c r="AP599" t="n">
        <v>69.96149</v>
      </c>
      <c r="AQ599" t="n">
        <v/>
      </c>
      <c r="AR599" t="n">
        <v/>
      </c>
      <c r="AS599" t="n">
        <v>51.16513</v>
      </c>
      <c r="AT599" t="n">
        <v/>
      </c>
      <c r="AU599" t="n">
        <v>86.98721</v>
      </c>
      <c r="AV599" t="n">
        <v>6.752163</v>
      </c>
      <c r="AW599" t="n">
        <v>72.11662</v>
      </c>
      <c r="AX599" t="n">
        <v/>
      </c>
    </row>
    <row r="600">
      <c r="A600" s="92" t="n">
        <v>36100</v>
      </c>
      <c r="B600" t="n">
        <v>74.4828</v>
      </c>
      <c r="C600" t="n">
        <v>75.44571999999999</v>
      </c>
      <c r="D600" t="n">
        <v/>
      </c>
      <c r="E600" t="n">
        <v>75.84202999999999</v>
      </c>
      <c r="F600" t="n">
        <v>93.58221</v>
      </c>
      <c r="G600" t="n">
        <v/>
      </c>
      <c r="H600" t="n">
        <v/>
      </c>
      <c r="I600" t="n">
        <v>45.97495</v>
      </c>
      <c r="J600" t="n">
        <v>28.51824</v>
      </c>
      <c r="K600" t="n">
        <v>84.8</v>
      </c>
      <c r="L600" t="n">
        <v>82.63437</v>
      </c>
      <c r="M600" t="n">
        <v>74.96638</v>
      </c>
      <c r="N600" t="n">
        <v>78.65000000000001</v>
      </c>
      <c r="O600" t="n">
        <v>73.05739</v>
      </c>
      <c r="P600" t="n">
        <v>63.62299</v>
      </c>
      <c r="Q600" t="n">
        <v/>
      </c>
      <c r="R600" t="n">
        <v>79.46165000000001</v>
      </c>
      <c r="S600" t="n">
        <v>81.22002999999999</v>
      </c>
      <c r="T600" t="n">
        <v/>
      </c>
      <c r="U600" t="n">
        <v>77.83466</v>
      </c>
      <c r="V600" t="n">
        <v>77.76904</v>
      </c>
      <c r="W600" t="n">
        <v>73.58465</v>
      </c>
      <c r="X600" t="n">
        <v>45.58247</v>
      </c>
      <c r="Y600" t="n">
        <v/>
      </c>
      <c r="Z600" t="n">
        <v/>
      </c>
      <c r="AA600" t="n">
        <v>69.3295</v>
      </c>
      <c r="AB600" t="n">
        <v>42.84182</v>
      </c>
      <c r="AC600" t="n">
        <v>79.56807999999999</v>
      </c>
      <c r="AD600" t="n">
        <v>74.22105000000001</v>
      </c>
      <c r="AE600" t="n">
        <v>104.6454</v>
      </c>
      <c r="AF600" t="n">
        <v>68.11866999999999</v>
      </c>
      <c r="AG600" t="n">
        <v>78.6772</v>
      </c>
      <c r="AH600" t="n">
        <v>72.61533</v>
      </c>
      <c r="AI600" t="n">
        <v>60.56228</v>
      </c>
      <c r="AJ600" t="n">
        <v>47.37115</v>
      </c>
      <c r="AK600" t="n">
        <v>73.91901</v>
      </c>
      <c r="AL600" t="n">
        <v>74.45771999999999</v>
      </c>
      <c r="AM600" t="n">
        <v>70.18603</v>
      </c>
      <c r="AN600" t="n">
        <v>65.64497</v>
      </c>
      <c r="AO600" t="n">
        <v>65.43858</v>
      </c>
      <c r="AP600" t="n">
        <v>70.47472</v>
      </c>
      <c r="AQ600" t="n">
        <v/>
      </c>
      <c r="AR600" t="n">
        <v/>
      </c>
      <c r="AS600" t="n">
        <v>51.38662</v>
      </c>
      <c r="AT600" t="n">
        <v/>
      </c>
      <c r="AU600" t="n">
        <v>86.75264</v>
      </c>
      <c r="AV600" t="n">
        <v>7.033586</v>
      </c>
      <c r="AW600" t="n">
        <v>72.15791</v>
      </c>
      <c r="AX600" t="n">
        <v/>
      </c>
    </row>
    <row r="601">
      <c r="A601" s="92" t="n">
        <v>36130</v>
      </c>
      <c r="B601" t="n">
        <v>74.61960999999999</v>
      </c>
      <c r="C601" t="n">
        <v>75.42612</v>
      </c>
      <c r="D601" t="n">
        <v/>
      </c>
      <c r="E601" t="n">
        <v>75.62302</v>
      </c>
      <c r="F601" t="n">
        <v>93.57344000000001</v>
      </c>
      <c r="G601" t="n">
        <v>66.59132</v>
      </c>
      <c r="H601" t="n">
        <v/>
      </c>
      <c r="I601" t="n">
        <v>46.27741</v>
      </c>
      <c r="J601" t="n">
        <v>28.6365</v>
      </c>
      <c r="K601" t="n">
        <v>85</v>
      </c>
      <c r="L601" t="n">
        <v>82.80579</v>
      </c>
      <c r="M601" t="n">
        <v>74.97806</v>
      </c>
      <c r="N601" t="n">
        <v>78.73</v>
      </c>
      <c r="O601" t="n">
        <v>73.21935999999999</v>
      </c>
      <c r="P601" t="n">
        <v>63.79326</v>
      </c>
      <c r="Q601" t="n">
        <v/>
      </c>
      <c r="R601" t="n">
        <v>79.46165000000001</v>
      </c>
      <c r="S601" t="n">
        <v>81.3065</v>
      </c>
      <c r="T601" t="n">
        <v/>
      </c>
      <c r="U601" t="n">
        <v>77.86171</v>
      </c>
      <c r="V601" t="n">
        <v>77.97051</v>
      </c>
      <c r="W601" t="n">
        <v>74.05238</v>
      </c>
      <c r="X601" t="n">
        <v>45.79724</v>
      </c>
      <c r="Y601" t="n">
        <v/>
      </c>
      <c r="Z601" t="n">
        <v/>
      </c>
      <c r="AA601" t="n">
        <v>69.07531</v>
      </c>
      <c r="AB601" t="n">
        <v>42.80038</v>
      </c>
      <c r="AC601" t="n">
        <v>79.56807999999999</v>
      </c>
      <c r="AD601" t="n">
        <v>74.28398</v>
      </c>
      <c r="AE601" t="n">
        <v>104.585</v>
      </c>
      <c r="AF601" t="n">
        <v>68.00018</v>
      </c>
      <c r="AG601" t="n">
        <v>78.7475</v>
      </c>
      <c r="AH601" t="n">
        <v>72.60290999999999</v>
      </c>
      <c r="AI601" t="n">
        <v>60.66804</v>
      </c>
      <c r="AJ601" t="n">
        <v>48.38594</v>
      </c>
      <c r="AK601" t="n">
        <v>73.59846</v>
      </c>
      <c r="AL601" t="n">
        <v>74.59063999999999</v>
      </c>
      <c r="AM601" t="n">
        <v>70.37112999999999</v>
      </c>
      <c r="AN601" t="n">
        <v>65.95187</v>
      </c>
      <c r="AO601" t="n">
        <v>65.57971000000001</v>
      </c>
      <c r="AP601" t="n">
        <v>70.5924</v>
      </c>
      <c r="AQ601" t="n">
        <v/>
      </c>
      <c r="AR601" t="n">
        <v/>
      </c>
      <c r="AS601" t="n">
        <v>51.57751</v>
      </c>
      <c r="AT601" t="n">
        <v/>
      </c>
      <c r="AU601" t="n">
        <v>86.66886</v>
      </c>
      <c r="AV601" t="n">
        <v>7.293815</v>
      </c>
      <c r="AW601" t="n">
        <v>72.15791</v>
      </c>
      <c r="AX601" t="n">
        <v/>
      </c>
    </row>
    <row r="602">
      <c r="A602" s="92" t="n">
        <v>36161</v>
      </c>
      <c r="B602" t="n">
        <v>74.52249999999999</v>
      </c>
      <c r="C602" t="n">
        <v>75.63195</v>
      </c>
      <c r="D602" t="n">
        <v/>
      </c>
      <c r="E602" t="n">
        <v>75.62794</v>
      </c>
      <c r="F602" t="n">
        <v>93.7013</v>
      </c>
      <c r="G602" t="n">
        <v>66.62698</v>
      </c>
      <c r="H602" t="n">
        <v/>
      </c>
      <c r="I602" t="n">
        <v>47.48728</v>
      </c>
      <c r="J602" t="n">
        <v>29.13988</v>
      </c>
      <c r="K602" t="n">
        <v>85.40000000000001</v>
      </c>
      <c r="L602" t="n">
        <v>82.59433</v>
      </c>
      <c r="M602" t="n">
        <v>74.58434</v>
      </c>
      <c r="N602" t="n">
        <v>78.48999999999999</v>
      </c>
      <c r="O602" t="n">
        <v>73.44047</v>
      </c>
      <c r="P602" t="n">
        <v>64.53108</v>
      </c>
      <c r="Q602" t="n">
        <v/>
      </c>
      <c r="R602" t="n">
        <v>79.07852</v>
      </c>
      <c r="S602" t="n">
        <v>80.97107</v>
      </c>
      <c r="T602" t="n">
        <v/>
      </c>
      <c r="U602" t="n">
        <v>77.82114</v>
      </c>
      <c r="V602" t="n">
        <v>77.16462</v>
      </c>
      <c r="W602" t="n">
        <v>72.87981000000001</v>
      </c>
      <c r="X602" t="n">
        <v>46.98359</v>
      </c>
      <c r="Y602" t="n">
        <v/>
      </c>
      <c r="Z602" t="n">
        <v/>
      </c>
      <c r="AA602" t="n">
        <v>68.30444</v>
      </c>
      <c r="AB602" t="n">
        <v>42.96612</v>
      </c>
      <c r="AC602" t="n">
        <v>78.96069</v>
      </c>
      <c r="AD602" t="n">
        <v>74.39785000000001</v>
      </c>
      <c r="AE602" t="n">
        <v>103.9243</v>
      </c>
      <c r="AF602" t="n">
        <v>68.00018</v>
      </c>
      <c r="AG602" t="n">
        <v>79.11660000000001</v>
      </c>
      <c r="AH602" t="n">
        <v>71.1315</v>
      </c>
      <c r="AI602" t="n">
        <v>61.3699</v>
      </c>
      <c r="AJ602" t="n">
        <v>49.36348</v>
      </c>
      <c r="AK602" t="n">
        <v>73.38695</v>
      </c>
      <c r="AL602" t="n">
        <v>74.53379</v>
      </c>
      <c r="AM602" t="n">
        <v>70.51249</v>
      </c>
      <c r="AN602" t="n">
        <v>66.03776000000001</v>
      </c>
      <c r="AO602" t="n">
        <v>67.08834</v>
      </c>
      <c r="AP602" t="n">
        <v>70.32362000000001</v>
      </c>
      <c r="AQ602" t="n">
        <v/>
      </c>
      <c r="AR602" t="n">
        <v/>
      </c>
      <c r="AS602" t="n">
        <v>52.35663</v>
      </c>
      <c r="AT602" t="n">
        <v/>
      </c>
      <c r="AU602" t="n">
        <v>86.53147</v>
      </c>
      <c r="AV602" t="n">
        <v>7.667402</v>
      </c>
      <c r="AW602" t="n">
        <v>72.3643</v>
      </c>
      <c r="AX602" t="n">
        <v/>
      </c>
    </row>
    <row r="603">
      <c r="A603" s="92" t="n">
        <v>36192</v>
      </c>
      <c r="B603" t="n">
        <v>74.63704</v>
      </c>
      <c r="C603" t="n">
        <v>75.89464</v>
      </c>
      <c r="D603" t="n">
        <v/>
      </c>
      <c r="E603" t="n">
        <v>75.87294</v>
      </c>
      <c r="F603" t="n">
        <v>94.09714</v>
      </c>
      <c r="G603" t="n">
        <v>66.84095000000001</v>
      </c>
      <c r="H603" t="n">
        <v/>
      </c>
      <c r="I603" t="n">
        <v>48.25571</v>
      </c>
      <c r="J603" t="n">
        <v>29.38398</v>
      </c>
      <c r="K603" t="n">
        <v>85.5</v>
      </c>
      <c r="L603" t="n">
        <v>82.77449</v>
      </c>
      <c r="M603" t="n">
        <v>75.33526999999999</v>
      </c>
      <c r="N603" t="n">
        <v>78.78</v>
      </c>
      <c r="O603" t="n">
        <v>73.5924</v>
      </c>
      <c r="P603" t="n">
        <v>64.92837</v>
      </c>
      <c r="Q603" t="n">
        <v/>
      </c>
      <c r="R603" t="n">
        <v>79.23177</v>
      </c>
      <c r="S603" t="n">
        <v>81.33368</v>
      </c>
      <c r="T603" t="n">
        <v/>
      </c>
      <c r="U603" t="n">
        <v>77.95525000000001</v>
      </c>
      <c r="V603" t="n">
        <v>77.3661</v>
      </c>
      <c r="W603" t="n">
        <v>72.37872</v>
      </c>
      <c r="X603" t="n">
        <v>47.75238</v>
      </c>
      <c r="Y603" t="n">
        <v/>
      </c>
      <c r="Z603" t="n">
        <v/>
      </c>
      <c r="AA603" t="n">
        <v>68.71259999999999</v>
      </c>
      <c r="AB603" t="n">
        <v>42.84182</v>
      </c>
      <c r="AC603" t="n">
        <v>78.25207</v>
      </c>
      <c r="AD603" t="n">
        <v>74.53651000000001</v>
      </c>
      <c r="AE603" t="n">
        <v>103.5888</v>
      </c>
      <c r="AF603" t="n">
        <v>68.05943000000001</v>
      </c>
      <c r="AG603" t="n">
        <v>79.218</v>
      </c>
      <c r="AH603" t="n">
        <v>72.80166</v>
      </c>
      <c r="AI603" t="n">
        <v>61.55258</v>
      </c>
      <c r="AJ603" t="n">
        <v>50.24602</v>
      </c>
      <c r="AK603" t="n">
        <v>73.83275999999999</v>
      </c>
      <c r="AL603" t="n">
        <v>74.69023</v>
      </c>
      <c r="AM603" t="n">
        <v>70.74657000000001</v>
      </c>
      <c r="AN603" t="n">
        <v>66.34255</v>
      </c>
      <c r="AO603" t="n">
        <v>67.7517</v>
      </c>
      <c r="AP603" t="n">
        <v>70.28124</v>
      </c>
      <c r="AQ603" t="n">
        <v/>
      </c>
      <c r="AR603" t="n">
        <v/>
      </c>
      <c r="AS603" t="n">
        <v>53.11496</v>
      </c>
      <c r="AT603" t="n">
        <v/>
      </c>
      <c r="AU603" t="n">
        <v>86.53147</v>
      </c>
      <c r="AV603" t="n">
        <v>7.897567</v>
      </c>
      <c r="AW603" t="n">
        <v>72.52943</v>
      </c>
      <c r="AX603" t="n">
        <v/>
      </c>
    </row>
    <row r="604">
      <c r="A604" s="92" t="n">
        <v>36220</v>
      </c>
      <c r="B604" t="n">
        <v>74.68834</v>
      </c>
      <c r="C604" t="n">
        <v>75.89821000000001</v>
      </c>
      <c r="D604" t="n">
        <v/>
      </c>
      <c r="E604" t="n">
        <v>76.17787</v>
      </c>
      <c r="F604" t="n">
        <v>94.24337</v>
      </c>
      <c r="G604" t="n">
        <v>67.38481</v>
      </c>
      <c r="H604" t="n">
        <v/>
      </c>
      <c r="I604" t="n">
        <v>48.81977</v>
      </c>
      <c r="J604" t="n">
        <v>29.61072</v>
      </c>
      <c r="K604" t="n">
        <v>85.5</v>
      </c>
      <c r="L604" t="n">
        <v>82.68198</v>
      </c>
      <c r="M604" t="n">
        <v>75.72604</v>
      </c>
      <c r="N604" t="n">
        <v>79.01000000000001</v>
      </c>
      <c r="O604" t="n">
        <v>73.81731000000001</v>
      </c>
      <c r="P604" t="n">
        <v>65.1554</v>
      </c>
      <c r="Q604" t="n">
        <v/>
      </c>
      <c r="R604" t="n">
        <v>79.53828</v>
      </c>
      <c r="S604" t="n">
        <v>81.61031</v>
      </c>
      <c r="T604" t="n">
        <v/>
      </c>
      <c r="U604" t="n">
        <v>78.15228</v>
      </c>
      <c r="V604" t="n">
        <v>77.56757</v>
      </c>
      <c r="W604" t="n">
        <v>74.35442</v>
      </c>
      <c r="X604" t="n">
        <v>48.4768</v>
      </c>
      <c r="Y604" t="n">
        <v/>
      </c>
      <c r="Z604" t="n">
        <v/>
      </c>
      <c r="AA604" t="n">
        <v>68.93771</v>
      </c>
      <c r="AB604" t="n">
        <v>43.09042</v>
      </c>
      <c r="AC604" t="n">
        <v>78.25207</v>
      </c>
      <c r="AD604" t="n">
        <v>74.66594000000001</v>
      </c>
      <c r="AE604" t="n">
        <v>103.9664</v>
      </c>
      <c r="AF604" t="n">
        <v>68.17791</v>
      </c>
      <c r="AG604" t="n">
        <v>79.2966</v>
      </c>
      <c r="AH604" t="n">
        <v>72.87403</v>
      </c>
      <c r="AI604" t="n">
        <v>61.73526</v>
      </c>
      <c r="AJ604" t="n">
        <v>51.02691</v>
      </c>
      <c r="AK604" t="n">
        <v>74.53239000000001</v>
      </c>
      <c r="AL604" t="n">
        <v>75.48787</v>
      </c>
      <c r="AM604" t="n">
        <v>71.04683</v>
      </c>
      <c r="AN604" t="n">
        <v>66.66068</v>
      </c>
      <c r="AO604" t="n">
        <v>68.28919999999999</v>
      </c>
      <c r="AP604" t="n">
        <v>70.46825</v>
      </c>
      <c r="AQ604" t="n">
        <v/>
      </c>
      <c r="AR604" t="n">
        <v/>
      </c>
      <c r="AS604" t="n">
        <v>53.45747</v>
      </c>
      <c r="AT604" t="n">
        <v/>
      </c>
      <c r="AU604" t="n">
        <v>86.81631</v>
      </c>
      <c r="AV604" t="n">
        <v>8.169624000000001</v>
      </c>
      <c r="AW604" t="n">
        <v>72.73583000000001</v>
      </c>
      <c r="AX604" t="n">
        <v/>
      </c>
    </row>
    <row r="605">
      <c r="A605" s="92" t="n">
        <v>36251</v>
      </c>
      <c r="B605" t="n">
        <v>74.67740000000001</v>
      </c>
      <c r="C605" t="n">
        <v>76.00869</v>
      </c>
      <c r="D605" t="n">
        <v/>
      </c>
      <c r="E605" t="n">
        <v>76.40908</v>
      </c>
      <c r="F605" t="n">
        <v>94.1966</v>
      </c>
      <c r="G605" t="n">
        <v>67.59878999999999</v>
      </c>
      <c r="H605" t="n">
        <v/>
      </c>
      <c r="I605" t="n">
        <v>49.3266</v>
      </c>
      <c r="J605" t="n">
        <v>29.77128</v>
      </c>
      <c r="K605" t="n">
        <v>85.59999999999999</v>
      </c>
      <c r="L605" t="n">
        <v>82.57707000000001</v>
      </c>
      <c r="M605" t="n">
        <v>75.84737</v>
      </c>
      <c r="N605" t="n">
        <v>79.04000000000001</v>
      </c>
      <c r="O605" t="n">
        <v>74.0018</v>
      </c>
      <c r="P605" t="n">
        <v>65.38242</v>
      </c>
      <c r="Q605" t="n">
        <v/>
      </c>
      <c r="R605" t="n">
        <v>79.84479</v>
      </c>
      <c r="S605" t="n">
        <v>81.75221999999999</v>
      </c>
      <c r="T605" t="n">
        <v/>
      </c>
      <c r="U605" t="n">
        <v>78.38933</v>
      </c>
      <c r="V605" t="n">
        <v>77.86978000000001</v>
      </c>
      <c r="W605" t="n">
        <v>75.06429</v>
      </c>
      <c r="X605" t="n">
        <v>49.10424</v>
      </c>
      <c r="Y605" t="n">
        <v/>
      </c>
      <c r="Z605" t="n">
        <v/>
      </c>
      <c r="AA605" t="n">
        <v>69.29095</v>
      </c>
      <c r="AB605" t="n">
        <v>43.38045</v>
      </c>
      <c r="AC605" t="n">
        <v>78.25207</v>
      </c>
      <c r="AD605" t="n">
        <v>74.80613</v>
      </c>
      <c r="AE605" t="n">
        <v>104.5614</v>
      </c>
      <c r="AF605" t="n">
        <v>68.11866999999999</v>
      </c>
      <c r="AG605" t="n">
        <v>79.786</v>
      </c>
      <c r="AH605" t="n">
        <v>73.03798999999999</v>
      </c>
      <c r="AI605" t="n">
        <v>61.74487</v>
      </c>
      <c r="AJ605" t="n">
        <v>51.61922</v>
      </c>
      <c r="AK605" t="n">
        <v>74.72853000000001</v>
      </c>
      <c r="AL605" t="n">
        <v>75.69607999999999</v>
      </c>
      <c r="AM605" t="n">
        <v>71.36242</v>
      </c>
      <c r="AN605" t="n">
        <v>66.98063</v>
      </c>
      <c r="AO605" t="n">
        <v>68.88853</v>
      </c>
      <c r="AP605" t="n">
        <v>70.93565</v>
      </c>
      <c r="AQ605" t="n">
        <v/>
      </c>
      <c r="AR605" t="n">
        <v/>
      </c>
      <c r="AS605" t="n">
        <v>53.89287</v>
      </c>
      <c r="AT605" t="n">
        <v/>
      </c>
      <c r="AU605" t="n">
        <v>87.04754</v>
      </c>
      <c r="AV605" t="n">
        <v>8.540748000000001</v>
      </c>
      <c r="AW605" t="n">
        <v>72.98351</v>
      </c>
      <c r="AX605" t="n">
        <v/>
      </c>
    </row>
    <row r="606">
      <c r="A606" s="92" t="n">
        <v>36281</v>
      </c>
      <c r="B606" t="n">
        <v>74.82067000000001</v>
      </c>
      <c r="C606" t="n">
        <v>76.08255</v>
      </c>
      <c r="D606" t="n">
        <v/>
      </c>
      <c r="E606" t="n">
        <v>76.53795</v>
      </c>
      <c r="F606" t="n">
        <v>93.95113000000001</v>
      </c>
      <c r="G606" t="n">
        <v>67.70577</v>
      </c>
      <c r="H606" t="n">
        <v/>
      </c>
      <c r="I606" t="n">
        <v>49.58002</v>
      </c>
      <c r="J606" t="n">
        <v>29.93401</v>
      </c>
      <c r="K606" t="n">
        <v>85.7</v>
      </c>
      <c r="L606" t="n">
        <v>82.67918</v>
      </c>
      <c r="M606" t="n">
        <v>75.94355</v>
      </c>
      <c r="N606" t="n">
        <v>79.14</v>
      </c>
      <c r="O606" t="n">
        <v>74.08279</v>
      </c>
      <c r="P606" t="n">
        <v>65.89321</v>
      </c>
      <c r="Q606" t="n">
        <v/>
      </c>
      <c r="R606" t="n">
        <v>79.92142</v>
      </c>
      <c r="S606" t="n">
        <v>81.76142</v>
      </c>
      <c r="T606" t="n">
        <v/>
      </c>
      <c r="U606" t="n">
        <v>78.38328</v>
      </c>
      <c r="V606" t="n">
        <v>78.07125000000001</v>
      </c>
      <c r="W606" t="n">
        <v>74.84012</v>
      </c>
      <c r="X606" t="n">
        <v>49.43687</v>
      </c>
      <c r="Y606" t="n">
        <v/>
      </c>
      <c r="Z606" t="n">
        <v/>
      </c>
      <c r="AA606" t="n">
        <v>69.54214</v>
      </c>
      <c r="AB606" t="n">
        <v>43.50475</v>
      </c>
      <c r="AC606" t="n">
        <v>78.65698999999999</v>
      </c>
      <c r="AD606" t="n">
        <v>74.94262999999999</v>
      </c>
      <c r="AE606" t="n">
        <v>104.5614</v>
      </c>
      <c r="AF606" t="n">
        <v>68.05943000000001</v>
      </c>
      <c r="AG606" t="n">
        <v>79.7612</v>
      </c>
      <c r="AH606" t="n">
        <v>73.22226999999999</v>
      </c>
      <c r="AI606" t="n">
        <v>61.86024</v>
      </c>
      <c r="AJ606" t="n">
        <v>52.03554</v>
      </c>
      <c r="AK606" t="n">
        <v>74.73193999999999</v>
      </c>
      <c r="AL606" t="n">
        <v>75.57550999999999</v>
      </c>
      <c r="AM606" t="n">
        <v>71.48367</v>
      </c>
      <c r="AN606" t="n">
        <v>67.27497</v>
      </c>
      <c r="AO606" t="n">
        <v>69.40424</v>
      </c>
      <c r="AP606" t="n">
        <v>71.39143</v>
      </c>
      <c r="AQ606" t="n">
        <v/>
      </c>
      <c r="AR606" t="n">
        <v/>
      </c>
      <c r="AS606" t="n">
        <v>54.22894</v>
      </c>
      <c r="AT606" t="n">
        <v/>
      </c>
      <c r="AU606" t="n">
        <v>87.07769999999999</v>
      </c>
      <c r="AV606" t="n">
        <v>8.942920000000001</v>
      </c>
      <c r="AW606" t="n">
        <v>72.90094999999999</v>
      </c>
      <c r="AX606" t="n">
        <v/>
      </c>
    </row>
    <row r="607">
      <c r="A607" s="92" t="n">
        <v>36312</v>
      </c>
      <c r="B607" t="n">
        <v>74.84509</v>
      </c>
      <c r="C607" t="n">
        <v>76.06905</v>
      </c>
      <c r="D607" t="n">
        <v/>
      </c>
      <c r="E607" t="n">
        <v>76.74473</v>
      </c>
      <c r="F607" t="n">
        <v>93.98905000000001</v>
      </c>
      <c r="G607" t="n">
        <v>67.84842999999999</v>
      </c>
      <c r="H607" t="n">
        <v/>
      </c>
      <c r="I607" t="n">
        <v>49.80891</v>
      </c>
      <c r="J607" t="n">
        <v>30.1575</v>
      </c>
      <c r="K607" t="n">
        <v>85.90000000000001</v>
      </c>
      <c r="L607" t="n">
        <v>82.77627</v>
      </c>
      <c r="M607" t="n">
        <v>76.12755</v>
      </c>
      <c r="N607" t="n">
        <v>79.2</v>
      </c>
      <c r="O607" t="n">
        <v>74.25436000000001</v>
      </c>
      <c r="P607" t="n">
        <v>65.89321</v>
      </c>
      <c r="Q607" t="n">
        <v/>
      </c>
      <c r="R607" t="n">
        <v>79.92142</v>
      </c>
      <c r="S607" t="n">
        <v>81.80055</v>
      </c>
      <c r="T607" t="n">
        <v/>
      </c>
      <c r="U607" t="n">
        <v>78.40122</v>
      </c>
      <c r="V607" t="n">
        <v>78.07125000000001</v>
      </c>
      <c r="W607" t="n">
        <v>75.04597</v>
      </c>
      <c r="X607" t="n">
        <v>49.69299</v>
      </c>
      <c r="Y607" t="n">
        <v/>
      </c>
      <c r="Z607" t="n">
        <v/>
      </c>
      <c r="AA607" t="n">
        <v>69.68796</v>
      </c>
      <c r="AB607" t="n">
        <v>43.91908</v>
      </c>
      <c r="AC607" t="n">
        <v>78.96069</v>
      </c>
      <c r="AD607" t="n">
        <v>74.98008</v>
      </c>
      <c r="AE607" t="n">
        <v>104.5139</v>
      </c>
      <c r="AF607" t="n">
        <v>68.00018</v>
      </c>
      <c r="AG607" t="n">
        <v>79.71550000000001</v>
      </c>
      <c r="AH607" t="n">
        <v>73.20831</v>
      </c>
      <c r="AI607" t="n">
        <v>62.5525</v>
      </c>
      <c r="AJ607" t="n">
        <v>52.42762</v>
      </c>
      <c r="AK607" t="n">
        <v>74.46592</v>
      </c>
      <c r="AL607" t="n">
        <v>75.71087</v>
      </c>
      <c r="AM607" t="n">
        <v>71.62730000000001</v>
      </c>
      <c r="AN607" t="n">
        <v>67.55477</v>
      </c>
      <c r="AO607" t="n">
        <v>69.89146</v>
      </c>
      <c r="AP607" t="n">
        <v>71.49442000000001</v>
      </c>
      <c r="AQ607" t="n">
        <v/>
      </c>
      <c r="AR607" t="n">
        <v/>
      </c>
      <c r="AS607" t="n">
        <v>54.51596</v>
      </c>
      <c r="AT607" t="n">
        <v/>
      </c>
      <c r="AU607" t="n">
        <v>87.19498</v>
      </c>
      <c r="AV607" t="n">
        <v>9.382548999999999</v>
      </c>
      <c r="AW607" t="n">
        <v>72.90094999999999</v>
      </c>
      <c r="AX607" t="n">
        <v/>
      </c>
    </row>
    <row r="608">
      <c r="A608" s="92" t="n">
        <v>36342</v>
      </c>
      <c r="B608" t="n">
        <v>74.86548999999999</v>
      </c>
      <c r="C608" t="n">
        <v>76.26204</v>
      </c>
      <c r="D608" t="n">
        <v/>
      </c>
      <c r="E608" t="n">
        <v>76.83425</v>
      </c>
      <c r="F608" t="n">
        <v>93.91661999999999</v>
      </c>
      <c r="G608" t="n">
        <v>67.76819</v>
      </c>
      <c r="H608" t="n">
        <v/>
      </c>
      <c r="I608" t="n">
        <v>50.07051</v>
      </c>
      <c r="J608" t="n">
        <v>30.41678</v>
      </c>
      <c r="K608" t="n">
        <v>86.5</v>
      </c>
      <c r="L608" t="n">
        <v>83.24324</v>
      </c>
      <c r="M608" t="n">
        <v>75.73947</v>
      </c>
      <c r="N608" t="n">
        <v>79.3</v>
      </c>
      <c r="O608" t="n">
        <v>74.52316999999999</v>
      </c>
      <c r="P608" t="n">
        <v>66.00673</v>
      </c>
      <c r="Q608" t="n">
        <v/>
      </c>
      <c r="R608" t="n">
        <v>79.69154</v>
      </c>
      <c r="S608" t="n">
        <v>81.54819000000001</v>
      </c>
      <c r="T608" t="n">
        <v/>
      </c>
      <c r="U608" t="n">
        <v>78.43048</v>
      </c>
      <c r="V608" t="n">
        <v>77.3661</v>
      </c>
      <c r="W608" t="n">
        <v>73.64313</v>
      </c>
      <c r="X608" t="n">
        <v>50.15097</v>
      </c>
      <c r="Y608" t="n">
        <v/>
      </c>
      <c r="Z608" t="n">
        <v/>
      </c>
      <c r="AA608" t="n">
        <v>69.44999</v>
      </c>
      <c r="AB608" t="n">
        <v>44.00195</v>
      </c>
      <c r="AC608" t="n">
        <v>79.26438</v>
      </c>
      <c r="AD608" t="n">
        <v>75.23365</v>
      </c>
      <c r="AE608" t="n">
        <v>104.1006</v>
      </c>
      <c r="AF608" t="n">
        <v>67.93882000000001</v>
      </c>
      <c r="AG608" t="n">
        <v>79.70699999999999</v>
      </c>
      <c r="AH608" t="n">
        <v>72.04469</v>
      </c>
      <c r="AI608" t="n">
        <v>62.57172</v>
      </c>
      <c r="AJ608" t="n">
        <v>52.79836</v>
      </c>
      <c r="AK608" t="n">
        <v>74.52866</v>
      </c>
      <c r="AL608" t="n">
        <v>75.44096</v>
      </c>
      <c r="AM608" t="n">
        <v>71.76470999999999</v>
      </c>
      <c r="AN608" t="n">
        <v>67.7568</v>
      </c>
      <c r="AO608" t="n">
        <v>70.31798000000001</v>
      </c>
      <c r="AP608" t="n">
        <v>71.56522</v>
      </c>
      <c r="AQ608" t="n">
        <v/>
      </c>
      <c r="AR608" t="n">
        <v/>
      </c>
      <c r="AS608" t="n">
        <v>55.72749</v>
      </c>
      <c r="AT608" t="n">
        <v/>
      </c>
      <c r="AU608" t="n">
        <v>86.77945</v>
      </c>
      <c r="AV608" t="n">
        <v>9.763529999999999</v>
      </c>
      <c r="AW608" t="n">
        <v>73.02479</v>
      </c>
      <c r="AX608" t="n">
        <v/>
      </c>
    </row>
    <row r="609">
      <c r="A609" s="92" t="n">
        <v>36373</v>
      </c>
      <c r="B609" t="n">
        <v>74.81621</v>
      </c>
      <c r="C609" t="n">
        <v>76.26303</v>
      </c>
      <c r="D609" t="n">
        <v/>
      </c>
      <c r="E609" t="n">
        <v>76.923</v>
      </c>
      <c r="F609" t="n">
        <v>94.50834999999999</v>
      </c>
      <c r="G609" t="n">
        <v>67.67010999999999</v>
      </c>
      <c r="H609" t="n">
        <v/>
      </c>
      <c r="I609" t="n">
        <v>50.32393</v>
      </c>
      <c r="J609" t="n">
        <v>30.59145</v>
      </c>
      <c r="K609" t="n">
        <v>86.5</v>
      </c>
      <c r="L609" t="n">
        <v>83.13421</v>
      </c>
      <c r="M609" t="n">
        <v>76.01918999999999</v>
      </c>
      <c r="N609" t="n">
        <v>79.42</v>
      </c>
      <c r="O609" t="n">
        <v>74.68517</v>
      </c>
      <c r="P609" t="n">
        <v>66.17699</v>
      </c>
      <c r="Q609" t="n">
        <v/>
      </c>
      <c r="R609" t="n">
        <v>79.84479</v>
      </c>
      <c r="S609" t="n">
        <v>81.75588</v>
      </c>
      <c r="T609" t="n">
        <v/>
      </c>
      <c r="U609" t="n">
        <v>78.49173999999999</v>
      </c>
      <c r="V609" t="n">
        <v>77.56757</v>
      </c>
      <c r="W609" t="n">
        <v>73.67438</v>
      </c>
      <c r="X609" t="n">
        <v>50.50202</v>
      </c>
      <c r="Y609" t="n">
        <v/>
      </c>
      <c r="Z609" t="n">
        <v/>
      </c>
      <c r="AA609" t="n">
        <v>69.87115</v>
      </c>
      <c r="AB609" t="n">
        <v>43.87765</v>
      </c>
      <c r="AC609" t="n">
        <v>79.56807999999999</v>
      </c>
      <c r="AD609" t="n">
        <v>75.32281999999999</v>
      </c>
      <c r="AE609" t="n">
        <v>103.9769</v>
      </c>
      <c r="AF609" t="n">
        <v>67.93882000000001</v>
      </c>
      <c r="AG609" t="n">
        <v>79.625</v>
      </c>
      <c r="AH609" t="n">
        <v>73.3425</v>
      </c>
      <c r="AI609" t="n">
        <v>62.80247</v>
      </c>
      <c r="AJ609" t="n">
        <v>53.18621</v>
      </c>
      <c r="AK609" t="n">
        <v>74.9706</v>
      </c>
      <c r="AL609" t="n">
        <v>75.07181</v>
      </c>
      <c r="AM609" t="n">
        <v>71.94793</v>
      </c>
      <c r="AN609" t="n">
        <v>68.07611</v>
      </c>
      <c r="AO609" t="n">
        <v>70.74726</v>
      </c>
      <c r="AP609" t="n">
        <v>71.3035</v>
      </c>
      <c r="AQ609" t="n">
        <v/>
      </c>
      <c r="AR609" t="n">
        <v/>
      </c>
      <c r="AS609" t="n">
        <v>56.13795</v>
      </c>
      <c r="AT609" t="n">
        <v/>
      </c>
      <c r="AU609" t="n">
        <v>86.64541</v>
      </c>
      <c r="AV609" t="n">
        <v>10.21548</v>
      </c>
      <c r="AW609" t="n">
        <v>73.10735</v>
      </c>
      <c r="AX609" t="n">
        <v/>
      </c>
    </row>
    <row r="610">
      <c r="A610" s="92" t="n">
        <v>36404</v>
      </c>
      <c r="B610" t="n">
        <v>74.78577</v>
      </c>
      <c r="C610" t="n">
        <v>76.36001</v>
      </c>
      <c r="D610" t="n">
        <v/>
      </c>
      <c r="E610" t="n">
        <v>77.23181</v>
      </c>
      <c r="F610" t="n">
        <v>94.55009</v>
      </c>
      <c r="G610" t="n">
        <v>67.78601999999999</v>
      </c>
      <c r="H610" t="n">
        <v/>
      </c>
      <c r="I610" t="n">
        <v>50.47925</v>
      </c>
      <c r="J610" t="n">
        <v>30.75961</v>
      </c>
      <c r="K610" t="n">
        <v>86.3</v>
      </c>
      <c r="L610" t="n">
        <v>82.86183</v>
      </c>
      <c r="M610" t="n">
        <v>76.42382000000001</v>
      </c>
      <c r="N610" t="n">
        <v>79.40000000000001</v>
      </c>
      <c r="O610" t="n">
        <v>74.69808</v>
      </c>
      <c r="P610" t="n">
        <v>66.46077</v>
      </c>
      <c r="Q610" t="n">
        <v/>
      </c>
      <c r="R610" t="n">
        <v>80.15129</v>
      </c>
      <c r="S610" t="n">
        <v>81.80228</v>
      </c>
      <c r="T610" t="n">
        <v/>
      </c>
      <c r="U610" t="n">
        <v>78.69817999999999</v>
      </c>
      <c r="V610" t="n">
        <v>78.07125000000001</v>
      </c>
      <c r="W610" t="n">
        <v>75.02468</v>
      </c>
      <c r="X610" t="n">
        <v>50.67565</v>
      </c>
      <c r="Y610" t="n">
        <v/>
      </c>
      <c r="Z610" t="n">
        <v/>
      </c>
      <c r="AA610" t="n">
        <v>70.14006999999999</v>
      </c>
      <c r="AB610" t="n">
        <v>44.20911</v>
      </c>
      <c r="AC610" t="n">
        <v>79.97301</v>
      </c>
      <c r="AD610" t="n">
        <v>75.37173</v>
      </c>
      <c r="AE610" t="n">
        <v>104.3759</v>
      </c>
      <c r="AF610" t="n">
        <v>67.93882000000001</v>
      </c>
      <c r="AG610" t="n">
        <v>79.73399999999999</v>
      </c>
      <c r="AH610" t="n">
        <v>73.48746</v>
      </c>
      <c r="AI610" t="n">
        <v>63.20629</v>
      </c>
      <c r="AJ610" t="n">
        <v>53.8645</v>
      </c>
      <c r="AK610" t="n">
        <v>75.41479</v>
      </c>
      <c r="AL610" t="n">
        <v>75.79434999999999</v>
      </c>
      <c r="AM610" t="n">
        <v>72.30388000000001</v>
      </c>
      <c r="AN610" t="n">
        <v>68.52673</v>
      </c>
      <c r="AO610" t="n">
        <v>71.39201</v>
      </c>
      <c r="AP610" t="n">
        <v>71.32422</v>
      </c>
      <c r="AQ610" t="n">
        <v/>
      </c>
      <c r="AR610" t="n">
        <v/>
      </c>
      <c r="AS610" t="n">
        <v>56.44543</v>
      </c>
      <c r="AT610" t="n">
        <v/>
      </c>
      <c r="AU610" t="n">
        <v>87.44965999999999</v>
      </c>
      <c r="AV610" t="n">
        <v>10.88232</v>
      </c>
      <c r="AW610" t="n">
        <v>73.35503</v>
      </c>
      <c r="AX610" t="n">
        <v/>
      </c>
    </row>
    <row r="611">
      <c r="A611" s="92" t="n">
        <v>36434</v>
      </c>
      <c r="B611" t="n">
        <v>74.91540000000001</v>
      </c>
      <c r="C611" t="n">
        <v>76.41237</v>
      </c>
      <c r="D611" t="n">
        <v/>
      </c>
      <c r="E611" t="n">
        <v>77.22716</v>
      </c>
      <c r="F611" t="n">
        <v>94.51732</v>
      </c>
      <c r="G611" t="n">
        <v>67.86626</v>
      </c>
      <c r="H611" t="n">
        <v/>
      </c>
      <c r="I611" t="n">
        <v>50.67544</v>
      </c>
      <c r="J611" t="n">
        <v>31.07748</v>
      </c>
      <c r="K611" t="n">
        <v>86.3</v>
      </c>
      <c r="L611" t="n">
        <v>82.80533</v>
      </c>
      <c r="M611" t="n">
        <v>76.57426</v>
      </c>
      <c r="N611" t="n">
        <v>79.40000000000001</v>
      </c>
      <c r="O611" t="n">
        <v>74.68917</v>
      </c>
      <c r="P611" t="n">
        <v>66.46077</v>
      </c>
      <c r="Q611" t="n">
        <v/>
      </c>
      <c r="R611" t="n">
        <v>80.38117</v>
      </c>
      <c r="S611" t="n">
        <v>81.70878</v>
      </c>
      <c r="T611" t="n">
        <v/>
      </c>
      <c r="U611" t="n">
        <v>78.85741</v>
      </c>
      <c r="V611" t="n">
        <v>77.97051</v>
      </c>
      <c r="W611" t="n">
        <v>75.18518</v>
      </c>
      <c r="X611" t="n">
        <v>50.90783</v>
      </c>
      <c r="Y611" t="n">
        <v/>
      </c>
      <c r="Z611" t="n">
        <v/>
      </c>
      <c r="AA611" t="n">
        <v>70.26158</v>
      </c>
      <c r="AB611" t="n">
        <v>44.58201</v>
      </c>
      <c r="AC611" t="n">
        <v>80.37793000000001</v>
      </c>
      <c r="AD611" t="n">
        <v>75.67225000000001</v>
      </c>
      <c r="AE611" t="n">
        <v>104.5499</v>
      </c>
      <c r="AF611" t="n">
        <v>68.05943000000001</v>
      </c>
      <c r="AG611" t="n">
        <v>78.5256</v>
      </c>
      <c r="AH611" t="n">
        <v>73.69183</v>
      </c>
      <c r="AI611" t="n">
        <v>63.25436</v>
      </c>
      <c r="AJ611" t="n">
        <v>54.25303</v>
      </c>
      <c r="AK611" t="n">
        <v>75.52088999999999</v>
      </c>
      <c r="AL611" t="n">
        <v>75.87629</v>
      </c>
      <c r="AM611" t="n">
        <v>72.60441</v>
      </c>
      <c r="AN611" t="n">
        <v>68.90705</v>
      </c>
      <c r="AO611" t="n">
        <v>71.89246</v>
      </c>
      <c r="AP611" t="n">
        <v>71.79733</v>
      </c>
      <c r="AQ611" t="n">
        <v/>
      </c>
      <c r="AR611" t="n">
        <v/>
      </c>
      <c r="AS611" t="n">
        <v>56.80105</v>
      </c>
      <c r="AT611" t="n">
        <v/>
      </c>
      <c r="AU611" t="n">
        <v>87.60046</v>
      </c>
      <c r="AV611" t="n">
        <v>11.55359</v>
      </c>
      <c r="AW611" t="n">
        <v>73.60271</v>
      </c>
      <c r="AX611" t="n">
        <v/>
      </c>
    </row>
    <row r="612">
      <c r="A612" s="92" t="n">
        <v>36465</v>
      </c>
      <c r="B612" t="n">
        <v>74.883</v>
      </c>
      <c r="C612" t="n">
        <v>76.57013999999999</v>
      </c>
      <c r="D612" t="n">
        <v/>
      </c>
      <c r="E612" t="n">
        <v>77.11591</v>
      </c>
      <c r="F612" t="n">
        <v>94.44761</v>
      </c>
      <c r="G612" t="n">
        <v>67.91083999999999</v>
      </c>
      <c r="H612" t="n">
        <v/>
      </c>
      <c r="I612" t="n">
        <v>50.87981</v>
      </c>
      <c r="J612" t="n">
        <v>31.32266</v>
      </c>
      <c r="K612" t="n">
        <v>86.40000000000001</v>
      </c>
      <c r="L612" t="n">
        <v>83.03713</v>
      </c>
      <c r="M612" t="n">
        <v>76.62748999999999</v>
      </c>
      <c r="N612" t="n">
        <v>79.47</v>
      </c>
      <c r="O612" t="n">
        <v>74.70544</v>
      </c>
      <c r="P612" t="n">
        <v>66.51752</v>
      </c>
      <c r="Q612" t="n">
        <v/>
      </c>
      <c r="R612" t="n">
        <v>80.38117</v>
      </c>
      <c r="S612" t="n">
        <v>81.61257000000001</v>
      </c>
      <c r="T612" t="n">
        <v/>
      </c>
      <c r="U612" t="n">
        <v>78.89398</v>
      </c>
      <c r="V612" t="n">
        <v>78.07125000000001</v>
      </c>
      <c r="W612" t="n">
        <v>75.20486</v>
      </c>
      <c r="X612" t="n">
        <v>50.97175</v>
      </c>
      <c r="Y612" t="n">
        <v/>
      </c>
      <c r="Z612" t="n">
        <v/>
      </c>
      <c r="AA612" t="n">
        <v>70.32478</v>
      </c>
      <c r="AB612" t="n">
        <v>44.70631</v>
      </c>
      <c r="AC612" t="n">
        <v>80.27670000000001</v>
      </c>
      <c r="AD612" t="n">
        <v>75.79397</v>
      </c>
      <c r="AE612" t="n">
        <v>104.3974</v>
      </c>
      <c r="AF612" t="n">
        <v>68.05943000000001</v>
      </c>
      <c r="AG612" t="n">
        <v>78.4787</v>
      </c>
      <c r="AH612" t="n">
        <v>73.74052</v>
      </c>
      <c r="AI612" t="n">
        <v>63.45627</v>
      </c>
      <c r="AJ612" t="n">
        <v>54.72515</v>
      </c>
      <c r="AK612" t="n">
        <v>75.48573</v>
      </c>
      <c r="AL612" t="n">
        <v>76.05195999999999</v>
      </c>
      <c r="AM612" t="n">
        <v>72.75695</v>
      </c>
      <c r="AN612" t="n">
        <v>69.19851</v>
      </c>
      <c r="AO612" t="n">
        <v>72.21002</v>
      </c>
      <c r="AP612" t="n">
        <v>72.39867</v>
      </c>
      <c r="AQ612" t="n">
        <v/>
      </c>
      <c r="AR612" t="n">
        <v/>
      </c>
      <c r="AS612" t="n">
        <v>57.00885</v>
      </c>
      <c r="AT612" t="n">
        <v/>
      </c>
      <c r="AU612" t="n">
        <v>87.3994</v>
      </c>
      <c r="AV612" t="n">
        <v>11.98386</v>
      </c>
      <c r="AW612" t="n">
        <v>73.64400000000001</v>
      </c>
      <c r="AX612" t="n">
        <v/>
      </c>
    </row>
    <row r="613">
      <c r="A613" s="92" t="n">
        <v>36495</v>
      </c>
      <c r="B613" t="n">
        <v>75.27117</v>
      </c>
      <c r="C613" t="n">
        <v>76.69326</v>
      </c>
      <c r="D613" t="n">
        <v/>
      </c>
      <c r="E613" t="n">
        <v>76.99498</v>
      </c>
      <c r="F613" t="n">
        <v>94.42906000000001</v>
      </c>
      <c r="G613" t="n">
        <v>68.08024</v>
      </c>
      <c r="H613" t="n">
        <v/>
      </c>
      <c r="I613" t="n">
        <v>51.05148</v>
      </c>
      <c r="J613" t="n">
        <v>31.57977</v>
      </c>
      <c r="K613" t="n">
        <v>86.59999999999999</v>
      </c>
      <c r="L613" t="n">
        <v>83.21568000000001</v>
      </c>
      <c r="M613" t="n">
        <v>76.64909</v>
      </c>
      <c r="N613" t="n">
        <v>79.59</v>
      </c>
      <c r="O613" t="n">
        <v>74.88702000000001</v>
      </c>
      <c r="P613" t="n">
        <v>66.63103</v>
      </c>
      <c r="Q613" t="n">
        <v/>
      </c>
      <c r="R613" t="n">
        <v>80.61105000000001</v>
      </c>
      <c r="S613" t="n">
        <v>81.74064</v>
      </c>
      <c r="T613" t="n">
        <v/>
      </c>
      <c r="U613" t="n">
        <v>78.86641</v>
      </c>
      <c r="V613" t="n">
        <v>78.17198999999999</v>
      </c>
      <c r="W613" t="n">
        <v>75.69229</v>
      </c>
      <c r="X613" t="n">
        <v>51.18373</v>
      </c>
      <c r="Y613" t="n">
        <v/>
      </c>
      <c r="Z613" t="n">
        <v/>
      </c>
      <c r="AA613" t="n">
        <v>71.35326000000001</v>
      </c>
      <c r="AB613" t="n">
        <v>44.87204</v>
      </c>
      <c r="AC613" t="n">
        <v>79.97301</v>
      </c>
      <c r="AD613" t="n">
        <v>75.75115</v>
      </c>
      <c r="AE613" t="n">
        <v>104.3351</v>
      </c>
      <c r="AF613" t="n">
        <v>68.05943000000001</v>
      </c>
      <c r="AG613" t="n">
        <v>78.2701</v>
      </c>
      <c r="AH613" t="n">
        <v>73.87616</v>
      </c>
      <c r="AI613" t="n">
        <v>63.31205</v>
      </c>
      <c r="AJ613" t="n">
        <v>55.19962</v>
      </c>
      <c r="AK613" t="n">
        <v>75.13342</v>
      </c>
      <c r="AL613" t="n">
        <v>76.09094</v>
      </c>
      <c r="AM613" t="n">
        <v>72.92877</v>
      </c>
      <c r="AN613" t="n">
        <v>69.63802</v>
      </c>
      <c r="AO613" t="n">
        <v>72.5312</v>
      </c>
      <c r="AP613" t="n">
        <v>72.50597</v>
      </c>
      <c r="AQ613" t="n">
        <v/>
      </c>
      <c r="AR613" t="n">
        <v/>
      </c>
      <c r="AS613" t="n">
        <v>57.16431</v>
      </c>
      <c r="AT613" t="n">
        <v/>
      </c>
      <c r="AU613" t="n">
        <v>87.49657999999999</v>
      </c>
      <c r="AV613" t="n">
        <v>12.68224</v>
      </c>
      <c r="AW613" t="n">
        <v>73.56143</v>
      </c>
      <c r="AX613" t="n">
        <v/>
      </c>
    </row>
    <row r="614">
      <c r="A614" s="92" t="n">
        <v>36526</v>
      </c>
      <c r="B614" t="n">
        <v>75.08435</v>
      </c>
      <c r="C614" t="n">
        <v>76.87484000000001</v>
      </c>
      <c r="D614" t="n">
        <v/>
      </c>
      <c r="E614" t="n">
        <v>76.79704</v>
      </c>
      <c r="F614" t="n">
        <v>94.45665</v>
      </c>
      <c r="G614" t="n">
        <v>68.09807000000001</v>
      </c>
      <c r="H614" t="n">
        <v/>
      </c>
      <c r="I614" t="n">
        <v>51.56649</v>
      </c>
      <c r="J614" t="n">
        <v>32.28061</v>
      </c>
      <c r="K614" t="n">
        <v>87.09999999999999</v>
      </c>
      <c r="L614" t="n">
        <v>83.18228000000001</v>
      </c>
      <c r="M614" t="n">
        <v>76.30887</v>
      </c>
      <c r="N614" t="n">
        <v>79.34999999999999</v>
      </c>
      <c r="O614" t="n">
        <v>75.16871999999999</v>
      </c>
      <c r="P614" t="n">
        <v>67.08508</v>
      </c>
      <c r="Q614" t="n">
        <v/>
      </c>
      <c r="R614" t="n">
        <v>80.53442</v>
      </c>
      <c r="S614" t="n">
        <v>81.60789</v>
      </c>
      <c r="T614" t="n">
        <v/>
      </c>
      <c r="U614" t="n">
        <v>78.86338000000001</v>
      </c>
      <c r="V614" t="n">
        <v>77.16462</v>
      </c>
      <c r="W614" t="n">
        <v>74.37111</v>
      </c>
      <c r="X614" t="n">
        <v>51.66957</v>
      </c>
      <c r="Y614" t="n">
        <v/>
      </c>
      <c r="Z614" t="n">
        <v/>
      </c>
      <c r="AA614" t="n">
        <v>71.04407999999999</v>
      </c>
      <c r="AB614" t="n">
        <v>45.16207</v>
      </c>
      <c r="AC614" t="n">
        <v>79.56807999999999</v>
      </c>
      <c r="AD614" t="n">
        <v>75.87909000000001</v>
      </c>
      <c r="AE614" t="n">
        <v>103.721</v>
      </c>
      <c r="AF614" t="n">
        <v>68.44450999999999</v>
      </c>
      <c r="AG614" t="n">
        <v>78.44110000000001</v>
      </c>
      <c r="AH614" t="n">
        <v>73.04004999999999</v>
      </c>
      <c r="AI614" t="n">
        <v>63.94661</v>
      </c>
      <c r="AJ614" t="n">
        <v>55.98612</v>
      </c>
      <c r="AK614" t="n">
        <v>74.47512</v>
      </c>
      <c r="AL614" t="n">
        <v>76.28418000000001</v>
      </c>
      <c r="AM614" t="n">
        <v>73.08743</v>
      </c>
      <c r="AN614" t="n">
        <v>69.73177</v>
      </c>
      <c r="AO614" t="n">
        <v>74.17377999999999</v>
      </c>
      <c r="AP614" t="n">
        <v>72.21867</v>
      </c>
      <c r="AQ614" t="n">
        <v/>
      </c>
      <c r="AR614" t="n">
        <v/>
      </c>
      <c r="AS614" t="n">
        <v>57.93524</v>
      </c>
      <c r="AT614" t="n">
        <v>64.94109</v>
      </c>
      <c r="AU614" t="n">
        <v>86.62195</v>
      </c>
      <c r="AV614" t="n">
        <v>13.37668</v>
      </c>
      <c r="AW614" t="n">
        <v>73.80911</v>
      </c>
      <c r="AX614" t="n">
        <v/>
      </c>
    </row>
    <row r="615">
      <c r="A615" s="92" t="n">
        <v>36557</v>
      </c>
      <c r="B615" t="n">
        <v>75.50261999999999</v>
      </c>
      <c r="C615" t="n">
        <v>77.06309</v>
      </c>
      <c r="D615" t="n">
        <v/>
      </c>
      <c r="E615" t="n">
        <v>77.22162</v>
      </c>
      <c r="F615" t="n">
        <v>94.70874999999999</v>
      </c>
      <c r="G615" t="n">
        <v>68.75783</v>
      </c>
      <c r="H615" t="n">
        <v/>
      </c>
      <c r="I615" t="n">
        <v>52.49024</v>
      </c>
      <c r="J615" t="n">
        <v>32.66032</v>
      </c>
      <c r="K615" t="n">
        <v>87.2</v>
      </c>
      <c r="L615" t="n">
        <v>83.16826</v>
      </c>
      <c r="M615" t="n">
        <v>76.66894000000001</v>
      </c>
      <c r="N615" t="n">
        <v>79.55</v>
      </c>
      <c r="O615" t="n">
        <v>75.35066999999999</v>
      </c>
      <c r="P615" t="n">
        <v>67.25535000000001</v>
      </c>
      <c r="Q615" t="n">
        <v/>
      </c>
      <c r="R615" t="n">
        <v>80.98506999999999</v>
      </c>
      <c r="S615" t="n">
        <v>81.61078999999999</v>
      </c>
      <c r="T615" t="n">
        <v/>
      </c>
      <c r="U615" t="n">
        <v>79.04892</v>
      </c>
      <c r="V615" t="n">
        <v>77.46683</v>
      </c>
      <c r="W615" t="n">
        <v>73.61944</v>
      </c>
      <c r="X615" t="n">
        <v>52.39828</v>
      </c>
      <c r="Y615" t="n">
        <v/>
      </c>
      <c r="Z615" t="n">
        <v/>
      </c>
      <c r="AA615" t="n">
        <v>71.73239</v>
      </c>
      <c r="AB615" t="n">
        <v>44.95491</v>
      </c>
      <c r="AC615" t="n">
        <v>79.06192</v>
      </c>
      <c r="AD615" t="n">
        <v>76.13554000000001</v>
      </c>
      <c r="AE615" t="n">
        <v>103.3798</v>
      </c>
      <c r="AF615" t="n">
        <v>68.5831</v>
      </c>
      <c r="AG615" t="n">
        <v>78.8571</v>
      </c>
      <c r="AH615" t="n">
        <v>74.22132999999999</v>
      </c>
      <c r="AI615" t="n">
        <v>64.27351</v>
      </c>
      <c r="AJ615" t="n">
        <v>56.62447</v>
      </c>
      <c r="AK615" t="n">
        <v>74.92408</v>
      </c>
      <c r="AL615" t="n">
        <v>76.57229</v>
      </c>
      <c r="AM615" t="n">
        <v>73.34038</v>
      </c>
      <c r="AN615" t="n">
        <v>69.98309</v>
      </c>
      <c r="AO615" t="n">
        <v>74.69619</v>
      </c>
      <c r="AP615" t="n">
        <v>71.91276000000001</v>
      </c>
      <c r="AQ615" t="n">
        <v/>
      </c>
      <c r="AR615" t="n">
        <v/>
      </c>
      <c r="AS615" t="n">
        <v>59.76316</v>
      </c>
      <c r="AT615" t="n">
        <v>65.47109</v>
      </c>
      <c r="AU615" t="n">
        <v>86.74258</v>
      </c>
      <c r="AV615" t="n">
        <v>13.71527</v>
      </c>
      <c r="AW615" t="n">
        <v>74.09808</v>
      </c>
      <c r="AX615" t="n">
        <v/>
      </c>
    </row>
    <row r="616">
      <c r="A616" s="92" t="n">
        <v>36586</v>
      </c>
      <c r="B616" t="n">
        <v>75.62430999999999</v>
      </c>
      <c r="C616" t="n">
        <v>77.25115</v>
      </c>
      <c r="D616" t="n">
        <v/>
      </c>
      <c r="E616" t="n">
        <v>77.56019999999999</v>
      </c>
      <c r="F616" t="n">
        <v>94.49316</v>
      </c>
      <c r="G616" t="n">
        <v>69.42650999999999</v>
      </c>
      <c r="H616" t="n">
        <v/>
      </c>
      <c r="I616" t="n">
        <v>53.16057</v>
      </c>
      <c r="J616" t="n">
        <v>32.94022</v>
      </c>
      <c r="K616" t="n">
        <v>87</v>
      </c>
      <c r="L616" t="n">
        <v>83.02482000000001</v>
      </c>
      <c r="M616" t="n">
        <v>77.20412</v>
      </c>
      <c r="N616" t="n">
        <v>79.72</v>
      </c>
      <c r="O616" t="n">
        <v>75.61747</v>
      </c>
      <c r="P616" t="n">
        <v>67.76615</v>
      </c>
      <c r="Q616" t="n">
        <v/>
      </c>
      <c r="R616" t="n">
        <v>81.34559</v>
      </c>
      <c r="S616" t="n">
        <v>81.96943</v>
      </c>
      <c r="T616" t="n">
        <v/>
      </c>
      <c r="U616" t="n">
        <v>79.3359</v>
      </c>
      <c r="V616" t="n">
        <v>77.6683</v>
      </c>
      <c r="W616" t="n">
        <v>75.58974000000001</v>
      </c>
      <c r="X616" t="n">
        <v>52.81797</v>
      </c>
      <c r="Y616" t="n">
        <v/>
      </c>
      <c r="Z616" t="n">
        <v/>
      </c>
      <c r="AA616" t="n">
        <v>72.21523999999999</v>
      </c>
      <c r="AB616" t="n">
        <v>45.28637</v>
      </c>
      <c r="AC616" t="n">
        <v>78.65698999999999</v>
      </c>
      <c r="AD616" t="n">
        <v>76.15716</v>
      </c>
      <c r="AE616" t="n">
        <v>103.553</v>
      </c>
      <c r="AF616" t="n">
        <v>69.06762999999999</v>
      </c>
      <c r="AG616" t="n">
        <v>78.8034</v>
      </c>
      <c r="AH616" t="n">
        <v>74.32258</v>
      </c>
      <c r="AI616" t="n">
        <v>64.34081</v>
      </c>
      <c r="AJ616" t="n">
        <v>56.99625</v>
      </c>
      <c r="AK616" t="n">
        <v>75.58489</v>
      </c>
      <c r="AL616" t="n">
        <v>76.68843</v>
      </c>
      <c r="AM616" t="n">
        <v>73.66561</v>
      </c>
      <c r="AN616" t="n">
        <v>70.2347</v>
      </c>
      <c r="AO616" t="n">
        <v>75.32839</v>
      </c>
      <c r="AP616" t="n">
        <v>72.11604</v>
      </c>
      <c r="AQ616" t="n">
        <v/>
      </c>
      <c r="AR616" t="n">
        <v/>
      </c>
      <c r="AS616" t="n">
        <v>60.11405</v>
      </c>
      <c r="AT616" t="n">
        <v>65.94110000000001</v>
      </c>
      <c r="AU616" t="n">
        <v>87.13131</v>
      </c>
      <c r="AV616" t="n">
        <v>13.9824</v>
      </c>
      <c r="AW616" t="n">
        <v>74.51088</v>
      </c>
      <c r="AX616" t="n">
        <v/>
      </c>
    </row>
    <row r="617">
      <c r="A617" s="92" t="n">
        <v>36617</v>
      </c>
      <c r="B617" t="n">
        <v>75.81443</v>
      </c>
      <c r="C617" t="n">
        <v>77.29371999999999</v>
      </c>
      <c r="D617" t="n">
        <v/>
      </c>
      <c r="E617" t="n">
        <v>77.53577</v>
      </c>
      <c r="F617" t="n">
        <v>94.5134</v>
      </c>
      <c r="G617" t="n">
        <v>69.56914999999999</v>
      </c>
      <c r="H617" t="n">
        <v/>
      </c>
      <c r="I617" t="n">
        <v>53.49574</v>
      </c>
      <c r="J617" t="n">
        <v>33.07148</v>
      </c>
      <c r="K617" t="n">
        <v>87</v>
      </c>
      <c r="L617" t="n">
        <v>83.08683000000001</v>
      </c>
      <c r="M617" t="n">
        <v>77.32324</v>
      </c>
      <c r="N617" t="n">
        <v>79.86</v>
      </c>
      <c r="O617" t="n">
        <v>75.9512</v>
      </c>
      <c r="P617" t="n">
        <v>67.93642</v>
      </c>
      <c r="Q617" t="n">
        <v/>
      </c>
      <c r="R617" t="n">
        <v>81.68153</v>
      </c>
      <c r="S617" t="n">
        <v>81.92721</v>
      </c>
      <c r="T617" t="n">
        <v/>
      </c>
      <c r="U617" t="n">
        <v>79.4815</v>
      </c>
      <c r="V617" t="n">
        <v>77.86978000000001</v>
      </c>
      <c r="W617" t="n">
        <v>76.15286999999999</v>
      </c>
      <c r="X617" t="n">
        <v>53.38418</v>
      </c>
      <c r="Y617" t="n">
        <v/>
      </c>
      <c r="Z617" t="n">
        <v/>
      </c>
      <c r="AA617" t="n">
        <v>72.73205</v>
      </c>
      <c r="AB617" t="n">
        <v>45.61784</v>
      </c>
      <c r="AC617" t="n">
        <v>79.26438</v>
      </c>
      <c r="AD617" t="n">
        <v>76.24668</v>
      </c>
      <c r="AE617" t="n">
        <v>103.853</v>
      </c>
      <c r="AF617" t="n">
        <v>69.13745</v>
      </c>
      <c r="AG617" t="n">
        <v>78.71250000000001</v>
      </c>
      <c r="AH617" t="n">
        <v>74.50072</v>
      </c>
      <c r="AI617" t="n">
        <v>64.58118</v>
      </c>
      <c r="AJ617" t="n">
        <v>57.31955</v>
      </c>
      <c r="AK617" t="n">
        <v>75.86451</v>
      </c>
      <c r="AL617" t="n">
        <v>77.0767</v>
      </c>
      <c r="AM617" t="n">
        <v>73.88433000000001</v>
      </c>
      <c r="AN617" t="n">
        <v>70.48554</v>
      </c>
      <c r="AO617" t="n">
        <v>75.49326000000001</v>
      </c>
      <c r="AP617" t="n">
        <v>72.77066000000001</v>
      </c>
      <c r="AQ617" t="n">
        <v/>
      </c>
      <c r="AR617" t="n">
        <v/>
      </c>
      <c r="AS617" t="n">
        <v>60.35928</v>
      </c>
      <c r="AT617" t="n">
        <v>66.37111</v>
      </c>
      <c r="AU617" t="n">
        <v>87.30892</v>
      </c>
      <c r="AV617" t="n">
        <v>14.39541</v>
      </c>
      <c r="AW617" t="n">
        <v>74.676</v>
      </c>
      <c r="AX617" t="n">
        <v/>
      </c>
    </row>
    <row r="618">
      <c r="A618" s="92" t="n">
        <v>36647</v>
      </c>
      <c r="B618" t="n">
        <v>75.69275</v>
      </c>
      <c r="C618" t="n">
        <v>77.36337</v>
      </c>
      <c r="D618" t="n">
        <v/>
      </c>
      <c r="E618" t="n">
        <v>77.73786</v>
      </c>
      <c r="F618" t="n">
        <v>94.3939</v>
      </c>
      <c r="G618" t="n">
        <v>69.58699</v>
      </c>
      <c r="H618" t="n">
        <v/>
      </c>
      <c r="I618" t="n">
        <v>53.83091</v>
      </c>
      <c r="J618" t="n">
        <v>33.20275</v>
      </c>
      <c r="K618" t="n">
        <v>87.09999999999999</v>
      </c>
      <c r="L618" t="n">
        <v>82.82424</v>
      </c>
      <c r="M618" t="n">
        <v>77.54929</v>
      </c>
      <c r="N618" t="n">
        <v>79.83</v>
      </c>
      <c r="O618" t="n">
        <v>76.09994</v>
      </c>
      <c r="P618" t="n">
        <v>68.04993</v>
      </c>
      <c r="Q618" t="n">
        <v/>
      </c>
      <c r="R618" t="n">
        <v>81.82082</v>
      </c>
      <c r="S618" t="n">
        <v>81.98322</v>
      </c>
      <c r="T618" t="n">
        <v/>
      </c>
      <c r="U618" t="n">
        <v>79.51806999999999</v>
      </c>
      <c r="V618" t="n">
        <v>78.07125000000001</v>
      </c>
      <c r="W618" t="n">
        <v>76.34820999999999</v>
      </c>
      <c r="X618" t="n">
        <v>53.48328</v>
      </c>
      <c r="Y618" t="n">
        <v/>
      </c>
      <c r="Z618" t="n">
        <v/>
      </c>
      <c r="AA618" t="n">
        <v>73.31506</v>
      </c>
      <c r="AB618" t="n">
        <v>45.74213</v>
      </c>
      <c r="AC618" t="n">
        <v>79.87177</v>
      </c>
      <c r="AD618" t="n">
        <v>76.43858</v>
      </c>
      <c r="AE618" t="n">
        <v>104.081</v>
      </c>
      <c r="AF618" t="n">
        <v>68.93009000000001</v>
      </c>
      <c r="AG618" t="n">
        <v>78.6951</v>
      </c>
      <c r="AH618" t="n">
        <v>74.69459999999999</v>
      </c>
      <c r="AI618" t="n">
        <v>64.32158</v>
      </c>
      <c r="AJ618" t="n">
        <v>57.53705</v>
      </c>
      <c r="AK618" t="n">
        <v>75.93201000000001</v>
      </c>
      <c r="AL618" t="n">
        <v>77.16992999999999</v>
      </c>
      <c r="AM618" t="n">
        <v>73.99234</v>
      </c>
      <c r="AN618" t="n">
        <v>70.67176000000001</v>
      </c>
      <c r="AO618" t="n">
        <v>75.9659</v>
      </c>
      <c r="AP618" t="n">
        <v>73.40035</v>
      </c>
      <c r="AQ618" t="n">
        <v/>
      </c>
      <c r="AR618" t="n">
        <v/>
      </c>
      <c r="AS618" t="n">
        <v>60.47379</v>
      </c>
      <c r="AT618" t="n">
        <v>66.73111</v>
      </c>
      <c r="AU618" t="n">
        <v>87.48653</v>
      </c>
      <c r="AV618" t="n">
        <v>14.80843</v>
      </c>
      <c r="AW618" t="n">
        <v>74.676</v>
      </c>
      <c r="AX618" t="n">
        <v/>
      </c>
    </row>
    <row r="619">
      <c r="A619" s="92" t="n">
        <v>36678</v>
      </c>
      <c r="B619" t="n">
        <v>76.23269999999999</v>
      </c>
      <c r="C619" t="n">
        <v>77.48886</v>
      </c>
      <c r="D619" t="n">
        <v/>
      </c>
      <c r="E619" t="n">
        <v>77.93468</v>
      </c>
      <c r="F619" t="n">
        <v>94.41931</v>
      </c>
      <c r="G619" t="n">
        <v>69.75639</v>
      </c>
      <c r="H619" t="n">
        <v/>
      </c>
      <c r="I619" t="n">
        <v>53.9617</v>
      </c>
      <c r="J619" t="n">
        <v>33.37959</v>
      </c>
      <c r="K619" t="n">
        <v>87.2</v>
      </c>
      <c r="L619" t="n">
        <v>82.98562</v>
      </c>
      <c r="M619" t="n">
        <v>77.69685</v>
      </c>
      <c r="N619" t="n">
        <v>79.95999999999999</v>
      </c>
      <c r="O619" t="n">
        <v>76.33052000000001</v>
      </c>
      <c r="P619" t="n">
        <v>68.16343999999999</v>
      </c>
      <c r="Q619" t="n">
        <v/>
      </c>
      <c r="R619" t="n">
        <v>81.78804</v>
      </c>
      <c r="S619" t="n">
        <v>82.09990999999999</v>
      </c>
      <c r="T619" t="n">
        <v/>
      </c>
      <c r="U619" t="n">
        <v>79.55200000000001</v>
      </c>
      <c r="V619" t="n">
        <v>77.97051</v>
      </c>
      <c r="W619" t="n">
        <v>76.34913</v>
      </c>
      <c r="X619" t="n">
        <v>53.7356</v>
      </c>
      <c r="Y619" t="n">
        <v/>
      </c>
      <c r="Z619" t="n">
        <v/>
      </c>
      <c r="AA619" t="n">
        <v>73.76067</v>
      </c>
      <c r="AB619" t="n">
        <v>45.9493</v>
      </c>
      <c r="AC619" t="n">
        <v>80.27670000000001</v>
      </c>
      <c r="AD619" t="n">
        <v>76.58065999999999</v>
      </c>
      <c r="AE619" t="n">
        <v>103.8446</v>
      </c>
      <c r="AF619" t="n">
        <v>68.99885999999999</v>
      </c>
      <c r="AG619" t="n">
        <v>78.6237</v>
      </c>
      <c r="AH619" t="n">
        <v>74.82643</v>
      </c>
      <c r="AI619" t="n">
        <v>64.26389</v>
      </c>
      <c r="AJ619" t="n">
        <v>57.79306</v>
      </c>
      <c r="AK619" t="n">
        <v>75.67483</v>
      </c>
      <c r="AL619" t="n">
        <v>77.41328</v>
      </c>
      <c r="AM619" t="n">
        <v>74.09258</v>
      </c>
      <c r="AN619" t="n">
        <v>70.86024</v>
      </c>
      <c r="AO619" t="n">
        <v>76.24009</v>
      </c>
      <c r="AP619" t="n">
        <v>73.5797</v>
      </c>
      <c r="AQ619" t="n">
        <v/>
      </c>
      <c r="AR619" t="n">
        <v/>
      </c>
      <c r="AS619" t="n">
        <v>60.61303</v>
      </c>
      <c r="AT619" t="n">
        <v>67.07111999999999</v>
      </c>
      <c r="AU619" t="n">
        <v>87.31227</v>
      </c>
      <c r="AV619" t="n">
        <v>15.15984</v>
      </c>
      <c r="AW619" t="n">
        <v>74.71729000000001</v>
      </c>
      <c r="AX619" t="n">
        <v/>
      </c>
    </row>
    <row r="620">
      <c r="A620" s="92" t="n">
        <v>36708</v>
      </c>
      <c r="B620" t="n">
        <v>76.19468000000001</v>
      </c>
      <c r="C620" t="n">
        <v>77.70923000000001</v>
      </c>
      <c r="D620" t="n">
        <v/>
      </c>
      <c r="E620" t="n">
        <v>78.09805</v>
      </c>
      <c r="F620" t="n">
        <v>94.49261</v>
      </c>
      <c r="G620" t="n">
        <v>69.67615000000001</v>
      </c>
      <c r="H620" t="n">
        <v/>
      </c>
      <c r="I620" t="n">
        <v>54.18242</v>
      </c>
      <c r="J620" t="n">
        <v>33.7452</v>
      </c>
      <c r="K620" t="n">
        <v>87.7</v>
      </c>
      <c r="L620" t="n">
        <v>83.49178999999999</v>
      </c>
      <c r="M620" t="n">
        <v>77.31516999999999</v>
      </c>
      <c r="N620" t="n">
        <v>80.02</v>
      </c>
      <c r="O620" t="n">
        <v>76.86168000000001</v>
      </c>
      <c r="P620" t="n">
        <v>68.39046</v>
      </c>
      <c r="Q620" t="n">
        <v/>
      </c>
      <c r="R620" t="n">
        <v>81.52585000000001</v>
      </c>
      <c r="S620" t="n">
        <v>81.91212</v>
      </c>
      <c r="T620" t="n">
        <v/>
      </c>
      <c r="U620" t="n">
        <v>79.59859</v>
      </c>
      <c r="V620" t="n">
        <v>77.26536</v>
      </c>
      <c r="W620" t="n">
        <v>74.87469</v>
      </c>
      <c r="X620" t="n">
        <v>53.90934</v>
      </c>
      <c r="Y620" t="n">
        <v/>
      </c>
      <c r="Z620" t="n">
        <v/>
      </c>
      <c r="AA620" t="n">
        <v>73.80791000000001</v>
      </c>
      <c r="AB620" t="n">
        <v>46.0736</v>
      </c>
      <c r="AC620" t="n">
        <v>80.27670000000001</v>
      </c>
      <c r="AD620" t="n">
        <v>76.69041</v>
      </c>
      <c r="AE620" t="n">
        <v>103.6032</v>
      </c>
      <c r="AF620" t="n">
        <v>69.27603999999999</v>
      </c>
      <c r="AG620" t="n">
        <v>78.38030000000001</v>
      </c>
      <c r="AH620" t="n">
        <v>73.74876</v>
      </c>
      <c r="AI620" t="n">
        <v>64.20621</v>
      </c>
      <c r="AJ620" t="n">
        <v>58.02121</v>
      </c>
      <c r="AK620" t="n">
        <v>75.42439</v>
      </c>
      <c r="AL620" t="n">
        <v>77.10189</v>
      </c>
      <c r="AM620" t="n">
        <v>74.2513</v>
      </c>
      <c r="AN620" t="n">
        <v>70.97033999999999</v>
      </c>
      <c r="AO620" t="n">
        <v>76.82747000000001</v>
      </c>
      <c r="AP620" t="n">
        <v>73.70491</v>
      </c>
      <c r="AQ620" t="n">
        <v/>
      </c>
      <c r="AR620" t="n">
        <v/>
      </c>
      <c r="AS620" t="n">
        <v>60.83309</v>
      </c>
      <c r="AT620" t="n">
        <v>67.41113</v>
      </c>
      <c r="AU620" t="n">
        <v>86.87327999999999</v>
      </c>
      <c r="AV620" t="n">
        <v>15.50385</v>
      </c>
      <c r="AW620" t="n">
        <v>74.84113000000001</v>
      </c>
      <c r="AX620" t="n">
        <v/>
      </c>
    </row>
    <row r="621">
      <c r="A621" s="92" t="n">
        <v>36739</v>
      </c>
      <c r="B621" t="n">
        <v>76.36199000000001</v>
      </c>
      <c r="C621" t="n">
        <v>77.77701</v>
      </c>
      <c r="D621" t="n">
        <v/>
      </c>
      <c r="E621" t="n">
        <v>78.20593</v>
      </c>
      <c r="F621" t="n">
        <v>94.53084</v>
      </c>
      <c r="G621" t="n">
        <v>69.79205</v>
      </c>
      <c r="H621" t="n">
        <v/>
      </c>
      <c r="I621" t="n">
        <v>54.41949</v>
      </c>
      <c r="J621" t="n">
        <v>34.01967</v>
      </c>
      <c r="K621" t="n">
        <v>87.90000000000001</v>
      </c>
      <c r="L621" t="n">
        <v>83.35048999999999</v>
      </c>
      <c r="M621" t="n">
        <v>77.3565</v>
      </c>
      <c r="N621" t="n">
        <v>80.17</v>
      </c>
      <c r="O621" t="n">
        <v>77.14797</v>
      </c>
      <c r="P621" t="n">
        <v>68.44721</v>
      </c>
      <c r="Q621" t="n">
        <v/>
      </c>
      <c r="R621" t="n">
        <v>82.05843</v>
      </c>
      <c r="S621" t="n">
        <v>82.14581</v>
      </c>
      <c r="T621" t="n">
        <v/>
      </c>
      <c r="U621" t="n">
        <v>79.74738000000001</v>
      </c>
      <c r="V621" t="n">
        <v>77.56757</v>
      </c>
      <c r="W621" t="n">
        <v>75.02997999999999</v>
      </c>
      <c r="X621" t="n">
        <v>54.17344</v>
      </c>
      <c r="Y621" t="n">
        <v/>
      </c>
      <c r="Z621" t="n">
        <v/>
      </c>
      <c r="AA621" t="n">
        <v>74.24030999999999</v>
      </c>
      <c r="AB621" t="n">
        <v>45.90787</v>
      </c>
      <c r="AC621" t="n">
        <v>79.87177</v>
      </c>
      <c r="AD621" t="n">
        <v>76.82071999999999</v>
      </c>
      <c r="AE621" t="n">
        <v>103.8017</v>
      </c>
      <c r="AF621" t="n">
        <v>69.41357000000001</v>
      </c>
      <c r="AG621" t="n">
        <v>78.22199999999999</v>
      </c>
      <c r="AH621" t="n">
        <v>75.03064000000001</v>
      </c>
      <c r="AI621" t="n">
        <v>64.09083</v>
      </c>
      <c r="AJ621" t="n">
        <v>58.32968</v>
      </c>
      <c r="AK621" t="n">
        <v>75.83239</v>
      </c>
      <c r="AL621" t="n">
        <v>77.29655</v>
      </c>
      <c r="AM621" t="n">
        <v>74.45255</v>
      </c>
      <c r="AN621" t="n">
        <v>71.21611</v>
      </c>
      <c r="AO621" t="n">
        <v>76.97548999999999</v>
      </c>
      <c r="AP621" t="n">
        <v>73.42644</v>
      </c>
      <c r="AQ621" t="n">
        <v/>
      </c>
      <c r="AR621" t="n">
        <v/>
      </c>
      <c r="AS621" t="n">
        <v>60.8776</v>
      </c>
      <c r="AT621" t="n">
        <v>67.84113000000001</v>
      </c>
      <c r="AU621" t="n">
        <v>87.05759</v>
      </c>
      <c r="AV621" t="n">
        <v>15.94447</v>
      </c>
      <c r="AW621" t="n">
        <v>75.00624000000001</v>
      </c>
      <c r="AX621" t="n">
        <v/>
      </c>
    </row>
    <row r="622">
      <c r="A622" s="92" t="n">
        <v>36770</v>
      </c>
      <c r="B622" t="n">
        <v>76.30875</v>
      </c>
      <c r="C622" t="n">
        <v>77.96635000000001</v>
      </c>
      <c r="D622" t="n">
        <v/>
      </c>
      <c r="E622" t="n">
        <v>78.38882</v>
      </c>
      <c r="F622" t="n">
        <v>94.48111</v>
      </c>
      <c r="G622" t="n">
        <v>70.13084000000001</v>
      </c>
      <c r="H622" t="n">
        <v/>
      </c>
      <c r="I622" t="n">
        <v>54.65656</v>
      </c>
      <c r="J622" t="n">
        <v>34.16938</v>
      </c>
      <c r="K622" t="n">
        <v>87.59999999999999</v>
      </c>
      <c r="L622" t="n">
        <v>83.08351999999999</v>
      </c>
      <c r="M622" t="n">
        <v>77.85111000000001</v>
      </c>
      <c r="N622" t="n">
        <v>80.20999999999999</v>
      </c>
      <c r="O622" t="n">
        <v>77.09307</v>
      </c>
      <c r="P622" t="n">
        <v>68.78775</v>
      </c>
      <c r="Q622" t="n">
        <v/>
      </c>
      <c r="R622" t="n">
        <v>82.57462</v>
      </c>
      <c r="S622" t="n">
        <v>82.25237</v>
      </c>
      <c r="T622" t="n">
        <v/>
      </c>
      <c r="U622" t="n">
        <v>79.89385</v>
      </c>
      <c r="V622" t="n">
        <v>78.17198999999999</v>
      </c>
      <c r="W622" t="n">
        <v>76.90107</v>
      </c>
      <c r="X622" t="n">
        <v>54.57621</v>
      </c>
      <c r="Y622" t="n">
        <v/>
      </c>
      <c r="Z622" t="n">
        <v/>
      </c>
      <c r="AA622" t="n">
        <v>74.59665</v>
      </c>
      <c r="AB622" t="n">
        <v>46.11503</v>
      </c>
      <c r="AC622" t="n">
        <v>79.16315</v>
      </c>
      <c r="AD622" t="n">
        <v>76.78006000000001</v>
      </c>
      <c r="AE622" t="n">
        <v>103.576</v>
      </c>
      <c r="AF622" t="n">
        <v>69.75951000000001</v>
      </c>
      <c r="AG622" t="n">
        <v>78.286</v>
      </c>
      <c r="AH622" t="n">
        <v>75.18294</v>
      </c>
      <c r="AI622" t="n">
        <v>64.11967</v>
      </c>
      <c r="AJ622" t="n">
        <v>58.84039</v>
      </c>
      <c r="AK622" t="n">
        <v>76.77437</v>
      </c>
      <c r="AL622" t="n">
        <v>77.87724</v>
      </c>
      <c r="AM622" t="n">
        <v>74.70399</v>
      </c>
      <c r="AN622" t="n">
        <v>71.53434</v>
      </c>
      <c r="AO622" t="n">
        <v>77.48669</v>
      </c>
      <c r="AP622" t="n">
        <v>73.58132000000001</v>
      </c>
      <c r="AQ622" t="n">
        <v/>
      </c>
      <c r="AR622" t="n">
        <v/>
      </c>
      <c r="AS622" t="n">
        <v>60.98512</v>
      </c>
      <c r="AT622" t="n">
        <v>68.20113000000001</v>
      </c>
      <c r="AU622" t="n">
        <v>87.59711</v>
      </c>
      <c r="AV622" t="n">
        <v>16.51766</v>
      </c>
      <c r="AW622" t="n">
        <v>75.25391999999999</v>
      </c>
      <c r="AX622" t="n">
        <v/>
      </c>
    </row>
    <row r="623">
      <c r="A623" s="92" t="n">
        <v>36800</v>
      </c>
      <c r="B623" t="n">
        <v>76.45325</v>
      </c>
      <c r="C623" t="n">
        <v>77.8708</v>
      </c>
      <c r="D623" t="n">
        <v/>
      </c>
      <c r="E623" t="n">
        <v>78.52151000000001</v>
      </c>
      <c r="F623" t="n">
        <v>94.49583</v>
      </c>
      <c r="G623" t="n">
        <v>70.30024</v>
      </c>
      <c r="H623" t="n">
        <v/>
      </c>
      <c r="I623" t="n">
        <v>54.74648</v>
      </c>
      <c r="J623" t="n">
        <v>34.43518</v>
      </c>
      <c r="K623" t="n">
        <v>87.5</v>
      </c>
      <c r="L623" t="n">
        <v>83.09184</v>
      </c>
      <c r="M623" t="n">
        <v>78.04567</v>
      </c>
      <c r="N623" t="n">
        <v>80.3</v>
      </c>
      <c r="O623" t="n">
        <v>77.16663</v>
      </c>
      <c r="P623" t="n">
        <v>69.3553</v>
      </c>
      <c r="Q623" t="n">
        <v/>
      </c>
      <c r="R623" t="n">
        <v>82.94333</v>
      </c>
      <c r="S623" t="n">
        <v>82.2654</v>
      </c>
      <c r="T623" t="n">
        <v/>
      </c>
      <c r="U623" t="n">
        <v>80.03393</v>
      </c>
      <c r="V623" t="n">
        <v>78.17198999999999</v>
      </c>
      <c r="W623" t="n">
        <v>77.3956</v>
      </c>
      <c r="X623" t="n">
        <v>54.86741</v>
      </c>
      <c r="Y623" t="n">
        <v/>
      </c>
      <c r="Z623" t="n">
        <v/>
      </c>
      <c r="AA623" t="n">
        <v>75.04237999999999</v>
      </c>
      <c r="AB623" t="n">
        <v>46.52937</v>
      </c>
      <c r="AC623" t="n">
        <v>79.46684999999999</v>
      </c>
      <c r="AD623" t="n">
        <v>77.10704</v>
      </c>
      <c r="AE623" t="n">
        <v>103.5062</v>
      </c>
      <c r="AF623" t="n">
        <v>69.82933</v>
      </c>
      <c r="AG623" t="n">
        <v>78.3229</v>
      </c>
      <c r="AH623" t="n">
        <v>75.30225</v>
      </c>
      <c r="AI623" t="n">
        <v>64.31197</v>
      </c>
      <c r="AJ623" t="n">
        <v>59.21331</v>
      </c>
      <c r="AK623" t="n">
        <v>76.8961</v>
      </c>
      <c r="AL623" t="n">
        <v>77.90715</v>
      </c>
      <c r="AM623" t="n">
        <v>74.90807</v>
      </c>
      <c r="AN623" t="n">
        <v>71.77267999999999</v>
      </c>
      <c r="AO623" t="n">
        <v>77.977</v>
      </c>
      <c r="AP623" t="n">
        <v>74.0164</v>
      </c>
      <c r="AQ623" t="n">
        <v/>
      </c>
      <c r="AR623" t="n">
        <v/>
      </c>
      <c r="AS623" t="n">
        <v>61.12437</v>
      </c>
      <c r="AT623" t="n">
        <v>68.60114</v>
      </c>
      <c r="AU623" t="n">
        <v>87.88195</v>
      </c>
      <c r="AV623" t="n">
        <v>16.97454</v>
      </c>
      <c r="AW623" t="n">
        <v>75.46033</v>
      </c>
      <c r="AX623" t="n">
        <v/>
      </c>
    </row>
    <row r="624">
      <c r="A624" s="92" t="n">
        <v>36831</v>
      </c>
      <c r="B624" t="n">
        <v>76.51409</v>
      </c>
      <c r="C624" t="n">
        <v>78.05012000000001</v>
      </c>
      <c r="D624" t="n">
        <v/>
      </c>
      <c r="E624" t="n">
        <v>78.55152</v>
      </c>
      <c r="F624" t="n">
        <v>94.91154</v>
      </c>
      <c r="G624" t="n">
        <v>70.51421999999999</v>
      </c>
      <c r="H624" t="n">
        <v/>
      </c>
      <c r="I624" t="n">
        <v>54.9018</v>
      </c>
      <c r="J624" t="n">
        <v>34.66301</v>
      </c>
      <c r="K624" t="n">
        <v>87.59999999999999</v>
      </c>
      <c r="L624" t="n">
        <v>83.07187999999999</v>
      </c>
      <c r="M624" t="n">
        <v>78.20197</v>
      </c>
      <c r="N624" t="n">
        <v>80.33</v>
      </c>
      <c r="O624" t="n">
        <v>77.27003000000001</v>
      </c>
      <c r="P624" t="n">
        <v>69.75259</v>
      </c>
      <c r="Q624" t="n">
        <v/>
      </c>
      <c r="R624" t="n">
        <v>82.92694</v>
      </c>
      <c r="S624" t="n">
        <v>82.25148</v>
      </c>
      <c r="T624" t="n">
        <v/>
      </c>
      <c r="U624" t="n">
        <v>80.07908999999999</v>
      </c>
      <c r="V624" t="n">
        <v>78.27273</v>
      </c>
      <c r="W624" t="n">
        <v>77.48392</v>
      </c>
      <c r="X624" t="n">
        <v>55.20606</v>
      </c>
      <c r="Y624" t="n">
        <v/>
      </c>
      <c r="Z624" t="n">
        <v/>
      </c>
      <c r="AA624" t="n">
        <v>75.38572000000001</v>
      </c>
      <c r="AB624" t="n">
        <v>46.65366</v>
      </c>
      <c r="AC624" t="n">
        <v>79.46684999999999</v>
      </c>
      <c r="AD624" t="n">
        <v>77.24807</v>
      </c>
      <c r="AE624" t="n">
        <v>103.3272</v>
      </c>
      <c r="AF624" t="n">
        <v>69.82933</v>
      </c>
      <c r="AG624" t="n">
        <v>78.2046</v>
      </c>
      <c r="AH624" t="n">
        <v>75.47538</v>
      </c>
      <c r="AI624" t="n">
        <v>64.52348000000001</v>
      </c>
      <c r="AJ624" t="n">
        <v>59.6777</v>
      </c>
      <c r="AK624" t="n">
        <v>76.85912</v>
      </c>
      <c r="AL624" t="n">
        <v>78.1648</v>
      </c>
      <c r="AM624" t="n">
        <v>75.05679000000001</v>
      </c>
      <c r="AN624" t="n">
        <v>72.02324</v>
      </c>
      <c r="AO624" t="n">
        <v>78.29087</v>
      </c>
      <c r="AP624" t="n">
        <v>74.65994000000001</v>
      </c>
      <c r="AQ624" t="n">
        <v/>
      </c>
      <c r="AR624" t="n">
        <v/>
      </c>
      <c r="AS624" t="n">
        <v>61.33815</v>
      </c>
      <c r="AT624" t="n">
        <v>69.09115</v>
      </c>
      <c r="AU624" t="n">
        <v>87.98248</v>
      </c>
      <c r="AV624" t="n">
        <v>17.55661</v>
      </c>
      <c r="AW624" t="n">
        <v>75.54288</v>
      </c>
      <c r="AX624" t="n">
        <v/>
      </c>
    </row>
    <row r="625">
      <c r="A625" s="92" t="n">
        <v>36861</v>
      </c>
      <c r="B625" t="n">
        <v>76.80309</v>
      </c>
      <c r="C625" t="n">
        <v>78.12638</v>
      </c>
      <c r="D625" t="n">
        <v/>
      </c>
      <c r="E625" t="n">
        <v>78.59583000000001</v>
      </c>
      <c r="F625" t="n">
        <v>94.93832999999999</v>
      </c>
      <c r="G625" t="n">
        <v>70.78169</v>
      </c>
      <c r="H625" t="n">
        <v/>
      </c>
      <c r="I625" t="n">
        <v>55.19609</v>
      </c>
      <c r="J625" t="n">
        <v>34.86805</v>
      </c>
      <c r="K625" t="n">
        <v>87.7</v>
      </c>
      <c r="L625" t="n">
        <v>83.99876</v>
      </c>
      <c r="M625" t="n">
        <v>78.1938</v>
      </c>
      <c r="N625" t="n">
        <v>80.64</v>
      </c>
      <c r="O625" t="n">
        <v>77.49095</v>
      </c>
      <c r="P625" t="n">
        <v>69.75259</v>
      </c>
      <c r="Q625" t="n">
        <v/>
      </c>
      <c r="R625" t="n">
        <v>82.94333</v>
      </c>
      <c r="S625" t="n">
        <v>82.33927</v>
      </c>
      <c r="T625" t="n">
        <v/>
      </c>
      <c r="U625" t="n">
        <v>80.13661</v>
      </c>
      <c r="V625" t="n">
        <v>78.37347</v>
      </c>
      <c r="W625" t="n">
        <v>78.17788</v>
      </c>
      <c r="X625" t="n">
        <v>55.44782</v>
      </c>
      <c r="Y625" t="n">
        <v/>
      </c>
      <c r="Z625" t="n">
        <v/>
      </c>
      <c r="AA625" t="n">
        <v>75.43241999999999</v>
      </c>
      <c r="AB625" t="n">
        <v>46.8194</v>
      </c>
      <c r="AC625" t="n">
        <v>79.56807999999999</v>
      </c>
      <c r="AD625" t="n">
        <v>77.27076</v>
      </c>
      <c r="AE625" t="n">
        <v>103.3071</v>
      </c>
      <c r="AF625" t="n">
        <v>70.03668</v>
      </c>
      <c r="AG625" t="n">
        <v>77.8916</v>
      </c>
      <c r="AH625" t="n">
        <v>75.56761</v>
      </c>
      <c r="AI625" t="n">
        <v>64.42734</v>
      </c>
      <c r="AJ625" t="n">
        <v>60.07967</v>
      </c>
      <c r="AK625" t="n">
        <v>76.46980000000001</v>
      </c>
      <c r="AL625" t="n">
        <v>78.10209</v>
      </c>
      <c r="AM625" t="n">
        <v>75.19183</v>
      </c>
      <c r="AN625" t="n">
        <v>72.36083000000001</v>
      </c>
      <c r="AO625" t="n">
        <v>78.35281000000001</v>
      </c>
      <c r="AP625" t="n">
        <v>74.73256000000001</v>
      </c>
      <c r="AQ625" t="n">
        <v/>
      </c>
      <c r="AR625" t="n">
        <v/>
      </c>
      <c r="AS625" t="n">
        <v>61.36897</v>
      </c>
      <c r="AT625" t="n">
        <v>69.38115999999999</v>
      </c>
      <c r="AU625" t="n">
        <v>88.10648</v>
      </c>
      <c r="AV625" t="n">
        <v>17.99722</v>
      </c>
      <c r="AW625" t="n">
        <v>75.46033</v>
      </c>
      <c r="AX625" t="n">
        <v/>
      </c>
    </row>
    <row r="626">
      <c r="A626" s="92" t="n">
        <v>36892</v>
      </c>
      <c r="B626" t="n">
        <v>76.96278</v>
      </c>
      <c r="C626" t="n">
        <v>78.16846</v>
      </c>
      <c r="D626" t="n">
        <v/>
      </c>
      <c r="E626" t="n">
        <v>78.40334</v>
      </c>
      <c r="F626" t="n">
        <v>95.27200000000001</v>
      </c>
      <c r="G626" t="n">
        <v>70.91543</v>
      </c>
      <c r="H626" t="n">
        <v/>
      </c>
      <c r="I626" t="n">
        <v>55.53943</v>
      </c>
      <c r="J626" t="n">
        <v>35.44629</v>
      </c>
      <c r="K626" t="n">
        <v>84.5</v>
      </c>
      <c r="L626" t="n">
        <v>83.56137</v>
      </c>
      <c r="M626" t="n">
        <v>77.73399000000001</v>
      </c>
      <c r="N626" t="n">
        <v>80.18000000000001</v>
      </c>
      <c r="O626" t="n">
        <v>77.84753000000001</v>
      </c>
      <c r="P626" t="n">
        <v>70.32015</v>
      </c>
      <c r="Q626" t="n">
        <v/>
      </c>
      <c r="R626" t="n">
        <v>82.82862</v>
      </c>
      <c r="S626" t="n">
        <v>82.18586000000001</v>
      </c>
      <c r="T626" t="n">
        <v/>
      </c>
      <c r="U626" t="n">
        <v>80.15282000000001</v>
      </c>
      <c r="V626" t="n">
        <v>77.56757</v>
      </c>
      <c r="W626" t="n">
        <v>76.91812</v>
      </c>
      <c r="X626" t="n">
        <v>56.36902</v>
      </c>
      <c r="Y626" t="n">
        <v/>
      </c>
      <c r="Z626" t="n">
        <v/>
      </c>
      <c r="AA626" t="n">
        <v>74.86681</v>
      </c>
      <c r="AB626" t="n">
        <v>46.90226</v>
      </c>
      <c r="AC626" t="n">
        <v>79.26438</v>
      </c>
      <c r="AD626" t="n">
        <v>77.71992</v>
      </c>
      <c r="AE626" t="n">
        <v>102.7051</v>
      </c>
      <c r="AF626" t="n">
        <v>70.66086</v>
      </c>
      <c r="AG626" t="n">
        <v>78.3509</v>
      </c>
      <c r="AH626" t="n">
        <v>74.76937</v>
      </c>
      <c r="AI626" t="n">
        <v>64.58118</v>
      </c>
      <c r="AJ626" t="n">
        <v>60.4821</v>
      </c>
      <c r="AK626" t="n">
        <v>76.65836</v>
      </c>
      <c r="AL626" t="n">
        <v>78.60957000000001</v>
      </c>
      <c r="AM626" t="n">
        <v>75.30322</v>
      </c>
      <c r="AN626" t="n">
        <v>72.34314999999999</v>
      </c>
      <c r="AO626" t="n">
        <v>79.16033</v>
      </c>
      <c r="AP626" t="n">
        <v>74.67858</v>
      </c>
      <c r="AQ626" t="n">
        <v/>
      </c>
      <c r="AR626" t="n">
        <v/>
      </c>
      <c r="AS626" t="n">
        <v>62.22892</v>
      </c>
      <c r="AT626" t="n">
        <v>69.67116</v>
      </c>
      <c r="AU626" t="n">
        <v>87.55019</v>
      </c>
      <c r="AV626" t="n">
        <v>18.48357</v>
      </c>
      <c r="AW626" t="n">
        <v>75.74929</v>
      </c>
      <c r="AX626" t="n">
        <v/>
      </c>
    </row>
    <row r="627">
      <c r="A627" s="92" t="n">
        <v>36923</v>
      </c>
      <c r="B627" t="n">
        <v>77.30502</v>
      </c>
      <c r="C627" t="n">
        <v>78.48734</v>
      </c>
      <c r="D627" t="n">
        <v/>
      </c>
      <c r="E627" t="n">
        <v>78.85983</v>
      </c>
      <c r="F627" t="n">
        <v>95.12990000000001</v>
      </c>
      <c r="G627" t="n">
        <v>70.99567</v>
      </c>
      <c r="H627" t="n">
        <v/>
      </c>
      <c r="I627" t="n">
        <v>56.24246</v>
      </c>
      <c r="J627" t="n">
        <v>35.95293</v>
      </c>
      <c r="K627" t="n">
        <v>84.7</v>
      </c>
      <c r="L627" t="n">
        <v>83.86709999999999</v>
      </c>
      <c r="M627" t="n">
        <v>78.36382</v>
      </c>
      <c r="N627" t="n">
        <v>80.29000000000001</v>
      </c>
      <c r="O627" t="n">
        <v>78.11360999999999</v>
      </c>
      <c r="P627" t="n">
        <v>70.54716999999999</v>
      </c>
      <c r="Q627" t="n">
        <v/>
      </c>
      <c r="R627" t="n">
        <v>83.27927</v>
      </c>
      <c r="S627" t="n">
        <v>82.35205000000001</v>
      </c>
      <c r="T627" t="n">
        <v/>
      </c>
      <c r="U627" t="n">
        <v>80.41788</v>
      </c>
      <c r="V627" t="n">
        <v>77.76904</v>
      </c>
      <c r="W627" t="n">
        <v>76.30128000000001</v>
      </c>
      <c r="X627" t="n">
        <v>57.01641</v>
      </c>
      <c r="Y627" t="n">
        <v/>
      </c>
      <c r="Z627" t="n">
        <v/>
      </c>
      <c r="AA627" t="n">
        <v>75.72977</v>
      </c>
      <c r="AB627" t="n">
        <v>46.9437</v>
      </c>
      <c r="AC627" t="n">
        <v>79.06192</v>
      </c>
      <c r="AD627" t="n">
        <v>77.94919</v>
      </c>
      <c r="AE627" t="n">
        <v>102.3827</v>
      </c>
      <c r="AF627" t="n">
        <v>70.93803</v>
      </c>
      <c r="AG627" t="n">
        <v>77.94459999999999</v>
      </c>
      <c r="AH627" t="n">
        <v>76.14989</v>
      </c>
      <c r="AI627" t="n">
        <v>64.32158</v>
      </c>
      <c r="AJ627" t="n">
        <v>60.84113</v>
      </c>
      <c r="AK627" t="n">
        <v>77.35935000000001</v>
      </c>
      <c r="AL627" t="n">
        <v>79.2011</v>
      </c>
      <c r="AM627" t="n">
        <v>75.59013</v>
      </c>
      <c r="AN627" t="n">
        <v>72.63676</v>
      </c>
      <c r="AO627" t="n">
        <v>79.37531</v>
      </c>
      <c r="AP627" t="n">
        <v>74.50776999999999</v>
      </c>
      <c r="AQ627" t="n">
        <v/>
      </c>
      <c r="AR627" t="n">
        <v/>
      </c>
      <c r="AS627" t="n">
        <v>63.90999</v>
      </c>
      <c r="AT627" t="n">
        <v>70.44118</v>
      </c>
      <c r="AU627" t="n">
        <v>87.69429</v>
      </c>
      <c r="AV627" t="n">
        <v>18.82431</v>
      </c>
      <c r="AW627" t="n">
        <v>76.12081000000001</v>
      </c>
      <c r="AX627" t="n">
        <v/>
      </c>
    </row>
    <row r="628">
      <c r="A628" s="92" t="n">
        <v>36951</v>
      </c>
      <c r="B628" t="n">
        <v>77.40388</v>
      </c>
      <c r="C628" t="n">
        <v>78.56063</v>
      </c>
      <c r="D628" t="n">
        <v/>
      </c>
      <c r="E628" t="n">
        <v>78.9286</v>
      </c>
      <c r="F628" t="n">
        <v>95.25732000000001</v>
      </c>
      <c r="G628" t="n">
        <v>71.4682</v>
      </c>
      <c r="H628" t="n">
        <v/>
      </c>
      <c r="I628" t="n">
        <v>56.93732</v>
      </c>
      <c r="J628" t="n">
        <v>36.39664</v>
      </c>
      <c r="K628" t="n">
        <v>84.8</v>
      </c>
      <c r="L628" t="n">
        <v>83.77169000000001</v>
      </c>
      <c r="M628" t="n">
        <v>78.89872</v>
      </c>
      <c r="N628" t="n">
        <v>80.73</v>
      </c>
      <c r="O628" t="n">
        <v>78.42749999999999</v>
      </c>
      <c r="P628" t="n">
        <v>70.66068</v>
      </c>
      <c r="Q628" t="n">
        <v/>
      </c>
      <c r="R628" t="n">
        <v>83.82004000000001</v>
      </c>
      <c r="S628" t="n">
        <v>82.64632</v>
      </c>
      <c r="T628" t="n">
        <v/>
      </c>
      <c r="U628" t="n">
        <v>80.68562</v>
      </c>
      <c r="V628" t="n">
        <v>78.07125000000001</v>
      </c>
      <c r="W628" t="n">
        <v>78.17457</v>
      </c>
      <c r="X628" t="n">
        <v>57.57384</v>
      </c>
      <c r="Y628" t="n">
        <v/>
      </c>
      <c r="Z628" t="n">
        <v/>
      </c>
      <c r="AA628" t="n">
        <v>76.21747999999999</v>
      </c>
      <c r="AB628" t="n">
        <v>47.31659</v>
      </c>
      <c r="AC628" t="n">
        <v>79.26438</v>
      </c>
      <c r="AD628" t="n">
        <v>77.98557</v>
      </c>
      <c r="AE628" t="n">
        <v>102.5982</v>
      </c>
      <c r="AF628" t="n">
        <v>71.42256</v>
      </c>
      <c r="AG628" t="n">
        <v>77.9911</v>
      </c>
      <c r="AH628" t="n">
        <v>76.22395</v>
      </c>
      <c r="AI628" t="n">
        <v>64.61963</v>
      </c>
      <c r="AJ628" t="n">
        <v>61.19694</v>
      </c>
      <c r="AK628" t="n">
        <v>78.10905</v>
      </c>
      <c r="AL628" t="n">
        <v>79.3343</v>
      </c>
      <c r="AM628" t="n">
        <v>75.94088000000001</v>
      </c>
      <c r="AN628" t="n">
        <v>73.00264</v>
      </c>
      <c r="AO628" t="n">
        <v>79.70437</v>
      </c>
      <c r="AP628" t="n">
        <v>74.67035</v>
      </c>
      <c r="AQ628" t="n">
        <v/>
      </c>
      <c r="AR628" t="n">
        <v/>
      </c>
      <c r="AS628" t="n">
        <v>64.43011</v>
      </c>
      <c r="AT628" t="n">
        <v>70.97118</v>
      </c>
      <c r="AU628" t="n">
        <v>88.38796000000001</v>
      </c>
      <c r="AV628" t="n">
        <v>19.57537</v>
      </c>
      <c r="AW628" t="n">
        <v>76.49233</v>
      </c>
      <c r="AX628" t="n">
        <v/>
      </c>
    </row>
    <row r="629">
      <c r="A629" s="92" t="n">
        <v>36982</v>
      </c>
      <c r="B629" t="n">
        <v>77.79173</v>
      </c>
      <c r="C629" t="n">
        <v>78.89242</v>
      </c>
      <c r="D629" t="n">
        <v/>
      </c>
      <c r="E629" t="n">
        <v>79.28004</v>
      </c>
      <c r="F629" t="n">
        <v>95.33514</v>
      </c>
      <c r="G629" t="n">
        <v>71.56627</v>
      </c>
      <c r="H629" t="n">
        <v/>
      </c>
      <c r="I629" t="n">
        <v>57.42781</v>
      </c>
      <c r="J629" t="n">
        <v>36.69281</v>
      </c>
      <c r="K629" t="n">
        <v>84.90000000000001</v>
      </c>
      <c r="L629" t="n">
        <v>83.97636</v>
      </c>
      <c r="M629" t="n">
        <v>78.97976</v>
      </c>
      <c r="N629" t="n">
        <v>81.12</v>
      </c>
      <c r="O629" t="n">
        <v>78.79494</v>
      </c>
      <c r="P629" t="n">
        <v>71.05797</v>
      </c>
      <c r="Q629" t="n">
        <v/>
      </c>
      <c r="R629" t="n">
        <v>84.17236</v>
      </c>
      <c r="S629" t="n">
        <v>82.89596</v>
      </c>
      <c r="T629" t="n">
        <v/>
      </c>
      <c r="U629" t="n">
        <v>80.88744</v>
      </c>
      <c r="V629" t="n">
        <v>78.47421</v>
      </c>
      <c r="W629" t="n">
        <v>78.76749</v>
      </c>
      <c r="X629" t="n">
        <v>58.09876</v>
      </c>
      <c r="Y629" t="n">
        <v/>
      </c>
      <c r="Z629" t="n">
        <v/>
      </c>
      <c r="AA629" t="n">
        <v>76.84274000000001</v>
      </c>
      <c r="AB629" t="n">
        <v>47.73092</v>
      </c>
      <c r="AC629" t="n">
        <v>79.97301</v>
      </c>
      <c r="AD629" t="n">
        <v>78.31107</v>
      </c>
      <c r="AE629" t="n">
        <v>102.9033</v>
      </c>
      <c r="AF629" t="n">
        <v>71.63097</v>
      </c>
      <c r="AG629" t="n">
        <v>78.0074</v>
      </c>
      <c r="AH629" t="n">
        <v>76.44368</v>
      </c>
      <c r="AI629" t="n">
        <v>64.81193</v>
      </c>
      <c r="AJ629" t="n">
        <v>61.44287</v>
      </c>
      <c r="AK629" t="n">
        <v>78.4507</v>
      </c>
      <c r="AL629" t="n">
        <v>79.49374</v>
      </c>
      <c r="AM629" t="n">
        <v>76.29763</v>
      </c>
      <c r="AN629" t="n">
        <v>73.60556</v>
      </c>
      <c r="AO629" t="n">
        <v>79.98827</v>
      </c>
      <c r="AP629" t="n">
        <v>75.31898</v>
      </c>
      <c r="AQ629" t="n">
        <v/>
      </c>
      <c r="AR629" t="n">
        <v/>
      </c>
      <c r="AS629" t="n">
        <v>64.59276</v>
      </c>
      <c r="AT629" t="n">
        <v>71.52119</v>
      </c>
      <c r="AU629" t="n">
        <v>88.85377</v>
      </c>
      <c r="AV629" t="n">
        <v>21.12131</v>
      </c>
      <c r="AW629" t="n">
        <v>76.61617</v>
      </c>
      <c r="AX629" t="n">
        <v/>
      </c>
    </row>
    <row r="630">
      <c r="A630" s="92" t="n">
        <v>37012</v>
      </c>
      <c r="B630" t="n">
        <v>77.79934</v>
      </c>
      <c r="C630" t="n">
        <v>79.11734</v>
      </c>
      <c r="D630" t="n">
        <v/>
      </c>
      <c r="E630" t="n">
        <v>79.50211</v>
      </c>
      <c r="F630" t="n">
        <v>95.74534</v>
      </c>
      <c r="G630" t="n">
        <v>71.67326</v>
      </c>
      <c r="H630" t="n">
        <v/>
      </c>
      <c r="I630" t="n">
        <v>57.624</v>
      </c>
      <c r="J630" t="n">
        <v>36.8664</v>
      </c>
      <c r="K630" t="n">
        <v>85</v>
      </c>
      <c r="L630" t="n">
        <v>83.91875</v>
      </c>
      <c r="M630" t="n">
        <v>79.22848999999999</v>
      </c>
      <c r="N630" t="n">
        <v>81.20999999999999</v>
      </c>
      <c r="O630" t="n">
        <v>78.86982</v>
      </c>
      <c r="P630" t="n">
        <v>71.22824</v>
      </c>
      <c r="Q630" t="n">
        <v/>
      </c>
      <c r="R630" t="n">
        <v>84.27068</v>
      </c>
      <c r="S630" t="n">
        <v>82.97836</v>
      </c>
      <c r="T630" t="n">
        <v/>
      </c>
      <c r="U630" t="n">
        <v>80.92776000000001</v>
      </c>
      <c r="V630" t="n">
        <v>78.87715</v>
      </c>
      <c r="W630" t="n">
        <v>78.67333000000001</v>
      </c>
      <c r="X630" t="n">
        <v>58.31066</v>
      </c>
      <c r="Y630" t="n">
        <v/>
      </c>
      <c r="Z630" t="n">
        <v/>
      </c>
      <c r="AA630" t="n">
        <v>77.28834999999999</v>
      </c>
      <c r="AB630" t="n">
        <v>48.26955</v>
      </c>
      <c r="AC630" t="n">
        <v>80.07423</v>
      </c>
      <c r="AD630" t="n">
        <v>78.47374000000001</v>
      </c>
      <c r="AE630" t="n">
        <v>103.0373</v>
      </c>
      <c r="AF630" t="n">
        <v>71.7685</v>
      </c>
      <c r="AG630" t="n">
        <v>78.1079</v>
      </c>
      <c r="AH630" t="n">
        <v>76.67785000000001</v>
      </c>
      <c r="AI630" t="n">
        <v>65.16766</v>
      </c>
      <c r="AJ630" t="n">
        <v>61.62744</v>
      </c>
      <c r="AK630" t="n">
        <v>78.60809</v>
      </c>
      <c r="AL630" t="n">
        <v>79.64594</v>
      </c>
      <c r="AM630" t="n">
        <v>76.4603</v>
      </c>
      <c r="AN630" t="n">
        <v>73.97741000000001</v>
      </c>
      <c r="AO630" t="n">
        <v>80.80582</v>
      </c>
      <c r="AP630" t="n">
        <v>75.95868</v>
      </c>
      <c r="AQ630" t="n">
        <v/>
      </c>
      <c r="AR630" t="n">
        <v/>
      </c>
      <c r="AS630" t="n">
        <v>64.53216999999999</v>
      </c>
      <c r="AT630" t="n">
        <v>71.71120000000001</v>
      </c>
      <c r="AU630" t="n">
        <v>89.00791</v>
      </c>
      <c r="AV630" t="n">
        <v>22.15831</v>
      </c>
      <c r="AW630" t="n">
        <v>76.57489</v>
      </c>
      <c r="AX630" t="n">
        <v/>
      </c>
    </row>
    <row r="631">
      <c r="A631" s="92" t="n">
        <v>37043</v>
      </c>
      <c r="B631" t="n">
        <v>78.02749</v>
      </c>
      <c r="C631" t="n">
        <v>79.24205000000001</v>
      </c>
      <c r="D631" t="n">
        <v/>
      </c>
      <c r="E631" t="n">
        <v>79.71334</v>
      </c>
      <c r="F631" t="n">
        <v>95.73945999999999</v>
      </c>
      <c r="G631" t="n">
        <v>71.80699</v>
      </c>
      <c r="H631" t="n">
        <v/>
      </c>
      <c r="I631" t="n">
        <v>57.81202</v>
      </c>
      <c r="J631" t="n">
        <v>37.03347</v>
      </c>
      <c r="K631" t="n">
        <v>85.5</v>
      </c>
      <c r="L631" t="n">
        <v>84.08656000000001</v>
      </c>
      <c r="M631" t="n">
        <v>79.1858</v>
      </c>
      <c r="N631" t="n">
        <v>81.36</v>
      </c>
      <c r="O631" t="n">
        <v>79.08060999999999</v>
      </c>
      <c r="P631" t="n">
        <v>71.00121</v>
      </c>
      <c r="Q631" t="n">
        <v/>
      </c>
      <c r="R631" t="n">
        <v>84.23792</v>
      </c>
      <c r="S631" t="n">
        <v>83.03819</v>
      </c>
      <c r="T631" t="n">
        <v/>
      </c>
      <c r="U631" t="n">
        <v>81.0643</v>
      </c>
      <c r="V631" t="n">
        <v>78.97789</v>
      </c>
      <c r="W631" t="n">
        <v>79.00345</v>
      </c>
      <c r="X631" t="n">
        <v>58.50062</v>
      </c>
      <c r="Y631" t="n">
        <v/>
      </c>
      <c r="Z631" t="n">
        <v/>
      </c>
      <c r="AA631" t="n">
        <v>77.53165</v>
      </c>
      <c r="AB631" t="n">
        <v>48.97392</v>
      </c>
      <c r="AC631" t="n">
        <v>80.47915999999999</v>
      </c>
      <c r="AD631" t="n">
        <v>78.62300999999999</v>
      </c>
      <c r="AE631" t="n">
        <v>103.0169</v>
      </c>
      <c r="AF631" t="n">
        <v>71.83938999999999</v>
      </c>
      <c r="AG631" t="n">
        <v>78.0035</v>
      </c>
      <c r="AH631" t="n">
        <v>76.82619</v>
      </c>
      <c r="AI631" t="n">
        <v>65.14843999999999</v>
      </c>
      <c r="AJ631" t="n">
        <v>61.81096</v>
      </c>
      <c r="AK631" t="n">
        <v>78.41314</v>
      </c>
      <c r="AL631" t="n">
        <v>79.66231000000001</v>
      </c>
      <c r="AM631" t="n">
        <v>76.66291</v>
      </c>
      <c r="AN631" t="n">
        <v>74.27485</v>
      </c>
      <c r="AO631" t="n">
        <v>80.89815</v>
      </c>
      <c r="AP631" t="n">
        <v>76.12029</v>
      </c>
      <c r="AQ631" t="n">
        <v/>
      </c>
      <c r="AR631" t="n">
        <v/>
      </c>
      <c r="AS631" t="n">
        <v>64.49491999999999</v>
      </c>
      <c r="AT631" t="n">
        <v>72.10120000000001</v>
      </c>
      <c r="AU631" t="n">
        <v>89.08163</v>
      </c>
      <c r="AV631" t="n">
        <v>23.05816</v>
      </c>
      <c r="AW631" t="n">
        <v>76.74001</v>
      </c>
      <c r="AX631" t="n">
        <v/>
      </c>
    </row>
    <row r="632">
      <c r="A632" s="92" t="n">
        <v>37073</v>
      </c>
      <c r="B632" t="n">
        <v>78.34690000000001</v>
      </c>
      <c r="C632" t="n">
        <v>79.45180000000001</v>
      </c>
      <c r="D632" t="n">
        <v/>
      </c>
      <c r="E632" t="n">
        <v>79.93510000000001</v>
      </c>
      <c r="F632" t="n">
        <v>95.8169</v>
      </c>
      <c r="G632" t="n">
        <v>72.05663</v>
      </c>
      <c r="H632" t="n">
        <v/>
      </c>
      <c r="I632" t="n">
        <v>57.95099</v>
      </c>
      <c r="J632" t="n">
        <v>37.34808</v>
      </c>
      <c r="K632" t="n">
        <v>86.7</v>
      </c>
      <c r="L632" t="n">
        <v>84.46221</v>
      </c>
      <c r="M632" t="n">
        <v>79.04832</v>
      </c>
      <c r="N632" t="n">
        <v>81.33</v>
      </c>
      <c r="O632" t="n">
        <v>79.47512999999999</v>
      </c>
      <c r="P632" t="n">
        <v>71.00121</v>
      </c>
      <c r="Q632" t="n">
        <v/>
      </c>
      <c r="R632" t="n">
        <v>83.65617</v>
      </c>
      <c r="S632" t="n">
        <v>82.95408999999999</v>
      </c>
      <c r="T632" t="n">
        <v/>
      </c>
      <c r="U632" t="n">
        <v>81.13173999999999</v>
      </c>
      <c r="V632" t="n">
        <v>78.47421</v>
      </c>
      <c r="W632" t="n">
        <v>77.64588000000001</v>
      </c>
      <c r="X632" t="n">
        <v>58.8886</v>
      </c>
      <c r="Y632" t="n">
        <v/>
      </c>
      <c r="Z632" t="n">
        <v/>
      </c>
      <c r="AA632" t="n">
        <v>77.29833000000001</v>
      </c>
      <c r="AB632" t="n">
        <v>49.34866</v>
      </c>
      <c r="AC632" t="n">
        <v>81.08656000000001</v>
      </c>
      <c r="AD632" t="n">
        <v>78.82606</v>
      </c>
      <c r="AE632" t="n">
        <v>102.8449</v>
      </c>
      <c r="AF632" t="n">
        <v>71.7685</v>
      </c>
      <c r="AG632" t="n">
        <v>77.7747</v>
      </c>
      <c r="AH632" t="n">
        <v>75.95665</v>
      </c>
      <c r="AI632" t="n">
        <v>65.19651</v>
      </c>
      <c r="AJ632" t="n">
        <v>61.80527</v>
      </c>
      <c r="AK632" t="n">
        <v>78.2217</v>
      </c>
      <c r="AL632" t="n">
        <v>79.68777</v>
      </c>
      <c r="AM632" t="n">
        <v>76.78896</v>
      </c>
      <c r="AN632" t="n">
        <v>74.45227</v>
      </c>
      <c r="AO632" t="n">
        <v>81.32021</v>
      </c>
      <c r="AP632" t="n">
        <v>76.15554</v>
      </c>
      <c r="AQ632" t="n">
        <v/>
      </c>
      <c r="AR632" t="n">
        <v/>
      </c>
      <c r="AS632" t="n">
        <v>64.92725</v>
      </c>
      <c r="AT632" t="n">
        <v>72.2312</v>
      </c>
      <c r="AU632" t="n">
        <v>88.67950999999999</v>
      </c>
      <c r="AV632" t="n">
        <v>23.70528</v>
      </c>
      <c r="AW632" t="n">
        <v>76.86385</v>
      </c>
      <c r="AX632" t="n">
        <v/>
      </c>
    </row>
    <row r="633">
      <c r="A633" s="92" t="n">
        <v>37104</v>
      </c>
      <c r="B633" t="n">
        <v>78.33168999999999</v>
      </c>
      <c r="C633" t="n">
        <v>79.50539000000001</v>
      </c>
      <c r="D633" t="n">
        <v/>
      </c>
      <c r="E633" t="n">
        <v>80.07211</v>
      </c>
      <c r="F633" t="n">
        <v>95.3171</v>
      </c>
      <c r="G633" t="n">
        <v>72.22602999999999</v>
      </c>
      <c r="H633" t="n">
        <v/>
      </c>
      <c r="I633" t="n">
        <v>58.08179</v>
      </c>
      <c r="J633" t="n">
        <v>37.55096</v>
      </c>
      <c r="K633" t="n">
        <v>86.8</v>
      </c>
      <c r="L633" t="n">
        <v>84.43434999999999</v>
      </c>
      <c r="M633" t="n">
        <v>79.07501000000001</v>
      </c>
      <c r="N633" t="n">
        <v>81.41</v>
      </c>
      <c r="O633" t="n">
        <v>79.80802</v>
      </c>
      <c r="P633" t="n">
        <v>71.22824</v>
      </c>
      <c r="Q633" t="n">
        <v/>
      </c>
      <c r="R633" t="n">
        <v>84.10682</v>
      </c>
      <c r="S633" t="n">
        <v>83.25205</v>
      </c>
      <c r="T633" t="n">
        <v/>
      </c>
      <c r="U633" t="n">
        <v>81.28919</v>
      </c>
      <c r="V633" t="n">
        <v>78.97789</v>
      </c>
      <c r="W633" t="n">
        <v>77.6755</v>
      </c>
      <c r="X633" t="n">
        <v>58.81508</v>
      </c>
      <c r="Y633" t="n">
        <v/>
      </c>
      <c r="Z633" t="n">
        <v/>
      </c>
      <c r="AA633" t="n">
        <v>77.64133</v>
      </c>
      <c r="AB633" t="n">
        <v>49.61121</v>
      </c>
      <c r="AC633" t="n">
        <v>81.28901999999999</v>
      </c>
      <c r="AD633" t="n">
        <v>78.92889</v>
      </c>
      <c r="AE633" t="n">
        <v>102.8214</v>
      </c>
      <c r="AF633" t="n">
        <v>71.90815000000001</v>
      </c>
      <c r="AG633" t="n">
        <v>79.1054</v>
      </c>
      <c r="AH633" t="n">
        <v>77.11903</v>
      </c>
      <c r="AI633" t="n">
        <v>65.18689000000001</v>
      </c>
      <c r="AJ633" t="n">
        <v>62.01997</v>
      </c>
      <c r="AK633" t="n">
        <v>78.57765000000001</v>
      </c>
      <c r="AL633" t="n">
        <v>79.62815000000001</v>
      </c>
      <c r="AM633" t="n">
        <v>77.0125</v>
      </c>
      <c r="AN633" t="n">
        <v>74.80286</v>
      </c>
      <c r="AO633" t="n">
        <v>81.49388999999999</v>
      </c>
      <c r="AP633" t="n">
        <v>75.98350000000001</v>
      </c>
      <c r="AQ633" t="n">
        <v/>
      </c>
      <c r="AR633" t="n">
        <v/>
      </c>
      <c r="AS633" t="n">
        <v>65.08829</v>
      </c>
      <c r="AT633" t="n">
        <v>72.3912</v>
      </c>
      <c r="AU633" t="n">
        <v>88.90067999999999</v>
      </c>
      <c r="AV633" t="n">
        <v>24.60077</v>
      </c>
      <c r="AW633" t="n">
        <v>77.02898</v>
      </c>
      <c r="AX633" t="n">
        <v/>
      </c>
    </row>
    <row r="634">
      <c r="A634" s="92" t="n">
        <v>37135</v>
      </c>
      <c r="B634" t="n">
        <v>78.46098000000001</v>
      </c>
      <c r="C634" t="n">
        <v>79.68492000000001</v>
      </c>
      <c r="D634" t="n">
        <v/>
      </c>
      <c r="E634" t="n">
        <v>80.16527000000001</v>
      </c>
      <c r="F634" t="n">
        <v>95.35574</v>
      </c>
      <c r="G634" t="n">
        <v>72.52025</v>
      </c>
      <c r="H634" t="n">
        <v/>
      </c>
      <c r="I634" t="n">
        <v>58.22076</v>
      </c>
      <c r="J634" t="n">
        <v>37.94911</v>
      </c>
      <c r="K634" t="n">
        <v>86</v>
      </c>
      <c r="L634" t="n">
        <v>84.34667</v>
      </c>
      <c r="M634" t="n">
        <v>79.56377000000001</v>
      </c>
      <c r="N634" t="n">
        <v>81.62</v>
      </c>
      <c r="O634" t="n">
        <v>79.66289</v>
      </c>
      <c r="P634" t="n">
        <v>71.56877</v>
      </c>
      <c r="Q634" t="n">
        <v/>
      </c>
      <c r="R634" t="n">
        <v>84.70495</v>
      </c>
      <c r="S634" t="n">
        <v>83.35863000000001</v>
      </c>
      <c r="T634" t="n">
        <v/>
      </c>
      <c r="U634" t="n">
        <v>81.42398</v>
      </c>
      <c r="V634" t="n">
        <v>79.17936</v>
      </c>
      <c r="W634" t="n">
        <v>79.43325</v>
      </c>
      <c r="X634" t="n">
        <v>59.10483</v>
      </c>
      <c r="Y634" t="n">
        <v/>
      </c>
      <c r="Z634" t="n">
        <v/>
      </c>
      <c r="AA634" t="n">
        <v>78.15302</v>
      </c>
      <c r="AB634" t="n">
        <v>49.98178</v>
      </c>
      <c r="AC634" t="n">
        <v>81.28901999999999</v>
      </c>
      <c r="AD634" t="n">
        <v>78.91379000000001</v>
      </c>
      <c r="AE634" t="n">
        <v>102.8489</v>
      </c>
      <c r="AF634" t="n">
        <v>72.04674</v>
      </c>
      <c r="AG634" t="n">
        <v>79.04989999999999</v>
      </c>
      <c r="AH634" t="n">
        <v>77.20142</v>
      </c>
      <c r="AI634" t="n">
        <v>65.7157</v>
      </c>
      <c r="AJ634" t="n">
        <v>62.56544</v>
      </c>
      <c r="AK634" t="n">
        <v>79.65475000000001</v>
      </c>
      <c r="AL634" t="n">
        <v>80.13687</v>
      </c>
      <c r="AM634" t="n">
        <v>77.2906</v>
      </c>
      <c r="AN634" t="n">
        <v>75.20263</v>
      </c>
      <c r="AO634" t="n">
        <v>81.44893</v>
      </c>
      <c r="AP634" t="n">
        <v>76.18223</v>
      </c>
      <c r="AQ634" t="n">
        <v/>
      </c>
      <c r="AR634" t="n">
        <v/>
      </c>
      <c r="AS634" t="n">
        <v>65.34889</v>
      </c>
      <c r="AT634" t="n">
        <v>72.98121999999999</v>
      </c>
      <c r="AU634" t="n">
        <v>89.68818</v>
      </c>
      <c r="AV634" t="n">
        <v>25.88969</v>
      </c>
      <c r="AW634" t="n">
        <v>77.23537</v>
      </c>
      <c r="AX634" t="n">
        <v/>
      </c>
    </row>
    <row r="635">
      <c r="A635" s="92" t="n">
        <v>37165</v>
      </c>
      <c r="B635" t="n">
        <v>78.59787</v>
      </c>
      <c r="C635" t="n">
        <v>79.7152</v>
      </c>
      <c r="D635" t="n">
        <v/>
      </c>
      <c r="E635" t="n">
        <v>80.09371</v>
      </c>
      <c r="F635" t="n">
        <v>95.26903</v>
      </c>
      <c r="G635" t="n">
        <v>72.93037</v>
      </c>
      <c r="H635" t="n">
        <v/>
      </c>
      <c r="I635" t="n">
        <v>58.33521</v>
      </c>
      <c r="J635" t="n">
        <v>38.10207</v>
      </c>
      <c r="K635" t="n">
        <v>86</v>
      </c>
      <c r="L635" t="n">
        <v>84.50238</v>
      </c>
      <c r="M635" t="n">
        <v>79.83617</v>
      </c>
      <c r="N635" t="n">
        <v>81.88</v>
      </c>
      <c r="O635" t="n">
        <v>79.72566999999999</v>
      </c>
      <c r="P635" t="n">
        <v>71.79579</v>
      </c>
      <c r="Q635" t="n">
        <v/>
      </c>
      <c r="R635" t="n">
        <v>84.80327</v>
      </c>
      <c r="S635" t="n">
        <v>83.4623</v>
      </c>
      <c r="T635" t="n">
        <v/>
      </c>
      <c r="U635" t="n">
        <v>81.56005</v>
      </c>
      <c r="V635" t="n">
        <v>79.07862</v>
      </c>
      <c r="W635" t="n">
        <v>79.86569</v>
      </c>
      <c r="X635" t="n">
        <v>59.33538</v>
      </c>
      <c r="Y635" t="n">
        <v/>
      </c>
      <c r="Z635" t="n">
        <v/>
      </c>
      <c r="AA635" t="n">
        <v>78.37824000000001</v>
      </c>
      <c r="AB635" t="n">
        <v>50.26885</v>
      </c>
      <c r="AC635" t="n">
        <v>81.28901999999999</v>
      </c>
      <c r="AD635" t="n">
        <v>79.11184</v>
      </c>
      <c r="AE635" t="n">
        <v>102.798</v>
      </c>
      <c r="AF635" t="n">
        <v>72.04674</v>
      </c>
      <c r="AG635" t="n">
        <v>79.20740000000001</v>
      </c>
      <c r="AH635" t="n">
        <v>77.51469</v>
      </c>
      <c r="AI635" t="n">
        <v>65.85992</v>
      </c>
      <c r="AJ635" t="n">
        <v>62.76693</v>
      </c>
      <c r="AK635" t="n">
        <v>79.76966</v>
      </c>
      <c r="AL635" t="n">
        <v>80.33965000000001</v>
      </c>
      <c r="AM635" t="n">
        <v>77.53287</v>
      </c>
      <c r="AN635" t="n">
        <v>75.55951</v>
      </c>
      <c r="AO635" t="n">
        <v>81.67228</v>
      </c>
      <c r="AP635" t="n">
        <v>76.77217</v>
      </c>
      <c r="AQ635" t="n">
        <v/>
      </c>
      <c r="AR635" t="n">
        <v/>
      </c>
      <c r="AS635" t="n">
        <v>65.54584</v>
      </c>
      <c r="AT635" t="n">
        <v>73.56122999999999</v>
      </c>
      <c r="AU635" t="n">
        <v>89.66137999999999</v>
      </c>
      <c r="AV635" t="n">
        <v>27.09083</v>
      </c>
      <c r="AW635" t="n">
        <v>77.44177999999999</v>
      </c>
      <c r="AX635" t="n">
        <v/>
      </c>
    </row>
    <row r="636">
      <c r="A636" s="92" t="n">
        <v>37196</v>
      </c>
      <c r="B636" t="n">
        <v>78.59026</v>
      </c>
      <c r="C636" t="n">
        <v>80.02464000000001</v>
      </c>
      <c r="D636" t="n">
        <v/>
      </c>
      <c r="E636" t="n">
        <v>79.84772</v>
      </c>
      <c r="F636" t="n">
        <v>95.79850999999999</v>
      </c>
      <c r="G636" t="n">
        <v>72.98386000000001</v>
      </c>
      <c r="H636" t="n">
        <v/>
      </c>
      <c r="I636" t="n">
        <v>58.45783</v>
      </c>
      <c r="J636" t="n">
        <v>38.32122</v>
      </c>
      <c r="K636" t="n">
        <v>86.09999999999999</v>
      </c>
      <c r="L636" t="n">
        <v>84.45480000000001</v>
      </c>
      <c r="M636" t="n">
        <v>79.84263</v>
      </c>
      <c r="N636" t="n">
        <v>81.97</v>
      </c>
      <c r="O636" t="n">
        <v>79.81838999999999</v>
      </c>
      <c r="P636" t="n">
        <v>71.9093</v>
      </c>
      <c r="Q636" t="n">
        <v/>
      </c>
      <c r="R636" t="n">
        <v>84.51649</v>
      </c>
      <c r="S636" t="n">
        <v>83.34831</v>
      </c>
      <c r="T636" t="n">
        <v/>
      </c>
      <c r="U636" t="n">
        <v>81.6652</v>
      </c>
      <c r="V636" t="n">
        <v>79.17936</v>
      </c>
      <c r="W636" t="n">
        <v>80.02634</v>
      </c>
      <c r="X636" t="n">
        <v>59.5963</v>
      </c>
      <c r="Y636" t="n">
        <v/>
      </c>
      <c r="Z636" t="n">
        <v/>
      </c>
      <c r="AA636" t="n">
        <v>78.53818</v>
      </c>
      <c r="AB636" t="n">
        <v>50.5574</v>
      </c>
      <c r="AC636" t="n">
        <v>80.88409</v>
      </c>
      <c r="AD636" t="n">
        <v>79.27422</v>
      </c>
      <c r="AE636" t="n">
        <v>102.7091</v>
      </c>
      <c r="AF636" t="n">
        <v>72.11445000000001</v>
      </c>
      <c r="AG636" t="n">
        <v>79.46469999999999</v>
      </c>
      <c r="AH636" t="n">
        <v>77.68279</v>
      </c>
      <c r="AI636" t="n">
        <v>65.84068000000001</v>
      </c>
      <c r="AJ636" t="n">
        <v>62.98907</v>
      </c>
      <c r="AK636" t="n">
        <v>79.77878</v>
      </c>
      <c r="AL636" t="n">
        <v>80.47082</v>
      </c>
      <c r="AM636" t="n">
        <v>77.71265</v>
      </c>
      <c r="AN636" t="n">
        <v>75.80695</v>
      </c>
      <c r="AO636" t="n">
        <v>81.74338</v>
      </c>
      <c r="AP636" t="n">
        <v>77.43877000000001</v>
      </c>
      <c r="AQ636" t="n">
        <v/>
      </c>
      <c r="AR636" t="n">
        <v/>
      </c>
      <c r="AS636" t="n">
        <v>65.66061000000001</v>
      </c>
      <c r="AT636" t="n">
        <v>74.12124</v>
      </c>
      <c r="AU636" t="n">
        <v>89.89595</v>
      </c>
      <c r="AV636" t="n">
        <v>27.94926</v>
      </c>
      <c r="AW636" t="n">
        <v>77.64818</v>
      </c>
      <c r="AX636" t="n">
        <v/>
      </c>
    </row>
    <row r="637">
      <c r="A637" s="92" t="n">
        <v>37226</v>
      </c>
      <c r="B637" t="n">
        <v>78.82602</v>
      </c>
      <c r="C637" t="n">
        <v>80.02498</v>
      </c>
      <c r="D637" t="n">
        <v/>
      </c>
      <c r="E637" t="n">
        <v>79.90003</v>
      </c>
      <c r="F637" t="n">
        <v>95.80526</v>
      </c>
      <c r="G637" t="n">
        <v>72.97495000000001</v>
      </c>
      <c r="H637" t="n">
        <v/>
      </c>
      <c r="I637" t="n">
        <v>58.62132</v>
      </c>
      <c r="J637" t="n">
        <v>38.45575</v>
      </c>
      <c r="K637" t="n">
        <v>86.09999999999999</v>
      </c>
      <c r="L637" t="n">
        <v>85.42086</v>
      </c>
      <c r="M637" t="n">
        <v>79.91293</v>
      </c>
      <c r="N637" t="n">
        <v>82.48</v>
      </c>
      <c r="O637" t="n">
        <v>80.14207</v>
      </c>
      <c r="P637" t="n">
        <v>71.96606</v>
      </c>
      <c r="Q637" t="n">
        <v/>
      </c>
      <c r="R637" t="n">
        <v>84.50011000000001</v>
      </c>
      <c r="S637" t="n">
        <v>83.55543</v>
      </c>
      <c r="T637" t="n">
        <v/>
      </c>
      <c r="U637" t="n">
        <v>81.71859000000001</v>
      </c>
      <c r="V637" t="n">
        <v>79.38084000000001</v>
      </c>
      <c r="W637" t="n">
        <v>80.35120000000001</v>
      </c>
      <c r="X637" t="n">
        <v>59.75091</v>
      </c>
      <c r="Y637" t="n">
        <v/>
      </c>
      <c r="Z637" t="n">
        <v/>
      </c>
      <c r="AA637" t="n">
        <v>78.87527</v>
      </c>
      <c r="AB637" t="n">
        <v>50.98323</v>
      </c>
      <c r="AC637" t="n">
        <v>80.88409</v>
      </c>
      <c r="AD637" t="n">
        <v>79.31787</v>
      </c>
      <c r="AE637" t="n">
        <v>102.6944</v>
      </c>
      <c r="AF637" t="n">
        <v>72.32286000000001</v>
      </c>
      <c r="AG637" t="n">
        <v>79.2225</v>
      </c>
      <c r="AH637" t="n">
        <v>77.73484000000001</v>
      </c>
      <c r="AI637" t="n">
        <v>65.57147999999999</v>
      </c>
      <c r="AJ637" t="n">
        <v>63.13029</v>
      </c>
      <c r="AK637" t="n">
        <v>79.43548</v>
      </c>
      <c r="AL637" t="n">
        <v>80.73547000000001</v>
      </c>
      <c r="AM637" t="n">
        <v>77.83190999999999</v>
      </c>
      <c r="AN637" t="n">
        <v>76.1923</v>
      </c>
      <c r="AO637" t="n">
        <v>81.82984</v>
      </c>
      <c r="AP637" t="n">
        <v>77.51703999999999</v>
      </c>
      <c r="AQ637" t="n">
        <v/>
      </c>
      <c r="AR637" t="n">
        <v/>
      </c>
      <c r="AS637" t="n">
        <v>65.88495</v>
      </c>
      <c r="AT637" t="n">
        <v>74.29124</v>
      </c>
      <c r="AU637" t="n">
        <v>89.99648000000001</v>
      </c>
      <c r="AV637" t="n">
        <v>28.57365</v>
      </c>
      <c r="AW637" t="n">
        <v>77.52434</v>
      </c>
      <c r="AX637" t="n">
        <v/>
      </c>
    </row>
    <row r="638">
      <c r="A638" s="92" t="n">
        <v>37257</v>
      </c>
      <c r="B638" t="n">
        <v>78.71194</v>
      </c>
      <c r="C638" t="n">
        <v>80.24525</v>
      </c>
      <c r="D638" t="n">
        <v/>
      </c>
      <c r="E638" t="n">
        <v>79.76738</v>
      </c>
      <c r="F638" t="n">
        <v>95.72815</v>
      </c>
      <c r="G638" t="n">
        <v>73.07302</v>
      </c>
      <c r="H638" t="n">
        <v/>
      </c>
      <c r="I638" t="n">
        <v>59.03824</v>
      </c>
      <c r="J638" t="n">
        <v>38.81918</v>
      </c>
      <c r="K638" t="n">
        <v>86.59999999999999</v>
      </c>
      <c r="L638" t="n">
        <v>85.0346</v>
      </c>
      <c r="M638" t="n">
        <v>79.67368</v>
      </c>
      <c r="N638" t="n">
        <v>82.09</v>
      </c>
      <c r="O638" t="n">
        <v>79.68583</v>
      </c>
      <c r="P638" t="n">
        <v>72.47686</v>
      </c>
      <c r="Q638" t="n">
        <v/>
      </c>
      <c r="R638" t="n">
        <v>84.3854</v>
      </c>
      <c r="S638" t="n">
        <v>83.72507</v>
      </c>
      <c r="T638" t="n">
        <v/>
      </c>
      <c r="U638" t="n">
        <v>81.68988</v>
      </c>
      <c r="V638" t="n">
        <v>78.87715</v>
      </c>
      <c r="W638" t="n">
        <v>79.26681000000001</v>
      </c>
      <c r="X638" t="n">
        <v>60.40886</v>
      </c>
      <c r="Y638" t="n">
        <v/>
      </c>
      <c r="Z638" t="n">
        <v/>
      </c>
      <c r="AA638" t="n">
        <v>79.9931</v>
      </c>
      <c r="AB638" t="n">
        <v>51.29296</v>
      </c>
      <c r="AC638" t="n">
        <v>81.89641</v>
      </c>
      <c r="AD638" t="n">
        <v>79.67146</v>
      </c>
      <c r="AE638" t="n">
        <v>101.9362</v>
      </c>
      <c r="AF638" t="n">
        <v>72.60109</v>
      </c>
      <c r="AG638" t="n">
        <v>79.0543</v>
      </c>
      <c r="AH638" t="n">
        <v>76.58799999999999</v>
      </c>
      <c r="AI638" t="n">
        <v>65.51379</v>
      </c>
      <c r="AJ638" t="n">
        <v>62.79183</v>
      </c>
      <c r="AK638" t="n">
        <v>79.68912</v>
      </c>
      <c r="AL638" t="n">
        <v>80.50348</v>
      </c>
      <c r="AM638" t="n">
        <v>77.88741</v>
      </c>
      <c r="AN638" t="n">
        <v>76.27242</v>
      </c>
      <c r="AO638" t="n">
        <v>82.57222</v>
      </c>
      <c r="AP638" t="n">
        <v>77.7002</v>
      </c>
      <c r="AQ638" t="n">
        <v/>
      </c>
      <c r="AR638" t="n">
        <v/>
      </c>
      <c r="AS638" t="n">
        <v>66.40131</v>
      </c>
      <c r="AT638" t="n">
        <v>75.18125000000001</v>
      </c>
      <c r="AU638" t="n">
        <v>89.19557</v>
      </c>
      <c r="AV638" t="n">
        <v>29.76794</v>
      </c>
      <c r="AW638" t="n">
        <v>77.68946</v>
      </c>
      <c r="AX638" t="n">
        <v>54.58886</v>
      </c>
    </row>
    <row r="639">
      <c r="A639" s="92" t="n">
        <v>37288</v>
      </c>
      <c r="B639" t="n">
        <v>78.94009</v>
      </c>
      <c r="C639" t="n">
        <v>80.63216</v>
      </c>
      <c r="D639" t="n">
        <v/>
      </c>
      <c r="E639" t="n">
        <v>80.2628</v>
      </c>
      <c r="F639" t="n">
        <v>95.83609</v>
      </c>
      <c r="G639" t="n">
        <v>73.34049</v>
      </c>
      <c r="H639" t="n">
        <v/>
      </c>
      <c r="I639" t="n">
        <v>59.66769</v>
      </c>
      <c r="J639" t="n">
        <v>39.18913</v>
      </c>
      <c r="K639" t="n">
        <v>87</v>
      </c>
      <c r="L639" t="n">
        <v>85.37560000000001</v>
      </c>
      <c r="M639" t="n">
        <v>80.37615</v>
      </c>
      <c r="N639" t="n">
        <v>82.3</v>
      </c>
      <c r="O639" t="n">
        <v>79.77621000000001</v>
      </c>
      <c r="P639" t="n">
        <v>72.76064</v>
      </c>
      <c r="Q639" t="n">
        <v/>
      </c>
      <c r="R639" t="n">
        <v>84.63120000000001</v>
      </c>
      <c r="S639" t="n">
        <v>83.90591000000001</v>
      </c>
      <c r="T639" t="n">
        <v/>
      </c>
      <c r="U639" t="n">
        <v>81.97714999999999</v>
      </c>
      <c r="V639" t="n">
        <v>78.97789</v>
      </c>
      <c r="W639" t="n">
        <v>78.59093</v>
      </c>
      <c r="X639" t="n">
        <v>60.93846</v>
      </c>
      <c r="Y639" t="n">
        <v/>
      </c>
      <c r="Z639" t="n">
        <v/>
      </c>
      <c r="AA639" t="n">
        <v>80.59631</v>
      </c>
      <c r="AB639" t="n">
        <v>51.16987</v>
      </c>
      <c r="AC639" t="n">
        <v>82.70626</v>
      </c>
      <c r="AD639" t="n">
        <v>79.95789000000001</v>
      </c>
      <c r="AE639" t="n">
        <v>101.6084</v>
      </c>
      <c r="AF639" t="n">
        <v>72.80844</v>
      </c>
      <c r="AG639" t="n">
        <v>78.8352</v>
      </c>
      <c r="AH639" t="n">
        <v>77.68008</v>
      </c>
      <c r="AI639" t="n">
        <v>65.33111</v>
      </c>
      <c r="AJ639" t="n">
        <v>62.99854</v>
      </c>
      <c r="AK639" t="n">
        <v>80.1944</v>
      </c>
      <c r="AL639" t="n">
        <v>80.6056</v>
      </c>
      <c r="AM639" t="n">
        <v>78.16565</v>
      </c>
      <c r="AN639" t="n">
        <v>76.51940999999999</v>
      </c>
      <c r="AO639" t="n">
        <v>82.67886</v>
      </c>
      <c r="AP639" t="n">
        <v>77.59012</v>
      </c>
      <c r="AQ639" t="n">
        <v/>
      </c>
      <c r="AR639" t="n">
        <v/>
      </c>
      <c r="AS639" t="n">
        <v>66.52206</v>
      </c>
      <c r="AT639" t="n">
        <v>75.73126000000001</v>
      </c>
      <c r="AU639" t="n">
        <v>89.50051999999999</v>
      </c>
      <c r="AV639" t="n">
        <v>30.17877</v>
      </c>
      <c r="AW639" t="n">
        <v>78.10226</v>
      </c>
      <c r="AX639" t="n">
        <v>55.29015</v>
      </c>
    </row>
    <row r="640">
      <c r="A640" s="92" t="n">
        <v>37316</v>
      </c>
      <c r="B640" t="n">
        <v>79.14542</v>
      </c>
      <c r="C640" t="n">
        <v>80.70520999999999</v>
      </c>
      <c r="D640" t="n">
        <v/>
      </c>
      <c r="E640" t="n">
        <v>80.69913</v>
      </c>
      <c r="F640" t="n">
        <v>95.84574000000001</v>
      </c>
      <c r="G640" t="n">
        <v>73.78628</v>
      </c>
      <c r="H640" t="n">
        <v/>
      </c>
      <c r="I640" t="n">
        <v>60.07644</v>
      </c>
      <c r="J640" t="n">
        <v>39.61548</v>
      </c>
      <c r="K640" t="n">
        <v>86.90000000000001</v>
      </c>
      <c r="L640" t="n">
        <v>85.47922</v>
      </c>
      <c r="M640" t="n">
        <v>80.86355</v>
      </c>
      <c r="N640" t="n">
        <v>82.79000000000001</v>
      </c>
      <c r="O640" t="n">
        <v>80.42361</v>
      </c>
      <c r="P640" t="n">
        <v>72.98766000000001</v>
      </c>
      <c r="Q640" t="n">
        <v/>
      </c>
      <c r="R640" t="n">
        <v>84.98353</v>
      </c>
      <c r="S640" t="n">
        <v>84.31206</v>
      </c>
      <c r="T640" t="n">
        <v/>
      </c>
      <c r="U640" t="n">
        <v>82.23985999999999</v>
      </c>
      <c r="V640" t="n">
        <v>79.2801</v>
      </c>
      <c r="W640" t="n">
        <v>80.93692</v>
      </c>
      <c r="X640" t="n">
        <v>61.37849</v>
      </c>
      <c r="Y640" t="n">
        <v/>
      </c>
      <c r="Z640" t="n">
        <v/>
      </c>
      <c r="AA640" t="n">
        <v>81.43964</v>
      </c>
      <c r="AB640" t="n">
        <v>51.62563</v>
      </c>
      <c r="AC640" t="n">
        <v>83.31365</v>
      </c>
      <c r="AD640" t="n">
        <v>80.18917</v>
      </c>
      <c r="AE640" t="n">
        <v>101.9276</v>
      </c>
      <c r="AF640" t="n">
        <v>73.43156</v>
      </c>
      <c r="AG640" t="n">
        <v>78.545</v>
      </c>
      <c r="AH640" t="n">
        <v>77.77858999999999</v>
      </c>
      <c r="AI640" t="n">
        <v>65.87914000000001</v>
      </c>
      <c r="AJ640" t="n">
        <v>63.27943</v>
      </c>
      <c r="AK640" t="n">
        <v>80.95193</v>
      </c>
      <c r="AL640" t="n">
        <v>81.0752</v>
      </c>
      <c r="AM640" t="n">
        <v>78.49008000000001</v>
      </c>
      <c r="AN640" t="n">
        <v>76.90643</v>
      </c>
      <c r="AO640" t="n">
        <v>82.76456</v>
      </c>
      <c r="AP640" t="n">
        <v>77.99853</v>
      </c>
      <c r="AQ640" t="n">
        <v/>
      </c>
      <c r="AR640" t="n">
        <v/>
      </c>
      <c r="AS640" t="n">
        <v>66.65515000000001</v>
      </c>
      <c r="AT640" t="n">
        <v>76.36127</v>
      </c>
      <c r="AU640" t="n">
        <v>90.08696</v>
      </c>
      <c r="AV640" t="n">
        <v>30.74061</v>
      </c>
      <c r="AW640" t="n">
        <v>78.34995000000001</v>
      </c>
      <c r="AX640" t="n">
        <v>55.75498</v>
      </c>
    </row>
    <row r="641">
      <c r="A641" s="92" t="n">
        <v>37347</v>
      </c>
      <c r="B641" t="n">
        <v>79.38879</v>
      </c>
      <c r="C641" t="n">
        <v>80.53088</v>
      </c>
      <c r="D641" t="n">
        <v/>
      </c>
      <c r="E641" t="n">
        <v>81.10059</v>
      </c>
      <c r="F641" t="n">
        <v>96.52959</v>
      </c>
      <c r="G641" t="n">
        <v>73.75062</v>
      </c>
      <c r="H641" t="n">
        <v/>
      </c>
      <c r="I641" t="n">
        <v>60.42795</v>
      </c>
      <c r="J641" t="n">
        <v>39.79449</v>
      </c>
      <c r="K641" t="n">
        <v>87</v>
      </c>
      <c r="L641" t="n">
        <v>85.17718000000001</v>
      </c>
      <c r="M641" t="n">
        <v>81.02506</v>
      </c>
      <c r="N641" t="n">
        <v>83.05</v>
      </c>
      <c r="O641" t="n">
        <v>81.47353</v>
      </c>
      <c r="P641" t="n">
        <v>72.93091</v>
      </c>
      <c r="Q641" t="n">
        <v/>
      </c>
      <c r="R641" t="n">
        <v>85.34404000000001</v>
      </c>
      <c r="S641" t="n">
        <v>84.52106999999999</v>
      </c>
      <c r="T641" t="n">
        <v/>
      </c>
      <c r="U641" t="n">
        <v>82.41974</v>
      </c>
      <c r="V641" t="n">
        <v>79.58231000000001</v>
      </c>
      <c r="W641" t="n">
        <v>81.37764</v>
      </c>
      <c r="X641" t="n">
        <v>61.82216</v>
      </c>
      <c r="Y641" t="n">
        <v/>
      </c>
      <c r="Z641" t="n">
        <v/>
      </c>
      <c r="AA641" t="n">
        <v>82.04392</v>
      </c>
      <c r="AB641" t="n">
        <v>51.8328</v>
      </c>
      <c r="AC641" t="n">
        <v>84.4272</v>
      </c>
      <c r="AD641" t="n">
        <v>80.27332</v>
      </c>
      <c r="AE641" t="n">
        <v>102.2746</v>
      </c>
      <c r="AF641" t="n">
        <v>73.77856</v>
      </c>
      <c r="AG641" t="n">
        <v>78.7398</v>
      </c>
      <c r="AH641" t="n">
        <v>77.92033000000001</v>
      </c>
      <c r="AI641" t="n">
        <v>66.06182</v>
      </c>
      <c r="AJ641" t="n">
        <v>63.57035</v>
      </c>
      <c r="AK641" t="n">
        <v>81.3429</v>
      </c>
      <c r="AL641" t="n">
        <v>81.23209</v>
      </c>
      <c r="AM641" t="n">
        <v>78.76779000000001</v>
      </c>
      <c r="AN641" t="n">
        <v>77.20847000000001</v>
      </c>
      <c r="AO641" t="n">
        <v>83.00753</v>
      </c>
      <c r="AP641" t="n">
        <v>78.78399</v>
      </c>
      <c r="AQ641" t="n">
        <v/>
      </c>
      <c r="AR641" t="n">
        <v/>
      </c>
      <c r="AS641" t="n">
        <v>66.66155000000001</v>
      </c>
      <c r="AT641" t="n">
        <v>77.24129000000001</v>
      </c>
      <c r="AU641" t="n">
        <v>90.52930000000001</v>
      </c>
      <c r="AV641" t="n">
        <v>31.5685</v>
      </c>
      <c r="AW641" t="n">
        <v>78.55634000000001</v>
      </c>
      <c r="AX641" t="n">
        <v>56.64676</v>
      </c>
    </row>
    <row r="642">
      <c r="A642" s="92" t="n">
        <v>37377</v>
      </c>
      <c r="B642" t="n">
        <v>79.67778</v>
      </c>
      <c r="C642" t="n">
        <v>80.63615</v>
      </c>
      <c r="D642" t="n">
        <v/>
      </c>
      <c r="E642" t="n">
        <v>81.43964</v>
      </c>
      <c r="F642" t="n">
        <v>96.68932</v>
      </c>
      <c r="G642" t="n">
        <v>73.88435</v>
      </c>
      <c r="H642" t="n">
        <v/>
      </c>
      <c r="I642" t="n">
        <v>60.59962</v>
      </c>
      <c r="J642" t="n">
        <v>40.06788</v>
      </c>
      <c r="K642" t="n">
        <v>86.90000000000001</v>
      </c>
      <c r="L642" t="n">
        <v>85.42179</v>
      </c>
      <c r="M642" t="n">
        <v>81.09533</v>
      </c>
      <c r="N642" t="n">
        <v>83.28</v>
      </c>
      <c r="O642" t="n">
        <v>81.7657</v>
      </c>
      <c r="P642" t="n">
        <v>72.98766000000001</v>
      </c>
      <c r="Q642" t="n">
        <v/>
      </c>
      <c r="R642" t="n">
        <v>85.45056</v>
      </c>
      <c r="S642" t="n">
        <v>84.64821999999999</v>
      </c>
      <c r="T642" t="n">
        <v/>
      </c>
      <c r="U642" t="n">
        <v>82.48132</v>
      </c>
      <c r="V642" t="n">
        <v>79.88451999999999</v>
      </c>
      <c r="W642" t="n">
        <v>81.87299</v>
      </c>
      <c r="X642" t="n">
        <v>62.09199</v>
      </c>
      <c r="Y642" t="n">
        <v/>
      </c>
      <c r="Z642" t="n">
        <v/>
      </c>
      <c r="AA642" t="n">
        <v>82.4081</v>
      </c>
      <c r="AB642" t="n">
        <v>51.8535</v>
      </c>
      <c r="AC642" t="n">
        <v>85.43951</v>
      </c>
      <c r="AD642" t="n">
        <v>80.46747999999999</v>
      </c>
      <c r="AE642" t="n">
        <v>102.3096</v>
      </c>
      <c r="AF642" t="n">
        <v>73.91715000000001</v>
      </c>
      <c r="AG642" t="n">
        <v>78.8167</v>
      </c>
      <c r="AH642" t="n">
        <v>78.08825</v>
      </c>
      <c r="AI642" t="n">
        <v>66.14834999999999</v>
      </c>
      <c r="AJ642" t="n">
        <v>63.70457</v>
      </c>
      <c r="AK642" t="n">
        <v>81.41158</v>
      </c>
      <c r="AL642" t="n">
        <v>81.56068</v>
      </c>
      <c r="AM642" t="n">
        <v>78.8947</v>
      </c>
      <c r="AN642" t="n">
        <v>77.50086</v>
      </c>
      <c r="AO642" t="n">
        <v>83.17386999999999</v>
      </c>
      <c r="AP642" t="n">
        <v>79.41113</v>
      </c>
      <c r="AQ642" t="n">
        <v/>
      </c>
      <c r="AR642" t="n">
        <v/>
      </c>
      <c r="AS642" t="n">
        <v>66.82455</v>
      </c>
      <c r="AT642" t="n">
        <v>77.71129999999999</v>
      </c>
      <c r="AU642" t="n">
        <v>90.89457</v>
      </c>
      <c r="AV642" t="n">
        <v>32.23499</v>
      </c>
      <c r="AW642" t="n">
        <v>78.51506999999999</v>
      </c>
      <c r="AX642" t="n">
        <v>56.80933</v>
      </c>
    </row>
    <row r="643">
      <c r="A643" s="92" t="n">
        <v>37408</v>
      </c>
      <c r="B643" t="n">
        <v>80.02761</v>
      </c>
      <c r="C643" t="n">
        <v>80.68591000000001</v>
      </c>
      <c r="D643" t="n">
        <v/>
      </c>
      <c r="E643" t="n">
        <v>81.68866</v>
      </c>
      <c r="F643" t="n">
        <v>96.64867</v>
      </c>
      <c r="G643" t="n">
        <v>73.89326</v>
      </c>
      <c r="H643" t="n">
        <v/>
      </c>
      <c r="I643" t="n">
        <v>60.74677</v>
      </c>
      <c r="J643" t="n">
        <v>40.27184</v>
      </c>
      <c r="K643" t="n">
        <v>87.09999999999999</v>
      </c>
      <c r="L643" t="n">
        <v>85.58920999999999</v>
      </c>
      <c r="M643" t="n">
        <v>81.1446</v>
      </c>
      <c r="N643" t="n">
        <v>83.37</v>
      </c>
      <c r="O643" t="n">
        <v>81.9181</v>
      </c>
      <c r="P643" t="n">
        <v>73.15792999999999</v>
      </c>
      <c r="Q643" t="n">
        <v/>
      </c>
      <c r="R643" t="n">
        <v>85.43416999999999</v>
      </c>
      <c r="S643" t="n">
        <v>84.73354999999999</v>
      </c>
      <c r="T643" t="n">
        <v/>
      </c>
      <c r="U643" t="n">
        <v>82.50363</v>
      </c>
      <c r="V643" t="n">
        <v>79.98526</v>
      </c>
      <c r="W643" t="n">
        <v>81.82089999999999</v>
      </c>
      <c r="X643" t="n">
        <v>62.20214</v>
      </c>
      <c r="Y643" t="n">
        <v/>
      </c>
      <c r="Z643" t="n">
        <v/>
      </c>
      <c r="AA643" t="n">
        <v>82.51137</v>
      </c>
      <c r="AB643" t="n">
        <v>51.99502</v>
      </c>
      <c r="AC643" t="n">
        <v>86.75552</v>
      </c>
      <c r="AD643" t="n">
        <v>80.61886</v>
      </c>
      <c r="AE643" t="n">
        <v>102.2721</v>
      </c>
      <c r="AF643" t="n">
        <v>73.91715000000001</v>
      </c>
      <c r="AG643" t="n">
        <v>78.7366</v>
      </c>
      <c r="AH643" t="n">
        <v>78.20947</v>
      </c>
      <c r="AI643" t="n">
        <v>65.76376999999999</v>
      </c>
      <c r="AJ643" t="n">
        <v>63.90831</v>
      </c>
      <c r="AK643" t="n">
        <v>81.18398000000001</v>
      </c>
      <c r="AL643" t="n">
        <v>81.61924</v>
      </c>
      <c r="AM643" t="n">
        <v>78.97319</v>
      </c>
      <c r="AN643" t="n">
        <v>77.68906</v>
      </c>
      <c r="AO643" t="n">
        <v>83.27987</v>
      </c>
      <c r="AP643" t="n">
        <v>79.74171</v>
      </c>
      <c r="AQ643" t="n">
        <v/>
      </c>
      <c r="AR643" t="n">
        <v/>
      </c>
      <c r="AS643" t="n">
        <v>66.91934000000001</v>
      </c>
      <c r="AT643" t="n">
        <v>77.87130000000001</v>
      </c>
      <c r="AU643" t="n">
        <v>90.94819</v>
      </c>
      <c r="AV643" t="n">
        <v>32.91853</v>
      </c>
      <c r="AW643" t="n">
        <v>78.47378999999999</v>
      </c>
      <c r="AX643" t="n">
        <v>57.2583</v>
      </c>
    </row>
    <row r="644">
      <c r="A644" s="92" t="n">
        <v>37438</v>
      </c>
      <c r="B644" t="n">
        <v>79.95156</v>
      </c>
      <c r="C644" t="n">
        <v>80.94463</v>
      </c>
      <c r="D644" t="n">
        <v/>
      </c>
      <c r="E644" t="n">
        <v>82.18424</v>
      </c>
      <c r="F644" t="n">
        <v>96.02334999999999</v>
      </c>
      <c r="G644" t="n">
        <v>73.92001</v>
      </c>
      <c r="H644" t="n">
        <v/>
      </c>
      <c r="I644" t="n">
        <v>60.87756</v>
      </c>
      <c r="J644" t="n">
        <v>40.67649</v>
      </c>
      <c r="K644" t="n">
        <v>88.2</v>
      </c>
      <c r="L644" t="n">
        <v>85.77919</v>
      </c>
      <c r="M644" t="n">
        <v>80.94817</v>
      </c>
      <c r="N644" t="n">
        <v>83.3</v>
      </c>
      <c r="O644" t="n">
        <v>80.90600999999999</v>
      </c>
      <c r="P644" t="n">
        <v>73.10117</v>
      </c>
      <c r="Q644" t="n">
        <v/>
      </c>
      <c r="R644" t="n">
        <v>85.12282</v>
      </c>
      <c r="S644" t="n">
        <v>84.88863000000001</v>
      </c>
      <c r="T644" t="n">
        <v/>
      </c>
      <c r="U644" t="n">
        <v>82.55549999999999</v>
      </c>
      <c r="V644" t="n">
        <v>79.68304000000001</v>
      </c>
      <c r="W644" t="n">
        <v>80.24249</v>
      </c>
      <c r="X644" t="n">
        <v>62.10481</v>
      </c>
      <c r="Y644" t="n">
        <v/>
      </c>
      <c r="Z644" t="n">
        <v/>
      </c>
      <c r="AA644" t="n">
        <v>82.02282</v>
      </c>
      <c r="AB644" t="n">
        <v>52.09211</v>
      </c>
      <c r="AC644" t="n">
        <v>87.05922</v>
      </c>
      <c r="AD644" t="n">
        <v>80.81684</v>
      </c>
      <c r="AE644" t="n">
        <v>101.9606</v>
      </c>
      <c r="AF644" t="n">
        <v>73.98697</v>
      </c>
      <c r="AG644" t="n">
        <v>78.8831</v>
      </c>
      <c r="AH644" t="n">
        <v>77.49709</v>
      </c>
      <c r="AI644" t="n">
        <v>65.94644</v>
      </c>
      <c r="AJ644" t="n">
        <v>64.0592</v>
      </c>
      <c r="AK644" t="n">
        <v>80.91067</v>
      </c>
      <c r="AL644" t="n">
        <v>81.40849</v>
      </c>
      <c r="AM644" t="n">
        <v>79.02131</v>
      </c>
      <c r="AN644" t="n">
        <v>77.69273</v>
      </c>
      <c r="AO644" t="n">
        <v>83.48952</v>
      </c>
      <c r="AP644" t="n">
        <v>79.90765</v>
      </c>
      <c r="AQ644" t="n">
        <v/>
      </c>
      <c r="AR644" t="n">
        <v/>
      </c>
      <c r="AS644" t="n">
        <v>67.17982000000001</v>
      </c>
      <c r="AT644" t="n">
        <v>78.66131</v>
      </c>
      <c r="AU644" t="n">
        <v>90.47902999999999</v>
      </c>
      <c r="AV644" t="n">
        <v>33.56766</v>
      </c>
      <c r="AW644" t="n">
        <v>78.55634000000001</v>
      </c>
      <c r="AX644" t="n">
        <v>58.25863</v>
      </c>
    </row>
    <row r="645">
      <c r="A645" s="92" t="n">
        <v>37469</v>
      </c>
      <c r="B645" t="n">
        <v>80.21774000000001</v>
      </c>
      <c r="C645" t="n">
        <v>80.99378</v>
      </c>
      <c r="D645" t="n">
        <v/>
      </c>
      <c r="E645" t="n">
        <v>82.40998999999999</v>
      </c>
      <c r="F645" t="n">
        <v>96.05817</v>
      </c>
      <c r="G645" t="n">
        <v>74.09833</v>
      </c>
      <c r="H645" t="n">
        <v/>
      </c>
      <c r="I645" t="n">
        <v>60.95931</v>
      </c>
      <c r="J645" t="n">
        <v>40.93361</v>
      </c>
      <c r="K645" t="n">
        <v>88.2</v>
      </c>
      <c r="L645" t="n">
        <v>85.74854000000001</v>
      </c>
      <c r="M645" t="n">
        <v>81.09197</v>
      </c>
      <c r="N645" t="n">
        <v>83.38</v>
      </c>
      <c r="O645" t="n">
        <v>81.08887</v>
      </c>
      <c r="P645" t="n">
        <v>73.27144</v>
      </c>
      <c r="Q645" t="n">
        <v/>
      </c>
      <c r="R645" t="n">
        <v>85.43416999999999</v>
      </c>
      <c r="S645" t="n">
        <v>85.13625</v>
      </c>
      <c r="T645" t="n">
        <v/>
      </c>
      <c r="U645" t="n">
        <v>82.79039</v>
      </c>
      <c r="V645" t="n">
        <v>79.98526</v>
      </c>
      <c r="W645" t="n">
        <v>80.31036</v>
      </c>
      <c r="X645" t="n">
        <v>62.09212</v>
      </c>
      <c r="Y645" t="n">
        <v/>
      </c>
      <c r="Z645" t="n">
        <v/>
      </c>
      <c r="AA645" t="n">
        <v>82.67162</v>
      </c>
      <c r="AB645" t="n">
        <v>51.8328</v>
      </c>
      <c r="AC645" t="n">
        <v>86.24937</v>
      </c>
      <c r="AD645" t="n">
        <v>81.02789</v>
      </c>
      <c r="AE645" t="n">
        <v>102.0981</v>
      </c>
      <c r="AF645" t="n">
        <v>74.1245</v>
      </c>
      <c r="AG645" t="n">
        <v>78.6572</v>
      </c>
      <c r="AH645" t="n">
        <v>78.46608000000001</v>
      </c>
      <c r="AI645" t="n">
        <v>65.94644</v>
      </c>
      <c r="AJ645" t="n">
        <v>64.29331999999999</v>
      </c>
      <c r="AK645" t="n">
        <v>81.27464000000001</v>
      </c>
      <c r="AL645" t="n">
        <v>81.03129</v>
      </c>
      <c r="AM645" t="n">
        <v>79.26627000000001</v>
      </c>
      <c r="AN645" t="n">
        <v>77.95157</v>
      </c>
      <c r="AO645" t="n">
        <v>83.48566</v>
      </c>
      <c r="AP645" t="n">
        <v>79.9594</v>
      </c>
      <c r="AQ645" t="n">
        <v/>
      </c>
      <c r="AR645" t="n">
        <v/>
      </c>
      <c r="AS645" t="n">
        <v>67.76772</v>
      </c>
      <c r="AT645" t="n">
        <v>78.66131</v>
      </c>
      <c r="AU645" t="n">
        <v>90.48909</v>
      </c>
      <c r="AV645" t="n">
        <v>34.46078</v>
      </c>
      <c r="AW645" t="n">
        <v>78.84531</v>
      </c>
      <c r="AX645" t="n">
        <v>58.45253</v>
      </c>
    </row>
    <row r="646">
      <c r="A646" s="92" t="n">
        <v>37500</v>
      </c>
      <c r="B646" t="n">
        <v>80.09605000000001</v>
      </c>
      <c r="C646" t="n">
        <v>81.0256</v>
      </c>
      <c r="D646" t="n">
        <v/>
      </c>
      <c r="E646" t="n">
        <v>82.47604</v>
      </c>
      <c r="F646" t="n">
        <v>96.05877</v>
      </c>
      <c r="G646" t="n">
        <v>74.32122</v>
      </c>
      <c r="H646" t="n">
        <v/>
      </c>
      <c r="I646" t="n">
        <v>61.06558</v>
      </c>
      <c r="J646" t="n">
        <v>41.15276</v>
      </c>
      <c r="K646" t="n">
        <v>87.2</v>
      </c>
      <c r="L646" t="n">
        <v>85.68419</v>
      </c>
      <c r="M646" t="n">
        <v>81.56541</v>
      </c>
      <c r="N646" t="n">
        <v>83.56999999999999</v>
      </c>
      <c r="O646" t="n">
        <v>81.31379</v>
      </c>
      <c r="P646" t="n">
        <v>73.61197</v>
      </c>
      <c r="Q646" t="n">
        <v/>
      </c>
      <c r="R646" t="n">
        <v>85.80288</v>
      </c>
      <c r="S646" t="n">
        <v>85.20032999999999</v>
      </c>
      <c r="T646" t="n">
        <v/>
      </c>
      <c r="U646" t="n">
        <v>82.89033999999999</v>
      </c>
      <c r="V646" t="n">
        <v>80.18673</v>
      </c>
      <c r="W646" t="n">
        <v>82.22978999999999</v>
      </c>
      <c r="X646" t="n">
        <v>62.41129</v>
      </c>
      <c r="Y646" t="n">
        <v/>
      </c>
      <c r="Z646" t="n">
        <v/>
      </c>
      <c r="AA646" t="n">
        <v>83.13491</v>
      </c>
      <c r="AB646" t="n">
        <v>52.03997</v>
      </c>
      <c r="AC646" t="n">
        <v>86.3506</v>
      </c>
      <c r="AD646" t="n">
        <v>81.10242</v>
      </c>
      <c r="AE646" t="n">
        <v>102.1925</v>
      </c>
      <c r="AF646" t="n">
        <v>74.33292</v>
      </c>
      <c r="AG646" t="n">
        <v>78.804</v>
      </c>
      <c r="AH646" t="n">
        <v>78.59484999999999</v>
      </c>
      <c r="AI646" t="n">
        <v>66.60984999999999</v>
      </c>
      <c r="AJ646" t="n">
        <v>64.74661999999999</v>
      </c>
      <c r="AK646" t="n">
        <v>82.20644</v>
      </c>
      <c r="AL646" t="n">
        <v>81.3964</v>
      </c>
      <c r="AM646" t="n">
        <v>79.46254999999999</v>
      </c>
      <c r="AN646" t="n">
        <v>78.22893999999999</v>
      </c>
      <c r="AO646" t="n">
        <v>83.41613</v>
      </c>
      <c r="AP646" t="n">
        <v>80.07594</v>
      </c>
      <c r="AQ646" t="n">
        <v/>
      </c>
      <c r="AR646" t="n">
        <v/>
      </c>
      <c r="AS646" t="n">
        <v>67.88200999999999</v>
      </c>
      <c r="AT646" t="n">
        <v>79.07132</v>
      </c>
      <c r="AU646" t="n">
        <v>91.31345</v>
      </c>
      <c r="AV646" t="n">
        <v>35.44531</v>
      </c>
      <c r="AW646" t="n">
        <v>78.96915</v>
      </c>
      <c r="AX646" t="n">
        <v>58.83935</v>
      </c>
    </row>
    <row r="647">
      <c r="A647" s="92" t="n">
        <v>37530</v>
      </c>
      <c r="B647" t="n">
        <v>80.08083999999999</v>
      </c>
      <c r="C647" t="n">
        <v>80.91188</v>
      </c>
      <c r="D647" t="n">
        <v/>
      </c>
      <c r="E647" t="n">
        <v>82.61899</v>
      </c>
      <c r="F647" t="n">
        <v>96.7343</v>
      </c>
      <c r="G647" t="n">
        <v>74.54411</v>
      </c>
      <c r="H647" t="n">
        <v/>
      </c>
      <c r="I647" t="n">
        <v>61.23725</v>
      </c>
      <c r="J647" t="n">
        <v>41.31223</v>
      </c>
      <c r="K647" t="n">
        <v>87.2</v>
      </c>
      <c r="L647" t="n">
        <v>85.56556</v>
      </c>
      <c r="M647" t="n">
        <v>81.75949</v>
      </c>
      <c r="N647" t="n">
        <v>83.77</v>
      </c>
      <c r="O647" t="n">
        <v>82.43517</v>
      </c>
      <c r="P647" t="n">
        <v>74.06601999999999</v>
      </c>
      <c r="Q647" t="n">
        <v/>
      </c>
      <c r="R647" t="n">
        <v>86.11423000000001</v>
      </c>
      <c r="S647" t="n">
        <v>85.25754999999999</v>
      </c>
      <c r="T647" t="n">
        <v/>
      </c>
      <c r="U647" t="n">
        <v>83.01040999999999</v>
      </c>
      <c r="V647" t="n">
        <v>80.38821</v>
      </c>
      <c r="W647" t="n">
        <v>82.58759999999999</v>
      </c>
      <c r="X647" t="n">
        <v>62.69766</v>
      </c>
      <c r="Y647" t="n">
        <v/>
      </c>
      <c r="Z647" t="n">
        <v/>
      </c>
      <c r="AA647" t="n">
        <v>83.54398</v>
      </c>
      <c r="AB647" t="n">
        <v>52.33</v>
      </c>
      <c r="AC647" t="n">
        <v>86.85675999999999</v>
      </c>
      <c r="AD647" t="n">
        <v>81.27007</v>
      </c>
      <c r="AE647" t="n">
        <v>101.992</v>
      </c>
      <c r="AF647" t="n">
        <v>74.54132</v>
      </c>
      <c r="AG647" t="n">
        <v>79.21469999999999</v>
      </c>
      <c r="AH647" t="n">
        <v>78.84121</v>
      </c>
      <c r="AI647" t="n">
        <v>67.05212</v>
      </c>
      <c r="AJ647" t="n">
        <v>64.90900999999999</v>
      </c>
      <c r="AK647" t="n">
        <v>82.13669</v>
      </c>
      <c r="AL647" t="n">
        <v>81.72327</v>
      </c>
      <c r="AM647" t="n">
        <v>79.67681</v>
      </c>
      <c r="AN647" t="n">
        <v>78.52761</v>
      </c>
      <c r="AO647" t="n">
        <v>83.26102</v>
      </c>
      <c r="AP647" t="n">
        <v>80.69319</v>
      </c>
      <c r="AQ647" t="n">
        <v/>
      </c>
      <c r="AR647" t="n">
        <v/>
      </c>
      <c r="AS647" t="n">
        <v>67.9652</v>
      </c>
      <c r="AT647" t="n">
        <v>79.57133</v>
      </c>
      <c r="AU647" t="n">
        <v>91.70887999999999</v>
      </c>
      <c r="AV647" t="n">
        <v>36.4469</v>
      </c>
      <c r="AW647" t="n">
        <v>79.17555</v>
      </c>
      <c r="AX647" t="n">
        <v>59.69387</v>
      </c>
    </row>
    <row r="648">
      <c r="A648" s="92" t="n">
        <v>37561</v>
      </c>
      <c r="B648" t="n">
        <v>80.04282000000001</v>
      </c>
      <c r="C648" t="n">
        <v>81.06644</v>
      </c>
      <c r="D648" t="n">
        <v/>
      </c>
      <c r="E648" t="n">
        <v>82.81254</v>
      </c>
      <c r="F648" t="n">
        <v>96.72902999999999</v>
      </c>
      <c r="G648" t="n">
        <v>74.36579999999999</v>
      </c>
      <c r="H648" t="n">
        <v/>
      </c>
      <c r="I648" t="n">
        <v>61.48249</v>
      </c>
      <c r="J648" t="n">
        <v>41.64746</v>
      </c>
      <c r="K648" t="n">
        <v>87.09999999999999</v>
      </c>
      <c r="L648" t="n">
        <v>85.47534</v>
      </c>
      <c r="M648" t="n">
        <v>81.91357000000001</v>
      </c>
      <c r="N648" t="n">
        <v>83.84999999999999</v>
      </c>
      <c r="O648" t="n">
        <v>82.8892</v>
      </c>
      <c r="P648" t="n">
        <v>74.00926</v>
      </c>
      <c r="Q648" t="n">
        <v/>
      </c>
      <c r="R648" t="n">
        <v>85.90940000000001</v>
      </c>
      <c r="S648" t="n">
        <v>85.33153</v>
      </c>
      <c r="T648" t="n">
        <v/>
      </c>
      <c r="U648" t="n">
        <v>83.0303</v>
      </c>
      <c r="V648" t="n">
        <v>80.38821</v>
      </c>
      <c r="W648" t="n">
        <v>82.75027</v>
      </c>
      <c r="X648" t="n">
        <v>62.89391</v>
      </c>
      <c r="Y648" t="n">
        <v/>
      </c>
      <c r="Z648" t="n">
        <v/>
      </c>
      <c r="AA648" t="n">
        <v>83.70116</v>
      </c>
      <c r="AB648" t="n">
        <v>52.37143</v>
      </c>
      <c r="AC648" t="n">
        <v>86.14812999999999</v>
      </c>
      <c r="AD648" t="n">
        <v>81.5848</v>
      </c>
      <c r="AE648" t="n">
        <v>101.9355</v>
      </c>
      <c r="AF648" t="n">
        <v>74.67886</v>
      </c>
      <c r="AG648" t="n">
        <v>79.337</v>
      </c>
      <c r="AH648" t="n">
        <v>78.98859</v>
      </c>
      <c r="AI648" t="n">
        <v>66.92713000000001</v>
      </c>
      <c r="AJ648" t="n">
        <v>65.1165</v>
      </c>
      <c r="AK648" t="n">
        <v>82.02209999999999</v>
      </c>
      <c r="AL648" t="n">
        <v>81.75518</v>
      </c>
      <c r="AM648" t="n">
        <v>79.76672000000001</v>
      </c>
      <c r="AN648" t="n">
        <v>78.71928</v>
      </c>
      <c r="AO648" t="n">
        <v>83.21625</v>
      </c>
      <c r="AP648" t="n">
        <v>81.32974</v>
      </c>
      <c r="AQ648" t="n">
        <v/>
      </c>
      <c r="AR648" t="n">
        <v/>
      </c>
      <c r="AS648" t="n">
        <v>68.13643</v>
      </c>
      <c r="AT648" t="n">
        <v>79.66133000000001</v>
      </c>
      <c r="AU648" t="n">
        <v>91.79935999999999</v>
      </c>
      <c r="AV648" t="n">
        <v>37.25331</v>
      </c>
      <c r="AW648" t="n">
        <v>79.17555</v>
      </c>
      <c r="AX648" t="n">
        <v>60.48522</v>
      </c>
    </row>
    <row r="649">
      <c r="A649" s="92" t="n">
        <v>37591</v>
      </c>
      <c r="B649" t="n">
        <v>80.35462</v>
      </c>
      <c r="C649" t="n">
        <v>81.22787</v>
      </c>
      <c r="D649" t="n">
        <v/>
      </c>
      <c r="E649" t="n">
        <v>82.87407</v>
      </c>
      <c r="F649" t="n">
        <v>96.70331</v>
      </c>
      <c r="G649" t="n">
        <v>74.25881</v>
      </c>
      <c r="H649" t="n">
        <v/>
      </c>
      <c r="I649" t="n">
        <v>61.67869</v>
      </c>
      <c r="J649" t="n">
        <v>41.93496</v>
      </c>
      <c r="K649" t="n">
        <v>87.09999999999999</v>
      </c>
      <c r="L649" t="n">
        <v>86.33669</v>
      </c>
      <c r="M649" t="n">
        <v>81.93244</v>
      </c>
      <c r="N649" t="n">
        <v>84.29000000000001</v>
      </c>
      <c r="O649" t="n">
        <v>83.03107</v>
      </c>
      <c r="P649" t="n">
        <v>73.839</v>
      </c>
      <c r="Q649" t="n">
        <v/>
      </c>
      <c r="R649" t="n">
        <v>85.86024</v>
      </c>
      <c r="S649" t="n">
        <v>85.48441</v>
      </c>
      <c r="T649" t="n">
        <v/>
      </c>
      <c r="U649" t="n">
        <v>83.07335999999999</v>
      </c>
      <c r="V649" t="n">
        <v>80.79115</v>
      </c>
      <c r="W649" t="n">
        <v>83.09165</v>
      </c>
      <c r="X649" t="n">
        <v>63.01543</v>
      </c>
      <c r="Y649" t="n">
        <v/>
      </c>
      <c r="Z649" t="n">
        <v/>
      </c>
      <c r="AA649" t="n">
        <v>84.46432</v>
      </c>
      <c r="AB649" t="n">
        <v>52.65714</v>
      </c>
      <c r="AC649" t="n">
        <v>86.04691</v>
      </c>
      <c r="AD649" t="n">
        <v>81.62217</v>
      </c>
      <c r="AE649" t="n">
        <v>102.0154</v>
      </c>
      <c r="AF649" t="n">
        <v>74.88727</v>
      </c>
      <c r="AG649" t="n">
        <v>79.247</v>
      </c>
      <c r="AH649" t="n">
        <v>79.00717</v>
      </c>
      <c r="AI649" t="n">
        <v>66.64831</v>
      </c>
      <c r="AJ649" t="n">
        <v>65.26809</v>
      </c>
      <c r="AK649" t="n">
        <v>81.54913000000001</v>
      </c>
      <c r="AL649" t="n">
        <v>81.82041</v>
      </c>
      <c r="AM649" t="n">
        <v>79.84721999999999</v>
      </c>
      <c r="AN649" t="n">
        <v>79.03515</v>
      </c>
      <c r="AO649" t="n">
        <v>83.25214</v>
      </c>
      <c r="AP649" t="n">
        <v>81.50278</v>
      </c>
      <c r="AQ649" t="n">
        <v/>
      </c>
      <c r="AR649" t="n">
        <v/>
      </c>
      <c r="AS649" t="n">
        <v>68.96823999999999</v>
      </c>
      <c r="AT649" t="n">
        <v>80.38133999999999</v>
      </c>
      <c r="AU649" t="n">
        <v>91.70218</v>
      </c>
      <c r="AV649" t="n">
        <v>37.72936</v>
      </c>
      <c r="AW649" t="n">
        <v>79.01043</v>
      </c>
      <c r="AX649" t="n">
        <v>60.59051</v>
      </c>
    </row>
    <row r="650">
      <c r="A650" s="92" t="n">
        <v>37622</v>
      </c>
      <c r="B650" t="n">
        <v>80.29379</v>
      </c>
      <c r="C650" t="n">
        <v>81.36089</v>
      </c>
      <c r="D650" t="n">
        <v/>
      </c>
      <c r="E650" t="n">
        <v>82.8343</v>
      </c>
      <c r="F650" t="n">
        <v>96.48524999999999</v>
      </c>
      <c r="G650" t="n">
        <v>74.14291</v>
      </c>
      <c r="H650" t="n">
        <v/>
      </c>
      <c r="I650" t="n">
        <v>62.41442</v>
      </c>
      <c r="J650" t="n">
        <v>42.50452</v>
      </c>
      <c r="K650" t="n">
        <v>87.40000000000001</v>
      </c>
      <c r="L650" t="n">
        <v>85.81337000000001</v>
      </c>
      <c r="M650" t="n">
        <v>81.73642</v>
      </c>
      <c r="N650" t="n">
        <v>83.64</v>
      </c>
      <c r="O650" t="n">
        <v>82.09256000000001</v>
      </c>
      <c r="P650" t="n">
        <v>74.80383999999999</v>
      </c>
      <c r="Q650" t="n">
        <v/>
      </c>
      <c r="R650" t="n">
        <v>85.4014</v>
      </c>
      <c r="S650" t="n">
        <v>85.35354</v>
      </c>
      <c r="T650" t="n">
        <v/>
      </c>
      <c r="U650" t="n">
        <v>83.00185</v>
      </c>
      <c r="V650" t="n">
        <v>80.086</v>
      </c>
      <c r="W650" t="n">
        <v>82.09287999999999</v>
      </c>
      <c r="X650" t="n">
        <v>63.63374</v>
      </c>
      <c r="Y650" t="n">
        <v/>
      </c>
      <c r="Z650" t="n">
        <v/>
      </c>
      <c r="AA650" t="n">
        <v>84.03549</v>
      </c>
      <c r="AB650" t="n">
        <v>52.68974</v>
      </c>
      <c r="AC650" t="n">
        <v>86.14812999999999</v>
      </c>
      <c r="AD650" t="n">
        <v>81.86752</v>
      </c>
      <c r="AE650" t="n">
        <v>101.3633</v>
      </c>
      <c r="AF650" t="n">
        <v>75.16444</v>
      </c>
      <c r="AG650" t="n">
        <v>79.0681</v>
      </c>
      <c r="AH650" t="n">
        <v>78.02647</v>
      </c>
      <c r="AI650" t="n">
        <v>67.07135</v>
      </c>
      <c r="AJ650" t="n">
        <v>65.5509</v>
      </c>
      <c r="AK650" t="n">
        <v>81.57308999999999</v>
      </c>
      <c r="AL650" t="n">
        <v>82.39198</v>
      </c>
      <c r="AM650" t="n">
        <v>79.83732999999999</v>
      </c>
      <c r="AN650" t="n">
        <v>78.86112</v>
      </c>
      <c r="AO650" t="n">
        <v>83.4101</v>
      </c>
      <c r="AP650" t="n">
        <v>81.25149</v>
      </c>
      <c r="AQ650" t="n">
        <v/>
      </c>
      <c r="AR650" t="n">
        <v/>
      </c>
      <c r="AS650" t="n">
        <v>70.84439</v>
      </c>
      <c r="AT650" t="n">
        <v>80.94135</v>
      </c>
      <c r="AU650" t="n">
        <v>91.08223</v>
      </c>
      <c r="AV650" t="n">
        <v>38.53455</v>
      </c>
      <c r="AW650" t="n">
        <v>79.17555</v>
      </c>
      <c r="AX650" t="n">
        <v>61.11895</v>
      </c>
    </row>
    <row r="651">
      <c r="A651" s="92" t="n">
        <v>37653</v>
      </c>
      <c r="B651" t="n">
        <v>80.33942</v>
      </c>
      <c r="C651" t="n">
        <v>81.85460999999999</v>
      </c>
      <c r="D651" t="n">
        <v/>
      </c>
      <c r="E651" t="n">
        <v>83.28863</v>
      </c>
      <c r="F651" t="n">
        <v>96.53688</v>
      </c>
      <c r="G651" t="n">
        <v>74.49062000000001</v>
      </c>
      <c r="H651" t="n">
        <v/>
      </c>
      <c r="I651" t="n">
        <v>63.18285</v>
      </c>
      <c r="J651" t="n">
        <v>43.02526</v>
      </c>
      <c r="K651" t="n">
        <v>87.5</v>
      </c>
      <c r="L651" t="n">
        <v>86.15441</v>
      </c>
      <c r="M651" t="n">
        <v>82.43355</v>
      </c>
      <c r="N651" t="n">
        <v>83.84999999999999</v>
      </c>
      <c r="O651" t="n">
        <v>82.23023000000001</v>
      </c>
      <c r="P651" t="n">
        <v>74.80383999999999</v>
      </c>
      <c r="Q651" t="n">
        <v/>
      </c>
      <c r="R651" t="n">
        <v>85.72914</v>
      </c>
      <c r="S651" t="n">
        <v>85.87678</v>
      </c>
      <c r="T651" t="n">
        <v/>
      </c>
      <c r="U651" t="n">
        <v>83.2334</v>
      </c>
      <c r="V651" t="n">
        <v>80.28747</v>
      </c>
      <c r="W651" t="n">
        <v>81.35739</v>
      </c>
      <c r="X651" t="n">
        <v>63.94164</v>
      </c>
      <c r="Y651" t="n">
        <v/>
      </c>
      <c r="Z651" t="n">
        <v/>
      </c>
      <c r="AA651" t="n">
        <v>84.97851</v>
      </c>
      <c r="AB651" t="n">
        <v>52.59444</v>
      </c>
      <c r="AC651" t="n">
        <v>86.3506</v>
      </c>
      <c r="AD651" t="n">
        <v>81.95506</v>
      </c>
      <c r="AE651" t="n">
        <v>101.0361</v>
      </c>
      <c r="AF651" t="n">
        <v>75.37179999999999</v>
      </c>
      <c r="AG651" t="n">
        <v>78.9594</v>
      </c>
      <c r="AH651" t="n">
        <v>79.2816</v>
      </c>
      <c r="AI651" t="n">
        <v>66.88867</v>
      </c>
      <c r="AJ651" t="n">
        <v>65.82689999999999</v>
      </c>
      <c r="AK651" t="n">
        <v>82.04694000000001</v>
      </c>
      <c r="AL651" t="n">
        <v>82.58934000000001</v>
      </c>
      <c r="AM651" t="n">
        <v>80.06838999999999</v>
      </c>
      <c r="AN651" t="n">
        <v>79.11178</v>
      </c>
      <c r="AO651" t="n">
        <v>83.44840000000001</v>
      </c>
      <c r="AP651" t="n">
        <v>81.02139</v>
      </c>
      <c r="AQ651" t="n">
        <v/>
      </c>
      <c r="AR651" t="n">
        <v/>
      </c>
      <c r="AS651" t="n">
        <v>71.21048999999999</v>
      </c>
      <c r="AT651" t="n">
        <v>81.11135</v>
      </c>
      <c r="AU651" t="n">
        <v>91.33356000000001</v>
      </c>
      <c r="AV651" t="n">
        <v>38.8491</v>
      </c>
      <c r="AW651" t="n">
        <v>79.46451999999999</v>
      </c>
      <c r="AX651" t="n">
        <v>61.14212</v>
      </c>
    </row>
    <row r="652">
      <c r="A652" s="92" t="n">
        <v>37681</v>
      </c>
      <c r="B652" t="n">
        <v>80.48390999999999</v>
      </c>
      <c r="C652" t="n">
        <v>81.92297000000001</v>
      </c>
      <c r="D652" t="n">
        <v/>
      </c>
      <c r="E652" t="n">
        <v>83.37811000000001</v>
      </c>
      <c r="F652" t="n">
        <v>96.60603</v>
      </c>
      <c r="G652" t="n">
        <v>75.21279</v>
      </c>
      <c r="H652" t="n">
        <v/>
      </c>
      <c r="I652" t="n">
        <v>63.74691</v>
      </c>
      <c r="J652" t="n">
        <v>43.35398</v>
      </c>
      <c r="K652" t="n">
        <v>87.40000000000001</v>
      </c>
      <c r="L652" t="n">
        <v>86.17892000000001</v>
      </c>
      <c r="M652" t="n">
        <v>83.02764999999999</v>
      </c>
      <c r="N652" t="n">
        <v>84.34</v>
      </c>
      <c r="O652" t="n">
        <v>82.83034000000001</v>
      </c>
      <c r="P652" t="n">
        <v>74.86060000000001</v>
      </c>
      <c r="Q652" t="n">
        <v/>
      </c>
      <c r="R652" t="n">
        <v>85.95036</v>
      </c>
      <c r="S652" t="n">
        <v>86.11499000000001</v>
      </c>
      <c r="T652" t="n">
        <v/>
      </c>
      <c r="U652" t="n">
        <v>83.44305</v>
      </c>
      <c r="V652" t="n">
        <v>80.48895</v>
      </c>
      <c r="W652" t="n">
        <v>83.46413</v>
      </c>
      <c r="X652" t="n">
        <v>64.37698</v>
      </c>
      <c r="Y652" t="n">
        <v/>
      </c>
      <c r="Z652" t="n">
        <v/>
      </c>
      <c r="AA652" t="n">
        <v>85.44233</v>
      </c>
      <c r="AB652" t="n">
        <v>53.21062</v>
      </c>
      <c r="AC652" t="n">
        <v>86.14812999999999</v>
      </c>
      <c r="AD652" t="n">
        <v>82.18407000000001</v>
      </c>
      <c r="AE652" t="n">
        <v>101.4416</v>
      </c>
      <c r="AF652" t="n">
        <v>76.1335</v>
      </c>
      <c r="AG652" t="n">
        <v>79.0504</v>
      </c>
      <c r="AH652" t="n">
        <v>79.39295</v>
      </c>
      <c r="AI652" t="n">
        <v>67.22517999999999</v>
      </c>
      <c r="AJ652" t="n">
        <v>66.07932</v>
      </c>
      <c r="AK652" t="n">
        <v>82.93021</v>
      </c>
      <c r="AL652" t="n">
        <v>82.45881</v>
      </c>
      <c r="AM652" t="n">
        <v>80.33732999999999</v>
      </c>
      <c r="AN652" t="n">
        <v>79.39955</v>
      </c>
      <c r="AO652" t="n">
        <v>83.59559</v>
      </c>
      <c r="AP652" t="n">
        <v>81.16042</v>
      </c>
      <c r="AQ652" t="n">
        <v/>
      </c>
      <c r="AR652" t="n">
        <v/>
      </c>
      <c r="AS652" t="n">
        <v>71.74636</v>
      </c>
      <c r="AT652" t="n">
        <v>81.56135999999999</v>
      </c>
      <c r="AU652" t="n">
        <v>91.88314</v>
      </c>
      <c r="AV652" t="n">
        <v>39.13914</v>
      </c>
      <c r="AW652" t="n">
        <v>79.67091000000001</v>
      </c>
      <c r="AX652" t="n">
        <v>61.43695</v>
      </c>
    </row>
    <row r="653">
      <c r="A653" s="92" t="n">
        <v>37712</v>
      </c>
      <c r="B653" t="n">
        <v>80.57517</v>
      </c>
      <c r="C653" t="n">
        <v>81.97556</v>
      </c>
      <c r="D653" t="n">
        <v/>
      </c>
      <c r="E653" t="n">
        <v>83.44428000000001</v>
      </c>
      <c r="F653" t="n">
        <v>97.18288</v>
      </c>
      <c r="G653" t="n">
        <v>75.65858</v>
      </c>
      <c r="H653" t="n">
        <v/>
      </c>
      <c r="I653" t="n">
        <v>64.09842999999999</v>
      </c>
      <c r="J653" t="n">
        <v>43.88557</v>
      </c>
      <c r="K653" t="n">
        <v>87.3</v>
      </c>
      <c r="L653" t="n">
        <v>86.08745999999999</v>
      </c>
      <c r="M653" t="n">
        <v>83.18777</v>
      </c>
      <c r="N653" t="n">
        <v>84.7</v>
      </c>
      <c r="O653" t="n">
        <v>84.17033000000001</v>
      </c>
      <c r="P653" t="n">
        <v>74.63357999999999</v>
      </c>
      <c r="Q653" t="n">
        <v/>
      </c>
      <c r="R653" t="n">
        <v>86.12242999999999</v>
      </c>
      <c r="S653" t="n">
        <v>86.23705</v>
      </c>
      <c r="T653" t="n">
        <v/>
      </c>
      <c r="U653" t="n">
        <v>83.53675</v>
      </c>
      <c r="V653" t="n">
        <v>80.79115</v>
      </c>
      <c r="W653" t="n">
        <v>83.90617</v>
      </c>
      <c r="X653" t="n">
        <v>64.9104</v>
      </c>
      <c r="Y653" t="n">
        <v/>
      </c>
      <c r="Z653" t="n">
        <v/>
      </c>
      <c r="AA653" t="n">
        <v>85.58123000000001</v>
      </c>
      <c r="AB653" t="n">
        <v>53.33612</v>
      </c>
      <c r="AC653" t="n">
        <v>86.04691</v>
      </c>
      <c r="AD653" t="n">
        <v>82.41417</v>
      </c>
      <c r="AE653" t="n">
        <v>101.7283</v>
      </c>
      <c r="AF653" t="n">
        <v>76.34191</v>
      </c>
      <c r="AG653" t="n">
        <v>79.1142</v>
      </c>
      <c r="AH653" t="n">
        <v>79.43470000000001</v>
      </c>
      <c r="AI653" t="n">
        <v>67.63861</v>
      </c>
      <c r="AJ653" t="n">
        <v>66.27258</v>
      </c>
      <c r="AK653" t="n">
        <v>83.07115</v>
      </c>
      <c r="AL653" t="n">
        <v>82.45332000000001</v>
      </c>
      <c r="AM653" t="n">
        <v>80.51947</v>
      </c>
      <c r="AN653" t="n">
        <v>79.68597</v>
      </c>
      <c r="AO653" t="n">
        <v>83.70824</v>
      </c>
      <c r="AP653" t="n">
        <v>81.87278000000001</v>
      </c>
      <c r="AQ653" t="n">
        <v/>
      </c>
      <c r="AR653" t="n">
        <v/>
      </c>
      <c r="AS653" t="n">
        <v>72.1571</v>
      </c>
      <c r="AT653" t="n">
        <v>82.13137</v>
      </c>
      <c r="AU653" t="n">
        <v>92.02388000000001</v>
      </c>
      <c r="AV653" t="n">
        <v>39.60892</v>
      </c>
      <c r="AW653" t="n">
        <v>79.7122</v>
      </c>
      <c r="AX653" t="n">
        <v>61.59698</v>
      </c>
    </row>
    <row r="654">
      <c r="A654" s="92" t="n">
        <v>37742</v>
      </c>
      <c r="B654" t="n">
        <v>80.71966999999999</v>
      </c>
      <c r="C654" t="n">
        <v>81.86806</v>
      </c>
      <c r="D654" t="n">
        <v/>
      </c>
      <c r="E654" t="n">
        <v>83.69202</v>
      </c>
      <c r="F654" t="n">
        <v>97.20226</v>
      </c>
      <c r="G654" t="n">
        <v>75.45350999999999</v>
      </c>
      <c r="H654" t="n">
        <v/>
      </c>
      <c r="I654" t="n">
        <v>64.35184</v>
      </c>
      <c r="J654" t="n">
        <v>44.23816</v>
      </c>
      <c r="K654" t="n">
        <v>87.2</v>
      </c>
      <c r="L654" t="n">
        <v>86.00093</v>
      </c>
      <c r="M654" t="n">
        <v>83.36136</v>
      </c>
      <c r="N654" t="n">
        <v>84.8</v>
      </c>
      <c r="O654" t="n">
        <v>84.26806999999999</v>
      </c>
      <c r="P654" t="n">
        <v>74.69033</v>
      </c>
      <c r="Q654" t="n">
        <v/>
      </c>
      <c r="R654" t="n">
        <v>86.22893999999999</v>
      </c>
      <c r="S654" t="n">
        <v>86.33644</v>
      </c>
      <c r="T654" t="n">
        <v/>
      </c>
      <c r="U654" t="n">
        <v>83.62350000000001</v>
      </c>
      <c r="V654" t="n">
        <v>80.89189</v>
      </c>
      <c r="W654" t="n">
        <v>84.13136</v>
      </c>
      <c r="X654" t="n">
        <v>65.12029</v>
      </c>
      <c r="Y654" t="n">
        <v/>
      </c>
      <c r="Z654" t="n">
        <v/>
      </c>
      <c r="AA654" t="n">
        <v>85.71915</v>
      </c>
      <c r="AB654" t="n">
        <v>53.44869</v>
      </c>
      <c r="AC654" t="n">
        <v>85.43951</v>
      </c>
      <c r="AD654" t="n">
        <v>82.70086999999999</v>
      </c>
      <c r="AE654" t="n">
        <v>102.0048</v>
      </c>
      <c r="AF654" t="n">
        <v>76.41068</v>
      </c>
      <c r="AG654" t="n">
        <v>79.34310000000001</v>
      </c>
      <c r="AH654" t="n">
        <v>79.61923</v>
      </c>
      <c r="AI654" t="n">
        <v>67.92704999999999</v>
      </c>
      <c r="AJ654" t="n">
        <v>66.3368</v>
      </c>
      <c r="AK654" t="n">
        <v>83.10325</v>
      </c>
      <c r="AL654" t="n">
        <v>82.31525000000001</v>
      </c>
      <c r="AM654" t="n">
        <v>80.61906</v>
      </c>
      <c r="AN654" t="n">
        <v>79.81726999999999</v>
      </c>
      <c r="AO654" t="n">
        <v>83.75626</v>
      </c>
      <c r="AP654" t="n">
        <v>82.41633</v>
      </c>
      <c r="AQ654" t="n">
        <v/>
      </c>
      <c r="AR654" t="n">
        <v/>
      </c>
      <c r="AS654" t="n">
        <v>72.22971</v>
      </c>
      <c r="AT654" t="n">
        <v>82.82138</v>
      </c>
      <c r="AU654" t="n">
        <v>92.0775</v>
      </c>
      <c r="AV654" t="n">
        <v>40.08279</v>
      </c>
      <c r="AW654" t="n">
        <v>79.75346999999999</v>
      </c>
      <c r="AX654" t="n">
        <v>61.6556</v>
      </c>
    </row>
    <row r="655">
      <c r="A655" s="92" t="n">
        <v>37773</v>
      </c>
      <c r="B655" t="n">
        <v>80.925</v>
      </c>
      <c r="C655" t="n">
        <v>82.02851</v>
      </c>
      <c r="D655" t="n">
        <v/>
      </c>
      <c r="E655" t="n">
        <v>83.49036</v>
      </c>
      <c r="F655" t="n">
        <v>97.19225</v>
      </c>
      <c r="G655" t="n">
        <v>75.16821</v>
      </c>
      <c r="H655" t="n">
        <v/>
      </c>
      <c r="I655" t="n">
        <v>64.57256</v>
      </c>
      <c r="J655" t="n">
        <v>44.41065</v>
      </c>
      <c r="K655" t="n">
        <v>87.09999999999999</v>
      </c>
      <c r="L655" t="n">
        <v>86.27797</v>
      </c>
      <c r="M655" t="n">
        <v>83.36443</v>
      </c>
      <c r="N655" t="n">
        <v>84.88</v>
      </c>
      <c r="O655" t="n">
        <v>84.37421999999999</v>
      </c>
      <c r="P655" t="n">
        <v>74.74709</v>
      </c>
      <c r="Q655" t="n">
        <v/>
      </c>
      <c r="R655" t="n">
        <v>86.07326999999999</v>
      </c>
      <c r="S655" t="n">
        <v>86.43640000000001</v>
      </c>
      <c r="T655" t="n">
        <v/>
      </c>
      <c r="U655" t="n">
        <v>83.57984</v>
      </c>
      <c r="V655" t="n">
        <v>80.79115</v>
      </c>
      <c r="W655" t="n">
        <v>84.22774</v>
      </c>
      <c r="X655" t="n">
        <v>65.4341</v>
      </c>
      <c r="Y655" t="n">
        <v/>
      </c>
      <c r="Z655" t="n">
        <v/>
      </c>
      <c r="AA655" t="n">
        <v>85.8811</v>
      </c>
      <c r="AB655" t="n">
        <v>53.53156</v>
      </c>
      <c r="AC655" t="n">
        <v>85.03458000000001</v>
      </c>
      <c r="AD655" t="n">
        <v>82.7783</v>
      </c>
      <c r="AE655" t="n">
        <v>101.8184</v>
      </c>
      <c r="AF655" t="n">
        <v>76.48050000000001</v>
      </c>
      <c r="AG655" t="n">
        <v>79.33450000000001</v>
      </c>
      <c r="AH655" t="n">
        <v>79.65661</v>
      </c>
      <c r="AI655" t="n">
        <v>68.02319</v>
      </c>
      <c r="AJ655" t="n">
        <v>66.40178</v>
      </c>
      <c r="AK655" t="n">
        <v>82.57855000000001</v>
      </c>
      <c r="AL655" t="n">
        <v>82.05825</v>
      </c>
      <c r="AM655" t="n">
        <v>80.61794</v>
      </c>
      <c r="AN655" t="n">
        <v>79.9362</v>
      </c>
      <c r="AO655" t="n">
        <v>83.74945</v>
      </c>
      <c r="AP655" t="n">
        <v>82.5104</v>
      </c>
      <c r="AQ655" t="n">
        <v/>
      </c>
      <c r="AR655" t="n">
        <v/>
      </c>
      <c r="AS655" t="n">
        <v>72.58398</v>
      </c>
      <c r="AT655" t="n">
        <v>83.34139</v>
      </c>
      <c r="AU655" t="n">
        <v>91.74574</v>
      </c>
      <c r="AV655" t="n">
        <v>40.71598</v>
      </c>
      <c r="AW655" t="n">
        <v>79.67091000000001</v>
      </c>
      <c r="AX655" t="n">
        <v>61.64676</v>
      </c>
    </row>
    <row r="656">
      <c r="A656" s="92" t="n">
        <v>37803</v>
      </c>
      <c r="B656" t="n">
        <v>80.94020999999999</v>
      </c>
      <c r="C656" t="n">
        <v>82.21426</v>
      </c>
      <c r="D656" t="n">
        <v/>
      </c>
      <c r="E656" t="n">
        <v>83.56165</v>
      </c>
      <c r="F656" t="n">
        <v>96.30331</v>
      </c>
      <c r="G656" t="n">
        <v>75.00773</v>
      </c>
      <c r="H656" t="n">
        <v/>
      </c>
      <c r="I656" t="n">
        <v>64.67066</v>
      </c>
      <c r="J656" t="n">
        <v>44.70574</v>
      </c>
      <c r="K656" t="n">
        <v>87.7</v>
      </c>
      <c r="L656" t="n">
        <v>86.54316</v>
      </c>
      <c r="M656" t="n">
        <v>82.82922000000001</v>
      </c>
      <c r="N656" t="n">
        <v>84.68000000000001</v>
      </c>
      <c r="O656" t="n">
        <v>83.28646000000001</v>
      </c>
      <c r="P656" t="n">
        <v>74.97411</v>
      </c>
      <c r="Q656" t="n">
        <v/>
      </c>
      <c r="R656" t="n">
        <v>85.41779</v>
      </c>
      <c r="S656" t="n">
        <v>86.30894000000001</v>
      </c>
      <c r="T656" t="n">
        <v/>
      </c>
      <c r="U656" t="n">
        <v>83.64785000000001</v>
      </c>
      <c r="V656" t="n">
        <v>80.69041</v>
      </c>
      <c r="W656" t="n">
        <v>82.55994</v>
      </c>
      <c r="X656" t="n">
        <v>65.65869000000001</v>
      </c>
      <c r="Y656" t="n">
        <v/>
      </c>
      <c r="Z656" t="n">
        <v/>
      </c>
      <c r="AA656" t="n">
        <v>85.10003</v>
      </c>
      <c r="AB656" t="n">
        <v>53.4521</v>
      </c>
      <c r="AC656" t="n">
        <v>84.52843</v>
      </c>
      <c r="AD656" t="n">
        <v>82.93183000000001</v>
      </c>
      <c r="AE656" t="n">
        <v>101.8273</v>
      </c>
      <c r="AF656" t="n">
        <v>76.41068</v>
      </c>
      <c r="AG656" t="n">
        <v>78.9515</v>
      </c>
      <c r="AH656" t="n">
        <v>78.70755</v>
      </c>
      <c r="AI656" t="n">
        <v>67.90782</v>
      </c>
      <c r="AJ656" t="n">
        <v>66.50303</v>
      </c>
      <c r="AK656" t="n">
        <v>82.54446</v>
      </c>
      <c r="AL656" t="n">
        <v>81.65403000000001</v>
      </c>
      <c r="AM656" t="n">
        <v>80.63168</v>
      </c>
      <c r="AN656" t="n">
        <v>79.84705</v>
      </c>
      <c r="AO656" t="n">
        <v>83.74627</v>
      </c>
      <c r="AP656" t="n">
        <v>82.34829999999999</v>
      </c>
      <c r="AQ656" t="n">
        <v/>
      </c>
      <c r="AR656" t="n">
        <v/>
      </c>
      <c r="AS656" t="n">
        <v>72.82801000000001</v>
      </c>
      <c r="AT656" t="n">
        <v>83.6514</v>
      </c>
      <c r="AU656" t="n">
        <v>91.16936</v>
      </c>
      <c r="AV656" t="n">
        <v>41.02236</v>
      </c>
      <c r="AW656" t="n">
        <v>79.75346999999999</v>
      </c>
      <c r="AX656" t="n">
        <v>61.12744</v>
      </c>
    </row>
    <row r="657">
      <c r="A657" s="92" t="n">
        <v>37834</v>
      </c>
      <c r="B657" t="n">
        <v>81.12273</v>
      </c>
      <c r="C657" t="n">
        <v>82.32132</v>
      </c>
      <c r="D657" t="n">
        <v/>
      </c>
      <c r="E657" t="n">
        <v>83.63995</v>
      </c>
      <c r="F657" t="n">
        <v>96.37933</v>
      </c>
      <c r="G657" t="n">
        <v>74.90965</v>
      </c>
      <c r="H657" t="n">
        <v/>
      </c>
      <c r="I657" t="n">
        <v>64.94043000000001</v>
      </c>
      <c r="J657" t="n">
        <v>44.85437</v>
      </c>
      <c r="K657" t="n">
        <v>87.8</v>
      </c>
      <c r="L657" t="n">
        <v>86.56596</v>
      </c>
      <c r="M657" t="n">
        <v>82.78458000000001</v>
      </c>
      <c r="N657" t="n">
        <v>84.8</v>
      </c>
      <c r="O657" t="n">
        <v>83.46303</v>
      </c>
      <c r="P657" t="n">
        <v>75.31464</v>
      </c>
      <c r="Q657" t="n">
        <v/>
      </c>
      <c r="R657" t="n">
        <v>85.66359</v>
      </c>
      <c r="S657" t="n">
        <v>86.54505</v>
      </c>
      <c r="T657" t="n">
        <v/>
      </c>
      <c r="U657" t="n">
        <v>83.78988</v>
      </c>
      <c r="V657" t="n">
        <v>80.99263000000001</v>
      </c>
      <c r="W657" t="n">
        <v>82.67968</v>
      </c>
      <c r="X657" t="n">
        <v>65.62665</v>
      </c>
      <c r="Y657" t="n">
        <v/>
      </c>
      <c r="Z657" t="n">
        <v/>
      </c>
      <c r="AA657" t="n">
        <v>85.73402</v>
      </c>
      <c r="AB657" t="n">
        <v>53.40726</v>
      </c>
      <c r="AC657" t="n">
        <v>84.83212</v>
      </c>
      <c r="AD657" t="n">
        <v>83.12600999999999</v>
      </c>
      <c r="AE657" t="n">
        <v>101.9811</v>
      </c>
      <c r="AF657" t="n">
        <v>76.48050000000001</v>
      </c>
      <c r="AG657" t="n">
        <v>78.6352</v>
      </c>
      <c r="AH657" t="n">
        <v>79.98567</v>
      </c>
      <c r="AI657" t="n">
        <v>67.85975000000001</v>
      </c>
      <c r="AJ657" t="n">
        <v>66.74759</v>
      </c>
      <c r="AK657" t="n">
        <v>82.76215999999999</v>
      </c>
      <c r="AL657" t="n">
        <v>81.56864</v>
      </c>
      <c r="AM657" t="n">
        <v>80.78297999999999</v>
      </c>
      <c r="AN657" t="n">
        <v>80.0313</v>
      </c>
      <c r="AO657" t="n">
        <v>83.79998000000001</v>
      </c>
      <c r="AP657" t="n">
        <v>82.14409000000001</v>
      </c>
      <c r="AQ657" t="n">
        <v/>
      </c>
      <c r="AR657" t="n">
        <v/>
      </c>
      <c r="AS657" t="n">
        <v>73.38914</v>
      </c>
      <c r="AT657" t="n">
        <v>83.26139000000001</v>
      </c>
      <c r="AU657" t="n">
        <v>91.05877</v>
      </c>
      <c r="AV657" t="n">
        <v>41.45946</v>
      </c>
      <c r="AW657" t="n">
        <v>79.87730999999999</v>
      </c>
      <c r="AX657" t="n">
        <v>61.22651</v>
      </c>
    </row>
    <row r="658">
      <c r="A658" s="92" t="n">
        <v>37865</v>
      </c>
      <c r="B658" t="n">
        <v>81.25201</v>
      </c>
      <c r="C658" t="n">
        <v>82.38473999999999</v>
      </c>
      <c r="D658" t="n">
        <v/>
      </c>
      <c r="E658" t="n">
        <v>83.96653999999999</v>
      </c>
      <c r="F658" t="n">
        <v>96.37611</v>
      </c>
      <c r="G658" t="n">
        <v>75.31977999999999</v>
      </c>
      <c r="H658" t="n">
        <v/>
      </c>
      <c r="I658" t="n">
        <v>65.16115000000001</v>
      </c>
      <c r="J658" t="n">
        <v>45.02361</v>
      </c>
      <c r="K658" t="n">
        <v>86.8</v>
      </c>
      <c r="L658" t="n">
        <v>86.44447</v>
      </c>
      <c r="M658" t="n">
        <v>83.40119</v>
      </c>
      <c r="N658" t="n">
        <v>85.06999999999999</v>
      </c>
      <c r="O658" t="n">
        <v>83.6459</v>
      </c>
      <c r="P658" t="n">
        <v>75.25788</v>
      </c>
      <c r="Q658" t="n">
        <v/>
      </c>
      <c r="R658" t="n">
        <v>86.06507000000001</v>
      </c>
      <c r="S658" t="n">
        <v>86.79917</v>
      </c>
      <c r="T658" t="n">
        <v/>
      </c>
      <c r="U658" t="n">
        <v>83.84847000000001</v>
      </c>
      <c r="V658" t="n">
        <v>81.19410000000001</v>
      </c>
      <c r="W658" t="n">
        <v>84.78297999999999</v>
      </c>
      <c r="X658" t="n">
        <v>65.82062999999999</v>
      </c>
      <c r="Y658" t="n">
        <v/>
      </c>
      <c r="Z658" t="n">
        <v/>
      </c>
      <c r="AA658" t="n">
        <v>85.84211999999999</v>
      </c>
      <c r="AB658" t="n">
        <v>53.78016</v>
      </c>
      <c r="AC658" t="n">
        <v>84.12350000000001</v>
      </c>
      <c r="AD658" t="n">
        <v>83.13512</v>
      </c>
      <c r="AE658" t="n">
        <v>101.9948</v>
      </c>
      <c r="AF658" t="n">
        <v>76.68785</v>
      </c>
      <c r="AG658" t="n">
        <v>78.26649999999999</v>
      </c>
      <c r="AH658" t="n">
        <v>80.31236</v>
      </c>
      <c r="AI658" t="n">
        <v>68.67699</v>
      </c>
      <c r="AJ658" t="n">
        <v>67.07832000000001</v>
      </c>
      <c r="AK658" t="n">
        <v>83.74506</v>
      </c>
      <c r="AL658" t="n">
        <v>81.89400999999999</v>
      </c>
      <c r="AM658" t="n">
        <v>80.9251</v>
      </c>
      <c r="AN658" t="n">
        <v>80.27204999999999</v>
      </c>
      <c r="AO658" t="n">
        <v>83.79436</v>
      </c>
      <c r="AP658" t="n">
        <v>82.2868</v>
      </c>
      <c r="AQ658" t="n">
        <v/>
      </c>
      <c r="AR658" t="n">
        <v/>
      </c>
      <c r="AS658" t="n">
        <v>73.88991</v>
      </c>
      <c r="AT658" t="n">
        <v>83.56139</v>
      </c>
      <c r="AU658" t="n">
        <v>92.00713</v>
      </c>
      <c r="AV658" t="n">
        <v>42.17027</v>
      </c>
      <c r="AW658" t="n">
        <v>79.91858999999999</v>
      </c>
      <c r="AX658" t="n">
        <v>60.69831</v>
      </c>
    </row>
    <row r="659">
      <c r="A659" s="92" t="n">
        <v>37895</v>
      </c>
      <c r="B659" t="n">
        <v>81.04667999999999</v>
      </c>
      <c r="C659" t="n">
        <v>82.37641000000001</v>
      </c>
      <c r="D659" t="n">
        <v/>
      </c>
      <c r="E659" t="n">
        <v>84.11734</v>
      </c>
      <c r="F659" t="n">
        <v>97.02633</v>
      </c>
      <c r="G659" t="n">
        <v>75.59616</v>
      </c>
      <c r="H659" t="n">
        <v/>
      </c>
      <c r="I659" t="n">
        <v>65.22655</v>
      </c>
      <c r="J659" t="n">
        <v>45.33389</v>
      </c>
      <c r="K659" t="n">
        <v>86.90000000000001</v>
      </c>
      <c r="L659" t="n">
        <v>86.42715</v>
      </c>
      <c r="M659" t="n">
        <v>83.29980999999999</v>
      </c>
      <c r="N659" t="n">
        <v>85.25</v>
      </c>
      <c r="O659" t="n">
        <v>84.62015</v>
      </c>
      <c r="P659" t="n">
        <v>75.59842</v>
      </c>
      <c r="Q659" t="n">
        <v/>
      </c>
      <c r="R659" t="n">
        <v>86.12242999999999</v>
      </c>
      <c r="S659" t="n">
        <v>87.11382</v>
      </c>
      <c r="T659" t="n">
        <v/>
      </c>
      <c r="U659" t="n">
        <v>84.04900000000001</v>
      </c>
      <c r="V659" t="n">
        <v>81.29483999999999</v>
      </c>
      <c r="W659" t="n">
        <v>85.24706</v>
      </c>
      <c r="X659" t="n">
        <v>66.20444000000001</v>
      </c>
      <c r="Y659" t="n">
        <v/>
      </c>
      <c r="Z659" t="n">
        <v/>
      </c>
      <c r="AA659" t="n">
        <v>85.89068</v>
      </c>
      <c r="AB659" t="n">
        <v>54.07019</v>
      </c>
      <c r="AC659" t="n">
        <v>84.22472999999999</v>
      </c>
      <c r="AD659" t="n">
        <v>83.19868</v>
      </c>
      <c r="AE659" t="n">
        <v>102.0167</v>
      </c>
      <c r="AF659" t="n">
        <v>76.68785</v>
      </c>
      <c r="AG659" t="n">
        <v>78.38339999999999</v>
      </c>
      <c r="AH659" t="n">
        <v>80.35992</v>
      </c>
      <c r="AI659" t="n">
        <v>69.28270999999999</v>
      </c>
      <c r="AJ659" t="n">
        <v>67.21729000000001</v>
      </c>
      <c r="AK659" t="n">
        <v>83.62066</v>
      </c>
      <c r="AL659" t="n">
        <v>82.08798</v>
      </c>
      <c r="AM659" t="n">
        <v>81.14596</v>
      </c>
      <c r="AN659" t="n">
        <v>80.49055</v>
      </c>
      <c r="AO659" t="n">
        <v>83.85711999999999</v>
      </c>
      <c r="AP659" t="n">
        <v>82.90345000000001</v>
      </c>
      <c r="AQ659" t="n">
        <v/>
      </c>
      <c r="AR659" t="n">
        <v/>
      </c>
      <c r="AS659" t="n">
        <v>74.05354</v>
      </c>
      <c r="AT659" t="n">
        <v>84.0714</v>
      </c>
      <c r="AU659" t="n">
        <v>92.0909</v>
      </c>
      <c r="AV659" t="n">
        <v>42.5992</v>
      </c>
      <c r="AW659" t="n">
        <v>80.20756</v>
      </c>
      <c r="AX659" t="n">
        <v>60.1265</v>
      </c>
    </row>
    <row r="660">
      <c r="A660" s="92" t="n">
        <v>37926</v>
      </c>
      <c r="B660" t="n">
        <v>81.0771</v>
      </c>
      <c r="C660" t="n">
        <v>82.56865000000001</v>
      </c>
      <c r="D660" t="n">
        <v/>
      </c>
      <c r="E660" t="n">
        <v>84.36955</v>
      </c>
      <c r="F660" t="n">
        <v>97.03721</v>
      </c>
      <c r="G660" t="n">
        <v>75.39111</v>
      </c>
      <c r="H660" t="n">
        <v/>
      </c>
      <c r="I660" t="n">
        <v>65.35733999999999</v>
      </c>
      <c r="J660" t="n">
        <v>45.60619</v>
      </c>
      <c r="K660" t="n">
        <v>86.90000000000001</v>
      </c>
      <c r="L660" t="n">
        <v>86.2317</v>
      </c>
      <c r="M660" t="n">
        <v>83.48718</v>
      </c>
      <c r="N660" t="n">
        <v>85.27</v>
      </c>
      <c r="O660" t="n">
        <v>84.96592</v>
      </c>
      <c r="P660" t="n">
        <v>75.48491</v>
      </c>
      <c r="Q660" t="n">
        <v/>
      </c>
      <c r="R660" t="n">
        <v>85.99133</v>
      </c>
      <c r="S660" t="n">
        <v>87.30788</v>
      </c>
      <c r="T660" t="n">
        <v/>
      </c>
      <c r="U660" t="n">
        <v>83.94248</v>
      </c>
      <c r="V660" t="n">
        <v>81.29483999999999</v>
      </c>
      <c r="W660" t="n">
        <v>85.37777</v>
      </c>
      <c r="X660" t="n">
        <v>66.46423</v>
      </c>
      <c r="Y660" t="n">
        <v/>
      </c>
      <c r="Z660" t="n">
        <v/>
      </c>
      <c r="AA660" t="n">
        <v>85.87933</v>
      </c>
      <c r="AB660" t="n">
        <v>54.11162</v>
      </c>
      <c r="AC660" t="n">
        <v>83.92104</v>
      </c>
      <c r="AD660" t="n">
        <v>83.41267000000001</v>
      </c>
      <c r="AE660" t="n">
        <v>101.6983</v>
      </c>
      <c r="AF660" t="n">
        <v>76.61909</v>
      </c>
      <c r="AG660" t="n">
        <v>78.6203</v>
      </c>
      <c r="AH660" t="n">
        <v>80.46802</v>
      </c>
      <c r="AI660" t="n">
        <v>69.39807999999999</v>
      </c>
      <c r="AJ660" t="n">
        <v>67.45480999999999</v>
      </c>
      <c r="AK660" t="n">
        <v>83.52303000000001</v>
      </c>
      <c r="AL660" t="n">
        <v>81.94110000000001</v>
      </c>
      <c r="AM660" t="n">
        <v>81.11069999999999</v>
      </c>
      <c r="AN660" t="n">
        <v>80.58965000000001</v>
      </c>
      <c r="AO660" t="n">
        <v>83.88509000000001</v>
      </c>
      <c r="AP660" t="n">
        <v>83.38279</v>
      </c>
      <c r="AQ660" t="n">
        <v/>
      </c>
      <c r="AR660" t="n">
        <v/>
      </c>
      <c r="AS660" t="n">
        <v>74.09998</v>
      </c>
      <c r="AT660" t="n">
        <v>84.23141</v>
      </c>
      <c r="AU660" t="n">
        <v>92.01718</v>
      </c>
      <c r="AV660" t="n">
        <v>42.96686</v>
      </c>
      <c r="AW660" t="n">
        <v>80.04243</v>
      </c>
      <c r="AX660" t="n">
        <v>59.19081</v>
      </c>
    </row>
    <row r="661">
      <c r="A661" s="92" t="n">
        <v>37956</v>
      </c>
      <c r="B661" t="n">
        <v>81.34327999999999</v>
      </c>
      <c r="C661" t="n">
        <v>82.6831</v>
      </c>
      <c r="D661" t="n">
        <v/>
      </c>
      <c r="E661" t="n">
        <v>84.27451000000001</v>
      </c>
      <c r="F661" t="n">
        <v>97.04942</v>
      </c>
      <c r="G661" t="n">
        <v>75.34653</v>
      </c>
      <c r="H661" t="n">
        <v/>
      </c>
      <c r="I661" t="n">
        <v>65.59441</v>
      </c>
      <c r="J661" t="n">
        <v>45.88284</v>
      </c>
      <c r="K661" t="n">
        <v>86.90000000000001</v>
      </c>
      <c r="L661" t="n">
        <v>87.07821</v>
      </c>
      <c r="M661" t="n">
        <v>83.31309</v>
      </c>
      <c r="N661" t="n">
        <v>85.65000000000001</v>
      </c>
      <c r="O661" t="n">
        <v>85.09623999999999</v>
      </c>
      <c r="P661" t="n">
        <v>75.20113000000001</v>
      </c>
      <c r="Q661" t="n">
        <v/>
      </c>
      <c r="R661" t="n">
        <v>85.99952999999999</v>
      </c>
      <c r="S661" t="n">
        <v>87.49778000000001</v>
      </c>
      <c r="T661" t="n">
        <v/>
      </c>
      <c r="U661" t="n">
        <v>83.97508999999999</v>
      </c>
      <c r="V661" t="n">
        <v>81.49632</v>
      </c>
      <c r="W661" t="n">
        <v>85.92149999999999</v>
      </c>
      <c r="X661" t="n">
        <v>66.66015</v>
      </c>
      <c r="Y661" t="n">
        <v/>
      </c>
      <c r="Z661" t="n">
        <v/>
      </c>
      <c r="AA661" t="n">
        <v>86.11673999999999</v>
      </c>
      <c r="AB661" t="n">
        <v>54.31879</v>
      </c>
      <c r="AC661" t="n">
        <v>83.61735</v>
      </c>
      <c r="AD661" t="n">
        <v>83.46347</v>
      </c>
      <c r="AE661" t="n">
        <v>101.6638</v>
      </c>
      <c r="AF661" t="n">
        <v>77.03485000000001</v>
      </c>
      <c r="AG661" t="n">
        <v>78.3767</v>
      </c>
      <c r="AH661" t="n">
        <v>80.53672</v>
      </c>
      <c r="AI661" t="n">
        <v>69.18656</v>
      </c>
      <c r="AJ661" t="n">
        <v>67.60175</v>
      </c>
      <c r="AK661" t="n">
        <v>83.01466000000001</v>
      </c>
      <c r="AL661" t="n">
        <v>81.89632</v>
      </c>
      <c r="AM661" t="n">
        <v>81.16525</v>
      </c>
      <c r="AN661" t="n">
        <v>80.81895</v>
      </c>
      <c r="AO661" t="n">
        <v>83.96249</v>
      </c>
      <c r="AP661" t="n">
        <v>83.48016</v>
      </c>
      <c r="AQ661" t="n">
        <v/>
      </c>
      <c r="AR661" t="n">
        <v/>
      </c>
      <c r="AS661" t="n">
        <v>74.20644</v>
      </c>
      <c r="AT661" t="n">
        <v>84.40141</v>
      </c>
      <c r="AU661" t="n">
        <v>92.07080000000001</v>
      </c>
      <c r="AV661" t="n">
        <v>43.05673</v>
      </c>
      <c r="AW661" t="n">
        <v>79.91858999999999</v>
      </c>
      <c r="AX661" t="n">
        <v>59.17067</v>
      </c>
    </row>
    <row r="662">
      <c r="A662" s="92" t="n">
        <v>37987</v>
      </c>
      <c r="B662" t="n">
        <v>81.13034</v>
      </c>
      <c r="C662" t="n">
        <v>82.75564</v>
      </c>
      <c r="D662" t="n">
        <v/>
      </c>
      <c r="E662" t="n">
        <v>84.20895</v>
      </c>
      <c r="F662" t="n">
        <v>96.55179</v>
      </c>
      <c r="G662" t="n">
        <v>75.25736999999999</v>
      </c>
      <c r="H662" t="n">
        <v/>
      </c>
      <c r="I662" t="n">
        <v>66.06854</v>
      </c>
      <c r="J662" t="n">
        <v>46.47626</v>
      </c>
      <c r="K662" t="n">
        <v>88</v>
      </c>
      <c r="L662" t="n">
        <v>86.88755999999999</v>
      </c>
      <c r="M662" t="n">
        <v>83.1853</v>
      </c>
      <c r="N662" t="n">
        <v>85.09</v>
      </c>
      <c r="O662" t="n">
        <v>83.95173</v>
      </c>
      <c r="P662" t="n">
        <v>75.42815</v>
      </c>
      <c r="Q662" t="n">
        <v/>
      </c>
      <c r="R662" t="n">
        <v>85.41779</v>
      </c>
      <c r="S662" t="n">
        <v>87.30508</v>
      </c>
      <c r="T662" t="n">
        <v/>
      </c>
      <c r="U662" t="n">
        <v>83.92541</v>
      </c>
      <c r="V662" t="n">
        <v>80.99263000000001</v>
      </c>
      <c r="W662" t="n">
        <v>84.71616</v>
      </c>
      <c r="X662" t="n">
        <v>67.99746</v>
      </c>
      <c r="Y662" t="n">
        <v/>
      </c>
      <c r="Z662" t="n">
        <v/>
      </c>
      <c r="AA662" t="n">
        <v>85.60800999999999</v>
      </c>
      <c r="AB662" t="n">
        <v>54.15305</v>
      </c>
      <c r="AC662" t="n">
        <v>83.31365</v>
      </c>
      <c r="AD662" t="n">
        <v>83.55601</v>
      </c>
      <c r="AE662" t="n">
        <v>100.9266</v>
      </c>
      <c r="AF662" t="n">
        <v>77.24326000000001</v>
      </c>
      <c r="AG662" t="n">
        <v>78.1066</v>
      </c>
      <c r="AH662" t="n">
        <v>79.66656</v>
      </c>
      <c r="AI662" t="n">
        <v>69.38847</v>
      </c>
      <c r="AJ662" t="n">
        <v>67.94081</v>
      </c>
      <c r="AK662" t="n">
        <v>82.77744</v>
      </c>
      <c r="AL662" t="n">
        <v>81.78237</v>
      </c>
      <c r="AM662" t="n">
        <v>81.12997</v>
      </c>
      <c r="AN662" t="n">
        <v>80.61143</v>
      </c>
      <c r="AO662" t="n">
        <v>84.13305</v>
      </c>
      <c r="AP662" t="n">
        <v>83.25106</v>
      </c>
      <c r="AQ662" t="n">
        <v/>
      </c>
      <c r="AR662" t="n">
        <v/>
      </c>
      <c r="AS662" t="n">
        <v>76.43932</v>
      </c>
      <c r="AT662" t="n">
        <v>84.38141</v>
      </c>
      <c r="AU662" t="n">
        <v>91.47095</v>
      </c>
      <c r="AV662" t="n">
        <v>43.29366</v>
      </c>
      <c r="AW662" t="n">
        <v>80.08372</v>
      </c>
      <c r="AX662" t="n">
        <v>59.39314</v>
      </c>
    </row>
    <row r="663">
      <c r="A663" s="92" t="n">
        <v>38018</v>
      </c>
      <c r="B663" t="n">
        <v>81.63227000000001</v>
      </c>
      <c r="C663" t="n">
        <v>83.19911</v>
      </c>
      <c r="D663" t="n">
        <v/>
      </c>
      <c r="E663" t="n">
        <v>84.24606</v>
      </c>
      <c r="F663" t="n">
        <v>96.67234000000001</v>
      </c>
      <c r="G663" t="n">
        <v>75.15038</v>
      </c>
      <c r="H663" t="n">
        <v/>
      </c>
      <c r="I663" t="n">
        <v>66.77975000000001</v>
      </c>
      <c r="J663" t="n">
        <v>46.86357</v>
      </c>
      <c r="K663" t="n">
        <v>88.3</v>
      </c>
      <c r="L663" t="n">
        <v>87.18556</v>
      </c>
      <c r="M663" t="n">
        <v>84.03304</v>
      </c>
      <c r="N663" t="n">
        <v>85.40000000000001</v>
      </c>
      <c r="O663" t="n">
        <v>84.06838999999999</v>
      </c>
      <c r="P663" t="n">
        <v>75.48491</v>
      </c>
      <c r="Q663" t="n">
        <v/>
      </c>
      <c r="R663" t="n">
        <v>86.05688000000001</v>
      </c>
      <c r="S663" t="n">
        <v>87.89411</v>
      </c>
      <c r="T663" t="n">
        <v/>
      </c>
      <c r="U663" t="n">
        <v>84.20997</v>
      </c>
      <c r="V663" t="n">
        <v>81.19410000000001</v>
      </c>
      <c r="W663" t="n">
        <v>83.81178</v>
      </c>
      <c r="X663" t="n">
        <v>68.55843</v>
      </c>
      <c r="Y663" t="n">
        <v/>
      </c>
      <c r="Z663" t="n">
        <v/>
      </c>
      <c r="AA663" t="n">
        <v>86.48824999999999</v>
      </c>
      <c r="AB663" t="n">
        <v>54.02876</v>
      </c>
      <c r="AC663" t="n">
        <v>83.41488</v>
      </c>
      <c r="AD663" t="n">
        <v>83.78896</v>
      </c>
      <c r="AE663" t="n">
        <v>100.7335</v>
      </c>
      <c r="AF663" t="n">
        <v>77.31202999999999</v>
      </c>
      <c r="AG663" t="n">
        <v>77.8562</v>
      </c>
      <c r="AH663" t="n">
        <v>80.90364</v>
      </c>
      <c r="AI663" t="n">
        <v>69.6096</v>
      </c>
      <c r="AJ663" t="n">
        <v>68.30569</v>
      </c>
      <c r="AK663" t="n">
        <v>83.2572</v>
      </c>
      <c r="AL663" t="n">
        <v>81.89393</v>
      </c>
      <c r="AM663" t="n">
        <v>81.38997999999999</v>
      </c>
      <c r="AN663" t="n">
        <v>80.86441000000001</v>
      </c>
      <c r="AO663" t="n">
        <v>84.10809</v>
      </c>
      <c r="AP663" t="n">
        <v>83.08082</v>
      </c>
      <c r="AQ663" t="n">
        <v/>
      </c>
      <c r="AR663" t="n">
        <v/>
      </c>
      <c r="AS663" t="n">
        <v>77.31299</v>
      </c>
      <c r="AT663" t="n">
        <v>84.62141</v>
      </c>
      <c r="AU663" t="n">
        <v>91.33691</v>
      </c>
      <c r="AV663" t="n">
        <v>43.38353</v>
      </c>
      <c r="AW663" t="n">
        <v>80.45524</v>
      </c>
      <c r="AX663" t="n">
        <v>59.49866</v>
      </c>
    </row>
    <row r="664">
      <c r="A664" s="92" t="n">
        <v>38047</v>
      </c>
      <c r="B664" t="n">
        <v>81.86803</v>
      </c>
      <c r="C664" t="n">
        <v>83.11897</v>
      </c>
      <c r="D664" t="n">
        <v/>
      </c>
      <c r="E664" t="n">
        <v>84.53739</v>
      </c>
      <c r="F664" t="n">
        <v>96.73647</v>
      </c>
      <c r="G664" t="n">
        <v>75.53375</v>
      </c>
      <c r="H664" t="n">
        <v/>
      </c>
      <c r="I664" t="n">
        <v>67.36015999999999</v>
      </c>
      <c r="J664" t="n">
        <v>47.37888</v>
      </c>
      <c r="K664" t="n">
        <v>88.2</v>
      </c>
      <c r="L664" t="n">
        <v>87.45923999999999</v>
      </c>
      <c r="M664" t="n">
        <v>84.17188</v>
      </c>
      <c r="N664" t="n">
        <v>85.84</v>
      </c>
      <c r="O664" t="n">
        <v>84.64431999999999</v>
      </c>
      <c r="P664" t="n">
        <v>75.48491</v>
      </c>
      <c r="Q664" t="n">
        <v/>
      </c>
      <c r="R664" t="n">
        <v>85.54888</v>
      </c>
      <c r="S664" t="n">
        <v>88.08686</v>
      </c>
      <c r="T664" t="n">
        <v/>
      </c>
      <c r="U664" t="n">
        <v>84.60493</v>
      </c>
      <c r="V664" t="n">
        <v>81.29483999999999</v>
      </c>
      <c r="W664" t="n">
        <v>86.19952000000001</v>
      </c>
      <c r="X664" t="n">
        <v>69.00378000000001</v>
      </c>
      <c r="Y664" t="n">
        <v/>
      </c>
      <c r="Z664" t="n">
        <v/>
      </c>
      <c r="AA664" t="n">
        <v>86.98219</v>
      </c>
      <c r="AB664" t="n">
        <v>54.56738</v>
      </c>
      <c r="AC664" t="n">
        <v>83.41488</v>
      </c>
      <c r="AD664" t="n">
        <v>84.0993</v>
      </c>
      <c r="AE664" t="n">
        <v>101.116</v>
      </c>
      <c r="AF664" t="n">
        <v>77.93514</v>
      </c>
      <c r="AG664" t="n">
        <v>78.2349</v>
      </c>
      <c r="AH664" t="n">
        <v>80.98856000000001</v>
      </c>
      <c r="AI664" t="n">
        <v>70.2634</v>
      </c>
      <c r="AJ664" t="n">
        <v>68.5574</v>
      </c>
      <c r="AK664" t="n">
        <v>84.10762</v>
      </c>
      <c r="AL664" t="n">
        <v>82.34721</v>
      </c>
      <c r="AM664" t="n">
        <v>81.78295</v>
      </c>
      <c r="AN664" t="n">
        <v>81.17512000000001</v>
      </c>
      <c r="AO664" t="n">
        <v>84.13198</v>
      </c>
      <c r="AP664" t="n">
        <v>83.17162</v>
      </c>
      <c r="AQ664" t="n">
        <v/>
      </c>
      <c r="AR664" t="n">
        <v/>
      </c>
      <c r="AS664" t="n">
        <v>77.51716999999999</v>
      </c>
      <c r="AT664" t="n">
        <v>84.97141000000001</v>
      </c>
      <c r="AU664" t="n">
        <v>91.92</v>
      </c>
      <c r="AV664" t="n">
        <v>43.70217</v>
      </c>
      <c r="AW664" t="n">
        <v>80.95059999999999</v>
      </c>
      <c r="AX664" t="n">
        <v>59.80733</v>
      </c>
    </row>
    <row r="665">
      <c r="A665" s="92" t="n">
        <v>38078</v>
      </c>
      <c r="B665" t="n">
        <v>81.79198</v>
      </c>
      <c r="C665" t="n">
        <v>83.44280000000001</v>
      </c>
      <c r="D665" t="n">
        <v/>
      </c>
      <c r="E665" t="n">
        <v>84.60272999999999</v>
      </c>
      <c r="F665" t="n">
        <v>97.64787</v>
      </c>
      <c r="G665" t="n">
        <v>75.78339</v>
      </c>
      <c r="H665" t="n">
        <v/>
      </c>
      <c r="I665" t="n">
        <v>67.66262999999999</v>
      </c>
      <c r="J665" t="n">
        <v>47.92133</v>
      </c>
      <c r="K665" t="n">
        <v>88.09999999999999</v>
      </c>
      <c r="L665" t="n">
        <v>87.67397</v>
      </c>
      <c r="M665" t="n">
        <v>84.408</v>
      </c>
      <c r="N665" t="n">
        <v>86.27</v>
      </c>
      <c r="O665" t="n">
        <v>86.1283</v>
      </c>
      <c r="P665" t="n">
        <v>75.76868</v>
      </c>
      <c r="Q665" t="n">
        <v/>
      </c>
      <c r="R665" t="n">
        <v>85.5243</v>
      </c>
      <c r="S665" t="n">
        <v>88.24299000000001</v>
      </c>
      <c r="T665" t="n">
        <v/>
      </c>
      <c r="U665" t="n">
        <v>84.79098999999999</v>
      </c>
      <c r="V665" t="n">
        <v>81.59705</v>
      </c>
      <c r="W665" t="n">
        <v>86.59035</v>
      </c>
      <c r="X665" t="n">
        <v>69.23524</v>
      </c>
      <c r="Y665" t="n">
        <v/>
      </c>
      <c r="Z665" t="n">
        <v/>
      </c>
      <c r="AA665" t="n">
        <v>87.11412</v>
      </c>
      <c r="AB665" t="n">
        <v>54.89885</v>
      </c>
      <c r="AC665" t="n">
        <v>84.4272</v>
      </c>
      <c r="AD665" t="n">
        <v>84.33828</v>
      </c>
      <c r="AE665" t="n">
        <v>101.329</v>
      </c>
      <c r="AF665" t="n">
        <v>78.00497</v>
      </c>
      <c r="AG665" t="n">
        <v>78.5347</v>
      </c>
      <c r="AH665" t="n">
        <v>81.03961</v>
      </c>
      <c r="AI665" t="n">
        <v>70.64798</v>
      </c>
      <c r="AJ665" t="n">
        <v>68.79071</v>
      </c>
      <c r="AK665" t="n">
        <v>84.40467</v>
      </c>
      <c r="AL665" t="n">
        <v>82.48153000000001</v>
      </c>
      <c r="AM665" t="n">
        <v>82.03279000000001</v>
      </c>
      <c r="AN665" t="n">
        <v>81.52701999999999</v>
      </c>
      <c r="AO665" t="n">
        <v>84.41049</v>
      </c>
      <c r="AP665" t="n">
        <v>83.88229</v>
      </c>
      <c r="AQ665" t="n">
        <v/>
      </c>
      <c r="AR665" t="n">
        <v/>
      </c>
      <c r="AS665" t="n">
        <v>77.70851999999999</v>
      </c>
      <c r="AT665" t="n">
        <v>85.60142999999999</v>
      </c>
      <c r="AU665" t="n">
        <v>92.00042999999999</v>
      </c>
      <c r="AV665" t="n">
        <v>44.00855</v>
      </c>
      <c r="AW665" t="n">
        <v>81.11572</v>
      </c>
      <c r="AX665" t="n">
        <v>59.81493</v>
      </c>
    </row>
    <row r="666">
      <c r="A666" s="92" t="n">
        <v>38108</v>
      </c>
      <c r="B666" t="n">
        <v>82.05815</v>
      </c>
      <c r="C666" t="n">
        <v>83.54631000000001</v>
      </c>
      <c r="D666" t="n">
        <v/>
      </c>
      <c r="E666" t="n">
        <v>84.74679999999999</v>
      </c>
      <c r="F666" t="n">
        <v>97.7067</v>
      </c>
      <c r="G666" t="n">
        <v>75.8993</v>
      </c>
      <c r="H666" t="n">
        <v/>
      </c>
      <c r="I666" t="n">
        <v>67.8343</v>
      </c>
      <c r="J666" t="n">
        <v>48.19146</v>
      </c>
      <c r="K666" t="n">
        <v>88.59999999999999</v>
      </c>
      <c r="L666" t="n">
        <v>87.64133</v>
      </c>
      <c r="M666" t="n">
        <v>84.39838</v>
      </c>
      <c r="N666" t="n">
        <v>86.36</v>
      </c>
      <c r="O666" t="n">
        <v>86.30065</v>
      </c>
      <c r="P666" t="n">
        <v>75.88218999999999</v>
      </c>
      <c r="Q666" t="n">
        <v/>
      </c>
      <c r="R666" t="n">
        <v>85.50791</v>
      </c>
      <c r="S666" t="n">
        <v>88.38303999999999</v>
      </c>
      <c r="T666" t="n">
        <v/>
      </c>
      <c r="U666" t="n">
        <v>84.83649</v>
      </c>
      <c r="V666" t="n">
        <v>81.79852</v>
      </c>
      <c r="W666" t="n">
        <v>86.78613</v>
      </c>
      <c r="X666" t="n">
        <v>69.57819000000001</v>
      </c>
      <c r="Y666" t="n">
        <v/>
      </c>
      <c r="Z666" t="n">
        <v/>
      </c>
      <c r="AA666" t="n">
        <v>87.16442000000001</v>
      </c>
      <c r="AB666" t="n">
        <v>55.27175</v>
      </c>
      <c r="AC666" t="n">
        <v>84.83212</v>
      </c>
      <c r="AD666" t="n">
        <v>84.50224</v>
      </c>
      <c r="AE666" t="n">
        <v>101.4036</v>
      </c>
      <c r="AF666" t="n">
        <v>78.07373</v>
      </c>
      <c r="AG666" t="n">
        <v>79.26819999999999</v>
      </c>
      <c r="AH666" t="n">
        <v>81.19996</v>
      </c>
      <c r="AI666" t="n">
        <v>71.42676</v>
      </c>
      <c r="AJ666" t="n">
        <v>68.83793</v>
      </c>
      <c r="AK666" t="n">
        <v>84.43647</v>
      </c>
      <c r="AL666" t="n">
        <v>82.41546</v>
      </c>
      <c r="AM666" t="n">
        <v>82.12625</v>
      </c>
      <c r="AN666" t="n">
        <v>81.72662</v>
      </c>
      <c r="AO666" t="n">
        <v>85.29643</v>
      </c>
      <c r="AP666" t="n">
        <v>84.50551</v>
      </c>
      <c r="AQ666" t="n">
        <v/>
      </c>
      <c r="AR666" t="n">
        <v/>
      </c>
      <c r="AS666" t="n">
        <v>77.86105999999999</v>
      </c>
      <c r="AT666" t="n">
        <v>86.16144</v>
      </c>
      <c r="AU666" t="n">
        <v>91.98367</v>
      </c>
      <c r="AV666" t="n">
        <v>44.54778</v>
      </c>
      <c r="AW666" t="n">
        <v>81.11572</v>
      </c>
      <c r="AX666" t="n">
        <v>59.79899</v>
      </c>
    </row>
    <row r="667">
      <c r="A667" s="92" t="n">
        <v>38139</v>
      </c>
      <c r="B667" t="n">
        <v>82.35474000000001</v>
      </c>
      <c r="C667" t="n">
        <v>83.55987</v>
      </c>
      <c r="D667" t="n">
        <v/>
      </c>
      <c r="E667" t="n">
        <v>84.77915</v>
      </c>
      <c r="F667" t="n">
        <v>97.68867</v>
      </c>
      <c r="G667" t="n">
        <v>76.12219</v>
      </c>
      <c r="H667" t="n">
        <v/>
      </c>
      <c r="I667" t="n">
        <v>68.13676</v>
      </c>
      <c r="J667" t="n">
        <v>48.45509</v>
      </c>
      <c r="K667" t="n">
        <v>88.7</v>
      </c>
      <c r="L667" t="n">
        <v>87.77428</v>
      </c>
      <c r="M667" t="n">
        <v>84.36756</v>
      </c>
      <c r="N667" t="n">
        <v>86.5</v>
      </c>
      <c r="O667" t="n">
        <v>86.48036999999999</v>
      </c>
      <c r="P667" t="n">
        <v>75.88218999999999</v>
      </c>
      <c r="Q667" t="n">
        <v/>
      </c>
      <c r="R667" t="n">
        <v>85.59805</v>
      </c>
      <c r="S667" t="n">
        <v>88.41547</v>
      </c>
      <c r="T667" t="n">
        <v/>
      </c>
      <c r="U667" t="n">
        <v>84.87994999999999</v>
      </c>
      <c r="V667" t="n">
        <v>81.79852</v>
      </c>
      <c r="W667" t="n">
        <v>87.04686</v>
      </c>
      <c r="X667" t="n">
        <v>69.74616</v>
      </c>
      <c r="Y667" t="n">
        <v/>
      </c>
      <c r="Z667" t="n">
        <v/>
      </c>
      <c r="AA667" t="n">
        <v>87.47965000000001</v>
      </c>
      <c r="AB667" t="n">
        <v>55.56178</v>
      </c>
      <c r="AC667" t="n">
        <v>84.93335999999999</v>
      </c>
      <c r="AD667" t="n">
        <v>84.60796000000001</v>
      </c>
      <c r="AE667" t="n">
        <v>101.3858</v>
      </c>
      <c r="AF667" t="n">
        <v>78.14249</v>
      </c>
      <c r="AG667" t="n">
        <v>79.3043</v>
      </c>
      <c r="AH667" t="n">
        <v>81.39282</v>
      </c>
      <c r="AI667" t="n">
        <v>71.46522</v>
      </c>
      <c r="AJ667" t="n">
        <v>68.98057</v>
      </c>
      <c r="AK667" t="n">
        <v>83.8938</v>
      </c>
      <c r="AL667" t="n">
        <v>82.44710000000001</v>
      </c>
      <c r="AM667" t="n">
        <v>82.19401999999999</v>
      </c>
      <c r="AN667" t="n">
        <v>81.82581</v>
      </c>
      <c r="AO667" t="n">
        <v>85.56451</v>
      </c>
      <c r="AP667" t="n">
        <v>84.82065</v>
      </c>
      <c r="AQ667" t="n">
        <v/>
      </c>
      <c r="AR667" t="n">
        <v/>
      </c>
      <c r="AS667" t="n">
        <v>77.88607</v>
      </c>
      <c r="AT667" t="n">
        <v>86.66145</v>
      </c>
      <c r="AU667" t="n">
        <v>91.84293</v>
      </c>
      <c r="AV667" t="n">
        <v>44.88684</v>
      </c>
      <c r="AW667" t="n">
        <v>81.15701</v>
      </c>
      <c r="AX667" t="n">
        <v>59.82202</v>
      </c>
    </row>
    <row r="668">
      <c r="A668" s="92" t="n">
        <v>38169</v>
      </c>
      <c r="B668" t="n">
        <v>82.33954</v>
      </c>
      <c r="C668" t="n">
        <v>83.90589</v>
      </c>
      <c r="D668" t="n">
        <v/>
      </c>
      <c r="E668" t="n">
        <v>84.85938</v>
      </c>
      <c r="F668" t="n">
        <v>96.72887</v>
      </c>
      <c r="G668" t="n">
        <v>76.34509</v>
      </c>
      <c r="H668" t="n">
        <v/>
      </c>
      <c r="I668" t="n">
        <v>68.30025999999999</v>
      </c>
      <c r="J668" t="n">
        <v>48.87276</v>
      </c>
      <c r="K668" t="n">
        <v>89.40000000000001</v>
      </c>
      <c r="L668" t="n">
        <v>87.9619</v>
      </c>
      <c r="M668" t="n">
        <v>83.93429</v>
      </c>
      <c r="N668" t="n">
        <v>86.26000000000001</v>
      </c>
      <c r="O668" t="n">
        <v>85.29172</v>
      </c>
      <c r="P668" t="n">
        <v>75.82544</v>
      </c>
      <c r="Q668" t="n">
        <v/>
      </c>
      <c r="R668" t="n">
        <v>85.19656000000001</v>
      </c>
      <c r="S668" t="n">
        <v>88.4169</v>
      </c>
      <c r="T668" t="n">
        <v/>
      </c>
      <c r="U668" t="n">
        <v>84.88303999999999</v>
      </c>
      <c r="V668" t="n">
        <v>81.59705</v>
      </c>
      <c r="W668" t="n">
        <v>85.73397</v>
      </c>
      <c r="X668" t="n">
        <v>69.81188</v>
      </c>
      <c r="Y668" t="n">
        <v/>
      </c>
      <c r="Z668" t="n">
        <v/>
      </c>
      <c r="AA668" t="n">
        <v>87.25914</v>
      </c>
      <c r="AB668" t="n">
        <v>55.27175</v>
      </c>
      <c r="AC668" t="n">
        <v>84.83212</v>
      </c>
      <c r="AD668" t="n">
        <v>84.76090000000001</v>
      </c>
      <c r="AE668" t="n">
        <v>101.2794</v>
      </c>
      <c r="AF668" t="n">
        <v>78.41967</v>
      </c>
      <c r="AG668" t="n">
        <v>78.98739999999999</v>
      </c>
      <c r="AH668" t="n">
        <v>80.29696</v>
      </c>
      <c r="AI668" t="n">
        <v>71.25369999999999</v>
      </c>
      <c r="AJ668" t="n">
        <v>69.11275999999999</v>
      </c>
      <c r="AK668" t="n">
        <v>83.69232</v>
      </c>
      <c r="AL668" t="n">
        <v>82.19064</v>
      </c>
      <c r="AM668" t="n">
        <v>82.1683</v>
      </c>
      <c r="AN668" t="n">
        <v>81.70695000000001</v>
      </c>
      <c r="AO668" t="n">
        <v>85.78176000000001</v>
      </c>
      <c r="AP668" t="n">
        <v>84.41705</v>
      </c>
      <c r="AQ668" t="n">
        <v/>
      </c>
      <c r="AR668" t="n">
        <v/>
      </c>
      <c r="AS668" t="n">
        <v>78.1371</v>
      </c>
      <c r="AT668" t="n">
        <v>87.13145</v>
      </c>
      <c r="AU668" t="n">
        <v>91.38383</v>
      </c>
      <c r="AV668" t="n">
        <v>44.96446</v>
      </c>
      <c r="AW668" t="n">
        <v>81.15701</v>
      </c>
      <c r="AX668" t="n">
        <v>60.0541</v>
      </c>
    </row>
    <row r="669">
      <c r="A669" s="92" t="n">
        <v>38200</v>
      </c>
      <c r="B669" t="n">
        <v>82.62851999999999</v>
      </c>
      <c r="C669" t="n">
        <v>83.94284</v>
      </c>
      <c r="D669" t="n">
        <v/>
      </c>
      <c r="E669" t="n">
        <v>84.69392000000001</v>
      </c>
      <c r="F669" t="n">
        <v>96.94924</v>
      </c>
      <c r="G669" t="n">
        <v>76.28267</v>
      </c>
      <c r="H669" t="n">
        <v/>
      </c>
      <c r="I669" t="n">
        <v>68.30843</v>
      </c>
      <c r="J669" t="n">
        <v>49.32407</v>
      </c>
      <c r="K669" t="n">
        <v>89.5</v>
      </c>
      <c r="L669" t="n">
        <v>88.04684</v>
      </c>
      <c r="M669" t="n">
        <v>83.62479</v>
      </c>
      <c r="N669" t="n">
        <v>86.45</v>
      </c>
      <c r="O669" t="n">
        <v>85.56077000000001</v>
      </c>
      <c r="P669" t="n">
        <v>75.93895000000001</v>
      </c>
      <c r="Q669" t="n">
        <v/>
      </c>
      <c r="R669" t="n">
        <v>85.59805</v>
      </c>
      <c r="S669" t="n">
        <v>88.77921000000001</v>
      </c>
      <c r="T669" t="n">
        <v/>
      </c>
      <c r="U669" t="n">
        <v>84.99963</v>
      </c>
      <c r="V669" t="n">
        <v>81.79852</v>
      </c>
      <c r="W669" t="n">
        <v>85.24890000000001</v>
      </c>
      <c r="X669" t="n">
        <v>69.67612</v>
      </c>
      <c r="Y669" t="n">
        <v/>
      </c>
      <c r="Z669" t="n">
        <v/>
      </c>
      <c r="AA669" t="n">
        <v>87.91376</v>
      </c>
      <c r="AB669" t="n">
        <v>55.10601</v>
      </c>
      <c r="AC669" t="n">
        <v>84.93335999999999</v>
      </c>
      <c r="AD669" t="n">
        <v>85.01791</v>
      </c>
      <c r="AE669" t="n">
        <v>101.4076</v>
      </c>
      <c r="AF669" t="n">
        <v>78.48949</v>
      </c>
      <c r="AG669" t="n">
        <v>78.7441</v>
      </c>
      <c r="AH669" t="n">
        <v>81.42646999999999</v>
      </c>
      <c r="AI669" t="n">
        <v>71.28254</v>
      </c>
      <c r="AJ669" t="n">
        <v>69.32339</v>
      </c>
      <c r="AK669" t="n">
        <v>84.11922</v>
      </c>
      <c r="AL669" t="n">
        <v>81.99467</v>
      </c>
      <c r="AM669" t="n">
        <v>82.28547</v>
      </c>
      <c r="AN669" t="n">
        <v>81.88164999999999</v>
      </c>
      <c r="AO669" t="n">
        <v>85.71391</v>
      </c>
      <c r="AP669" t="n">
        <v>84.10692</v>
      </c>
      <c r="AQ669" t="n">
        <v/>
      </c>
      <c r="AR669" t="n">
        <v/>
      </c>
      <c r="AS669" t="n">
        <v>78.1665</v>
      </c>
      <c r="AT669" t="n">
        <v>86.68143999999999</v>
      </c>
      <c r="AU669" t="n">
        <v>91.32016</v>
      </c>
      <c r="AV669" t="n">
        <v>45.21365</v>
      </c>
      <c r="AW669" t="n">
        <v>81.23956</v>
      </c>
      <c r="AX669" t="n">
        <v>60.00782</v>
      </c>
    </row>
    <row r="670">
      <c r="A670" s="92" t="n">
        <v>38231</v>
      </c>
      <c r="B670" t="n">
        <v>82.67416</v>
      </c>
      <c r="C670" t="n">
        <v>83.97041</v>
      </c>
      <c r="D670" t="n">
        <v/>
      </c>
      <c r="E670" t="n">
        <v>85.03928000000001</v>
      </c>
      <c r="F670" t="n">
        <v>96.94495000000001</v>
      </c>
      <c r="G670" t="n">
        <v>76.40749</v>
      </c>
      <c r="H670" t="n">
        <v/>
      </c>
      <c r="I670" t="n">
        <v>68.4474</v>
      </c>
      <c r="J670" t="n">
        <v>49.52912</v>
      </c>
      <c r="K670" t="n">
        <v>88.5</v>
      </c>
      <c r="L670" t="n">
        <v>87.94244</v>
      </c>
      <c r="M670" t="n">
        <v>84.33273</v>
      </c>
      <c r="N670" t="n">
        <v>86.65000000000001</v>
      </c>
      <c r="O670" t="n">
        <v>85.77727</v>
      </c>
      <c r="P670" t="n">
        <v>76.27948000000001</v>
      </c>
      <c r="Q670" t="n">
        <v/>
      </c>
      <c r="R670" t="n">
        <v>85.98314000000001</v>
      </c>
      <c r="S670" t="n">
        <v>88.83544000000001</v>
      </c>
      <c r="T670" t="n">
        <v/>
      </c>
      <c r="U670" t="n">
        <v>85.16516</v>
      </c>
      <c r="V670" t="n">
        <v>81.89926</v>
      </c>
      <c r="W670" t="n">
        <v>87.55446999999999</v>
      </c>
      <c r="X670" t="n">
        <v>69.8952</v>
      </c>
      <c r="Y670" t="n">
        <v/>
      </c>
      <c r="Z670" t="n">
        <v/>
      </c>
      <c r="AA670" t="n">
        <v>87.91418</v>
      </c>
      <c r="AB670" t="n">
        <v>55.43748</v>
      </c>
      <c r="AC670" t="n">
        <v>84.52843</v>
      </c>
      <c r="AD670" t="n">
        <v>85.02682</v>
      </c>
      <c r="AE670" t="n">
        <v>101.5083</v>
      </c>
      <c r="AF670" t="n">
        <v>78.48949</v>
      </c>
      <c r="AG670" t="n">
        <v>79.4455</v>
      </c>
      <c r="AH670" t="n">
        <v>81.61372</v>
      </c>
      <c r="AI670" t="n">
        <v>72.33053</v>
      </c>
      <c r="AJ670" t="n">
        <v>69.71563</v>
      </c>
      <c r="AK670" t="n">
        <v>85.01318000000001</v>
      </c>
      <c r="AL670" t="n">
        <v>82.71908999999999</v>
      </c>
      <c r="AM670" t="n">
        <v>82.49326000000001</v>
      </c>
      <c r="AN670" t="n">
        <v>82.07164</v>
      </c>
      <c r="AO670" t="n">
        <v>85.79342</v>
      </c>
      <c r="AP670" t="n">
        <v>84.19833</v>
      </c>
      <c r="AQ670" t="n">
        <v/>
      </c>
      <c r="AR670" t="n">
        <v/>
      </c>
      <c r="AS670" t="n">
        <v>78.33358</v>
      </c>
      <c r="AT670" t="n">
        <v>86.69144</v>
      </c>
      <c r="AU670" t="n">
        <v>92.26515999999999</v>
      </c>
      <c r="AV670" t="n">
        <v>45.76105</v>
      </c>
      <c r="AW670" t="n">
        <v>81.48724</v>
      </c>
      <c r="AX670" t="n">
        <v>59.93671</v>
      </c>
    </row>
    <row r="671">
      <c r="A671" s="92" t="n">
        <v>38261</v>
      </c>
      <c r="B671" t="n">
        <v>82.84907</v>
      </c>
      <c r="C671" t="n">
        <v>84.18288</v>
      </c>
      <c r="D671" t="n">
        <v/>
      </c>
      <c r="E671" t="n">
        <v>84.96444</v>
      </c>
      <c r="F671" t="n">
        <v>97.71434000000001</v>
      </c>
      <c r="G671" t="n">
        <v>76.48773</v>
      </c>
      <c r="H671" t="n">
        <v/>
      </c>
      <c r="I671" t="n">
        <v>68.4474</v>
      </c>
      <c r="J671" t="n">
        <v>49.86868</v>
      </c>
      <c r="K671" t="n">
        <v>88.59999999999999</v>
      </c>
      <c r="L671" t="n">
        <v>87.77857</v>
      </c>
      <c r="M671" t="n">
        <v>84.49545000000001</v>
      </c>
      <c r="N671" t="n">
        <v>86.84</v>
      </c>
      <c r="O671" t="n">
        <v>86.79671</v>
      </c>
      <c r="P671" t="n">
        <v>76.44974999999999</v>
      </c>
      <c r="Q671" t="n">
        <v/>
      </c>
      <c r="R671" t="n">
        <v>86.17158999999999</v>
      </c>
      <c r="S671" t="n">
        <v>88.8565</v>
      </c>
      <c r="T671" t="n">
        <v/>
      </c>
      <c r="U671" t="n">
        <v>85.34687</v>
      </c>
      <c r="V671" t="n">
        <v>82</v>
      </c>
      <c r="W671" t="n">
        <v>87.82290999999999</v>
      </c>
      <c r="X671" t="n">
        <v>70.15356</v>
      </c>
      <c r="Y671" t="n">
        <v/>
      </c>
      <c r="Z671" t="n">
        <v/>
      </c>
      <c r="AA671" t="n">
        <v>87.98544</v>
      </c>
      <c r="AB671" t="n">
        <v>55.85181</v>
      </c>
      <c r="AC671" t="n">
        <v>84.4272</v>
      </c>
      <c r="AD671" t="n">
        <v>84.96482</v>
      </c>
      <c r="AE671" t="n">
        <v>101.5868</v>
      </c>
      <c r="AF671" t="n">
        <v>78.48949</v>
      </c>
      <c r="AG671" t="n">
        <v>79.69199999999999</v>
      </c>
      <c r="AH671" t="n">
        <v>81.82246000000001</v>
      </c>
      <c r="AI671" t="n">
        <v>72.73434</v>
      </c>
      <c r="AJ671" t="n">
        <v>69.91403</v>
      </c>
      <c r="AK671" t="n">
        <v>85.01536</v>
      </c>
      <c r="AL671" t="n">
        <v>82.97179</v>
      </c>
      <c r="AM671" t="n">
        <v>82.72604</v>
      </c>
      <c r="AN671" t="n">
        <v>82.27537</v>
      </c>
      <c r="AO671" t="n">
        <v>86.02706000000001</v>
      </c>
      <c r="AP671" t="n">
        <v>84.90076999999999</v>
      </c>
      <c r="AQ671" t="n">
        <v/>
      </c>
      <c r="AR671" t="n">
        <v/>
      </c>
      <c r="AS671" t="n">
        <v>78.50732000000001</v>
      </c>
      <c r="AT671" t="n">
        <v>86.99145</v>
      </c>
      <c r="AU671" t="n">
        <v>92.44611999999999</v>
      </c>
      <c r="AV671" t="n">
        <v>46.56581</v>
      </c>
      <c r="AW671" t="n">
        <v>81.81749000000001</v>
      </c>
      <c r="AX671" t="n">
        <v>60.00875</v>
      </c>
    </row>
    <row r="672">
      <c r="A672" s="92" t="n">
        <v>38292</v>
      </c>
      <c r="B672" t="n">
        <v>82.87188999999999</v>
      </c>
      <c r="C672" t="n">
        <v>84.2103</v>
      </c>
      <c r="D672" t="n">
        <v/>
      </c>
      <c r="E672" t="n">
        <v>85.41014</v>
      </c>
      <c r="F672" t="n">
        <v>97.94092999999999</v>
      </c>
      <c r="G672" t="n">
        <v>76.62147</v>
      </c>
      <c r="H672" t="n">
        <v/>
      </c>
      <c r="I672" t="n">
        <v>68.65177</v>
      </c>
      <c r="J672" t="n">
        <v>50.20934</v>
      </c>
      <c r="K672" t="n">
        <v>88.5</v>
      </c>
      <c r="L672" t="n">
        <v>87.78849</v>
      </c>
      <c r="M672" t="n">
        <v>84.45235</v>
      </c>
      <c r="N672" t="n">
        <v>86.88</v>
      </c>
      <c r="O672" t="n">
        <v>87.17822</v>
      </c>
      <c r="P672" t="n">
        <v>76.44974999999999</v>
      </c>
      <c r="Q672" t="n">
        <v/>
      </c>
      <c r="R672" t="n">
        <v>85.95856000000001</v>
      </c>
      <c r="S672" t="n">
        <v>88.86042</v>
      </c>
      <c r="T672" t="n">
        <v/>
      </c>
      <c r="U672" t="n">
        <v>85.31495</v>
      </c>
      <c r="V672" t="n">
        <v>82.10074</v>
      </c>
      <c r="W672" t="n">
        <v>87.87054000000001</v>
      </c>
      <c r="X672" t="n">
        <v>70.25214</v>
      </c>
      <c r="Y672" t="n">
        <v/>
      </c>
      <c r="Z672" t="n">
        <v/>
      </c>
      <c r="AA672" t="n">
        <v>88.06577</v>
      </c>
      <c r="AB672" t="n">
        <v>56.05898</v>
      </c>
      <c r="AC672" t="n">
        <v>84.02227000000001</v>
      </c>
      <c r="AD672" t="n">
        <v>85.07529</v>
      </c>
      <c r="AE672" t="n">
        <v>101.1936</v>
      </c>
      <c r="AF672" t="n">
        <v>78.41967</v>
      </c>
      <c r="AG672" t="n">
        <v>79.78449999999999</v>
      </c>
      <c r="AH672" t="n">
        <v>81.97277</v>
      </c>
      <c r="AI672" t="n">
        <v>72.89779</v>
      </c>
      <c r="AJ672" t="n">
        <v>70.16001</v>
      </c>
      <c r="AK672" t="n">
        <v>84.92326</v>
      </c>
      <c r="AL672" t="n">
        <v>83.05844999999999</v>
      </c>
      <c r="AM672" t="n">
        <v>82.75208000000001</v>
      </c>
      <c r="AN672" t="n">
        <v>82.40519</v>
      </c>
      <c r="AO672" t="n">
        <v>86.00569</v>
      </c>
      <c r="AP672" t="n">
        <v>85.59204</v>
      </c>
      <c r="AQ672" t="n">
        <v/>
      </c>
      <c r="AR672" t="n">
        <v/>
      </c>
      <c r="AS672" t="n">
        <v>78.63065</v>
      </c>
      <c r="AT672" t="n">
        <v>87.25145999999999</v>
      </c>
      <c r="AU672" t="n">
        <v>92.24506</v>
      </c>
      <c r="AV672" t="n">
        <v>47.16223</v>
      </c>
      <c r="AW672" t="n">
        <v>81.77621000000001</v>
      </c>
      <c r="AX672" t="n">
        <v>60.28152</v>
      </c>
    </row>
    <row r="673">
      <c r="A673" s="92" t="n">
        <v>38322</v>
      </c>
      <c r="B673" t="n">
        <v>83.16848</v>
      </c>
      <c r="C673" t="n">
        <v>84.14413999999999</v>
      </c>
      <c r="D673" t="n">
        <v/>
      </c>
      <c r="E673" t="n">
        <v>85.43043</v>
      </c>
      <c r="F673" t="n">
        <v>97.91540000000001</v>
      </c>
      <c r="G673" t="n">
        <v>76.82653000000001</v>
      </c>
      <c r="H673" t="n">
        <v/>
      </c>
      <c r="I673" t="n">
        <v>68.94607000000001</v>
      </c>
      <c r="J673" t="n">
        <v>50.57277</v>
      </c>
      <c r="K673" t="n">
        <v>88.5</v>
      </c>
      <c r="L673" t="n">
        <v>89.09771000000001</v>
      </c>
      <c r="M673" t="n">
        <v>84.36993</v>
      </c>
      <c r="N673" t="n">
        <v>87.28</v>
      </c>
      <c r="O673" t="n">
        <v>87.28646999999999</v>
      </c>
      <c r="P673" t="n">
        <v>76.44974999999999</v>
      </c>
      <c r="Q673" t="n">
        <v/>
      </c>
      <c r="R673" t="n">
        <v>86.01591000000001</v>
      </c>
      <c r="S673" t="n">
        <v>89.04832</v>
      </c>
      <c r="T673" t="n">
        <v/>
      </c>
      <c r="U673" t="n">
        <v>85.42712</v>
      </c>
      <c r="V673" t="n">
        <v>82.60442</v>
      </c>
      <c r="W673" t="n">
        <v>88.33215</v>
      </c>
      <c r="X673" t="n">
        <v>70.21711999999999</v>
      </c>
      <c r="Y673" t="n">
        <v/>
      </c>
      <c r="Z673" t="n">
        <v/>
      </c>
      <c r="AA673" t="n">
        <v>88.19877</v>
      </c>
      <c r="AB673" t="n">
        <v>56.34901</v>
      </c>
      <c r="AC673" t="n">
        <v>83.71857</v>
      </c>
      <c r="AD673" t="n">
        <v>85.35776</v>
      </c>
      <c r="AE673" t="n">
        <v>101.139</v>
      </c>
      <c r="AF673" t="n">
        <v>78.69790999999999</v>
      </c>
      <c r="AG673" t="n">
        <v>79.72190000000001</v>
      </c>
      <c r="AH673" t="n">
        <v>81.89022</v>
      </c>
      <c r="AI673" t="n">
        <v>72.52282</v>
      </c>
      <c r="AJ673" t="n">
        <v>70.3319</v>
      </c>
      <c r="AK673" t="n">
        <v>84.13479</v>
      </c>
      <c r="AL673" t="n">
        <v>82.99204</v>
      </c>
      <c r="AM673" t="n">
        <v>82.85306</v>
      </c>
      <c r="AN673" t="n">
        <v>82.76375</v>
      </c>
      <c r="AO673" t="n">
        <v>85.98604</v>
      </c>
      <c r="AP673" t="n">
        <v>85.66261</v>
      </c>
      <c r="AQ673" t="n">
        <v/>
      </c>
      <c r="AR673" t="n">
        <v/>
      </c>
      <c r="AS673" t="n">
        <v>78.77563000000001</v>
      </c>
      <c r="AT673" t="n">
        <v>87.12145</v>
      </c>
      <c r="AU673" t="n">
        <v>92.28861999999999</v>
      </c>
      <c r="AV673" t="n">
        <v>47.24802</v>
      </c>
      <c r="AW673" t="n">
        <v>81.65237</v>
      </c>
      <c r="AX673" t="n">
        <v>60.27425</v>
      </c>
    </row>
    <row r="674">
      <c r="A674" s="92" t="n">
        <v>38353</v>
      </c>
      <c r="B674" t="n">
        <v>83.41945</v>
      </c>
      <c r="C674" t="n">
        <v>84.44376</v>
      </c>
      <c r="D674" t="n">
        <v/>
      </c>
      <c r="E674" t="n">
        <v>85.28091999999999</v>
      </c>
      <c r="F674" t="n">
        <v>97.63055</v>
      </c>
      <c r="G674" t="n">
        <v>76.70171000000001</v>
      </c>
      <c r="H674" t="n">
        <v/>
      </c>
      <c r="I674" t="n">
        <v>69.39568</v>
      </c>
      <c r="J674" t="n">
        <v>51.45695</v>
      </c>
      <c r="K674" t="n">
        <v>88.7</v>
      </c>
      <c r="L674" t="n">
        <v>88.09451</v>
      </c>
      <c r="M674" t="n">
        <v>84.00639</v>
      </c>
      <c r="N674" t="n">
        <v>86.44</v>
      </c>
      <c r="O674" t="n">
        <v>86.03791</v>
      </c>
      <c r="P674" t="n">
        <v>76.50651000000001</v>
      </c>
      <c r="Q674" t="n">
        <v/>
      </c>
      <c r="R674" t="n">
        <v>85.39319999999999</v>
      </c>
      <c r="S674" t="n">
        <v>88.56953</v>
      </c>
      <c r="T674" t="n">
        <v/>
      </c>
      <c r="U674" t="n">
        <v>85.35648</v>
      </c>
      <c r="V674" t="n">
        <v>82</v>
      </c>
      <c r="W674" t="n">
        <v>88.5286</v>
      </c>
      <c r="X674" t="n">
        <v>70.95632000000001</v>
      </c>
      <c r="Y674" t="n">
        <v/>
      </c>
      <c r="Z674" t="n">
        <v/>
      </c>
      <c r="AA674" t="n">
        <v>87.36320000000001</v>
      </c>
      <c r="AB674" t="n">
        <v>56.43187</v>
      </c>
      <c r="AC674" t="n">
        <v>83.21241999999999</v>
      </c>
      <c r="AD674" t="n">
        <v>85.35916</v>
      </c>
      <c r="AE674" t="n">
        <v>100.7684</v>
      </c>
      <c r="AF674" t="n">
        <v>79.32208</v>
      </c>
      <c r="AG674" t="n">
        <v>79.17059999999999</v>
      </c>
      <c r="AH674" t="n">
        <v>81.1463</v>
      </c>
      <c r="AI674" t="n">
        <v>72.68626999999999</v>
      </c>
      <c r="AJ674" t="n">
        <v>70.58524</v>
      </c>
      <c r="AK674" t="n">
        <v>83.97642999999999</v>
      </c>
      <c r="AL674" t="n">
        <v>82.72372</v>
      </c>
      <c r="AM674" t="n">
        <v>82.80972</v>
      </c>
      <c r="AN674" t="n">
        <v>82.33843</v>
      </c>
      <c r="AO674" t="n">
        <v>86.03776000000001</v>
      </c>
      <c r="AP674" t="n">
        <v>85.45480999999999</v>
      </c>
      <c r="AQ674" t="n">
        <v/>
      </c>
      <c r="AR674" t="n">
        <v/>
      </c>
      <c r="AS674" t="n">
        <v>79.88863000000001</v>
      </c>
      <c r="AT674" t="n">
        <v>86.28144</v>
      </c>
      <c r="AU674" t="n">
        <v>91.4408</v>
      </c>
      <c r="AV674" t="n">
        <v>47.33789</v>
      </c>
      <c r="AW674" t="n">
        <v>81.90004999999999</v>
      </c>
      <c r="AX674" t="n">
        <v>60.56088</v>
      </c>
    </row>
    <row r="675">
      <c r="A675" s="92" t="n">
        <v>38384</v>
      </c>
      <c r="B675" t="n">
        <v>83.58678999999999</v>
      </c>
      <c r="C675" t="n">
        <v>84.80669</v>
      </c>
      <c r="D675" t="n">
        <v/>
      </c>
      <c r="E675" t="n">
        <v>85.52433000000001</v>
      </c>
      <c r="F675" t="n">
        <v>97.64798</v>
      </c>
      <c r="G675" t="n">
        <v>76.64821999999999</v>
      </c>
      <c r="H675" t="n">
        <v/>
      </c>
      <c r="I675" t="n">
        <v>69.98426000000001</v>
      </c>
      <c r="J675" t="n">
        <v>51.84317</v>
      </c>
      <c r="K675" t="n">
        <v>88.90000000000001</v>
      </c>
      <c r="L675" t="n">
        <v>88.38573</v>
      </c>
      <c r="M675" t="n">
        <v>84.88786</v>
      </c>
      <c r="N675" t="n">
        <v>86.64</v>
      </c>
      <c r="O675" t="n">
        <v>86.19556</v>
      </c>
      <c r="P675" t="n">
        <v>76.84704000000001</v>
      </c>
      <c r="Q675" t="n">
        <v/>
      </c>
      <c r="R675" t="n">
        <v>85.83121</v>
      </c>
      <c r="S675" t="n">
        <v>89.02782999999999</v>
      </c>
      <c r="T675" t="n">
        <v/>
      </c>
      <c r="U675" t="n">
        <v>85.66128</v>
      </c>
      <c r="V675" t="n">
        <v>82.09999999999999</v>
      </c>
      <c r="W675" t="n">
        <v>86.51006</v>
      </c>
      <c r="X675" t="n">
        <v>71.2132</v>
      </c>
      <c r="Y675" t="n">
        <v/>
      </c>
      <c r="Z675" t="n">
        <v/>
      </c>
      <c r="AA675" t="n">
        <v>88.34523</v>
      </c>
      <c r="AB675" t="n">
        <v>56.63904</v>
      </c>
      <c r="AC675" t="n">
        <v>83.11118</v>
      </c>
      <c r="AD675" t="n">
        <v>85.58624</v>
      </c>
      <c r="AE675" t="n">
        <v>100.4191</v>
      </c>
      <c r="AF675" t="n">
        <v>79.48077000000001</v>
      </c>
      <c r="AG675" t="n">
        <v>78.9021</v>
      </c>
      <c r="AH675" t="n">
        <v>82.39445000000001</v>
      </c>
      <c r="AI675" t="n">
        <v>72.79337</v>
      </c>
      <c r="AJ675" t="n">
        <v>70.83605</v>
      </c>
      <c r="AK675" t="n">
        <v>84.43513</v>
      </c>
      <c r="AL675" t="n">
        <v>82.90253</v>
      </c>
      <c r="AM675" t="n">
        <v>83.05468</v>
      </c>
      <c r="AN675" t="n">
        <v>82.49234</v>
      </c>
      <c r="AO675" t="n">
        <v>85.95672</v>
      </c>
      <c r="AP675" t="n">
        <v>85.32951</v>
      </c>
      <c r="AQ675" t="n">
        <v/>
      </c>
      <c r="AR675" t="n">
        <v/>
      </c>
      <c r="AS675" t="n">
        <v>80.16987</v>
      </c>
      <c r="AT675" t="n">
        <v>86.41144</v>
      </c>
      <c r="AU675" t="n">
        <v>91.56814</v>
      </c>
      <c r="AV675" t="n">
        <v>47.11321</v>
      </c>
      <c r="AW675" t="n">
        <v>82.35413</v>
      </c>
      <c r="AX675" t="n">
        <v>60.59344</v>
      </c>
    </row>
    <row r="676">
      <c r="A676" s="92" t="n">
        <v>38412</v>
      </c>
      <c r="B676" t="n">
        <v>83.8378</v>
      </c>
      <c r="C676" t="n">
        <v>84.99802</v>
      </c>
      <c r="D676" t="n">
        <v/>
      </c>
      <c r="E676" t="n">
        <v>85.77221</v>
      </c>
      <c r="F676" t="n">
        <v>97.70425</v>
      </c>
      <c r="G676" t="n">
        <v>77.15640999999999</v>
      </c>
      <c r="H676" t="n">
        <v/>
      </c>
      <c r="I676" t="n">
        <v>70.35213</v>
      </c>
      <c r="J676" t="n">
        <v>52.15019</v>
      </c>
      <c r="K676" t="n">
        <v>88.8</v>
      </c>
      <c r="L676" t="n">
        <v>88.55264</v>
      </c>
      <c r="M676" t="n">
        <v>85.17821000000001</v>
      </c>
      <c r="N676" t="n">
        <v>87.2</v>
      </c>
      <c r="O676" t="n">
        <v>86.88499</v>
      </c>
      <c r="P676" t="n">
        <v>76.79028</v>
      </c>
      <c r="Q676" t="n">
        <v/>
      </c>
      <c r="R676" t="n">
        <v>86.00297</v>
      </c>
      <c r="S676" t="n">
        <v>89.35764</v>
      </c>
      <c r="T676" t="n">
        <v/>
      </c>
      <c r="U676" t="n">
        <v>86.06319000000001</v>
      </c>
      <c r="V676" t="n">
        <v>82.40000000000001</v>
      </c>
      <c r="W676" t="n">
        <v>88.69054</v>
      </c>
      <c r="X676" t="n">
        <v>71.46778</v>
      </c>
      <c r="Y676" t="n">
        <v/>
      </c>
      <c r="Z676" t="n">
        <v/>
      </c>
      <c r="AA676" t="n">
        <v>88.62212</v>
      </c>
      <c r="AB676" t="n">
        <v>57.38483</v>
      </c>
      <c r="AC676" t="n">
        <v>83.00996000000001</v>
      </c>
      <c r="AD676" t="n">
        <v>85.80139</v>
      </c>
      <c r="AE676" t="n">
        <v>100.7957</v>
      </c>
      <c r="AF676" t="n">
        <v>79.88066999999999</v>
      </c>
      <c r="AG676" t="n">
        <v>79.0373</v>
      </c>
      <c r="AH676" t="n">
        <v>82.47711</v>
      </c>
      <c r="AI676" t="n">
        <v>73.20066</v>
      </c>
      <c r="AJ676" t="n">
        <v>71.05889000000001</v>
      </c>
      <c r="AK676" t="n">
        <v>85.25194999999999</v>
      </c>
      <c r="AL676" t="n">
        <v>83.30222000000001</v>
      </c>
      <c r="AM676" t="n">
        <v>83.44007999999999</v>
      </c>
      <c r="AN676" t="n">
        <v>82.81482</v>
      </c>
      <c r="AO676" t="n">
        <v>85.97848999999999</v>
      </c>
      <c r="AP676" t="n">
        <v>85.49160999999999</v>
      </c>
      <c r="AQ676" t="n">
        <v/>
      </c>
      <c r="AR676" t="n">
        <v/>
      </c>
      <c r="AS676" t="n">
        <v>80.09842999999999</v>
      </c>
      <c r="AT676" t="n">
        <v>87.28146</v>
      </c>
      <c r="AU676" t="n">
        <v>91.87309</v>
      </c>
      <c r="AV676" t="n">
        <v>47.3093</v>
      </c>
      <c r="AW676" t="n">
        <v>82.84949</v>
      </c>
      <c r="AX676" t="n">
        <v>60.92387</v>
      </c>
    </row>
    <row r="677">
      <c r="A677" s="92" t="n">
        <v>38443</v>
      </c>
      <c r="B677" t="n">
        <v>83.50312</v>
      </c>
      <c r="C677" t="n">
        <v>84.99917000000001</v>
      </c>
      <c r="D677" t="n">
        <v/>
      </c>
      <c r="E677" t="n">
        <v>85.61288999999999</v>
      </c>
      <c r="F677" t="n">
        <v>98.42859</v>
      </c>
      <c r="G677" t="n">
        <v>77.42388</v>
      </c>
      <c r="H677" t="n">
        <v/>
      </c>
      <c r="I677" t="n">
        <v>70.58102</v>
      </c>
      <c r="J677" t="n">
        <v>52.5939</v>
      </c>
      <c r="K677" t="n">
        <v>88.8</v>
      </c>
      <c r="L677" t="n">
        <v>88.17925</v>
      </c>
      <c r="M677" t="n">
        <v>85.5399</v>
      </c>
      <c r="N677" t="n">
        <v>87.47</v>
      </c>
      <c r="O677" t="n">
        <v>88.15142</v>
      </c>
      <c r="P677" t="n">
        <v>77.01730000000001</v>
      </c>
      <c r="Q677" t="n">
        <v/>
      </c>
      <c r="R677" t="n">
        <v>86.01156</v>
      </c>
      <c r="S677" t="n">
        <v>89.50089</v>
      </c>
      <c r="T677" t="n">
        <v/>
      </c>
      <c r="U677" t="n">
        <v>86.12949</v>
      </c>
      <c r="V677" t="n">
        <v>82.7</v>
      </c>
      <c r="W677" t="n">
        <v>89.23313</v>
      </c>
      <c r="X677" t="n">
        <v>71.88006</v>
      </c>
      <c r="Y677" t="n">
        <v/>
      </c>
      <c r="Z677" t="n">
        <v/>
      </c>
      <c r="AA677" t="n">
        <v>88.79218</v>
      </c>
      <c r="AB677" t="n">
        <v>57.8406</v>
      </c>
      <c r="AC677" t="n">
        <v>83.51611</v>
      </c>
      <c r="AD677" t="n">
        <v>85.76817</v>
      </c>
      <c r="AE677" t="n">
        <v>101.0584</v>
      </c>
      <c r="AF677" t="n">
        <v>79.96213</v>
      </c>
      <c r="AG677" t="n">
        <v>79.285</v>
      </c>
      <c r="AH677" t="n">
        <v>82.59283000000001</v>
      </c>
      <c r="AI677" t="n">
        <v>73.95332000000001</v>
      </c>
      <c r="AJ677" t="n">
        <v>71.20981999999999</v>
      </c>
      <c r="AK677" t="n">
        <v>85.44256</v>
      </c>
      <c r="AL677" t="n">
        <v>83.59220999999999</v>
      </c>
      <c r="AM677" t="n">
        <v>83.57940000000001</v>
      </c>
      <c r="AN677" t="n">
        <v>82.99091</v>
      </c>
      <c r="AO677" t="n">
        <v>86.18508</v>
      </c>
      <c r="AP677" t="n">
        <v>86.10202</v>
      </c>
      <c r="AQ677" t="n">
        <v/>
      </c>
      <c r="AR677" t="n">
        <v/>
      </c>
      <c r="AS677" t="n">
        <v>80.12881</v>
      </c>
      <c r="AT677" t="n">
        <v>87.39146</v>
      </c>
      <c r="AU677" t="n">
        <v>91.98702</v>
      </c>
      <c r="AV677" t="n">
        <v>47.50946</v>
      </c>
      <c r="AW677" t="n">
        <v>82.93205</v>
      </c>
      <c r="AX677" t="n">
        <v>61.01096</v>
      </c>
    </row>
    <row r="678">
      <c r="A678" s="92" t="n">
        <v>38473</v>
      </c>
      <c r="B678" t="n">
        <v>83.67046000000001</v>
      </c>
      <c r="C678" t="n">
        <v>85.18335999999999</v>
      </c>
      <c r="D678" t="n">
        <v/>
      </c>
      <c r="E678" t="n">
        <v>85.892</v>
      </c>
      <c r="F678" t="n">
        <v>98.46003</v>
      </c>
      <c r="G678" t="n">
        <v>77.80726</v>
      </c>
      <c r="H678" t="n">
        <v/>
      </c>
      <c r="I678" t="n">
        <v>70.75269</v>
      </c>
      <c r="J678" t="n">
        <v>52.95517</v>
      </c>
      <c r="K678" t="n">
        <v>88.8</v>
      </c>
      <c r="L678" t="n">
        <v>88.41464000000001</v>
      </c>
      <c r="M678" t="n">
        <v>85.60963</v>
      </c>
      <c r="N678" t="n">
        <v>87.72</v>
      </c>
      <c r="O678" t="n">
        <v>88.40470000000001</v>
      </c>
      <c r="P678" t="n">
        <v>77.07406</v>
      </c>
      <c r="Q678" t="n">
        <v/>
      </c>
      <c r="R678" t="n">
        <v>85.9772</v>
      </c>
      <c r="S678" t="n">
        <v>89.62663000000001</v>
      </c>
      <c r="T678" t="n">
        <v/>
      </c>
      <c r="U678" t="n">
        <v>86.18644999999999</v>
      </c>
      <c r="V678" t="n">
        <v>82.90000000000001</v>
      </c>
      <c r="W678" t="n">
        <v>89.61113</v>
      </c>
      <c r="X678" t="n">
        <v>72.00463999999999</v>
      </c>
      <c r="Y678" t="n">
        <v/>
      </c>
      <c r="Z678" t="n">
        <v/>
      </c>
      <c r="AA678" t="n">
        <v>89.1497</v>
      </c>
      <c r="AB678" t="n">
        <v>57.75773</v>
      </c>
      <c r="AC678" t="n">
        <v>83.71857</v>
      </c>
      <c r="AD678" t="n">
        <v>86.10146</v>
      </c>
      <c r="AE678" t="n">
        <v>101.0997</v>
      </c>
      <c r="AF678" t="n">
        <v>79.96213</v>
      </c>
      <c r="AG678" t="n">
        <v>79.4995</v>
      </c>
      <c r="AH678" t="n">
        <v>82.65895999999999</v>
      </c>
      <c r="AI678" t="n">
        <v>74.17935</v>
      </c>
      <c r="AJ678" t="n">
        <v>71.23719</v>
      </c>
      <c r="AK678" t="n">
        <v>85.39427999999999</v>
      </c>
      <c r="AL678" t="n">
        <v>83.75386</v>
      </c>
      <c r="AM678" t="n">
        <v>83.68209</v>
      </c>
      <c r="AN678" t="n">
        <v>83.26443</v>
      </c>
      <c r="AO678" t="n">
        <v>86.16625000000001</v>
      </c>
      <c r="AP678" t="n">
        <v>86.58534</v>
      </c>
      <c r="AQ678" t="n">
        <v/>
      </c>
      <c r="AR678" t="n">
        <v/>
      </c>
      <c r="AS678" t="n">
        <v>80.07059</v>
      </c>
      <c r="AT678" t="n">
        <v>87.77146</v>
      </c>
      <c r="AU678" t="n">
        <v>92.02052999999999</v>
      </c>
      <c r="AV678" t="n">
        <v>48.5389</v>
      </c>
      <c r="AW678" t="n">
        <v>82.89078000000001</v>
      </c>
      <c r="AX678" t="n">
        <v>60.75394</v>
      </c>
    </row>
    <row r="679">
      <c r="A679" s="92" t="n">
        <v>38504</v>
      </c>
      <c r="B679" t="n">
        <v>83.92147</v>
      </c>
      <c r="C679" t="n">
        <v>85.3904</v>
      </c>
      <c r="D679" t="n">
        <v/>
      </c>
      <c r="E679" t="n">
        <v>85.92691000000001</v>
      </c>
      <c r="F679" t="n">
        <v>98.17715</v>
      </c>
      <c r="G679" t="n">
        <v>77.94099</v>
      </c>
      <c r="H679" t="n">
        <v/>
      </c>
      <c r="I679" t="n">
        <v>70.94071</v>
      </c>
      <c r="J679" t="n">
        <v>53.22096</v>
      </c>
      <c r="K679" t="n">
        <v>89.5</v>
      </c>
      <c r="L679" t="n">
        <v>88.34533</v>
      </c>
      <c r="M679" t="n">
        <v>85.4894</v>
      </c>
      <c r="N679" t="n">
        <v>87.7</v>
      </c>
      <c r="O679" t="n">
        <v>88.53292</v>
      </c>
      <c r="P679" t="n">
        <v>77.30109</v>
      </c>
      <c r="Q679" t="n">
        <v/>
      </c>
      <c r="R679" t="n">
        <v>85.99438000000001</v>
      </c>
      <c r="S679" t="n">
        <v>89.63548</v>
      </c>
      <c r="T679" t="n">
        <v/>
      </c>
      <c r="U679" t="n">
        <v>86.13348000000001</v>
      </c>
      <c r="V679" t="n">
        <v>83</v>
      </c>
      <c r="W679" t="n">
        <v>89.6422</v>
      </c>
      <c r="X679" t="n">
        <v>72.03313</v>
      </c>
      <c r="Y679" t="n">
        <v/>
      </c>
      <c r="Z679" t="n">
        <v/>
      </c>
      <c r="AA679" t="n">
        <v>89.51228</v>
      </c>
      <c r="AB679" t="n">
        <v>58.0892</v>
      </c>
      <c r="AC679" t="n">
        <v>84.32597</v>
      </c>
      <c r="AD679" t="n">
        <v>86.11356000000001</v>
      </c>
      <c r="AE679" t="n">
        <v>100.9988</v>
      </c>
      <c r="AF679" t="n">
        <v>79.96213</v>
      </c>
      <c r="AG679" t="n">
        <v>79.64870000000001</v>
      </c>
      <c r="AH679" t="n">
        <v>82.78295</v>
      </c>
      <c r="AI679" t="n">
        <v>74.28104</v>
      </c>
      <c r="AJ679" t="n">
        <v>71.39577</v>
      </c>
      <c r="AK679" t="n">
        <v>84.90481</v>
      </c>
      <c r="AL679" t="n">
        <v>83.57513</v>
      </c>
      <c r="AM679" t="n">
        <v>83.6781</v>
      </c>
      <c r="AN679" t="n">
        <v>83.32628</v>
      </c>
      <c r="AO679" t="n">
        <v>86.36356000000001</v>
      </c>
      <c r="AP679" t="n">
        <v>86.67955000000001</v>
      </c>
      <c r="AQ679" t="n">
        <v/>
      </c>
      <c r="AR679" t="n">
        <v/>
      </c>
      <c r="AS679" t="n">
        <v>80.15588</v>
      </c>
      <c r="AT679" t="n">
        <v>88.00145999999999</v>
      </c>
      <c r="AU679" t="n">
        <v>91.91330000000001</v>
      </c>
      <c r="AV679" t="n">
        <v>48.96784</v>
      </c>
      <c r="AW679" t="n">
        <v>82.80821</v>
      </c>
      <c r="AX679" t="n">
        <v>60.71086</v>
      </c>
    </row>
    <row r="680">
      <c r="A680" s="92" t="n">
        <v>38534</v>
      </c>
      <c r="B680" t="n">
        <v>83.75413</v>
      </c>
      <c r="C680" t="n">
        <v>85.82028</v>
      </c>
      <c r="D680" t="n">
        <v/>
      </c>
      <c r="E680" t="n">
        <v>85.82511</v>
      </c>
      <c r="F680" t="n">
        <v>97.20847000000001</v>
      </c>
      <c r="G680" t="n">
        <v>78.09256000000001</v>
      </c>
      <c r="H680" t="n">
        <v/>
      </c>
      <c r="I680" t="n">
        <v>71.05516</v>
      </c>
      <c r="J680" t="n">
        <v>53.76558</v>
      </c>
      <c r="K680" t="n">
        <v>90.09999999999999</v>
      </c>
      <c r="L680" t="n">
        <v>88.68619</v>
      </c>
      <c r="M680" t="n">
        <v>85.07486</v>
      </c>
      <c r="N680" t="n">
        <v>87.38</v>
      </c>
      <c r="O680" t="n">
        <v>87.33166</v>
      </c>
      <c r="P680" t="n">
        <v>77.24433000000001</v>
      </c>
      <c r="Q680" t="n">
        <v/>
      </c>
      <c r="R680" t="n">
        <v>85.33308</v>
      </c>
      <c r="S680" t="n">
        <v>89.3451</v>
      </c>
      <c r="T680" t="n">
        <v/>
      </c>
      <c r="U680" t="n">
        <v>86.19614</v>
      </c>
      <c r="V680" t="n">
        <v>83.09999999999999</v>
      </c>
      <c r="W680" t="n">
        <v>88.68993</v>
      </c>
      <c r="X680" t="n">
        <v>72.10693999999999</v>
      </c>
      <c r="Y680" t="n">
        <v/>
      </c>
      <c r="Z680" t="n">
        <v/>
      </c>
      <c r="AA680" t="n">
        <v>89.11864</v>
      </c>
      <c r="AB680" t="n">
        <v>57.92347</v>
      </c>
      <c r="AC680" t="n">
        <v>85.13582</v>
      </c>
      <c r="AD680" t="n">
        <v>86.42885</v>
      </c>
      <c r="AE680" t="n">
        <v>100.8094</v>
      </c>
      <c r="AF680" t="n">
        <v>79.96213</v>
      </c>
      <c r="AG680" t="n">
        <v>79.4131</v>
      </c>
      <c r="AH680" t="n">
        <v>81.71664</v>
      </c>
      <c r="AI680" t="n">
        <v>74.26047</v>
      </c>
      <c r="AJ680" t="n">
        <v>71.56574000000001</v>
      </c>
      <c r="AK680" t="n">
        <v>84.66566</v>
      </c>
      <c r="AL680" t="n">
        <v>83.31863</v>
      </c>
      <c r="AM680" t="n">
        <v>83.67648</v>
      </c>
      <c r="AN680" t="n">
        <v>83.22181999999999</v>
      </c>
      <c r="AO680" t="n">
        <v>86.48367</v>
      </c>
      <c r="AP680" t="n">
        <v>86.68658000000001</v>
      </c>
      <c r="AQ680" t="n">
        <v/>
      </c>
      <c r="AR680" t="n">
        <v/>
      </c>
      <c r="AS680" t="n">
        <v>80.10375999999999</v>
      </c>
      <c r="AT680" t="n">
        <v>88.49148</v>
      </c>
      <c r="AU680" t="n">
        <v>91.18276</v>
      </c>
      <c r="AV680" t="n">
        <v>48.64511</v>
      </c>
      <c r="AW680" t="n">
        <v>82.89078000000001</v>
      </c>
      <c r="AX680" t="n">
        <v>61.02852</v>
      </c>
    </row>
    <row r="681">
      <c r="A681" s="92" t="n">
        <v>38565</v>
      </c>
      <c r="B681" t="n">
        <v>83.75413</v>
      </c>
      <c r="C681" t="n">
        <v>85.83687</v>
      </c>
      <c r="D681" t="n">
        <v/>
      </c>
      <c r="E681" t="n">
        <v>85.94001</v>
      </c>
      <c r="F681" t="n">
        <v>97.29563</v>
      </c>
      <c r="G681" t="n">
        <v>78.14605</v>
      </c>
      <c r="H681" t="n">
        <v/>
      </c>
      <c r="I681" t="n">
        <v>71.17778</v>
      </c>
      <c r="J681" t="n">
        <v>54.15613</v>
      </c>
      <c r="K681" t="n">
        <v>90.2</v>
      </c>
      <c r="L681" t="n">
        <v>88.76922999999999</v>
      </c>
      <c r="M681" t="n">
        <v>84.97486000000001</v>
      </c>
      <c r="N681" t="n">
        <v>87.55</v>
      </c>
      <c r="O681" t="n">
        <v>87.55341</v>
      </c>
      <c r="P681" t="n">
        <v>77.52811</v>
      </c>
      <c r="Q681" t="n">
        <v/>
      </c>
      <c r="R681" t="n">
        <v>85.7625</v>
      </c>
      <c r="S681" t="n">
        <v>89.80901</v>
      </c>
      <c r="T681" t="n">
        <v/>
      </c>
      <c r="U681" t="n">
        <v>86.31702</v>
      </c>
      <c r="V681" t="n">
        <v>83.3</v>
      </c>
      <c r="W681" t="n">
        <v>87.72095</v>
      </c>
      <c r="X681" t="n">
        <v>71.94712</v>
      </c>
      <c r="Y681" t="n">
        <v/>
      </c>
      <c r="Z681" t="n">
        <v/>
      </c>
      <c r="AA681" t="n">
        <v>89.54141</v>
      </c>
      <c r="AB681" t="n">
        <v>57.88203</v>
      </c>
      <c r="AC681" t="n">
        <v>85.13582</v>
      </c>
      <c r="AD681" t="n">
        <v>86.58618</v>
      </c>
      <c r="AE681" t="n">
        <v>100.8866</v>
      </c>
      <c r="AF681" t="n">
        <v>80.12187</v>
      </c>
      <c r="AG681" t="n">
        <v>79.50020000000001</v>
      </c>
      <c r="AH681" t="n">
        <v>82.98959000000001</v>
      </c>
      <c r="AI681" t="n">
        <v>74.34849</v>
      </c>
      <c r="AJ681" t="n">
        <v>71.66896</v>
      </c>
      <c r="AK681" t="n">
        <v>84.96442</v>
      </c>
      <c r="AL681" t="n">
        <v>83.40536</v>
      </c>
      <c r="AM681" t="n">
        <v>83.80391</v>
      </c>
      <c r="AN681" t="n">
        <v>83.41813</v>
      </c>
      <c r="AO681" t="n">
        <v>86.43774000000001</v>
      </c>
      <c r="AP681" t="n">
        <v>86.59069</v>
      </c>
      <c r="AQ681" t="n">
        <v/>
      </c>
      <c r="AR681" t="n">
        <v/>
      </c>
      <c r="AS681" t="n">
        <v>80.12025</v>
      </c>
      <c r="AT681" t="n">
        <v>87.57146</v>
      </c>
      <c r="AU681" t="n">
        <v>91.2967</v>
      </c>
      <c r="AV681" t="n">
        <v>49.29873</v>
      </c>
      <c r="AW681" t="n">
        <v>82.97333999999999</v>
      </c>
      <c r="AX681" t="n">
        <v>61.04453</v>
      </c>
    </row>
    <row r="682">
      <c r="A682" s="92" t="n">
        <v>38596</v>
      </c>
      <c r="B682" t="n">
        <v>83.58678999999999</v>
      </c>
      <c r="C682" t="n">
        <v>85.87262</v>
      </c>
      <c r="D682" t="n">
        <v/>
      </c>
      <c r="E682" t="n">
        <v>86.19949</v>
      </c>
      <c r="F682" t="n">
        <v>97.30454</v>
      </c>
      <c r="G682" t="n">
        <v>78.44027</v>
      </c>
      <c r="H682" t="n">
        <v/>
      </c>
      <c r="I682" t="n">
        <v>71.40667999999999</v>
      </c>
      <c r="J682" t="n">
        <v>54.62589</v>
      </c>
      <c r="K682" t="n">
        <v>89.3</v>
      </c>
      <c r="L682" t="n">
        <v>88.5988</v>
      </c>
      <c r="M682" t="n">
        <v>85.51078</v>
      </c>
      <c r="N682" t="n">
        <v>87.78</v>
      </c>
      <c r="O682" t="n">
        <v>87.86135</v>
      </c>
      <c r="P682" t="n">
        <v>77.81188</v>
      </c>
      <c r="Q682" t="n">
        <v/>
      </c>
      <c r="R682" t="n">
        <v>86.01156</v>
      </c>
      <c r="S682" t="n">
        <v>89.90853</v>
      </c>
      <c r="T682" t="n">
        <v/>
      </c>
      <c r="U682" t="n">
        <v>86.39914</v>
      </c>
      <c r="V682" t="n">
        <v>83.3</v>
      </c>
      <c r="W682" t="n">
        <v>89.94007000000001</v>
      </c>
      <c r="X682" t="n">
        <v>71.98663999999999</v>
      </c>
      <c r="Y682" t="n">
        <v/>
      </c>
      <c r="Z682" t="n">
        <v/>
      </c>
      <c r="AA682" t="n">
        <v>90.02314</v>
      </c>
      <c r="AB682" t="n">
        <v>58.62783</v>
      </c>
      <c r="AC682" t="n">
        <v>84.62966</v>
      </c>
      <c r="AD682" t="n">
        <v>86.44942</v>
      </c>
      <c r="AE682" t="n">
        <v>101.0728</v>
      </c>
      <c r="AF682" t="n">
        <v>80.12187</v>
      </c>
      <c r="AG682" t="n">
        <v>80.1413</v>
      </c>
      <c r="AH682" t="n">
        <v>83.07226</v>
      </c>
      <c r="AI682" t="n">
        <v>75.73097</v>
      </c>
      <c r="AJ682" t="n">
        <v>71.99599000000001</v>
      </c>
      <c r="AK682" t="n">
        <v>85.89624999999999</v>
      </c>
      <c r="AL682" t="n">
        <v>83.93016</v>
      </c>
      <c r="AM682" t="n">
        <v>83.94228</v>
      </c>
      <c r="AN682" t="n">
        <v>83.54819000000001</v>
      </c>
      <c r="AO682" t="n">
        <v>86.58011999999999</v>
      </c>
      <c r="AP682" t="n">
        <v>86.73248</v>
      </c>
      <c r="AQ682" t="n">
        <v/>
      </c>
      <c r="AR682" t="n">
        <v/>
      </c>
      <c r="AS682" t="n">
        <v>80.10814999999999</v>
      </c>
      <c r="AT682" t="n">
        <v>88.01147</v>
      </c>
      <c r="AU682" t="n">
        <v>92.13446999999999</v>
      </c>
      <c r="AV682" t="n">
        <v>49.57652</v>
      </c>
      <c r="AW682" t="n">
        <v>83.09717999999999</v>
      </c>
      <c r="AX682" t="n">
        <v>61.00878</v>
      </c>
    </row>
    <row r="683">
      <c r="A683" s="92" t="n">
        <v>38626</v>
      </c>
      <c r="B683" t="n">
        <v>83.67046000000001</v>
      </c>
      <c r="C683" t="n">
        <v>85.96113</v>
      </c>
      <c r="D683" t="n">
        <v/>
      </c>
      <c r="E683" t="n">
        <v>86.18877999999999</v>
      </c>
      <c r="F683" t="n">
        <v>98.15259</v>
      </c>
      <c r="G683" t="n">
        <v>78.56509</v>
      </c>
      <c r="H683" t="n">
        <v/>
      </c>
      <c r="I683" t="n">
        <v>71.48025</v>
      </c>
      <c r="J683" t="n">
        <v>55.15314</v>
      </c>
      <c r="K683" t="n">
        <v>89.59999999999999</v>
      </c>
      <c r="L683" t="n">
        <v>88.70932000000001</v>
      </c>
      <c r="M683" t="n">
        <v>85.61732000000001</v>
      </c>
      <c r="N683" t="n">
        <v>88.04000000000001</v>
      </c>
      <c r="O683" t="n">
        <v>89.01636999999999</v>
      </c>
      <c r="P683" t="n">
        <v>78.0389</v>
      </c>
      <c r="Q683" t="n">
        <v/>
      </c>
      <c r="R683" t="n">
        <v>86.01156</v>
      </c>
      <c r="S683" t="n">
        <v>89.83139</v>
      </c>
      <c r="T683" t="n">
        <v/>
      </c>
      <c r="U683" t="n">
        <v>86.64439</v>
      </c>
      <c r="V683" t="n">
        <v>83.40000000000001</v>
      </c>
      <c r="W683" t="n">
        <v>90.40532</v>
      </c>
      <c r="X683" t="n">
        <v>72.20717</v>
      </c>
      <c r="Y683" t="n">
        <v/>
      </c>
      <c r="Z683" t="n">
        <v/>
      </c>
      <c r="AA683" t="n">
        <v>89.96244</v>
      </c>
      <c r="AB683" t="n">
        <v>59.00072</v>
      </c>
      <c r="AC683" t="n">
        <v>85.03458000000001</v>
      </c>
      <c r="AD683" t="n">
        <v>86.53288000000001</v>
      </c>
      <c r="AE683" t="n">
        <v>101.0172</v>
      </c>
      <c r="AF683" t="n">
        <v>80.12187</v>
      </c>
      <c r="AG683" t="n">
        <v>80.56829999999999</v>
      </c>
      <c r="AH683" t="n">
        <v>83.27889999999999</v>
      </c>
      <c r="AI683" t="n">
        <v>76.07709</v>
      </c>
      <c r="AJ683" t="n">
        <v>72.1579</v>
      </c>
      <c r="AK683" t="n">
        <v>85.89767999999999</v>
      </c>
      <c r="AL683" t="n">
        <v>84.20039</v>
      </c>
      <c r="AM683" t="n">
        <v>84.22246</v>
      </c>
      <c r="AN683" t="n">
        <v>83.81448</v>
      </c>
      <c r="AO683" t="n">
        <v>86.71597</v>
      </c>
      <c r="AP683" t="n">
        <v>87.3158</v>
      </c>
      <c r="AQ683" t="n">
        <v/>
      </c>
      <c r="AR683" t="n">
        <v/>
      </c>
      <c r="AS683" t="n">
        <v>80.36757</v>
      </c>
      <c r="AT683" t="n">
        <v>88.39147</v>
      </c>
      <c r="AU683" t="n">
        <v>92.40926</v>
      </c>
      <c r="AV683" t="n">
        <v>50.39353</v>
      </c>
      <c r="AW683" t="n">
        <v>83.50998</v>
      </c>
      <c r="AX683" t="n">
        <v>61.03705</v>
      </c>
    </row>
    <row r="684">
      <c r="A684" s="92" t="n">
        <v>38657</v>
      </c>
      <c r="B684" t="n">
        <v>83.58678999999999</v>
      </c>
      <c r="C684" t="n">
        <v>86.0548</v>
      </c>
      <c r="D684" t="n">
        <v/>
      </c>
      <c r="E684" t="n">
        <v>86.59031</v>
      </c>
      <c r="F684" t="n">
        <v>98.27493</v>
      </c>
      <c r="G684" t="n">
        <v>78.69882</v>
      </c>
      <c r="H684" t="n">
        <v/>
      </c>
      <c r="I684" t="n">
        <v>71.62739999999999</v>
      </c>
      <c r="J684" t="n">
        <v>55.99609</v>
      </c>
      <c r="K684" t="n">
        <v>89.5</v>
      </c>
      <c r="L684" t="n">
        <v>88.65397</v>
      </c>
      <c r="M684" t="n">
        <v>85.56310000000001</v>
      </c>
      <c r="N684" t="n">
        <v>88.06999999999999</v>
      </c>
      <c r="O684" t="n">
        <v>89.44727</v>
      </c>
      <c r="P684" t="n">
        <v>78.09566</v>
      </c>
      <c r="Q684" t="n">
        <v/>
      </c>
      <c r="R684" t="n">
        <v>86.09744000000001</v>
      </c>
      <c r="S684" t="n">
        <v>89.80978</v>
      </c>
      <c r="T684" t="n">
        <v/>
      </c>
      <c r="U684" t="n">
        <v>86.64194000000001</v>
      </c>
      <c r="V684" t="n">
        <v>83.5</v>
      </c>
      <c r="W684" t="n">
        <v>90.56013</v>
      </c>
      <c r="X684" t="n">
        <v>72.36917</v>
      </c>
      <c r="Y684" t="n">
        <v/>
      </c>
      <c r="Z684" t="n">
        <v/>
      </c>
      <c r="AA684" t="n">
        <v>90.17</v>
      </c>
      <c r="AB684" t="n">
        <v>59.08359</v>
      </c>
      <c r="AC684" t="n">
        <v>85.23705</v>
      </c>
      <c r="AD684" t="n">
        <v>86.76819999999999</v>
      </c>
      <c r="AE684" t="n">
        <v>100.6962</v>
      </c>
      <c r="AF684" t="n">
        <v>80.20228</v>
      </c>
      <c r="AG684" t="n">
        <v>80.70180000000001</v>
      </c>
      <c r="AH684" t="n">
        <v>83.36982999999999</v>
      </c>
      <c r="AI684" t="n">
        <v>76.09444000000001</v>
      </c>
      <c r="AJ684" t="n">
        <v>72.43701</v>
      </c>
      <c r="AK684" t="n">
        <v>85.77539</v>
      </c>
      <c r="AL684" t="n">
        <v>84.28073999999999</v>
      </c>
      <c r="AM684" t="n">
        <v>84.27264</v>
      </c>
      <c r="AN684" t="n">
        <v>83.93191</v>
      </c>
      <c r="AO684" t="n">
        <v>86.64456</v>
      </c>
      <c r="AP684" t="n">
        <v>87.88359</v>
      </c>
      <c r="AQ684" t="n">
        <v/>
      </c>
      <c r="AR684" t="n">
        <v/>
      </c>
      <c r="AS684" t="n">
        <v>80.45068999999999</v>
      </c>
      <c r="AT684" t="n">
        <v>88.44147</v>
      </c>
      <c r="AU684" t="n">
        <v>92.38245000000001</v>
      </c>
      <c r="AV684" t="n">
        <v>50.80204</v>
      </c>
      <c r="AW684" t="n">
        <v>83.50998</v>
      </c>
      <c r="AX684" t="n">
        <v>61.04076</v>
      </c>
    </row>
    <row r="685">
      <c r="A685" s="92" t="n">
        <v>38687</v>
      </c>
      <c r="B685" t="n">
        <v>83.75413</v>
      </c>
      <c r="C685" t="n">
        <v>86.08739</v>
      </c>
      <c r="D685" t="n">
        <v/>
      </c>
      <c r="E685" t="n">
        <v>86.56899</v>
      </c>
      <c r="F685" t="n">
        <v>98.2961</v>
      </c>
      <c r="G685" t="n">
        <v>78.83256</v>
      </c>
      <c r="H685" t="n">
        <v/>
      </c>
      <c r="I685" t="n">
        <v>71.79906</v>
      </c>
      <c r="J685" t="n">
        <v>56.48862</v>
      </c>
      <c r="K685" t="n">
        <v>89.5</v>
      </c>
      <c r="L685" t="n">
        <v>89.38309</v>
      </c>
      <c r="M685" t="n">
        <v>85.67425</v>
      </c>
      <c r="N685" t="n">
        <v>88.45999999999999</v>
      </c>
      <c r="O685" t="n">
        <v>89.59860999999999</v>
      </c>
      <c r="P685" t="n">
        <v>78.15242000000001</v>
      </c>
      <c r="Q685" t="n">
        <v/>
      </c>
      <c r="R685" t="n">
        <v>86.06309</v>
      </c>
      <c r="S685" t="n">
        <v>90.02123</v>
      </c>
      <c r="T685" t="n">
        <v/>
      </c>
      <c r="U685" t="n">
        <v>86.70543000000001</v>
      </c>
      <c r="V685" t="n">
        <v>83.8</v>
      </c>
      <c r="W685" t="n">
        <v>90.92563</v>
      </c>
      <c r="X685" t="n">
        <v>72.33189</v>
      </c>
      <c r="Y685" t="n">
        <v/>
      </c>
      <c r="Z685" t="n">
        <v/>
      </c>
      <c r="AA685" t="n">
        <v>90.27151000000001</v>
      </c>
      <c r="AB685" t="n">
        <v>59.37362</v>
      </c>
      <c r="AC685" t="n">
        <v>85.43951</v>
      </c>
      <c r="AD685" t="n">
        <v>86.77961000000001</v>
      </c>
      <c r="AE685" t="n">
        <v>100.7836</v>
      </c>
      <c r="AF685" t="n">
        <v>80.36096000000001</v>
      </c>
      <c r="AG685" t="n">
        <v>80.4772</v>
      </c>
      <c r="AH685" t="n">
        <v>83.42769</v>
      </c>
      <c r="AI685" t="n">
        <v>75.94112</v>
      </c>
      <c r="AJ685" t="n">
        <v>72.67731000000001</v>
      </c>
      <c r="AK685" t="n">
        <v>85.17552999999999</v>
      </c>
      <c r="AL685" t="n">
        <v>84.16763</v>
      </c>
      <c r="AM685" t="n">
        <v>84.35355</v>
      </c>
      <c r="AN685" t="n">
        <v>84.16893</v>
      </c>
      <c r="AO685" t="n">
        <v>86.65483</v>
      </c>
      <c r="AP685" t="n">
        <v>87.87967999999999</v>
      </c>
      <c r="AQ685" t="n">
        <v/>
      </c>
      <c r="AR685" t="n">
        <v/>
      </c>
      <c r="AS685" t="n">
        <v>80.61245</v>
      </c>
      <c r="AT685" t="n">
        <v>88.22147</v>
      </c>
      <c r="AU685" t="n">
        <v>92.35229</v>
      </c>
      <c r="AV685" t="n">
        <v>51.22689</v>
      </c>
      <c r="AW685" t="n">
        <v>83.42742</v>
      </c>
      <c r="AX685" t="n">
        <v>61.06788</v>
      </c>
    </row>
    <row r="686">
      <c r="A686" s="92" t="n">
        <v>38718</v>
      </c>
      <c r="B686" t="n">
        <v>83.67046000000001</v>
      </c>
      <c r="C686" t="n">
        <v>85.39933000000001</v>
      </c>
      <c r="D686" t="n">
        <v/>
      </c>
      <c r="E686" t="n">
        <v>86.13248</v>
      </c>
      <c r="F686" t="n">
        <v>97.9653</v>
      </c>
      <c r="G686" t="n">
        <v>78.85039999999999</v>
      </c>
      <c r="H686" t="n">
        <v/>
      </c>
      <c r="I686" t="n">
        <v>72.11788</v>
      </c>
      <c r="J686" t="n">
        <v>57.17752</v>
      </c>
      <c r="K686" t="n">
        <v>89.8</v>
      </c>
      <c r="L686" t="n">
        <v>88.61337</v>
      </c>
      <c r="M686" t="n">
        <v>85.14684</v>
      </c>
      <c r="N686" t="n">
        <v>87.51000000000001</v>
      </c>
      <c r="O686" t="n">
        <v>88.39104</v>
      </c>
      <c r="P686" t="n">
        <v>78.54971</v>
      </c>
      <c r="Q686" t="n">
        <v/>
      </c>
      <c r="R686" t="n">
        <v>85.53921</v>
      </c>
      <c r="S686" t="n">
        <v>89.65517</v>
      </c>
      <c r="T686" t="n">
        <v/>
      </c>
      <c r="U686" t="n">
        <v>86.61761</v>
      </c>
      <c r="V686" t="n">
        <v>83.40000000000001</v>
      </c>
      <c r="W686" t="n">
        <v>90.38675000000001</v>
      </c>
      <c r="X686" t="n">
        <v>72.18767</v>
      </c>
      <c r="Y686" t="n">
        <v/>
      </c>
      <c r="Z686" t="n">
        <v/>
      </c>
      <c r="AA686" t="n">
        <v>89.81895</v>
      </c>
      <c r="AB686" t="n">
        <v>59.37362</v>
      </c>
      <c r="AC686" t="n">
        <v>85.13582</v>
      </c>
      <c r="AD686" t="n">
        <v>86.89351000000001</v>
      </c>
      <c r="AE686" t="n">
        <v>100.0914</v>
      </c>
      <c r="AF686" t="n">
        <v>80.52070999999999</v>
      </c>
      <c r="AG686" t="n">
        <v>80.1532</v>
      </c>
      <c r="AH686" t="n">
        <v>82.58456</v>
      </c>
      <c r="AI686" t="n">
        <v>76.21810000000001</v>
      </c>
      <c r="AJ686" t="n">
        <v>72.87624</v>
      </c>
      <c r="AK686" t="n">
        <v>84.22127999999999</v>
      </c>
      <c r="AL686" t="n">
        <v>83.66753</v>
      </c>
      <c r="AM686" t="n">
        <v>84.24984000000001</v>
      </c>
      <c r="AN686" t="n">
        <v>83.76261</v>
      </c>
      <c r="AO686" t="n">
        <v>86.67681</v>
      </c>
      <c r="AP686" t="n">
        <v>87.36493</v>
      </c>
      <c r="AQ686" t="n">
        <v/>
      </c>
      <c r="AR686" t="n">
        <v/>
      </c>
      <c r="AS686" t="n">
        <v>82.03886</v>
      </c>
      <c r="AT686" t="n">
        <v>86.93145</v>
      </c>
      <c r="AU686" t="n">
        <v>91.26654000000001</v>
      </c>
      <c r="AV686" t="n">
        <v>51.43114</v>
      </c>
      <c r="AW686" t="n">
        <v>83.63382</v>
      </c>
      <c r="AX686" t="n">
        <v>61.27662</v>
      </c>
    </row>
    <row r="687">
      <c r="A687" s="92" t="n">
        <v>38749</v>
      </c>
      <c r="B687" t="n">
        <v>83.75413</v>
      </c>
      <c r="C687" t="n">
        <v>85.77811</v>
      </c>
      <c r="D687" t="n">
        <v/>
      </c>
      <c r="E687" t="n">
        <v>86.50323</v>
      </c>
      <c r="F687" t="n">
        <v>98.15758</v>
      </c>
      <c r="G687" t="n">
        <v>79.00196</v>
      </c>
      <c r="H687" t="n">
        <v/>
      </c>
      <c r="I687" t="n">
        <v>72.61654</v>
      </c>
      <c r="J687" t="n">
        <v>57.78072</v>
      </c>
      <c r="K687" t="n">
        <v>89.8</v>
      </c>
      <c r="L687" t="n">
        <v>88.99378</v>
      </c>
      <c r="M687" t="n">
        <v>86.10851</v>
      </c>
      <c r="N687" t="n">
        <v>87.73</v>
      </c>
      <c r="O687" t="n">
        <v>88.57286000000001</v>
      </c>
      <c r="P687" t="n">
        <v>78.66322</v>
      </c>
      <c r="Q687" t="n">
        <v/>
      </c>
      <c r="R687" t="n">
        <v>86.08027</v>
      </c>
      <c r="S687" t="n">
        <v>89.97749</v>
      </c>
      <c r="T687" t="n">
        <v/>
      </c>
      <c r="U687" t="n">
        <v>86.92908</v>
      </c>
      <c r="V687" t="n">
        <v>83.59999999999999</v>
      </c>
      <c r="W687" t="n">
        <v>88.55128999999999</v>
      </c>
      <c r="X687" t="n">
        <v>72.23508</v>
      </c>
      <c r="Y687" t="n">
        <v/>
      </c>
      <c r="Z687" t="n">
        <v/>
      </c>
      <c r="AA687" t="n">
        <v>90.81184</v>
      </c>
      <c r="AB687" t="n">
        <v>59.20789</v>
      </c>
      <c r="AC687" t="n">
        <v>85.23705</v>
      </c>
      <c r="AD687" t="n">
        <v>87.05343000000001</v>
      </c>
      <c r="AE687" t="n">
        <v>99.95631</v>
      </c>
      <c r="AF687" t="n">
        <v>80.76085999999999</v>
      </c>
      <c r="AG687" t="n">
        <v>80.0539</v>
      </c>
      <c r="AH687" t="n">
        <v>84.15509</v>
      </c>
      <c r="AI687" t="n">
        <v>76.11586</v>
      </c>
      <c r="AJ687" t="n">
        <v>73.05579</v>
      </c>
      <c r="AK687" t="n">
        <v>84.66862999999999</v>
      </c>
      <c r="AL687" t="n">
        <v>84.07695</v>
      </c>
      <c r="AM687" t="n">
        <v>84.50102</v>
      </c>
      <c r="AN687" t="n">
        <v>83.92486</v>
      </c>
      <c r="AO687" t="n">
        <v>86.58987</v>
      </c>
      <c r="AP687" t="n">
        <v>87.49923</v>
      </c>
      <c r="AQ687" t="n">
        <v/>
      </c>
      <c r="AR687" t="n">
        <v/>
      </c>
      <c r="AS687" t="n">
        <v>82.53957</v>
      </c>
      <c r="AT687" t="n">
        <v>87.17146</v>
      </c>
      <c r="AU687" t="n">
        <v>91.77925</v>
      </c>
      <c r="AV687" t="n">
        <v>51.01446</v>
      </c>
      <c r="AW687" t="n">
        <v>84.04662</v>
      </c>
      <c r="AX687" t="n">
        <v>61.29547</v>
      </c>
    </row>
    <row r="688">
      <c r="A688" s="92" t="n">
        <v>38777</v>
      </c>
      <c r="B688" t="n">
        <v>84.17249</v>
      </c>
      <c r="C688" t="n">
        <v>85.58386</v>
      </c>
      <c r="D688" t="n">
        <v/>
      </c>
      <c r="E688" t="n">
        <v>86.86926</v>
      </c>
      <c r="F688" t="n">
        <v>98.16515</v>
      </c>
      <c r="G688" t="n">
        <v>79.58148</v>
      </c>
      <c r="H688" t="n">
        <v/>
      </c>
      <c r="I688" t="n">
        <v>72.94353</v>
      </c>
      <c r="J688" t="n">
        <v>58.26457</v>
      </c>
      <c r="K688" t="n">
        <v>89.7</v>
      </c>
      <c r="L688" t="n">
        <v>89.00431</v>
      </c>
      <c r="M688" t="n">
        <v>86.40221</v>
      </c>
      <c r="N688" t="n">
        <v>88.34999999999999</v>
      </c>
      <c r="O688" t="n">
        <v>89.22866999999999</v>
      </c>
      <c r="P688" t="n">
        <v>78.77673</v>
      </c>
      <c r="Q688" t="n">
        <v/>
      </c>
      <c r="R688" t="n">
        <v>86.50109</v>
      </c>
      <c r="S688" t="n">
        <v>90.23856000000001</v>
      </c>
      <c r="T688" t="n">
        <v/>
      </c>
      <c r="U688" t="n">
        <v>87.3382</v>
      </c>
      <c r="V688" t="n">
        <v>83.8</v>
      </c>
      <c r="W688" t="n">
        <v>91.07471</v>
      </c>
      <c r="X688" t="n">
        <v>72.49938</v>
      </c>
      <c r="Y688" t="n">
        <v/>
      </c>
      <c r="Z688" t="n">
        <v/>
      </c>
      <c r="AA688" t="n">
        <v>91.24641</v>
      </c>
      <c r="AB688" t="n">
        <v>60.03655</v>
      </c>
      <c r="AC688" t="n">
        <v>85.54075</v>
      </c>
      <c r="AD688" t="n">
        <v>87.23868</v>
      </c>
      <c r="AE688" t="n">
        <v>100.3852</v>
      </c>
      <c r="AF688" t="n">
        <v>81.31944</v>
      </c>
      <c r="AG688" t="n">
        <v>80.2189</v>
      </c>
      <c r="AH688" t="n">
        <v>84.31214</v>
      </c>
      <c r="AI688" t="n">
        <v>76.56131999999999</v>
      </c>
      <c r="AJ688" t="n">
        <v>73.31856000000001</v>
      </c>
      <c r="AK688" t="n">
        <v>85.38229</v>
      </c>
      <c r="AL688" t="n">
        <v>84.24659</v>
      </c>
      <c r="AM688" t="n">
        <v>84.89764</v>
      </c>
      <c r="AN688" t="n">
        <v>84.18872</v>
      </c>
      <c r="AO688" t="n">
        <v>86.58987</v>
      </c>
      <c r="AP688" t="n">
        <v>88.99464</v>
      </c>
      <c r="AQ688" t="n">
        <v/>
      </c>
      <c r="AR688" t="n">
        <v/>
      </c>
      <c r="AS688" t="n">
        <v>82.51064</v>
      </c>
      <c r="AT688" t="n">
        <v>88.34147</v>
      </c>
      <c r="AU688" t="n">
        <v>92.37239</v>
      </c>
      <c r="AV688" t="n">
        <v>50.87557</v>
      </c>
      <c r="AW688" t="n">
        <v>84.58327</v>
      </c>
      <c r="AX688" t="n">
        <v>61.50847</v>
      </c>
    </row>
    <row r="689">
      <c r="A689" s="92" t="n">
        <v>38808</v>
      </c>
      <c r="B689" t="n">
        <v>84.50716</v>
      </c>
      <c r="C689" t="n">
        <v>85.72955</v>
      </c>
      <c r="D689" t="n">
        <v/>
      </c>
      <c r="E689" t="n">
        <v>86.67939</v>
      </c>
      <c r="F689" t="n">
        <v>98.92495</v>
      </c>
      <c r="G689" t="n">
        <v>79.90244</v>
      </c>
      <c r="H689" t="n">
        <v/>
      </c>
      <c r="I689" t="n">
        <v>73.09885</v>
      </c>
      <c r="J689" t="n">
        <v>58.57702</v>
      </c>
      <c r="K689" t="n">
        <v>89.59999999999999</v>
      </c>
      <c r="L689" t="n">
        <v>88.9975</v>
      </c>
      <c r="M689" t="n">
        <v>86.57594</v>
      </c>
      <c r="N689" t="n">
        <v>88.79000000000001</v>
      </c>
      <c r="O689" t="n">
        <v>90.68847</v>
      </c>
      <c r="P689" t="n">
        <v>79.11726</v>
      </c>
      <c r="Q689" t="n">
        <v/>
      </c>
      <c r="R689" t="n">
        <v>86.73296999999999</v>
      </c>
      <c r="S689" t="n">
        <v>90.43510999999999</v>
      </c>
      <c r="T689" t="n">
        <v/>
      </c>
      <c r="U689" t="n">
        <v>87.54234</v>
      </c>
      <c r="V689" t="n">
        <v>84.09999999999999</v>
      </c>
      <c r="W689" t="n">
        <v>91.26598</v>
      </c>
      <c r="X689" t="n">
        <v>72.8203</v>
      </c>
      <c r="Y689" t="n">
        <v/>
      </c>
      <c r="Z689" t="n">
        <v/>
      </c>
      <c r="AA689" t="n">
        <v>92.03453</v>
      </c>
      <c r="AB689" t="n">
        <v>60.57518</v>
      </c>
      <c r="AC689" t="n">
        <v>85.94567000000001</v>
      </c>
      <c r="AD689" t="n">
        <v>87.40299</v>
      </c>
      <c r="AE689" t="n">
        <v>100.6242</v>
      </c>
      <c r="AF689" t="n">
        <v>81.39984</v>
      </c>
      <c r="AG689" t="n">
        <v>80.482</v>
      </c>
      <c r="AH689" t="n">
        <v>84.37</v>
      </c>
      <c r="AI689" t="n">
        <v>76.76993</v>
      </c>
      <c r="AJ689" t="n">
        <v>73.5317</v>
      </c>
      <c r="AK689" t="n">
        <v>85.61578</v>
      </c>
      <c r="AL689" t="n">
        <v>84.52848</v>
      </c>
      <c r="AM689" t="n">
        <v>85.17104999999999</v>
      </c>
      <c r="AN689" t="n">
        <v>84.54407</v>
      </c>
      <c r="AO689" t="n">
        <v>86.58987</v>
      </c>
      <c r="AP689" t="n">
        <v>89.28259</v>
      </c>
      <c r="AQ689" t="n">
        <v/>
      </c>
      <c r="AR689" t="n">
        <v/>
      </c>
      <c r="AS689" t="n">
        <v>82.62242000000001</v>
      </c>
      <c r="AT689" t="n">
        <v>88.93147999999999</v>
      </c>
      <c r="AU689" t="n">
        <v>92.65388</v>
      </c>
      <c r="AV689" t="n">
        <v>51.79063</v>
      </c>
      <c r="AW689" t="n">
        <v>84.83095</v>
      </c>
      <c r="AX689" t="n">
        <v>61.57197</v>
      </c>
    </row>
    <row r="690">
      <c r="A690" s="92" t="n">
        <v>38838</v>
      </c>
      <c r="B690" t="n">
        <v>84.50716</v>
      </c>
      <c r="C690" t="n">
        <v>85.87523</v>
      </c>
      <c r="D690" t="n">
        <v/>
      </c>
      <c r="E690" t="n">
        <v>87.01505</v>
      </c>
      <c r="F690" t="n">
        <v>99.03448</v>
      </c>
      <c r="G690" t="n">
        <v>79.94701999999999</v>
      </c>
      <c r="H690" t="n">
        <v/>
      </c>
      <c r="I690" t="n">
        <v>73.28686999999999</v>
      </c>
      <c r="J690" t="n">
        <v>58.97625</v>
      </c>
      <c r="K690" t="n">
        <v>89.90000000000001</v>
      </c>
      <c r="L690" t="n">
        <v>88.88655</v>
      </c>
      <c r="M690" t="n">
        <v>86.54183999999999</v>
      </c>
      <c r="N690" t="n">
        <v>88.91</v>
      </c>
      <c r="O690" t="n">
        <v>90.87975</v>
      </c>
      <c r="P690" t="n">
        <v>79.28753</v>
      </c>
      <c r="Q690" t="n">
        <v/>
      </c>
      <c r="R690" t="n">
        <v>86.79309000000001</v>
      </c>
      <c r="S690" t="n">
        <v>90.63779</v>
      </c>
      <c r="T690" t="n">
        <v/>
      </c>
      <c r="U690" t="n">
        <v>87.63203</v>
      </c>
      <c r="V690" t="n">
        <v>84.2</v>
      </c>
      <c r="W690" t="n">
        <v>91.49159</v>
      </c>
      <c r="X690" t="n">
        <v>72.98260000000001</v>
      </c>
      <c r="Y690" t="n">
        <v/>
      </c>
      <c r="Z690" t="n">
        <v/>
      </c>
      <c r="AA690" t="n">
        <v>92.20662</v>
      </c>
      <c r="AB690" t="n">
        <v>61.44528</v>
      </c>
      <c r="AC690" t="n">
        <v>85.74321</v>
      </c>
      <c r="AD690" t="n">
        <v>87.63634</v>
      </c>
      <c r="AE690" t="n">
        <v>100.6693</v>
      </c>
      <c r="AF690" t="n">
        <v>81.64105000000001</v>
      </c>
      <c r="AG690" t="n">
        <v>80.79819999999999</v>
      </c>
      <c r="AH690" t="n">
        <v>84.38652999999999</v>
      </c>
      <c r="AI690" t="n">
        <v>77.11575999999999</v>
      </c>
      <c r="AJ690" t="n">
        <v>73.49518</v>
      </c>
      <c r="AK690" t="n">
        <v>85.7486</v>
      </c>
      <c r="AL690" t="n">
        <v>84.51879</v>
      </c>
      <c r="AM690" t="n">
        <v>85.30431</v>
      </c>
      <c r="AN690" t="n">
        <v>84.75971</v>
      </c>
      <c r="AO690" t="n">
        <v>86.58987</v>
      </c>
      <c r="AP690" t="n">
        <v>89.43124</v>
      </c>
      <c r="AQ690" t="n">
        <v/>
      </c>
      <c r="AR690" t="n">
        <v/>
      </c>
      <c r="AS690" t="n">
        <v>82.70035</v>
      </c>
      <c r="AT690" t="n">
        <v>89.16148</v>
      </c>
      <c r="AU690" t="n">
        <v>92.52988999999999</v>
      </c>
      <c r="AV690" t="n">
        <v>53.14279</v>
      </c>
      <c r="AW690" t="n">
        <v>84.91351</v>
      </c>
      <c r="AX690" t="n">
        <v>61.65883</v>
      </c>
    </row>
    <row r="691">
      <c r="A691" s="92" t="n">
        <v>38869</v>
      </c>
      <c r="B691" t="n">
        <v>84.67451</v>
      </c>
      <c r="C691" t="n">
        <v>85.9335</v>
      </c>
      <c r="D691" t="n">
        <v/>
      </c>
      <c r="E691" t="n">
        <v>86.88346</v>
      </c>
      <c r="F691" t="n">
        <v>99.00664</v>
      </c>
      <c r="G691" t="n">
        <v>80.22341</v>
      </c>
      <c r="H691" t="n">
        <v/>
      </c>
      <c r="I691" t="n">
        <v>73.48307</v>
      </c>
      <c r="J691" t="n">
        <v>59.27785</v>
      </c>
      <c r="K691" t="n">
        <v>89.8</v>
      </c>
      <c r="L691" t="n">
        <v>89.05006</v>
      </c>
      <c r="M691" t="n">
        <v>86.58401000000001</v>
      </c>
      <c r="N691" t="n">
        <v>88.98</v>
      </c>
      <c r="O691" t="n">
        <v>91.02478000000001</v>
      </c>
      <c r="P691" t="n">
        <v>79.74157</v>
      </c>
      <c r="Q691" t="n">
        <v/>
      </c>
      <c r="R691" t="n">
        <v>86.99921000000001</v>
      </c>
      <c r="S691" t="n">
        <v>90.70689</v>
      </c>
      <c r="T691" t="n">
        <v/>
      </c>
      <c r="U691" t="n">
        <v>87.70628000000001</v>
      </c>
      <c r="V691" t="n">
        <v>84.40000000000001</v>
      </c>
      <c r="W691" t="n">
        <v>91.74822</v>
      </c>
      <c r="X691" t="n">
        <v>73.12752</v>
      </c>
      <c r="Y691" t="n">
        <v/>
      </c>
      <c r="Z691" t="n">
        <v/>
      </c>
      <c r="AA691" t="n">
        <v>92.6117</v>
      </c>
      <c r="AB691" t="n">
        <v>62.10821</v>
      </c>
      <c r="AC691" t="n">
        <v>85.94567000000001</v>
      </c>
      <c r="AD691" t="n">
        <v>87.68333</v>
      </c>
      <c r="AE691" t="n">
        <v>100.6313</v>
      </c>
      <c r="AF691" t="n">
        <v>81.55959</v>
      </c>
      <c r="AG691" t="n">
        <v>80.9609</v>
      </c>
      <c r="AH691" t="n">
        <v>84.58492</v>
      </c>
      <c r="AI691" t="n">
        <v>77.34528</v>
      </c>
      <c r="AJ691" t="n">
        <v>73.6862</v>
      </c>
      <c r="AK691" t="n">
        <v>85.28403</v>
      </c>
      <c r="AL691" t="n">
        <v>84.58183</v>
      </c>
      <c r="AM691" t="n">
        <v>85.39433</v>
      </c>
      <c r="AN691" t="n">
        <v>84.89895</v>
      </c>
      <c r="AO691" t="n">
        <v>86.67681</v>
      </c>
      <c r="AP691" t="n">
        <v>89.3124</v>
      </c>
      <c r="AQ691" t="n">
        <v/>
      </c>
      <c r="AR691" t="n">
        <v/>
      </c>
      <c r="AS691" t="n">
        <v>82.74915</v>
      </c>
      <c r="AT691" t="n">
        <v>89.21149</v>
      </c>
      <c r="AU691" t="n">
        <v>92.51984</v>
      </c>
      <c r="AV691" t="n">
        <v>53.7147</v>
      </c>
      <c r="AW691" t="n">
        <v>84.99607</v>
      </c>
      <c r="AX691" t="n">
        <v>62.04013</v>
      </c>
    </row>
    <row r="692">
      <c r="A692" s="92" t="n">
        <v>38899</v>
      </c>
      <c r="B692" t="n">
        <v>84.50716</v>
      </c>
      <c r="C692" t="n">
        <v>86.14717</v>
      </c>
      <c r="D692" t="n">
        <v/>
      </c>
      <c r="E692" t="n">
        <v>86.61074000000001</v>
      </c>
      <c r="F692" t="n">
        <v>98.02521</v>
      </c>
      <c r="G692" t="n">
        <v>80.67811</v>
      </c>
      <c r="H692" t="n">
        <v/>
      </c>
      <c r="I692" t="n">
        <v>73.71196</v>
      </c>
      <c r="J692" t="n">
        <v>59.89081</v>
      </c>
      <c r="K692" t="n">
        <v>90.5</v>
      </c>
      <c r="L692" t="n">
        <v>89.46191</v>
      </c>
      <c r="M692" t="n">
        <v>86.17683</v>
      </c>
      <c r="N692" t="n">
        <v>88.65000000000001</v>
      </c>
      <c r="O692" t="n">
        <v>89.85504</v>
      </c>
      <c r="P692" t="n">
        <v>79.91184</v>
      </c>
      <c r="Q692" t="n">
        <v/>
      </c>
      <c r="R692" t="n">
        <v>86.53545</v>
      </c>
      <c r="S692" t="n">
        <v>90.47948</v>
      </c>
      <c r="T692" t="n">
        <v/>
      </c>
      <c r="U692" t="n">
        <v>87.76761</v>
      </c>
      <c r="V692" t="n">
        <v>84.3</v>
      </c>
      <c r="W692" t="n">
        <v>90.76896000000001</v>
      </c>
      <c r="X692" t="n">
        <v>73.15971</v>
      </c>
      <c r="Y692" t="n">
        <v/>
      </c>
      <c r="Z692" t="n">
        <v/>
      </c>
      <c r="AA692" t="n">
        <v>92.92371</v>
      </c>
      <c r="AB692" t="n">
        <v>62.10173</v>
      </c>
      <c r="AC692" t="n">
        <v>86.04691</v>
      </c>
      <c r="AD692" t="n">
        <v>87.8287</v>
      </c>
      <c r="AE692" t="n">
        <v>100.4379</v>
      </c>
      <c r="AF692" t="n">
        <v>81.7204</v>
      </c>
      <c r="AG692" t="n">
        <v>81.10429999999999</v>
      </c>
      <c r="AH692" t="n">
        <v>83.42769</v>
      </c>
      <c r="AI692" t="n">
        <v>77.33907000000001</v>
      </c>
      <c r="AJ692" t="n">
        <v>73.87689</v>
      </c>
      <c r="AK692" t="n">
        <v>84.97898000000001</v>
      </c>
      <c r="AL692" t="n">
        <v>84.09708000000001</v>
      </c>
      <c r="AM692" t="n">
        <v>85.42564</v>
      </c>
      <c r="AN692" t="n">
        <v>84.82377</v>
      </c>
      <c r="AO692" t="n">
        <v>87.19843</v>
      </c>
      <c r="AP692" t="n">
        <v>89.00735</v>
      </c>
      <c r="AQ692" t="n">
        <v/>
      </c>
      <c r="AR692" t="n">
        <v/>
      </c>
      <c r="AS692" t="n">
        <v>83.02925</v>
      </c>
      <c r="AT692" t="n">
        <v>88.88148</v>
      </c>
      <c r="AU692" t="n">
        <v>92.19144</v>
      </c>
      <c r="AV692" t="n">
        <v>53.88627</v>
      </c>
      <c r="AW692" t="n">
        <v>85.11991</v>
      </c>
      <c r="AX692" t="n">
        <v>62.34579</v>
      </c>
    </row>
    <row r="693">
      <c r="A693" s="92" t="n">
        <v>38930</v>
      </c>
      <c r="B693" t="n">
        <v>84.50716</v>
      </c>
      <c r="C693" t="n">
        <v>86.22487</v>
      </c>
      <c r="D693" t="n">
        <v/>
      </c>
      <c r="E693" t="n">
        <v>86.85646</v>
      </c>
      <c r="F693" t="n">
        <v>98.09354</v>
      </c>
      <c r="G693" t="n">
        <v>80.70486</v>
      </c>
      <c r="H693" t="n">
        <v/>
      </c>
      <c r="I693" t="n">
        <v>73.92451</v>
      </c>
      <c r="J693" t="n">
        <v>60.22387</v>
      </c>
      <c r="K693" t="n">
        <v>90.90000000000001</v>
      </c>
      <c r="L693" t="n">
        <v>89.28036</v>
      </c>
      <c r="M693" t="n">
        <v>86.11391</v>
      </c>
      <c r="N693" t="n">
        <v>88.75</v>
      </c>
      <c r="O693" t="n">
        <v>90.07680000000001</v>
      </c>
      <c r="P693" t="n">
        <v>80.30913</v>
      </c>
      <c r="Q693" t="n">
        <v/>
      </c>
      <c r="R693" t="n">
        <v>86.96486</v>
      </c>
      <c r="S693" t="n">
        <v>90.90915</v>
      </c>
      <c r="T693" t="n">
        <v/>
      </c>
      <c r="U693" t="n">
        <v>87.95113000000001</v>
      </c>
      <c r="V693" t="n">
        <v>84.59999999999999</v>
      </c>
      <c r="W693" t="n">
        <v>89.79367999999999</v>
      </c>
      <c r="X693" t="n">
        <v>73.30624</v>
      </c>
      <c r="Y693" t="n">
        <v/>
      </c>
      <c r="Z693" t="n">
        <v/>
      </c>
      <c r="AA693" t="n">
        <v>93.54146</v>
      </c>
      <c r="AB693" t="n">
        <v>62.23251</v>
      </c>
      <c r="AC693" t="n">
        <v>85.84444000000001</v>
      </c>
      <c r="AD693" t="n">
        <v>87.91107</v>
      </c>
      <c r="AE693" t="n">
        <v>100.602</v>
      </c>
      <c r="AF693" t="n">
        <v>81.7204</v>
      </c>
      <c r="AG693" t="n">
        <v>81.1309</v>
      </c>
      <c r="AH693" t="n">
        <v>84.66757</v>
      </c>
      <c r="AI693" t="n">
        <v>77.60057999999999</v>
      </c>
      <c r="AJ693" t="n">
        <v>74.06082000000001</v>
      </c>
      <c r="AK693" t="n">
        <v>85.53491</v>
      </c>
      <c r="AL693" t="n">
        <v>83.91028</v>
      </c>
      <c r="AM693" t="n">
        <v>85.57872999999999</v>
      </c>
      <c r="AN693" t="n">
        <v>84.92721</v>
      </c>
      <c r="AO693" t="n">
        <v>87.19843</v>
      </c>
      <c r="AP693" t="n">
        <v>88.6301</v>
      </c>
      <c r="AQ693" t="n">
        <v/>
      </c>
      <c r="AR693" t="n">
        <v/>
      </c>
      <c r="AS693" t="n">
        <v>83.30844999999999</v>
      </c>
      <c r="AT693" t="n">
        <v>89.12148000000001</v>
      </c>
      <c r="AU693" t="n">
        <v>92.18473</v>
      </c>
      <c r="AV693" t="n">
        <v>53.81274</v>
      </c>
      <c r="AW693" t="n">
        <v>85.32631000000001</v>
      </c>
      <c r="AX693" t="n">
        <v>62.72149</v>
      </c>
    </row>
    <row r="694">
      <c r="A694" s="92" t="n">
        <v>38961</v>
      </c>
      <c r="B694" t="n">
        <v>84.50716</v>
      </c>
      <c r="C694" t="n">
        <v>86.13746</v>
      </c>
      <c r="D694" t="n">
        <v/>
      </c>
      <c r="E694" t="n">
        <v>87.52975000000001</v>
      </c>
      <c r="F694" t="n">
        <v>98.0346</v>
      </c>
      <c r="G694" t="n">
        <v>80.85642</v>
      </c>
      <c r="H694" t="n">
        <v/>
      </c>
      <c r="I694" t="n">
        <v>74.10435</v>
      </c>
      <c r="J694" t="n">
        <v>60.3432</v>
      </c>
      <c r="K694" t="n">
        <v>89.90000000000001</v>
      </c>
      <c r="L694" t="n">
        <v>89.22899</v>
      </c>
      <c r="M694" t="n">
        <v>86.90586</v>
      </c>
      <c r="N694" t="n">
        <v>89.09</v>
      </c>
      <c r="O694" t="n">
        <v>90.29961</v>
      </c>
      <c r="P694" t="n">
        <v>80.76318000000001</v>
      </c>
      <c r="Q694" t="n">
        <v/>
      </c>
      <c r="R694" t="n">
        <v>87.50592</v>
      </c>
      <c r="S694" t="n">
        <v>90.83387999999999</v>
      </c>
      <c r="T694" t="n">
        <v/>
      </c>
      <c r="U694" t="n">
        <v>88.11583</v>
      </c>
      <c r="V694" t="n">
        <v>84.8</v>
      </c>
      <c r="W694" t="n">
        <v>92.21017000000001</v>
      </c>
      <c r="X694" t="n">
        <v>74.41844</v>
      </c>
      <c r="Y694" t="n">
        <v/>
      </c>
      <c r="Z694" t="n">
        <v/>
      </c>
      <c r="AA694" t="n">
        <v>94.30408</v>
      </c>
      <c r="AB694" t="n">
        <v>62.68827</v>
      </c>
      <c r="AC694" t="n">
        <v>85.23705</v>
      </c>
      <c r="AD694" t="n">
        <v>87.94708</v>
      </c>
      <c r="AE694" t="n">
        <v>100.7249</v>
      </c>
      <c r="AF694" t="n">
        <v>81.88120000000001</v>
      </c>
      <c r="AG694" t="n">
        <v>81.41589999999999</v>
      </c>
      <c r="AH694" t="n">
        <v>84.76676</v>
      </c>
      <c r="AI694" t="n">
        <v>79.08188</v>
      </c>
      <c r="AJ694" t="n">
        <v>74.44289000000001</v>
      </c>
      <c r="AK694" t="n">
        <v>86.26871</v>
      </c>
      <c r="AL694" t="n">
        <v>84.49724999999999</v>
      </c>
      <c r="AM694" t="n">
        <v>85.80012000000001</v>
      </c>
      <c r="AN694" t="n">
        <v>85.16145</v>
      </c>
      <c r="AO694" t="n">
        <v>87.28537</v>
      </c>
      <c r="AP694" t="n">
        <v>89.53825000000001</v>
      </c>
      <c r="AQ694" t="n">
        <v/>
      </c>
      <c r="AR694" t="n">
        <v/>
      </c>
      <c r="AS694" t="n">
        <v>83.14117</v>
      </c>
      <c r="AT694" t="n">
        <v>89.59148999999999</v>
      </c>
      <c r="AU694" t="n">
        <v>93.18335999999999</v>
      </c>
      <c r="AV694" t="n">
        <v>54.42959</v>
      </c>
      <c r="AW694" t="n">
        <v>85.53270999999999</v>
      </c>
      <c r="AX694" t="n">
        <v>62.92708</v>
      </c>
    </row>
    <row r="695">
      <c r="A695" s="92" t="n">
        <v>38991</v>
      </c>
      <c r="B695" t="n">
        <v>84.75818</v>
      </c>
      <c r="C695" t="n">
        <v>86.17631</v>
      </c>
      <c r="D695" t="n">
        <v/>
      </c>
      <c r="E695" t="n">
        <v>87.75037</v>
      </c>
      <c r="F695" t="n">
        <v>98.82819000000001</v>
      </c>
      <c r="G695" t="n">
        <v>80.91883</v>
      </c>
      <c r="H695" t="n">
        <v/>
      </c>
      <c r="I695" t="n">
        <v>74.00626</v>
      </c>
      <c r="J695" t="n">
        <v>60.58079</v>
      </c>
      <c r="K695" t="n">
        <v>89.90000000000001</v>
      </c>
      <c r="L695" t="n">
        <v>89.46084</v>
      </c>
      <c r="M695" t="n">
        <v>86.99496000000001</v>
      </c>
      <c r="N695" t="n">
        <v>89.38</v>
      </c>
      <c r="O695" t="n">
        <v>91.36633999999999</v>
      </c>
      <c r="P695" t="n">
        <v>80.93344</v>
      </c>
      <c r="Q695" t="n">
        <v/>
      </c>
      <c r="R695" t="n">
        <v>87.9611</v>
      </c>
      <c r="S695" t="n">
        <v>90.87947</v>
      </c>
      <c r="T695" t="n">
        <v/>
      </c>
      <c r="U695" t="n">
        <v>88.29747</v>
      </c>
      <c r="V695" t="n">
        <v>84.90000000000001</v>
      </c>
      <c r="W695" t="n">
        <v>92.89577</v>
      </c>
      <c r="X695" t="n">
        <v>74.87584</v>
      </c>
      <c r="Y695" t="n">
        <v/>
      </c>
      <c r="Z695" t="n">
        <v/>
      </c>
      <c r="AA695" t="n">
        <v>94.30013</v>
      </c>
      <c r="AB695" t="n">
        <v>63.18547</v>
      </c>
      <c r="AC695" t="n">
        <v>84.83212</v>
      </c>
      <c r="AD695" t="n">
        <v>87.95432</v>
      </c>
      <c r="AE695" t="n">
        <v>100.7417</v>
      </c>
      <c r="AF695" t="n">
        <v>81.88120000000001</v>
      </c>
      <c r="AG695" t="n">
        <v>81.9813</v>
      </c>
      <c r="AH695" t="n">
        <v>84.94035</v>
      </c>
      <c r="AI695" t="n">
        <v>79.61991</v>
      </c>
      <c r="AJ695" t="n">
        <v>74.60677</v>
      </c>
      <c r="AK695" t="n">
        <v>86.17941999999999</v>
      </c>
      <c r="AL695" t="n">
        <v>84.89755</v>
      </c>
      <c r="AM695" t="n">
        <v>86.03178</v>
      </c>
      <c r="AN695" t="n">
        <v>85.45495</v>
      </c>
      <c r="AO695" t="n">
        <v>87.28537</v>
      </c>
      <c r="AP695" t="n">
        <v>89.9064</v>
      </c>
      <c r="AQ695" t="n">
        <v/>
      </c>
      <c r="AR695" t="n">
        <v/>
      </c>
      <c r="AS695" t="n">
        <v>83.54224000000001</v>
      </c>
      <c r="AT695" t="n">
        <v>89.66149</v>
      </c>
      <c r="AU695" t="n">
        <v>93.32075</v>
      </c>
      <c r="AV695" t="n">
        <v>55.36507</v>
      </c>
      <c r="AW695" t="n">
        <v>85.7804</v>
      </c>
      <c r="AX695" t="n">
        <v>63.35625</v>
      </c>
    </row>
    <row r="696">
      <c r="A696" s="92" t="n">
        <v>39022</v>
      </c>
      <c r="B696" t="n">
        <v>84.75818</v>
      </c>
      <c r="C696" t="n">
        <v>86.25400999999999</v>
      </c>
      <c r="D696" t="n">
        <v/>
      </c>
      <c r="E696" t="n">
        <v>87.851</v>
      </c>
      <c r="F696" t="n">
        <v>98.97098</v>
      </c>
      <c r="G696" t="n">
        <v>80.73161</v>
      </c>
      <c r="H696" t="n">
        <v/>
      </c>
      <c r="I696" t="n">
        <v>74.27602</v>
      </c>
      <c r="J696" t="n">
        <v>61.25233</v>
      </c>
      <c r="K696" t="n">
        <v>89.90000000000001</v>
      </c>
      <c r="L696" t="n">
        <v>89.45903</v>
      </c>
      <c r="M696" t="n">
        <v>86.77734</v>
      </c>
      <c r="N696" t="n">
        <v>89.41</v>
      </c>
      <c r="O696" t="n">
        <v>91.75205</v>
      </c>
      <c r="P696" t="n">
        <v>81.44423999999999</v>
      </c>
      <c r="Q696" t="n">
        <v/>
      </c>
      <c r="R696" t="n">
        <v>87.95251</v>
      </c>
      <c r="S696" t="n">
        <v>90.94298000000001</v>
      </c>
      <c r="T696" t="n">
        <v/>
      </c>
      <c r="U696" t="n">
        <v>88.26202000000001</v>
      </c>
      <c r="V696" t="n">
        <v>85.09999999999999</v>
      </c>
      <c r="W696" t="n">
        <v>93.04754</v>
      </c>
      <c r="X696" t="n">
        <v>75.09287999999999</v>
      </c>
      <c r="Y696" t="n">
        <v/>
      </c>
      <c r="Z696" t="n">
        <v/>
      </c>
      <c r="AA696" t="n">
        <v>94.93798</v>
      </c>
      <c r="AB696" t="n">
        <v>63.3512</v>
      </c>
      <c r="AC696" t="n">
        <v>84.62966</v>
      </c>
      <c r="AD696" t="n">
        <v>88.02848</v>
      </c>
      <c r="AE696" t="n">
        <v>100.5938</v>
      </c>
      <c r="AF696" t="n">
        <v>82.04095</v>
      </c>
      <c r="AG696" t="n">
        <v>82.2783</v>
      </c>
      <c r="AH696" t="n">
        <v>84.98994</v>
      </c>
      <c r="AI696" t="n">
        <v>79.85745</v>
      </c>
      <c r="AJ696" t="n">
        <v>74.83629999999999</v>
      </c>
      <c r="AK696" t="n">
        <v>85.99729000000001</v>
      </c>
      <c r="AL696" t="n">
        <v>85.03628</v>
      </c>
      <c r="AM696" t="n">
        <v>86.05416</v>
      </c>
      <c r="AN696" t="n">
        <v>85.58326</v>
      </c>
      <c r="AO696" t="n">
        <v>87.28537</v>
      </c>
      <c r="AP696" t="n">
        <v>90.00664</v>
      </c>
      <c r="AQ696" t="n">
        <v/>
      </c>
      <c r="AR696" t="n">
        <v/>
      </c>
      <c r="AS696" t="n">
        <v>83.80656999999999</v>
      </c>
      <c r="AT696" t="n">
        <v>89.8815</v>
      </c>
      <c r="AU696" t="n">
        <v>93.35426</v>
      </c>
      <c r="AV696" t="n">
        <v>55.75724</v>
      </c>
      <c r="AW696" t="n">
        <v>85.69783</v>
      </c>
      <c r="AX696" t="n">
        <v>63.38028</v>
      </c>
    </row>
    <row r="697">
      <c r="A697" s="92" t="n">
        <v>39052</v>
      </c>
      <c r="B697" t="n">
        <v>84.92551</v>
      </c>
      <c r="C697" t="n">
        <v>86.43854</v>
      </c>
      <c r="D697" t="n">
        <v/>
      </c>
      <c r="E697" t="n">
        <v>87.76785</v>
      </c>
      <c r="F697" t="n">
        <v>99.02582</v>
      </c>
      <c r="G697" t="n">
        <v>80.99016</v>
      </c>
      <c r="H697" t="n">
        <v/>
      </c>
      <c r="I697" t="n">
        <v>74.54579</v>
      </c>
      <c r="J697" t="n">
        <v>61.75138</v>
      </c>
      <c r="K697" t="n">
        <v>90</v>
      </c>
      <c r="L697" t="n">
        <v>90.25042000000001</v>
      </c>
      <c r="M697" t="n">
        <v>86.82989999999999</v>
      </c>
      <c r="N697" t="n">
        <v>89.83</v>
      </c>
      <c r="O697" t="n">
        <v>91.89498</v>
      </c>
      <c r="P697" t="n">
        <v>81.67126</v>
      </c>
      <c r="Q697" t="n">
        <v/>
      </c>
      <c r="R697" t="n">
        <v>88.02122</v>
      </c>
      <c r="S697" t="n">
        <v>91.25048</v>
      </c>
      <c r="T697" t="n">
        <v/>
      </c>
      <c r="U697" t="n">
        <v>88.31927</v>
      </c>
      <c r="V697" t="n">
        <v>85.5</v>
      </c>
      <c r="W697" t="n">
        <v>93.44756</v>
      </c>
      <c r="X697" t="n">
        <v>75.18953</v>
      </c>
      <c r="Y697" t="n">
        <v/>
      </c>
      <c r="Z697" t="n">
        <v/>
      </c>
      <c r="AA697" t="n">
        <v>95.36638000000001</v>
      </c>
      <c r="AB697" t="n">
        <v>63.51693</v>
      </c>
      <c r="AC697" t="n">
        <v>84.52843</v>
      </c>
      <c r="AD697" t="n">
        <v>88.08907000000001</v>
      </c>
      <c r="AE697" t="n">
        <v>100.677</v>
      </c>
      <c r="AF697" t="n">
        <v>82.12135000000001</v>
      </c>
      <c r="AG697" t="n">
        <v>82.2544</v>
      </c>
      <c r="AH697" t="n">
        <v>85.15526</v>
      </c>
      <c r="AI697" t="n">
        <v>79.98471000000001</v>
      </c>
      <c r="AJ697" t="n">
        <v>75.08296</v>
      </c>
      <c r="AK697" t="n">
        <v>85.55526999999999</v>
      </c>
      <c r="AL697" t="n">
        <v>85.13111000000001</v>
      </c>
      <c r="AM697" t="n">
        <v>86.12206</v>
      </c>
      <c r="AN697" t="n">
        <v>85.84314999999999</v>
      </c>
      <c r="AO697" t="n">
        <v>87.28537</v>
      </c>
      <c r="AP697" t="n">
        <v>90.06729</v>
      </c>
      <c r="AQ697" t="n">
        <v/>
      </c>
      <c r="AR697" t="n">
        <v/>
      </c>
      <c r="AS697" t="n">
        <v>83.79595</v>
      </c>
      <c r="AT697" t="n">
        <v>90.26151</v>
      </c>
      <c r="AU697" t="n">
        <v>93.46484</v>
      </c>
      <c r="AV697" t="n">
        <v>55.72864</v>
      </c>
      <c r="AW697" t="n">
        <v>85.57398999999999</v>
      </c>
      <c r="AX697" t="n">
        <v>63.69823</v>
      </c>
    </row>
    <row r="698">
      <c r="A698" s="92" t="n">
        <v>39083</v>
      </c>
      <c r="B698" t="n">
        <v>84.67451</v>
      </c>
      <c r="C698" t="n">
        <v>86.53565999999999</v>
      </c>
      <c r="D698" t="n">
        <v/>
      </c>
      <c r="E698" t="n">
        <v>87.79585</v>
      </c>
      <c r="F698" t="n">
        <v>98.22638000000001</v>
      </c>
      <c r="G698" t="n">
        <v>81.32896</v>
      </c>
      <c r="H698" t="n">
        <v/>
      </c>
      <c r="I698" t="n">
        <v>75.08533</v>
      </c>
      <c r="J698" t="n">
        <v>62.46197</v>
      </c>
      <c r="K698" t="n">
        <v>91</v>
      </c>
      <c r="L698" t="n">
        <v>89.96886000000001</v>
      </c>
      <c r="M698" t="n">
        <v>86.35499</v>
      </c>
      <c r="N698" t="n">
        <v>89.02</v>
      </c>
      <c r="O698" t="n">
        <v>90.74732</v>
      </c>
      <c r="P698" t="n">
        <v>82.12531</v>
      </c>
      <c r="Q698" t="n">
        <v/>
      </c>
      <c r="R698" t="n">
        <v>87.72063</v>
      </c>
      <c r="S698" t="n">
        <v>90.84483</v>
      </c>
      <c r="T698" t="n">
        <v/>
      </c>
      <c r="U698" t="n">
        <v>88.31756</v>
      </c>
      <c r="V698" t="n">
        <v>84.90000000000001</v>
      </c>
      <c r="W698" t="n">
        <v>93.11836</v>
      </c>
      <c r="X698" t="n">
        <v>75.95792</v>
      </c>
      <c r="Y698" t="n">
        <v/>
      </c>
      <c r="Z698" t="n">
        <v/>
      </c>
      <c r="AA698" t="n">
        <v>94.92164</v>
      </c>
      <c r="AB698" t="n">
        <v>63.4755</v>
      </c>
      <c r="AC698" t="n">
        <v>84.22472999999999</v>
      </c>
      <c r="AD698" t="n">
        <v>88.13512</v>
      </c>
      <c r="AE698" t="n">
        <v>99.99541000000001</v>
      </c>
      <c r="AF698" t="n">
        <v>82.36044</v>
      </c>
      <c r="AG698" t="n">
        <v>81.8279</v>
      </c>
      <c r="AH698" t="n">
        <v>84.38652999999999</v>
      </c>
      <c r="AI698" t="n">
        <v>80.67325</v>
      </c>
      <c r="AJ698" t="n">
        <v>75.39515</v>
      </c>
      <c r="AK698" t="n">
        <v>85.40971</v>
      </c>
      <c r="AL698" t="n">
        <v>84.48415</v>
      </c>
      <c r="AM698" t="n">
        <v>86.10272999999999</v>
      </c>
      <c r="AN698" t="n">
        <v>85.50809</v>
      </c>
      <c r="AO698" t="n">
        <v>87.28537</v>
      </c>
      <c r="AP698" t="n">
        <v>89.27776</v>
      </c>
      <c r="AQ698" t="n">
        <v/>
      </c>
      <c r="AR698" t="n">
        <v/>
      </c>
      <c r="AS698" t="n">
        <v>84.84569999999999</v>
      </c>
      <c r="AT698" t="n">
        <v>89.35149</v>
      </c>
      <c r="AU698" t="n">
        <v>92.98564</v>
      </c>
      <c r="AV698" t="n">
        <v>55.54482</v>
      </c>
      <c r="AW698" t="n">
        <v>85.86667</v>
      </c>
      <c r="AX698" t="n">
        <v>64.04461999999999</v>
      </c>
    </row>
    <row r="699">
      <c r="A699" s="92" t="n">
        <v>39114</v>
      </c>
      <c r="B699" t="n">
        <v>85.09286</v>
      </c>
      <c r="C699" t="n">
        <v>87.01156</v>
      </c>
      <c r="D699" t="n">
        <v/>
      </c>
      <c r="E699" t="n">
        <v>88.17035</v>
      </c>
      <c r="F699" t="n">
        <v>98.48394999999999</v>
      </c>
      <c r="G699" t="n">
        <v>81.01691</v>
      </c>
      <c r="H699" t="n">
        <v/>
      </c>
      <c r="I699" t="n">
        <v>75.71478</v>
      </c>
      <c r="J699" t="n">
        <v>62.9263</v>
      </c>
      <c r="K699" t="n">
        <v>91.40000000000001</v>
      </c>
      <c r="L699" t="n">
        <v>90.36190999999999</v>
      </c>
      <c r="M699" t="n">
        <v>87.38796000000001</v>
      </c>
      <c r="N699" t="n">
        <v>89.37</v>
      </c>
      <c r="O699" t="n">
        <v>90.86188</v>
      </c>
      <c r="P699" t="n">
        <v>82.35232999999999</v>
      </c>
      <c r="Q699" t="n">
        <v/>
      </c>
      <c r="R699" t="n">
        <v>88.29604</v>
      </c>
      <c r="S699" t="n">
        <v>91.1276</v>
      </c>
      <c r="T699" t="n">
        <v/>
      </c>
      <c r="U699" t="n">
        <v>88.65316</v>
      </c>
      <c r="V699" t="n">
        <v>85.2</v>
      </c>
      <c r="W699" t="n">
        <v>91.48635</v>
      </c>
      <c r="X699" t="n">
        <v>76.48385</v>
      </c>
      <c r="Y699" t="n">
        <v/>
      </c>
      <c r="Z699" t="n">
        <v/>
      </c>
      <c r="AA699" t="n">
        <v>96.0579</v>
      </c>
      <c r="AB699" t="n">
        <v>63.88983</v>
      </c>
      <c r="AC699" t="n">
        <v>84.12350000000001</v>
      </c>
      <c r="AD699" t="n">
        <v>88.54008</v>
      </c>
      <c r="AE699" t="n">
        <v>99.67635</v>
      </c>
      <c r="AF699" t="n">
        <v>82.76034</v>
      </c>
      <c r="AG699" t="n">
        <v>81.86360000000001</v>
      </c>
      <c r="AH699" t="n">
        <v>85.99838</v>
      </c>
      <c r="AI699" t="n">
        <v>81.08444</v>
      </c>
      <c r="AJ699" t="n">
        <v>75.69517</v>
      </c>
      <c r="AK699" t="n">
        <v>85.79195</v>
      </c>
      <c r="AL699" t="n">
        <v>84.92292999999999</v>
      </c>
      <c r="AM699" t="n">
        <v>86.39964000000001</v>
      </c>
      <c r="AN699" t="n">
        <v>85.76881</v>
      </c>
      <c r="AO699" t="n">
        <v>87.28537</v>
      </c>
      <c r="AP699" t="n">
        <v>89.37974</v>
      </c>
      <c r="AQ699" t="n">
        <v/>
      </c>
      <c r="AR699" t="n">
        <v/>
      </c>
      <c r="AS699" t="n">
        <v>85.09752</v>
      </c>
      <c r="AT699" t="n">
        <v>89.45149000000001</v>
      </c>
      <c r="AU699" t="n">
        <v>93.46484</v>
      </c>
      <c r="AV699" t="n">
        <v>55.49171</v>
      </c>
      <c r="AW699" t="n">
        <v>86.32199</v>
      </c>
      <c r="AX699" t="n">
        <v>64.03397</v>
      </c>
    </row>
    <row r="700">
      <c r="A700" s="92" t="n">
        <v>39142</v>
      </c>
      <c r="B700" t="n">
        <v>85.51121000000001</v>
      </c>
      <c r="C700" t="n">
        <v>87.09896999999999</v>
      </c>
      <c r="D700" t="n">
        <v/>
      </c>
      <c r="E700" t="n">
        <v>88.33346</v>
      </c>
      <c r="F700" t="n">
        <v>98.47205</v>
      </c>
      <c r="G700" t="n">
        <v>81.11497</v>
      </c>
      <c r="H700" t="n">
        <v/>
      </c>
      <c r="I700" t="n">
        <v>76.099</v>
      </c>
      <c r="J700" t="n">
        <v>63.28323</v>
      </c>
      <c r="K700" t="n">
        <v>91.5</v>
      </c>
      <c r="L700" t="n">
        <v>90.46322000000001</v>
      </c>
      <c r="M700" t="n">
        <v>87.78364000000001</v>
      </c>
      <c r="N700" t="n">
        <v>90</v>
      </c>
      <c r="O700" t="n">
        <v>91.52084000000001</v>
      </c>
      <c r="P700" t="n">
        <v>82.86313</v>
      </c>
      <c r="Q700" t="n">
        <v/>
      </c>
      <c r="R700" t="n">
        <v>88.94016000000001</v>
      </c>
      <c r="S700" t="n">
        <v>91.49894</v>
      </c>
      <c r="T700" t="n">
        <v/>
      </c>
      <c r="U700" t="n">
        <v>88.94734</v>
      </c>
      <c r="V700" t="n">
        <v>85.5</v>
      </c>
      <c r="W700" t="n">
        <v>93.84954999999999</v>
      </c>
      <c r="X700" t="n">
        <v>77.00977</v>
      </c>
      <c r="Y700" t="n">
        <v/>
      </c>
      <c r="Z700" t="n">
        <v/>
      </c>
      <c r="AA700" t="n">
        <v>96.71241000000001</v>
      </c>
      <c r="AB700" t="n">
        <v>64.38702000000001</v>
      </c>
      <c r="AC700" t="n">
        <v>84.22472999999999</v>
      </c>
      <c r="AD700" t="n">
        <v>88.62402</v>
      </c>
      <c r="AE700" t="n">
        <v>100.0246</v>
      </c>
      <c r="AF700" t="n">
        <v>83.40038</v>
      </c>
      <c r="AG700" t="n">
        <v>82.18340000000001</v>
      </c>
      <c r="AH700" t="n">
        <v>86.03971</v>
      </c>
      <c r="AI700" t="n">
        <v>82.26300999999999</v>
      </c>
      <c r="AJ700" t="n">
        <v>75.89758</v>
      </c>
      <c r="AK700" t="n">
        <v>86.828</v>
      </c>
      <c r="AL700" t="n">
        <v>85.48257</v>
      </c>
      <c r="AM700" t="n">
        <v>86.74567</v>
      </c>
      <c r="AN700" t="n">
        <v>86.16114</v>
      </c>
      <c r="AO700" t="n">
        <v>87.37231</v>
      </c>
      <c r="AP700" t="n">
        <v>90.86806</v>
      </c>
      <c r="AQ700" t="n">
        <v/>
      </c>
      <c r="AR700" t="n">
        <v/>
      </c>
      <c r="AS700" t="n">
        <v>85.08676</v>
      </c>
      <c r="AT700" t="n">
        <v>90.0715</v>
      </c>
      <c r="AU700" t="n">
        <v>94.12166000000001</v>
      </c>
      <c r="AV700" t="n">
        <v>56.04319</v>
      </c>
      <c r="AW700" t="n">
        <v>86.65678</v>
      </c>
      <c r="AX700" t="n">
        <v>64.43473</v>
      </c>
    </row>
    <row r="701">
      <c r="A701" s="92" t="n">
        <v>39173</v>
      </c>
      <c r="B701" t="n">
        <v>85.76222</v>
      </c>
      <c r="C701" t="n">
        <v>87.22523</v>
      </c>
      <c r="D701" t="n">
        <v/>
      </c>
      <c r="E701" t="n">
        <v>88.56827</v>
      </c>
      <c r="F701" t="n">
        <v>99.43644</v>
      </c>
      <c r="G701" t="n">
        <v>81.38245000000001</v>
      </c>
      <c r="H701" t="n">
        <v/>
      </c>
      <c r="I701" t="n">
        <v>76.42599</v>
      </c>
      <c r="J701" t="n">
        <v>63.41667</v>
      </c>
      <c r="K701" t="n">
        <v>91.7</v>
      </c>
      <c r="L701" t="n">
        <v>90.76505</v>
      </c>
      <c r="M701" t="n">
        <v>87.90512</v>
      </c>
      <c r="N701" t="n">
        <v>90.48</v>
      </c>
      <c r="O701" t="n">
        <v>93.02163</v>
      </c>
      <c r="P701" t="n">
        <v>83.1469</v>
      </c>
      <c r="Q701" t="n">
        <v/>
      </c>
      <c r="R701" t="n">
        <v>89.18922000000001</v>
      </c>
      <c r="S701" t="n">
        <v>91.76983</v>
      </c>
      <c r="T701" t="n">
        <v/>
      </c>
      <c r="U701" t="n">
        <v>89.15844</v>
      </c>
      <c r="V701" t="n">
        <v>85.8</v>
      </c>
      <c r="W701" t="n">
        <v>94.13014</v>
      </c>
      <c r="X701" t="n">
        <v>77.16003000000001</v>
      </c>
      <c r="Y701" t="n">
        <v/>
      </c>
      <c r="Z701" t="n">
        <v/>
      </c>
      <c r="AA701" t="n">
        <v>97.24473</v>
      </c>
      <c r="AB701" t="n">
        <v>64.92565999999999</v>
      </c>
      <c r="AC701" t="n">
        <v>84.4272</v>
      </c>
      <c r="AD701" t="n">
        <v>88.68621</v>
      </c>
      <c r="AE701" t="n">
        <v>100.4034</v>
      </c>
      <c r="AF701" t="n">
        <v>83.56013</v>
      </c>
      <c r="AG701" t="n">
        <v>82.491</v>
      </c>
      <c r="AH701" t="n">
        <v>86.23809</v>
      </c>
      <c r="AI701" t="n">
        <v>82.78388</v>
      </c>
      <c r="AJ701" t="n">
        <v>75.97092000000001</v>
      </c>
      <c r="AK701" t="n">
        <v>87.16646</v>
      </c>
      <c r="AL701" t="n">
        <v>85.55844</v>
      </c>
      <c r="AM701" t="n">
        <v>87.02848</v>
      </c>
      <c r="AN701" t="n">
        <v>86.581</v>
      </c>
      <c r="AO701" t="n">
        <v>87.54619</v>
      </c>
      <c r="AP701" t="n">
        <v>91.64733</v>
      </c>
      <c r="AQ701" t="n">
        <v/>
      </c>
      <c r="AR701" t="n">
        <v/>
      </c>
      <c r="AS701" t="n">
        <v>85.12875</v>
      </c>
      <c r="AT701" t="n">
        <v>90.49151000000001</v>
      </c>
      <c r="AU701" t="n">
        <v>94.54389</v>
      </c>
      <c r="AV701" t="n">
        <v>56.87246</v>
      </c>
      <c r="AW701" t="n">
        <v>86.81694</v>
      </c>
      <c r="AX701" t="n">
        <v>64.72020000000001</v>
      </c>
    </row>
    <row r="702">
      <c r="A702" s="92" t="n">
        <v>39203</v>
      </c>
      <c r="B702" t="n">
        <v>85.92957</v>
      </c>
      <c r="C702" t="n">
        <v>87.30293</v>
      </c>
      <c r="D702" t="n">
        <v/>
      </c>
      <c r="E702" t="n">
        <v>88.7731</v>
      </c>
      <c r="F702" t="n">
        <v>99.61872</v>
      </c>
      <c r="G702" t="n">
        <v>81.55185</v>
      </c>
      <c r="H702" t="n">
        <v/>
      </c>
      <c r="I702" t="n">
        <v>76.61400999999999</v>
      </c>
      <c r="J702" t="n">
        <v>63.71718</v>
      </c>
      <c r="K702" t="n">
        <v>91.90000000000001</v>
      </c>
      <c r="L702" t="n">
        <v>90.75151</v>
      </c>
      <c r="M702" t="n">
        <v>87.98994999999999</v>
      </c>
      <c r="N702" t="n">
        <v>90.64</v>
      </c>
      <c r="O702" t="n">
        <v>93.16141</v>
      </c>
      <c r="P702" t="n">
        <v>83.65770999999999</v>
      </c>
      <c r="Q702" t="n">
        <v/>
      </c>
      <c r="R702" t="n">
        <v>89.18062999999999</v>
      </c>
      <c r="S702" t="n">
        <v>91.90642</v>
      </c>
      <c r="T702" t="n">
        <v/>
      </c>
      <c r="U702" t="n">
        <v>89.21946</v>
      </c>
      <c r="V702" t="n">
        <v>86</v>
      </c>
      <c r="W702" t="n">
        <v>94.28081</v>
      </c>
      <c r="X702" t="n">
        <v>77.61082</v>
      </c>
      <c r="Y702" t="n">
        <v/>
      </c>
      <c r="Z702" t="n">
        <v/>
      </c>
      <c r="AA702" t="n">
        <v>97.4819</v>
      </c>
      <c r="AB702" t="n">
        <v>65.33999</v>
      </c>
      <c r="AC702" t="n">
        <v>84.22472999999999</v>
      </c>
      <c r="AD702" t="n">
        <v>88.90573999999999</v>
      </c>
      <c r="AE702" t="n">
        <v>100.5457</v>
      </c>
      <c r="AF702" t="n">
        <v>83.63947</v>
      </c>
      <c r="AG702" t="n">
        <v>82.8578</v>
      </c>
      <c r="AH702" t="n">
        <v>86.22156</v>
      </c>
      <c r="AI702" t="n">
        <v>83.08656000000001</v>
      </c>
      <c r="AJ702" t="n">
        <v>75.97458</v>
      </c>
      <c r="AK702" t="n">
        <v>87.20032</v>
      </c>
      <c r="AL702" t="n">
        <v>85.65063000000001</v>
      </c>
      <c r="AM702" t="n">
        <v>87.12542000000001</v>
      </c>
      <c r="AN702" t="n">
        <v>86.78162</v>
      </c>
      <c r="AO702" t="n">
        <v>87.72006</v>
      </c>
      <c r="AP702" t="n">
        <v>91.72938000000001</v>
      </c>
      <c r="AQ702" t="n">
        <v/>
      </c>
      <c r="AR702" t="n">
        <v/>
      </c>
      <c r="AS702" t="n">
        <v>84.96323</v>
      </c>
      <c r="AT702" t="n">
        <v>91.26152</v>
      </c>
      <c r="AU702" t="n">
        <v>94.65112000000001</v>
      </c>
      <c r="AV702" t="n">
        <v>57.77526</v>
      </c>
      <c r="AW702" t="n">
        <v>86.81901000000001</v>
      </c>
      <c r="AX702" t="n">
        <v>64.83019</v>
      </c>
    </row>
    <row r="703">
      <c r="A703" s="92" t="n">
        <v>39234</v>
      </c>
      <c r="B703" t="n">
        <v>86.09690000000001</v>
      </c>
      <c r="C703" t="n">
        <v>87.27379000000001</v>
      </c>
      <c r="D703" t="n">
        <v/>
      </c>
      <c r="E703" t="n">
        <v>88.75883</v>
      </c>
      <c r="F703" t="n">
        <v>99.59858</v>
      </c>
      <c r="G703" t="n">
        <v>81.66776</v>
      </c>
      <c r="H703" t="n">
        <v/>
      </c>
      <c r="I703" t="n">
        <v>76.7775</v>
      </c>
      <c r="J703" t="n">
        <v>63.95151</v>
      </c>
      <c r="K703" t="n">
        <v>92.09999999999999</v>
      </c>
      <c r="L703" t="n">
        <v>90.67604</v>
      </c>
      <c r="M703" t="n">
        <v>87.94995</v>
      </c>
      <c r="N703" t="n">
        <v>90.67</v>
      </c>
      <c r="O703" t="n">
        <v>93.2602</v>
      </c>
      <c r="P703" t="n">
        <v>84.11176</v>
      </c>
      <c r="Q703" t="n">
        <v/>
      </c>
      <c r="R703" t="n">
        <v>89.39534</v>
      </c>
      <c r="S703" t="n">
        <v>91.93103000000001</v>
      </c>
      <c r="T703" t="n">
        <v/>
      </c>
      <c r="U703" t="n">
        <v>89.24966000000001</v>
      </c>
      <c r="V703" t="n">
        <v>86.2</v>
      </c>
      <c r="W703" t="n">
        <v>94.45305999999999</v>
      </c>
      <c r="X703" t="n">
        <v>77.76109</v>
      </c>
      <c r="Y703" t="n">
        <v/>
      </c>
      <c r="Z703" t="n">
        <v/>
      </c>
      <c r="AA703" t="n">
        <v>97.5852</v>
      </c>
      <c r="AB703" t="n">
        <v>65.67146</v>
      </c>
      <c r="AC703" t="n">
        <v>85.23705</v>
      </c>
      <c r="AD703" t="n">
        <v>89.01608</v>
      </c>
      <c r="AE703" t="n">
        <v>100.334</v>
      </c>
      <c r="AF703" t="n">
        <v>83.63947</v>
      </c>
      <c r="AG703" t="n">
        <v>83.0702</v>
      </c>
      <c r="AH703" t="n">
        <v>86.27942</v>
      </c>
      <c r="AI703" t="n">
        <v>83.47036</v>
      </c>
      <c r="AJ703" t="n">
        <v>76.13386</v>
      </c>
      <c r="AK703" t="n">
        <v>86.75286</v>
      </c>
      <c r="AL703" t="n">
        <v>85.47627</v>
      </c>
      <c r="AM703" t="n">
        <v>87.17921</v>
      </c>
      <c r="AN703" t="n">
        <v>86.86311000000001</v>
      </c>
      <c r="AO703" t="n">
        <v>87.89394</v>
      </c>
      <c r="AP703" t="n">
        <v>91.72313</v>
      </c>
      <c r="AQ703" t="n">
        <v/>
      </c>
      <c r="AR703" t="n">
        <v/>
      </c>
      <c r="AS703" t="n">
        <v>85.31077000000001</v>
      </c>
      <c r="AT703" t="n">
        <v>91.73153000000001</v>
      </c>
      <c r="AU703" t="n">
        <v>94.86224</v>
      </c>
      <c r="AV703" t="n">
        <v>58.10616</v>
      </c>
      <c r="AW703" t="n">
        <v>86.88422</v>
      </c>
      <c r="AX703" t="n">
        <v>65.25467</v>
      </c>
    </row>
    <row r="704">
      <c r="A704" s="92" t="n">
        <v>39264</v>
      </c>
      <c r="B704" t="n">
        <v>85.84589</v>
      </c>
      <c r="C704" t="n">
        <v>87.61372</v>
      </c>
      <c r="D704" t="n">
        <v/>
      </c>
      <c r="E704" t="n">
        <v>88.96732</v>
      </c>
      <c r="F704" t="n">
        <v>98.81077000000001</v>
      </c>
      <c r="G704" t="n">
        <v>82.05112</v>
      </c>
      <c r="H704" t="n">
        <v/>
      </c>
      <c r="I704" t="n">
        <v>77.04727</v>
      </c>
      <c r="J704" t="n">
        <v>64.19561</v>
      </c>
      <c r="K704" t="n">
        <v>92.59999999999999</v>
      </c>
      <c r="L704" t="n">
        <v>91.16937</v>
      </c>
      <c r="M704" t="n">
        <v>87.37266</v>
      </c>
      <c r="N704" t="n">
        <v>90.31999999999999</v>
      </c>
      <c r="O704" t="n">
        <v>92.06734</v>
      </c>
      <c r="P704" t="n">
        <v>84.39552999999999</v>
      </c>
      <c r="Q704" t="n">
        <v/>
      </c>
      <c r="R704" t="n">
        <v>89.03463000000001</v>
      </c>
      <c r="S704" t="n">
        <v>91.729</v>
      </c>
      <c r="T704" t="n">
        <v/>
      </c>
      <c r="U704" t="n">
        <v>89.32888</v>
      </c>
      <c r="V704" t="n">
        <v>85.90000000000001</v>
      </c>
      <c r="W704" t="n">
        <v>93.59233</v>
      </c>
      <c r="X704" t="n">
        <v>77.91135</v>
      </c>
      <c r="Y704" t="n">
        <v/>
      </c>
      <c r="Z704" t="n">
        <v/>
      </c>
      <c r="AA704" t="n">
        <v>97.86707</v>
      </c>
      <c r="AB704" t="n">
        <v>65.79575</v>
      </c>
      <c r="AC704" t="n">
        <v>86.3506</v>
      </c>
      <c r="AD704" t="n">
        <v>89.25609</v>
      </c>
      <c r="AE704" t="n">
        <v>100.1906</v>
      </c>
      <c r="AF704" t="n">
        <v>83.80028</v>
      </c>
      <c r="AG704" t="n">
        <v>83.4243</v>
      </c>
      <c r="AH704" t="n">
        <v>85.13046</v>
      </c>
      <c r="AI704" t="n">
        <v>84.24467</v>
      </c>
      <c r="AJ704" t="n">
        <v>76.32944000000001</v>
      </c>
      <c r="AK704" t="n">
        <v>86.48933</v>
      </c>
      <c r="AL704" t="n">
        <v>85.10760000000001</v>
      </c>
      <c r="AM704" t="n">
        <v>87.20202999999999</v>
      </c>
      <c r="AN704" t="n">
        <v>86.71935999999999</v>
      </c>
      <c r="AO704" t="n">
        <v>88.06780999999999</v>
      </c>
      <c r="AP704" t="n">
        <v>91.37316</v>
      </c>
      <c r="AQ704" t="n">
        <v/>
      </c>
      <c r="AR704" t="n">
        <v/>
      </c>
      <c r="AS704" t="n">
        <v>85.31319000000001</v>
      </c>
      <c r="AT704" t="n">
        <v>91.59153000000001</v>
      </c>
      <c r="AU704" t="n">
        <v>94.60756000000001</v>
      </c>
      <c r="AV704" t="n">
        <v>57.60778</v>
      </c>
      <c r="AW704" t="n">
        <v>87.00064</v>
      </c>
      <c r="AX704" t="n">
        <v>65.71486</v>
      </c>
    </row>
    <row r="705">
      <c r="A705" s="92" t="n">
        <v>39295</v>
      </c>
      <c r="B705" t="n">
        <v>85.84589</v>
      </c>
      <c r="C705" t="n">
        <v>87.604</v>
      </c>
      <c r="D705" t="n">
        <v/>
      </c>
      <c r="E705" t="n">
        <v>89.05489</v>
      </c>
      <c r="F705" t="n">
        <v>98.8038</v>
      </c>
      <c r="G705" t="n">
        <v>82.3186</v>
      </c>
      <c r="H705" t="n">
        <v/>
      </c>
      <c r="I705" t="n">
        <v>77.28434</v>
      </c>
      <c r="J705" t="n">
        <v>64.51891000000001</v>
      </c>
      <c r="K705" t="n">
        <v>92.90000000000001</v>
      </c>
      <c r="L705" t="n">
        <v>91.16410999999999</v>
      </c>
      <c r="M705" t="n">
        <v>87.30021000000001</v>
      </c>
      <c r="N705" t="n">
        <v>90.45999999999999</v>
      </c>
      <c r="O705" t="n">
        <v>92.27649</v>
      </c>
      <c r="P705" t="n">
        <v>84.84957</v>
      </c>
      <c r="Q705" t="n">
        <v/>
      </c>
      <c r="R705" t="n">
        <v>89.47263</v>
      </c>
      <c r="S705" t="n">
        <v>92.29702</v>
      </c>
      <c r="T705" t="n">
        <v/>
      </c>
      <c r="U705" t="n">
        <v>89.52351</v>
      </c>
      <c r="V705" t="n">
        <v>86.3</v>
      </c>
      <c r="W705" t="n">
        <v>92.56846</v>
      </c>
      <c r="X705" t="n">
        <v>77.98647</v>
      </c>
      <c r="Y705" t="n">
        <v/>
      </c>
      <c r="Z705" t="n">
        <v/>
      </c>
      <c r="AA705" t="n">
        <v>98.43616</v>
      </c>
      <c r="AB705" t="n">
        <v>65.83719000000001</v>
      </c>
      <c r="AC705" t="n">
        <v>86.65430000000001</v>
      </c>
      <c r="AD705" t="n">
        <v>89.44862999999999</v>
      </c>
      <c r="AE705" t="n">
        <v>100.4693</v>
      </c>
      <c r="AF705" t="n">
        <v>83.87962</v>
      </c>
      <c r="AG705" t="n">
        <v>83.8578</v>
      </c>
      <c r="AH705" t="n">
        <v>86.453</v>
      </c>
      <c r="AI705" t="n">
        <v>85.13897</v>
      </c>
      <c r="AJ705" t="n">
        <v>76.51884</v>
      </c>
      <c r="AK705" t="n">
        <v>86.75781000000001</v>
      </c>
      <c r="AL705" t="n">
        <v>85.15255000000001</v>
      </c>
      <c r="AM705" t="n">
        <v>87.34833999999999</v>
      </c>
      <c r="AN705" t="n">
        <v>86.84132</v>
      </c>
      <c r="AO705" t="n">
        <v>87.807</v>
      </c>
      <c r="AP705" t="n">
        <v>90.72926</v>
      </c>
      <c r="AQ705" t="n">
        <v/>
      </c>
      <c r="AR705" t="n">
        <v/>
      </c>
      <c r="AS705" t="n">
        <v>85.49669</v>
      </c>
      <c r="AT705" t="n">
        <v>92.15154</v>
      </c>
      <c r="AU705" t="n">
        <v>94.74496000000001</v>
      </c>
      <c r="AV705" t="n">
        <v>57.16251</v>
      </c>
      <c r="AW705" t="n">
        <v>87.14718999999999</v>
      </c>
      <c r="AX705" t="n">
        <v>66.08727</v>
      </c>
    </row>
    <row r="706">
      <c r="A706" s="92" t="n">
        <v>39326</v>
      </c>
      <c r="B706" t="n">
        <v>85.92957</v>
      </c>
      <c r="C706" t="n">
        <v>87.46803</v>
      </c>
      <c r="D706" t="n">
        <v/>
      </c>
      <c r="E706" t="n">
        <v>89.40504</v>
      </c>
      <c r="F706" t="n">
        <v>98.81592000000001</v>
      </c>
      <c r="G706" t="n">
        <v>82.91595</v>
      </c>
      <c r="H706" t="n">
        <v/>
      </c>
      <c r="I706" t="n">
        <v>77.39879000000001</v>
      </c>
      <c r="J706" t="n">
        <v>64.83459999999999</v>
      </c>
      <c r="K706" t="n">
        <v>92.40000000000001</v>
      </c>
      <c r="L706" t="n">
        <v>91.197</v>
      </c>
      <c r="M706" t="n">
        <v>87.81487</v>
      </c>
      <c r="N706" t="n">
        <v>90.75</v>
      </c>
      <c r="O706" t="n">
        <v>92.37948</v>
      </c>
      <c r="P706" t="n">
        <v>85.47387999999999</v>
      </c>
      <c r="Q706" t="n">
        <v/>
      </c>
      <c r="R706" t="n">
        <v>89.85911</v>
      </c>
      <c r="S706" t="n">
        <v>92.26066</v>
      </c>
      <c r="T706" t="n">
        <v/>
      </c>
      <c r="U706" t="n">
        <v>89.64676</v>
      </c>
      <c r="V706" t="n">
        <v>86.3</v>
      </c>
      <c r="W706" t="n">
        <v>94.73585</v>
      </c>
      <c r="X706" t="n">
        <v>78.13674</v>
      </c>
      <c r="Y706" t="n">
        <v/>
      </c>
      <c r="Z706" t="n">
        <v/>
      </c>
      <c r="AA706" t="n">
        <v>98.80571999999999</v>
      </c>
      <c r="AB706" t="n">
        <v>66.70728</v>
      </c>
      <c r="AC706" t="n">
        <v>86.04691</v>
      </c>
      <c r="AD706" t="n">
        <v>89.33069999999999</v>
      </c>
      <c r="AE706" t="n">
        <v>100.4342</v>
      </c>
      <c r="AF706" t="n">
        <v>83.87962</v>
      </c>
      <c r="AG706" t="n">
        <v>84.7428</v>
      </c>
      <c r="AH706" t="n">
        <v>86.56873</v>
      </c>
      <c r="AI706" t="n">
        <v>87.07089000000001</v>
      </c>
      <c r="AJ706" t="n">
        <v>76.85333</v>
      </c>
      <c r="AK706" t="n">
        <v>87.28901999999999</v>
      </c>
      <c r="AL706" t="n">
        <v>85.91656</v>
      </c>
      <c r="AM706" t="n">
        <v>87.51366</v>
      </c>
      <c r="AN706" t="n">
        <v>86.98663000000001</v>
      </c>
      <c r="AO706" t="n">
        <v>87.89394</v>
      </c>
      <c r="AP706" t="n">
        <v>91.39718999999999</v>
      </c>
      <c r="AQ706" t="n">
        <v/>
      </c>
      <c r="AR706" t="n">
        <v/>
      </c>
      <c r="AS706" t="n">
        <v>85.64785999999999</v>
      </c>
      <c r="AT706" t="n">
        <v>92.09153999999999</v>
      </c>
      <c r="AU706" t="n">
        <v>95.88432</v>
      </c>
      <c r="AV706" t="n">
        <v>57.46072</v>
      </c>
      <c r="AW706" t="n">
        <v>87.36060000000001</v>
      </c>
      <c r="AX706" t="n">
        <v>66.36739</v>
      </c>
    </row>
    <row r="707">
      <c r="A707" s="92" t="n">
        <v>39356</v>
      </c>
      <c r="B707" t="n">
        <v>86.18057</v>
      </c>
      <c r="C707" t="n">
        <v>87.61372</v>
      </c>
      <c r="D707" t="n">
        <v/>
      </c>
      <c r="E707" t="n">
        <v>89.33020999999999</v>
      </c>
      <c r="F707" t="n">
        <v>99.71751999999999</v>
      </c>
      <c r="G707" t="n">
        <v>82.85354</v>
      </c>
      <c r="H707" t="n">
        <v/>
      </c>
      <c r="I707" t="n">
        <v>77.45601000000001</v>
      </c>
      <c r="J707" t="n">
        <v>65.22408</v>
      </c>
      <c r="K707" t="n">
        <v>92.5</v>
      </c>
      <c r="L707" t="n">
        <v>91.22018</v>
      </c>
      <c r="M707" t="n">
        <v>88.06959999999999</v>
      </c>
      <c r="N707" t="n">
        <v>91.06</v>
      </c>
      <c r="O707" t="n">
        <v>93.46513</v>
      </c>
      <c r="P707" t="n">
        <v>85.81441</v>
      </c>
      <c r="Q707" t="n">
        <v/>
      </c>
      <c r="R707" t="n">
        <v>90.23699000000001</v>
      </c>
      <c r="S707" t="n">
        <v>92.34285</v>
      </c>
      <c r="T707" t="n">
        <v/>
      </c>
      <c r="U707" t="n">
        <v>89.84546</v>
      </c>
      <c r="V707" t="n">
        <v>86.5</v>
      </c>
      <c r="W707" t="n">
        <v>95.13284</v>
      </c>
      <c r="X707" t="n">
        <v>78.5124</v>
      </c>
      <c r="Y707" t="n">
        <v/>
      </c>
      <c r="Z707" t="n">
        <v/>
      </c>
      <c r="AA707" t="n">
        <v>98.90316</v>
      </c>
      <c r="AB707" t="n">
        <v>66.95587999999999</v>
      </c>
      <c r="AC707" t="n">
        <v>85.74321</v>
      </c>
      <c r="AD707" t="n">
        <v>89.41916999999999</v>
      </c>
      <c r="AE707" t="n">
        <v>100.5459</v>
      </c>
      <c r="AF707" t="n">
        <v>84.04042</v>
      </c>
      <c r="AG707" t="n">
        <v>85.13800000000001</v>
      </c>
      <c r="AH707" t="n">
        <v>86.73405</v>
      </c>
      <c r="AI707" t="n">
        <v>88.02067</v>
      </c>
      <c r="AJ707" t="n">
        <v>77.05953</v>
      </c>
      <c r="AK707" t="n">
        <v>87.25606999999999</v>
      </c>
      <c r="AL707" t="n">
        <v>86.15963000000001</v>
      </c>
      <c r="AM707" t="n">
        <v>87.76951</v>
      </c>
      <c r="AN707" t="n">
        <v>87.27383</v>
      </c>
      <c r="AO707" t="n">
        <v>88.06780999999999</v>
      </c>
      <c r="AP707" t="n">
        <v>91.91892</v>
      </c>
      <c r="AQ707" t="n">
        <v/>
      </c>
      <c r="AR707" t="n">
        <v/>
      </c>
      <c r="AS707" t="n">
        <v>85.78403</v>
      </c>
      <c r="AT707" t="n">
        <v>92.38154</v>
      </c>
      <c r="AU707" t="n">
        <v>96.31326</v>
      </c>
      <c r="AV707" t="n">
        <v>58.2328</v>
      </c>
      <c r="AW707" t="n">
        <v>87.64543999999999</v>
      </c>
      <c r="AX707" t="n">
        <v>66.87553</v>
      </c>
    </row>
    <row r="708">
      <c r="A708" s="92" t="n">
        <v>39387</v>
      </c>
      <c r="B708" t="n">
        <v>86.18057</v>
      </c>
      <c r="C708" t="n">
        <v>87.74969</v>
      </c>
      <c r="D708" t="n">
        <v/>
      </c>
      <c r="E708" t="n">
        <v>89.34447</v>
      </c>
      <c r="F708" t="n">
        <v>99.83376</v>
      </c>
      <c r="G708" t="n">
        <v>83.12101</v>
      </c>
      <c r="H708" t="n">
        <v/>
      </c>
      <c r="I708" t="n">
        <v>77.72578</v>
      </c>
      <c r="J708" t="n">
        <v>65.88043</v>
      </c>
      <c r="K708" t="n">
        <v>92.59999999999999</v>
      </c>
      <c r="L708" t="n">
        <v>91.18814</v>
      </c>
      <c r="M708" t="n">
        <v>87.97911999999999</v>
      </c>
      <c r="N708" t="n">
        <v>91.13</v>
      </c>
      <c r="O708" t="n">
        <v>93.81931</v>
      </c>
      <c r="P708" t="n">
        <v>86.15495</v>
      </c>
      <c r="Q708" t="n">
        <v/>
      </c>
      <c r="R708" t="n">
        <v>89.96217</v>
      </c>
      <c r="S708" t="n">
        <v>92.46868000000001</v>
      </c>
      <c r="T708" t="n">
        <v/>
      </c>
      <c r="U708" t="n">
        <v>89.90427</v>
      </c>
      <c r="V708" t="n">
        <v>86.59999999999999</v>
      </c>
      <c r="W708" t="n">
        <v>95.30286</v>
      </c>
      <c r="X708" t="n">
        <v>78.58752</v>
      </c>
      <c r="Y708" t="n">
        <v/>
      </c>
      <c r="Z708" t="n">
        <v/>
      </c>
      <c r="AA708" t="n">
        <v>99.08228</v>
      </c>
      <c r="AB708" t="n">
        <v>67.49451000000001</v>
      </c>
      <c r="AC708" t="n">
        <v>85.74321</v>
      </c>
      <c r="AD708" t="n">
        <v>89.58537</v>
      </c>
      <c r="AE708" t="n">
        <v>100.6168</v>
      </c>
      <c r="AF708" t="n">
        <v>84.11870999999999</v>
      </c>
      <c r="AG708" t="n">
        <v>85.6627</v>
      </c>
      <c r="AH708" t="n">
        <v>86.8415</v>
      </c>
      <c r="AI708" t="n">
        <v>88.34242</v>
      </c>
      <c r="AJ708" t="n">
        <v>77.29669</v>
      </c>
      <c r="AK708" t="n">
        <v>87.08678</v>
      </c>
      <c r="AL708" t="n">
        <v>86.62572</v>
      </c>
      <c r="AM708" t="n">
        <v>87.88863000000001</v>
      </c>
      <c r="AN708" t="n">
        <v>87.47552</v>
      </c>
      <c r="AO708" t="n">
        <v>88.15475000000001</v>
      </c>
      <c r="AP708" t="n">
        <v>92.05638</v>
      </c>
      <c r="AQ708" t="n">
        <v/>
      </c>
      <c r="AR708" t="n">
        <v/>
      </c>
      <c r="AS708" t="n">
        <v>86.09708999999999</v>
      </c>
      <c r="AT708" t="n">
        <v>92.92155</v>
      </c>
      <c r="AU708" t="n">
        <v>96.46071000000001</v>
      </c>
      <c r="AV708" t="n">
        <v>59.42155</v>
      </c>
      <c r="AW708" t="n">
        <v>87.69373</v>
      </c>
      <c r="AX708" t="n">
        <v>66.98241</v>
      </c>
    </row>
    <row r="709">
      <c r="A709" s="92" t="n">
        <v>39417</v>
      </c>
      <c r="B709" t="n">
        <v>86.59892000000001</v>
      </c>
      <c r="C709" t="n">
        <v>88.0022</v>
      </c>
      <c r="D709" t="n">
        <v/>
      </c>
      <c r="E709" t="n">
        <v>89.25149</v>
      </c>
      <c r="F709" t="n">
        <v>99.97488</v>
      </c>
      <c r="G709" t="n">
        <v>83.72727999999999</v>
      </c>
      <c r="H709" t="n">
        <v/>
      </c>
      <c r="I709" t="n">
        <v>77.97919</v>
      </c>
      <c r="J709" t="n">
        <v>66.38706999999999</v>
      </c>
      <c r="K709" t="n">
        <v>92.7</v>
      </c>
      <c r="L709" t="n">
        <v>92.08176</v>
      </c>
      <c r="M709" t="n">
        <v>88.06399999999999</v>
      </c>
      <c r="N709" t="n">
        <v>91.55</v>
      </c>
      <c r="O709" t="n">
        <v>93.98430999999999</v>
      </c>
      <c r="P709" t="n">
        <v>86.32522</v>
      </c>
      <c r="Q709" t="n">
        <v/>
      </c>
      <c r="R709" t="n">
        <v>89.85911</v>
      </c>
      <c r="S709" t="n">
        <v>92.73981000000001</v>
      </c>
      <c r="T709" t="n">
        <v/>
      </c>
      <c r="U709" t="n">
        <v>89.99142000000001</v>
      </c>
      <c r="V709" t="n">
        <v>87</v>
      </c>
      <c r="W709" t="n">
        <v>95.69387</v>
      </c>
      <c r="X709" t="n">
        <v>78.73779</v>
      </c>
      <c r="Y709" t="n">
        <v/>
      </c>
      <c r="Z709" t="n">
        <v/>
      </c>
      <c r="AA709" t="n">
        <v>99.13288</v>
      </c>
      <c r="AB709" t="n">
        <v>67.82597</v>
      </c>
      <c r="AC709" t="n">
        <v>86.04691</v>
      </c>
      <c r="AD709" t="n">
        <v>89.72174</v>
      </c>
      <c r="AE709" t="n">
        <v>100.4058</v>
      </c>
      <c r="AF709" t="n">
        <v>84.27846</v>
      </c>
      <c r="AG709" t="n">
        <v>85.7936</v>
      </c>
      <c r="AH709" t="n">
        <v>86.90763</v>
      </c>
      <c r="AI709" t="n">
        <v>88.43481</v>
      </c>
      <c r="AJ709" t="n">
        <v>77.54792</v>
      </c>
      <c r="AK709" t="n">
        <v>86.61857000000001</v>
      </c>
      <c r="AL709" t="n">
        <v>86.96872999999999</v>
      </c>
      <c r="AM709" t="n">
        <v>87.99037</v>
      </c>
      <c r="AN709" t="n">
        <v>87.77301</v>
      </c>
      <c r="AO709" t="n">
        <v>88.32862</v>
      </c>
      <c r="AP709" t="n">
        <v>92.09866</v>
      </c>
      <c r="AQ709" t="n">
        <v/>
      </c>
      <c r="AR709" t="n">
        <v/>
      </c>
      <c r="AS709" t="n">
        <v>86.21122</v>
      </c>
      <c r="AT709" t="n">
        <v>93.12155</v>
      </c>
      <c r="AU709" t="n">
        <v>96.59139999999999</v>
      </c>
      <c r="AV709" t="n">
        <v>59.41338</v>
      </c>
      <c r="AW709" t="n">
        <v>87.66113</v>
      </c>
      <c r="AX709" t="n">
        <v>67.37949</v>
      </c>
    </row>
    <row r="710">
      <c r="A710" s="92" t="n">
        <v>39448</v>
      </c>
      <c r="B710" t="n">
        <v>86.09690000000001</v>
      </c>
      <c r="C710" t="n">
        <v>88.02163</v>
      </c>
      <c r="D710" t="n">
        <v/>
      </c>
      <c r="E710" t="n">
        <v>88.81841</v>
      </c>
      <c r="F710" t="n">
        <v>99.34386000000001</v>
      </c>
      <c r="G710" t="n">
        <v>83.98583000000001</v>
      </c>
      <c r="H710" t="n">
        <v/>
      </c>
      <c r="I710" t="n">
        <v>78.56778</v>
      </c>
      <c r="J710" t="n">
        <v>66.73531</v>
      </c>
      <c r="K710" t="n">
        <v>94.7</v>
      </c>
      <c r="L710" t="n">
        <v>91.32492999999999</v>
      </c>
      <c r="M710" t="n">
        <v>87.74108</v>
      </c>
      <c r="N710" t="n">
        <v>90.59</v>
      </c>
      <c r="O710" t="n">
        <v>92.69793</v>
      </c>
      <c r="P710" t="n">
        <v>87.34681999999999</v>
      </c>
      <c r="Q710" t="n">
        <v/>
      </c>
      <c r="R710" t="n">
        <v>89.80758</v>
      </c>
      <c r="S710" t="n">
        <v>92.24982</v>
      </c>
      <c r="T710" t="n">
        <v/>
      </c>
      <c r="U710" t="n">
        <v>89.99124</v>
      </c>
      <c r="V710" t="n">
        <v>86.40000000000001</v>
      </c>
      <c r="W710" t="n">
        <v>94.86964999999999</v>
      </c>
      <c r="X710" t="n">
        <v>79.33884</v>
      </c>
      <c r="Y710" t="n">
        <v/>
      </c>
      <c r="Z710" t="n">
        <v/>
      </c>
      <c r="AA710" t="n">
        <v>98.36139</v>
      </c>
      <c r="AB710" t="n">
        <v>67.70168</v>
      </c>
      <c r="AC710" t="n">
        <v>85.54075</v>
      </c>
      <c r="AD710" t="n">
        <v>89.97578</v>
      </c>
      <c r="AE710" t="n">
        <v>100.0319</v>
      </c>
      <c r="AF710" t="n">
        <v>84.67941</v>
      </c>
      <c r="AG710" t="n">
        <v>86.1657</v>
      </c>
      <c r="AH710" t="n">
        <v>85.99838</v>
      </c>
      <c r="AI710" t="n">
        <v>91.04465</v>
      </c>
      <c r="AJ710" t="n">
        <v>77.88282</v>
      </c>
      <c r="AK710" t="n">
        <v>86.69867000000001</v>
      </c>
      <c r="AL710" t="n">
        <v>86.37372000000001</v>
      </c>
      <c r="AM710" t="n">
        <v>87.98021</v>
      </c>
      <c r="AN710" t="n">
        <v>87.37253</v>
      </c>
      <c r="AO710" t="n">
        <v>88.76331</v>
      </c>
      <c r="AP710" t="n">
        <v>91.49068</v>
      </c>
      <c r="AQ710" t="n">
        <v/>
      </c>
      <c r="AR710" t="n">
        <v/>
      </c>
      <c r="AS710" t="n">
        <v>87.22493</v>
      </c>
      <c r="AT710" t="n">
        <v>92.13154</v>
      </c>
      <c r="AU710" t="n">
        <v>95.13368</v>
      </c>
      <c r="AV710" t="n">
        <v>59.09475</v>
      </c>
      <c r="AW710" t="n">
        <v>87.98393</v>
      </c>
      <c r="AX710" t="n">
        <v>68.31639</v>
      </c>
    </row>
    <row r="711">
      <c r="A711" s="92" t="n">
        <v>39479</v>
      </c>
      <c r="B711" t="n">
        <v>86.34792</v>
      </c>
      <c r="C711" t="n">
        <v>88.46838</v>
      </c>
      <c r="D711" t="n">
        <v/>
      </c>
      <c r="E711" t="n">
        <v>89.14523</v>
      </c>
      <c r="F711" t="n">
        <v>99.6648</v>
      </c>
      <c r="G711" t="n">
        <v>84.00366</v>
      </c>
      <c r="H711" t="n">
        <v/>
      </c>
      <c r="I711" t="n">
        <v>79.14001</v>
      </c>
      <c r="J711" t="n">
        <v>67.5685</v>
      </c>
      <c r="K711" t="n">
        <v>95.09999999999999</v>
      </c>
      <c r="L711" t="n">
        <v>91.72602000000001</v>
      </c>
      <c r="M711" t="n">
        <v>89.14107</v>
      </c>
      <c r="N711" t="n">
        <v>90.97</v>
      </c>
      <c r="O711" t="n">
        <v>92.91128</v>
      </c>
      <c r="P711" t="n">
        <v>87.80087</v>
      </c>
      <c r="Q711" t="n">
        <v/>
      </c>
      <c r="R711" t="n">
        <v>90.38299000000001</v>
      </c>
      <c r="S711" t="n">
        <v>92.5355</v>
      </c>
      <c r="T711" t="n">
        <v/>
      </c>
      <c r="U711" t="n">
        <v>90.23027999999999</v>
      </c>
      <c r="V711" t="n">
        <v>86.59999999999999</v>
      </c>
      <c r="W711" t="n">
        <v>93.60542</v>
      </c>
      <c r="X711" t="n">
        <v>79.56424</v>
      </c>
      <c r="Y711" t="n">
        <v/>
      </c>
      <c r="Z711" t="n">
        <v/>
      </c>
      <c r="AA711" t="n">
        <v>99.90021</v>
      </c>
      <c r="AB711" t="n">
        <v>68.57378</v>
      </c>
      <c r="AC711" t="n">
        <v>85.03458000000001</v>
      </c>
      <c r="AD711" t="n">
        <v>90.15839</v>
      </c>
      <c r="AE711" t="n">
        <v>99.83978999999999</v>
      </c>
      <c r="AF711" t="n">
        <v>84.99890000000001</v>
      </c>
      <c r="AG711" t="n">
        <v>87.0792</v>
      </c>
      <c r="AH711" t="n">
        <v>87.31265999999999</v>
      </c>
      <c r="AI711" t="n">
        <v>92.13189</v>
      </c>
      <c r="AJ711" t="n">
        <v>78.26782</v>
      </c>
      <c r="AK711" t="n">
        <v>87.34175</v>
      </c>
      <c r="AL711" t="n">
        <v>86.95998</v>
      </c>
      <c r="AM711" t="n">
        <v>88.21808</v>
      </c>
      <c r="AN711" t="n">
        <v>87.61566999999999</v>
      </c>
      <c r="AO711" t="n">
        <v>88.85025</v>
      </c>
      <c r="AP711" t="n">
        <v>91.55531999999999</v>
      </c>
      <c r="AQ711" t="n">
        <v/>
      </c>
      <c r="AR711" t="n">
        <v/>
      </c>
      <c r="AS711" t="n">
        <v>87.67178</v>
      </c>
      <c r="AT711" t="n">
        <v>92.73154</v>
      </c>
      <c r="AU711" t="n">
        <v>95.45873</v>
      </c>
      <c r="AV711" t="n">
        <v>58.88641</v>
      </c>
      <c r="AW711" t="n">
        <v>88.28445000000001</v>
      </c>
      <c r="AX711" t="n">
        <v>68.68380999999999</v>
      </c>
    </row>
    <row r="712">
      <c r="A712" s="92" t="n">
        <v>39508</v>
      </c>
      <c r="B712" t="n">
        <v>86.93361</v>
      </c>
      <c r="C712" t="n">
        <v>88.62378</v>
      </c>
      <c r="D712" t="n">
        <v/>
      </c>
      <c r="E712" t="n">
        <v>89.22045</v>
      </c>
      <c r="F712" t="n">
        <v>99.78717</v>
      </c>
      <c r="G712" t="n">
        <v>84.60993000000001</v>
      </c>
      <c r="H712" t="n">
        <v/>
      </c>
      <c r="I712" t="n">
        <v>79.65501999999999</v>
      </c>
      <c r="J712" t="n">
        <v>67.7486</v>
      </c>
      <c r="K712" t="n">
        <v>95.09999999999999</v>
      </c>
      <c r="L712" t="n">
        <v>91.99905</v>
      </c>
      <c r="M712" t="n">
        <v>89.48336</v>
      </c>
      <c r="N712" t="n">
        <v>91.83</v>
      </c>
      <c r="O712" t="n">
        <v>93.67744</v>
      </c>
      <c r="P712" t="n">
        <v>88.19815</v>
      </c>
      <c r="Q712" t="n">
        <v/>
      </c>
      <c r="R712" t="n">
        <v>91.07004999999999</v>
      </c>
      <c r="S712" t="n">
        <v>93.1045</v>
      </c>
      <c r="T712" t="n">
        <v/>
      </c>
      <c r="U712" t="n">
        <v>90.60825</v>
      </c>
      <c r="V712" t="n">
        <v>86.90000000000001</v>
      </c>
      <c r="W712" t="n">
        <v>96.19556</v>
      </c>
      <c r="X712" t="n">
        <v>80.09016</v>
      </c>
      <c r="Y712" t="n">
        <v/>
      </c>
      <c r="Z712" t="n">
        <v/>
      </c>
      <c r="AA712" t="n">
        <v>100.614</v>
      </c>
      <c r="AB712" t="n">
        <v>69.56943</v>
      </c>
      <c r="AC712" t="n">
        <v>85.23705</v>
      </c>
      <c r="AD712" t="n">
        <v>90.50579</v>
      </c>
      <c r="AE712" t="n">
        <v>100.186</v>
      </c>
      <c r="AF712" t="n">
        <v>85.95844</v>
      </c>
      <c r="AG712" t="n">
        <v>87.9502</v>
      </c>
      <c r="AH712" t="n">
        <v>87.65983</v>
      </c>
      <c r="AI712" t="n">
        <v>93.40431</v>
      </c>
      <c r="AJ712" t="n">
        <v>78.69678</v>
      </c>
      <c r="AK712" t="n">
        <v>88.26047</v>
      </c>
      <c r="AL712" t="n">
        <v>87.31013</v>
      </c>
      <c r="AM712" t="n">
        <v>88.6587</v>
      </c>
      <c r="AN712" t="n">
        <v>88.12105</v>
      </c>
      <c r="AO712" t="n">
        <v>89.11105999999999</v>
      </c>
      <c r="AP712" t="n">
        <v>93.09363</v>
      </c>
      <c r="AQ712" t="n">
        <v/>
      </c>
      <c r="AR712" t="n">
        <v/>
      </c>
      <c r="AS712" t="n">
        <v>87.86002000000001</v>
      </c>
      <c r="AT712" t="n">
        <v>93.85156000000001</v>
      </c>
      <c r="AU712" t="n">
        <v>96.41379000000001</v>
      </c>
      <c r="AV712" t="n">
        <v>59.41338</v>
      </c>
      <c r="AW712" t="n">
        <v>88.69726</v>
      </c>
      <c r="AX712" t="n">
        <v>69.41949</v>
      </c>
    </row>
    <row r="713">
      <c r="A713" s="92" t="n">
        <v>39539</v>
      </c>
      <c r="B713" t="n">
        <v>87.18462</v>
      </c>
      <c r="C713" t="n">
        <v>88.4781</v>
      </c>
      <c r="D713" t="n">
        <v/>
      </c>
      <c r="E713" t="n">
        <v>89.35542</v>
      </c>
      <c r="F713" t="n">
        <v>100.7447</v>
      </c>
      <c r="G713" t="n">
        <v>84.75257999999999</v>
      </c>
      <c r="H713" t="n">
        <v/>
      </c>
      <c r="I713" t="n">
        <v>79.95749000000001</v>
      </c>
      <c r="J713" t="n">
        <v>68.16193</v>
      </c>
      <c r="K713" t="n">
        <v>95.40000000000001</v>
      </c>
      <c r="L713" t="n">
        <v>91.62833000000001</v>
      </c>
      <c r="M713" t="n">
        <v>89.63361999999999</v>
      </c>
      <c r="N713" t="n">
        <v>92</v>
      </c>
      <c r="O713" t="n">
        <v>94.92074</v>
      </c>
      <c r="P713" t="n">
        <v>88.53869</v>
      </c>
      <c r="Q713" t="n">
        <v/>
      </c>
      <c r="R713" t="n">
        <v>91.18170000000001</v>
      </c>
      <c r="S713" t="n">
        <v>93.28185000000001</v>
      </c>
      <c r="T713" t="n">
        <v/>
      </c>
      <c r="U713" t="n">
        <v>90.68378</v>
      </c>
      <c r="V713" t="n">
        <v>87.3</v>
      </c>
      <c r="W713" t="n">
        <v>96.60339</v>
      </c>
      <c r="X713" t="n">
        <v>80.24042</v>
      </c>
      <c r="Y713" t="n">
        <v/>
      </c>
      <c r="Z713" t="n">
        <v/>
      </c>
      <c r="AA713" t="n">
        <v>100.684</v>
      </c>
      <c r="AB713" t="n">
        <v>71.61247</v>
      </c>
      <c r="AC713" t="n">
        <v>86.24937</v>
      </c>
      <c r="AD713" t="n">
        <v>90.55753</v>
      </c>
      <c r="AE713" t="n">
        <v>100.2879</v>
      </c>
      <c r="AF713" t="n">
        <v>86.11819</v>
      </c>
      <c r="AG713" t="n">
        <v>88.98480000000001</v>
      </c>
      <c r="AH713" t="n">
        <v>87.84166999999999</v>
      </c>
      <c r="AI713" t="n">
        <v>94.08844999999999</v>
      </c>
      <c r="AJ713" t="n">
        <v>78.86073</v>
      </c>
      <c r="AK713" t="n">
        <v>88.48671</v>
      </c>
      <c r="AL713" t="n">
        <v>87.46359</v>
      </c>
      <c r="AM713" t="n">
        <v>88.86244000000001</v>
      </c>
      <c r="AN713" t="n">
        <v>88.43044</v>
      </c>
      <c r="AO713" t="n">
        <v>89.37187</v>
      </c>
      <c r="AP713" t="n">
        <v>93.27171</v>
      </c>
      <c r="AQ713" t="n">
        <v/>
      </c>
      <c r="AR713" t="n">
        <v/>
      </c>
      <c r="AS713" t="n">
        <v>87.85001</v>
      </c>
      <c r="AT713" t="n">
        <v>94.55157</v>
      </c>
      <c r="AU713" t="n">
        <v>96.74890000000001</v>
      </c>
      <c r="AV713" t="n">
        <v>60.61031</v>
      </c>
      <c r="AW713" t="n">
        <v>88.77692</v>
      </c>
      <c r="AX713" t="n">
        <v>69.6006</v>
      </c>
    </row>
    <row r="714">
      <c r="A714" s="92" t="n">
        <v>39569</v>
      </c>
      <c r="B714" t="n">
        <v>87.5193</v>
      </c>
      <c r="C714" t="n">
        <v>88.81802</v>
      </c>
      <c r="D714" t="n">
        <v/>
      </c>
      <c r="E714" t="n">
        <v>89.54752000000001</v>
      </c>
      <c r="F714" t="n">
        <v>101.054</v>
      </c>
      <c r="G714" t="n">
        <v>85.40343</v>
      </c>
      <c r="H714" t="n">
        <v/>
      </c>
      <c r="I714" t="n">
        <v>80.18639</v>
      </c>
      <c r="J714" t="n">
        <v>68.91809000000001</v>
      </c>
      <c r="K714" t="n">
        <v>95.5</v>
      </c>
      <c r="L714" t="n">
        <v>91.91943000000001</v>
      </c>
      <c r="M714" t="n">
        <v>89.795</v>
      </c>
      <c r="N714" t="n">
        <v>92.23999999999999</v>
      </c>
      <c r="O714" t="n">
        <v>95.19504000000001</v>
      </c>
      <c r="P714" t="n">
        <v>88.65219999999999</v>
      </c>
      <c r="Q714" t="n">
        <v/>
      </c>
      <c r="R714" t="n">
        <v>91.24182</v>
      </c>
      <c r="S714" t="n">
        <v>93.38212</v>
      </c>
      <c r="T714" t="n">
        <v/>
      </c>
      <c r="U714" t="n">
        <v>90.81791</v>
      </c>
      <c r="V714" t="n">
        <v>87.59999999999999</v>
      </c>
      <c r="W714" t="n">
        <v>97.27261</v>
      </c>
      <c r="X714" t="n">
        <v>80.54095</v>
      </c>
      <c r="Y714" t="n">
        <v/>
      </c>
      <c r="Z714" t="n">
        <v/>
      </c>
      <c r="AA714" t="n">
        <v>101.1082</v>
      </c>
      <c r="AB714" t="n">
        <v>72.38082</v>
      </c>
      <c r="AC714" t="n">
        <v>86.55306</v>
      </c>
      <c r="AD714" t="n">
        <v>90.77039000000001</v>
      </c>
      <c r="AE714" t="n">
        <v>100.5705</v>
      </c>
      <c r="AF714" t="n">
        <v>86.43768</v>
      </c>
      <c r="AG714" t="n">
        <v>89.42740000000001</v>
      </c>
      <c r="AH714" t="n">
        <v>87.97393</v>
      </c>
      <c r="AI714" t="n">
        <v>94.60643</v>
      </c>
      <c r="AJ714" t="n">
        <v>78.99177</v>
      </c>
      <c r="AK714" t="n">
        <v>88.61682999999999</v>
      </c>
      <c r="AL714" t="n">
        <v>87.34350999999999</v>
      </c>
      <c r="AM714" t="n">
        <v>89.05949</v>
      </c>
      <c r="AN714" t="n">
        <v>88.76900999999999</v>
      </c>
      <c r="AO714" t="n">
        <v>89.54575</v>
      </c>
      <c r="AP714" t="n">
        <v>93.38849999999999</v>
      </c>
      <c r="AQ714" t="n">
        <v/>
      </c>
      <c r="AR714" t="n">
        <v/>
      </c>
      <c r="AS714" t="n">
        <v>87.94548</v>
      </c>
      <c r="AT714" t="n">
        <v>94.93158</v>
      </c>
      <c r="AU714" t="n">
        <v>96.92650999999999</v>
      </c>
      <c r="AV714" t="n">
        <v>61.99515</v>
      </c>
      <c r="AW714" t="n">
        <v>88.82687</v>
      </c>
      <c r="AX714" t="n">
        <v>69.73751</v>
      </c>
    </row>
    <row r="715">
      <c r="A715" s="92" t="n">
        <v>39600</v>
      </c>
      <c r="B715" t="n">
        <v>87.60297</v>
      </c>
      <c r="C715" t="n">
        <v>89.02198</v>
      </c>
      <c r="D715" t="n">
        <v/>
      </c>
      <c r="E715" t="n">
        <v>89.57744</v>
      </c>
      <c r="F715" t="n">
        <v>100.777</v>
      </c>
      <c r="G715" t="n">
        <v>85.82246000000001</v>
      </c>
      <c r="H715" t="n">
        <v/>
      </c>
      <c r="I715" t="n">
        <v>80.38258</v>
      </c>
      <c r="J715" t="n">
        <v>69.57987</v>
      </c>
      <c r="K715" t="n">
        <v>95.5</v>
      </c>
      <c r="L715" t="n">
        <v>91.91719000000001</v>
      </c>
      <c r="M715" t="n">
        <v>89.72633</v>
      </c>
      <c r="N715" t="n">
        <v>92.33</v>
      </c>
      <c r="O715" t="n">
        <v>95.36845</v>
      </c>
      <c r="P715" t="n">
        <v>88.93597</v>
      </c>
      <c r="Q715" t="n">
        <v/>
      </c>
      <c r="R715" t="n">
        <v>91.43076000000001</v>
      </c>
      <c r="S715" t="n">
        <v>93.42825000000001</v>
      </c>
      <c r="T715" t="n">
        <v/>
      </c>
      <c r="U715" t="n">
        <v>90.95135999999999</v>
      </c>
      <c r="V715" t="n">
        <v>87.90000000000001</v>
      </c>
      <c r="W715" t="n">
        <v>97.39456</v>
      </c>
      <c r="X715" t="n">
        <v>80.61608</v>
      </c>
      <c r="Y715" t="n">
        <v/>
      </c>
      <c r="Z715" t="n">
        <v/>
      </c>
      <c r="AA715" t="n">
        <v>101.3537</v>
      </c>
      <c r="AB715" t="n">
        <v>72.80649</v>
      </c>
      <c r="AC715" t="n">
        <v>86.95799</v>
      </c>
      <c r="AD715" t="n">
        <v>90.93389000000001</v>
      </c>
      <c r="AE715" t="n">
        <v>100.6547</v>
      </c>
      <c r="AF715" t="n">
        <v>86.59743</v>
      </c>
      <c r="AG715" t="n">
        <v>89.73569999999999</v>
      </c>
      <c r="AH715" t="n">
        <v>88.01526</v>
      </c>
      <c r="AI715" t="n">
        <v>94.70938</v>
      </c>
      <c r="AJ715" t="n">
        <v>79.30267000000001</v>
      </c>
      <c r="AK715" t="n">
        <v>88.20734</v>
      </c>
      <c r="AL715" t="n">
        <v>87.55038</v>
      </c>
      <c r="AM715" t="n">
        <v>89.20493999999999</v>
      </c>
      <c r="AN715" t="n">
        <v>88.90192</v>
      </c>
      <c r="AO715" t="n">
        <v>89.80656</v>
      </c>
      <c r="AP715" t="n">
        <v>93.43518</v>
      </c>
      <c r="AQ715" t="n">
        <v/>
      </c>
      <c r="AR715" t="n">
        <v/>
      </c>
      <c r="AS715" t="n">
        <v>88.12757999999999</v>
      </c>
      <c r="AT715" t="n">
        <v>95.37159</v>
      </c>
      <c r="AU715" t="n">
        <v>97.08401000000001</v>
      </c>
      <c r="AV715" t="n">
        <v>62.40775</v>
      </c>
      <c r="AW715" t="n">
        <v>88.98085</v>
      </c>
      <c r="AX715" t="n">
        <v>70.55280999999999</v>
      </c>
    </row>
    <row r="716">
      <c r="A716" s="92" t="n">
        <v>39630</v>
      </c>
      <c r="B716" t="n">
        <v>87.5193</v>
      </c>
      <c r="C716" t="n">
        <v>89.38133000000001</v>
      </c>
      <c r="D716" t="n">
        <v/>
      </c>
      <c r="E716" t="n">
        <v>89.52427</v>
      </c>
      <c r="F716" t="n">
        <v>100.0759</v>
      </c>
      <c r="G716" t="n">
        <v>86.56247</v>
      </c>
      <c r="H716" t="n">
        <v/>
      </c>
      <c r="I716" t="n">
        <v>80.62782</v>
      </c>
      <c r="J716" t="n">
        <v>70.82857</v>
      </c>
      <c r="K716" t="n">
        <v>95.90000000000001</v>
      </c>
      <c r="L716" t="n">
        <v>92.44971</v>
      </c>
      <c r="M716" t="n">
        <v>89.30869</v>
      </c>
      <c r="N716" t="n">
        <v>91.90000000000001</v>
      </c>
      <c r="O716" t="n">
        <v>94.2912</v>
      </c>
      <c r="P716" t="n">
        <v>89.61704</v>
      </c>
      <c r="Q716" t="n">
        <v/>
      </c>
      <c r="R716" t="n">
        <v>91.07863999999999</v>
      </c>
      <c r="S716" t="n">
        <v>93.13567999999999</v>
      </c>
      <c r="T716" t="n">
        <v/>
      </c>
      <c r="U716" t="n">
        <v>91.09945</v>
      </c>
      <c r="V716" t="n">
        <v>87.8</v>
      </c>
      <c r="W716" t="n">
        <v>96.48911</v>
      </c>
      <c r="X716" t="n">
        <v>80.76634</v>
      </c>
      <c r="Y716" t="n">
        <v/>
      </c>
      <c r="Z716" t="n">
        <v/>
      </c>
      <c r="AA716" t="n">
        <v>100.9487</v>
      </c>
      <c r="AB716" t="n">
        <v>73.29299</v>
      </c>
      <c r="AC716" t="n">
        <v>87.56538</v>
      </c>
      <c r="AD716" t="n">
        <v>91.32402999999999</v>
      </c>
      <c r="AE716" t="n">
        <v>100.5872</v>
      </c>
      <c r="AF716" t="n">
        <v>86.99836999999999</v>
      </c>
      <c r="AG716" t="n">
        <v>89.8357</v>
      </c>
      <c r="AH716" t="n">
        <v>87.18040000000001</v>
      </c>
      <c r="AI716" t="n">
        <v>94.51624</v>
      </c>
      <c r="AJ716" t="n">
        <v>79.64673999999999</v>
      </c>
      <c r="AK716" t="n">
        <v>88.06328999999999</v>
      </c>
      <c r="AL716" t="n">
        <v>87.44673</v>
      </c>
      <c r="AM716" t="n">
        <v>89.30525</v>
      </c>
      <c r="AN716" t="n">
        <v>88.81202999999999</v>
      </c>
      <c r="AO716" t="n">
        <v>89.98044</v>
      </c>
      <c r="AP716" t="n">
        <v>92.75852</v>
      </c>
      <c r="AQ716" t="n">
        <v/>
      </c>
      <c r="AR716" t="n">
        <v/>
      </c>
      <c r="AS716" t="n">
        <v>88.44276000000001</v>
      </c>
      <c r="AT716" t="n">
        <v>94.80158</v>
      </c>
      <c r="AU716" t="n">
        <v>96.54783999999999</v>
      </c>
      <c r="AV716" t="n">
        <v>61.99107</v>
      </c>
      <c r="AW716" t="n">
        <v>89.18395</v>
      </c>
      <c r="AX716" t="n">
        <v>70.98135000000001</v>
      </c>
    </row>
    <row r="717">
      <c r="A717" s="92" t="n">
        <v>39661</v>
      </c>
      <c r="B717" t="n">
        <v>87.60297</v>
      </c>
      <c r="C717" t="n">
        <v>89.39104</v>
      </c>
      <c r="D717" t="n">
        <v/>
      </c>
      <c r="E717" t="n">
        <v>89.77769000000001</v>
      </c>
      <c r="F717" t="n">
        <v>100.2575</v>
      </c>
      <c r="G717" t="n">
        <v>87.035</v>
      </c>
      <c r="H717" t="n">
        <v/>
      </c>
      <c r="I717" t="n">
        <v>80.83219</v>
      </c>
      <c r="J717" t="n">
        <v>71.74746</v>
      </c>
      <c r="K717" t="n">
        <v>96.2</v>
      </c>
      <c r="L717" t="n">
        <v>92.51318000000001</v>
      </c>
      <c r="M717" t="n">
        <v>89.69962</v>
      </c>
      <c r="N717" t="n">
        <v>92.20999999999999</v>
      </c>
      <c r="O717" t="n">
        <v>94.56444999999999</v>
      </c>
      <c r="P717" t="n">
        <v>90.63864</v>
      </c>
      <c r="Q717" t="n">
        <v/>
      </c>
      <c r="R717" t="n">
        <v>91.96323</v>
      </c>
      <c r="S717" t="n">
        <v>93.69305</v>
      </c>
      <c r="T717" t="n">
        <v/>
      </c>
      <c r="U717" t="n">
        <v>91.32452000000001</v>
      </c>
      <c r="V717" t="n">
        <v>88.2</v>
      </c>
      <c r="W717" t="n">
        <v>95.46507</v>
      </c>
      <c r="X717" t="n">
        <v>80.76634</v>
      </c>
      <c r="Y717" t="n">
        <v/>
      </c>
      <c r="Z717" t="n">
        <v/>
      </c>
      <c r="AA717" t="n">
        <v>101.5611</v>
      </c>
      <c r="AB717" t="n">
        <v>74.07266</v>
      </c>
      <c r="AC717" t="n">
        <v>88.57769999999999</v>
      </c>
      <c r="AD717" t="n">
        <v>91.70274999999999</v>
      </c>
      <c r="AE717" t="n">
        <v>100.771</v>
      </c>
      <c r="AF717" t="n">
        <v>86.99836999999999</v>
      </c>
      <c r="AG717" t="n">
        <v>90.19289999999999</v>
      </c>
      <c r="AH717" t="n">
        <v>88.23844</v>
      </c>
      <c r="AI717" t="n">
        <v>94.90130000000001</v>
      </c>
      <c r="AJ717" t="n">
        <v>80.02195</v>
      </c>
      <c r="AK717" t="n">
        <v>88.49393999999999</v>
      </c>
      <c r="AL717" t="n">
        <v>87.56532</v>
      </c>
      <c r="AM717" t="n">
        <v>89.50985</v>
      </c>
      <c r="AN717" t="n">
        <v>89.03598</v>
      </c>
      <c r="AO717" t="n">
        <v>90.06738</v>
      </c>
      <c r="AP717" t="n">
        <v>92.46898</v>
      </c>
      <c r="AQ717" t="n">
        <v/>
      </c>
      <c r="AR717" t="n">
        <v/>
      </c>
      <c r="AS717" t="n">
        <v>88.93837000000001</v>
      </c>
      <c r="AT717" t="n">
        <v>95.23159</v>
      </c>
      <c r="AU717" t="n">
        <v>97.01363000000001</v>
      </c>
      <c r="AV717" t="n">
        <v>61.72554</v>
      </c>
      <c r="AW717" t="n">
        <v>89.36187</v>
      </c>
      <c r="AX717" t="n">
        <v>71.32451</v>
      </c>
    </row>
    <row r="718">
      <c r="A718" s="92" t="n">
        <v>39692</v>
      </c>
      <c r="B718" t="n">
        <v>88.02132</v>
      </c>
      <c r="C718" t="n">
        <v>89.41047</v>
      </c>
      <c r="D718" t="n">
        <v/>
      </c>
      <c r="E718" t="n">
        <v>90.10534</v>
      </c>
      <c r="F718" t="n">
        <v>100.4303</v>
      </c>
      <c r="G718" t="n">
        <v>87.65018000000001</v>
      </c>
      <c r="H718" t="n">
        <v/>
      </c>
      <c r="I718" t="n">
        <v>80.95480999999999</v>
      </c>
      <c r="J718" t="n">
        <v>72.25951999999999</v>
      </c>
      <c r="K718" t="n">
        <v>96</v>
      </c>
      <c r="L718" t="n">
        <v>92.35661</v>
      </c>
      <c r="M718" t="n">
        <v>90.24218</v>
      </c>
      <c r="N718" t="n">
        <v>92.48999999999999</v>
      </c>
      <c r="O718" t="n">
        <v>94.73891</v>
      </c>
      <c r="P718" t="n">
        <v>91.66024</v>
      </c>
      <c r="Q718" t="n">
        <v/>
      </c>
      <c r="R718" t="n">
        <v>92.37547000000001</v>
      </c>
      <c r="S718" t="n">
        <v>93.63448</v>
      </c>
      <c r="T718" t="n">
        <v/>
      </c>
      <c r="U718" t="n">
        <v>91.42285</v>
      </c>
      <c r="V718" t="n">
        <v>88.3</v>
      </c>
      <c r="W718" t="n">
        <v>97.88718</v>
      </c>
      <c r="X718" t="n">
        <v>80.76634</v>
      </c>
      <c r="Y718" t="n">
        <v/>
      </c>
      <c r="Z718" t="n">
        <v/>
      </c>
      <c r="AA718" t="n">
        <v>101.9492</v>
      </c>
      <c r="AB718" t="n">
        <v>74.82164</v>
      </c>
      <c r="AC718" t="n">
        <v>88.57769999999999</v>
      </c>
      <c r="AD718" t="n">
        <v>91.40848</v>
      </c>
      <c r="AE718" t="n">
        <v>100.9741</v>
      </c>
      <c r="AF718" t="n">
        <v>87.31787</v>
      </c>
      <c r="AG718" t="n">
        <v>90.82040000000001</v>
      </c>
      <c r="AH718" t="n">
        <v>88.40376000000001</v>
      </c>
      <c r="AI718" t="n">
        <v>96.59754</v>
      </c>
      <c r="AJ718" t="n">
        <v>80.53609</v>
      </c>
      <c r="AK718" t="n">
        <v>88.99455</v>
      </c>
      <c r="AL718" t="n">
        <v>88.58909</v>
      </c>
      <c r="AM718" t="n">
        <v>89.69099</v>
      </c>
      <c r="AN718" t="n">
        <v>89.17881</v>
      </c>
      <c r="AO718" t="n">
        <v>90.32819000000001</v>
      </c>
      <c r="AP718" t="n">
        <v>93.44363</v>
      </c>
      <c r="AQ718" t="n">
        <v/>
      </c>
      <c r="AR718" t="n">
        <v/>
      </c>
      <c r="AS718" t="n">
        <v>89.69276000000001</v>
      </c>
      <c r="AT718" t="n">
        <v>95.45159</v>
      </c>
      <c r="AU718" t="n">
        <v>98.06922</v>
      </c>
      <c r="AV718" t="n">
        <v>61.95839</v>
      </c>
      <c r="AW718" t="n">
        <v>89.52121</v>
      </c>
      <c r="AX718" t="n">
        <v>71.91888</v>
      </c>
    </row>
    <row r="719">
      <c r="A719" s="92" t="n">
        <v>39722</v>
      </c>
      <c r="B719" t="n">
        <v>88.27233</v>
      </c>
      <c r="C719" t="n">
        <v>89.65327000000001</v>
      </c>
      <c r="D719" t="n">
        <v/>
      </c>
      <c r="E719" t="n">
        <v>90.16064</v>
      </c>
      <c r="F719" t="n">
        <v>101.2071</v>
      </c>
      <c r="G719" t="n">
        <v>88.19404</v>
      </c>
      <c r="H719" t="n">
        <v/>
      </c>
      <c r="I719" t="n">
        <v>81.24093000000001</v>
      </c>
      <c r="J719" t="n">
        <v>73.09814</v>
      </c>
      <c r="K719" t="n">
        <v>95.7</v>
      </c>
      <c r="L719" t="n">
        <v>92.37778</v>
      </c>
      <c r="M719" t="n">
        <v>90.33032</v>
      </c>
      <c r="N719" t="n">
        <v>92.84999999999999</v>
      </c>
      <c r="O719" t="n">
        <v>95.83403</v>
      </c>
      <c r="P719" t="n">
        <v>91.60348999999999</v>
      </c>
      <c r="Q719" t="n">
        <v/>
      </c>
      <c r="R719" t="n">
        <v>92.75336</v>
      </c>
      <c r="S719" t="n">
        <v>93.76461999999999</v>
      </c>
      <c r="T719" t="n">
        <v/>
      </c>
      <c r="U719" t="n">
        <v>91.48493000000001</v>
      </c>
      <c r="V719" t="n">
        <v>88.3</v>
      </c>
      <c r="W719" t="n">
        <v>98.21071999999999</v>
      </c>
      <c r="X719" t="n">
        <v>81.06686000000001</v>
      </c>
      <c r="Y719" t="n">
        <v/>
      </c>
      <c r="Z719" t="n">
        <v/>
      </c>
      <c r="AA719" t="n">
        <v>102.0615</v>
      </c>
      <c r="AB719" t="n">
        <v>76.4061</v>
      </c>
      <c r="AC719" t="n">
        <v>88.78016</v>
      </c>
      <c r="AD719" t="n">
        <v>91.52512</v>
      </c>
      <c r="AE719" t="n">
        <v>101.0211</v>
      </c>
      <c r="AF719" t="n">
        <v>87.39828</v>
      </c>
      <c r="AG719" t="n">
        <v>91.5889</v>
      </c>
      <c r="AH719" t="n">
        <v>88.53601</v>
      </c>
      <c r="AI719" t="n">
        <v>96.98917</v>
      </c>
      <c r="AJ719" t="n">
        <v>80.85648</v>
      </c>
      <c r="AK719" t="n">
        <v>89.08933</v>
      </c>
      <c r="AL719" t="n">
        <v>88.80609</v>
      </c>
      <c r="AM719" t="n">
        <v>89.86508000000001</v>
      </c>
      <c r="AN719" t="n">
        <v>89.46841000000001</v>
      </c>
      <c r="AO719" t="n">
        <v>90.50207</v>
      </c>
      <c r="AP719" t="n">
        <v>93.79783999999999</v>
      </c>
      <c r="AQ719" t="n">
        <v/>
      </c>
      <c r="AR719" t="n">
        <v/>
      </c>
      <c r="AS719" t="n">
        <v>90.23415</v>
      </c>
      <c r="AT719" t="n">
        <v>95.82159</v>
      </c>
      <c r="AU719" t="n">
        <v>98.70927</v>
      </c>
      <c r="AV719" t="n">
        <v>62.996</v>
      </c>
      <c r="AW719" t="n">
        <v>89.58767</v>
      </c>
      <c r="AX719" t="n">
        <v>72.23135000000001</v>
      </c>
    </row>
    <row r="720">
      <c r="A720" s="92" t="n">
        <v>39753</v>
      </c>
      <c r="B720" t="n">
        <v>88.105</v>
      </c>
      <c r="C720" t="n">
        <v>89.66298999999999</v>
      </c>
      <c r="D720" t="n">
        <v/>
      </c>
      <c r="E720" t="n">
        <v>91.00002000000001</v>
      </c>
      <c r="F720" t="n">
        <v>101.2523</v>
      </c>
      <c r="G720" t="n">
        <v>88.93404</v>
      </c>
      <c r="H720" t="n">
        <v/>
      </c>
      <c r="I720" t="n">
        <v>81.38808</v>
      </c>
      <c r="J720" t="n">
        <v>74.21231</v>
      </c>
      <c r="K720" t="n">
        <v>95.5</v>
      </c>
      <c r="L720" t="n">
        <v>92.36632</v>
      </c>
      <c r="M720" t="n">
        <v>90.28448</v>
      </c>
      <c r="N720" t="n">
        <v>92.89</v>
      </c>
      <c r="O720" t="n">
        <v>96.15458</v>
      </c>
      <c r="P720" t="n">
        <v>91.77375000000001</v>
      </c>
      <c r="Q720" t="n">
        <v/>
      </c>
      <c r="R720" t="n">
        <v>92.56441</v>
      </c>
      <c r="S720" t="n">
        <v>93.77106999999999</v>
      </c>
      <c r="T720" t="n">
        <v/>
      </c>
      <c r="U720" t="n">
        <v>91.42227</v>
      </c>
      <c r="V720" t="n">
        <v>88.5</v>
      </c>
      <c r="W720" t="n">
        <v>98.39254</v>
      </c>
      <c r="X720" t="n">
        <v>81.142</v>
      </c>
      <c r="Y720" t="n">
        <v/>
      </c>
      <c r="Z720" t="n">
        <v/>
      </c>
      <c r="AA720" t="n">
        <v>101.3753</v>
      </c>
      <c r="AB720" t="n">
        <v>77.68194</v>
      </c>
      <c r="AC720" t="n">
        <v>89.18508</v>
      </c>
      <c r="AD720" t="n">
        <v>91.54248</v>
      </c>
      <c r="AE720" t="n">
        <v>100.7257</v>
      </c>
      <c r="AF720" t="n">
        <v>87.71777</v>
      </c>
      <c r="AG720" t="n">
        <v>91.72580000000001</v>
      </c>
      <c r="AH720" t="n">
        <v>88.58561</v>
      </c>
      <c r="AI720" t="n">
        <v>96.92728</v>
      </c>
      <c r="AJ720" t="n">
        <v>81.31704000000001</v>
      </c>
      <c r="AK720" t="n">
        <v>89.07228000000001</v>
      </c>
      <c r="AL720" t="n">
        <v>88.66726</v>
      </c>
      <c r="AM720" t="n">
        <v>89.88139</v>
      </c>
      <c r="AN720" t="n">
        <v>89.55589999999999</v>
      </c>
      <c r="AO720" t="n">
        <v>90.589</v>
      </c>
      <c r="AP720" t="n">
        <v>93.65906</v>
      </c>
      <c r="AQ720" t="n">
        <v/>
      </c>
      <c r="AR720" t="n">
        <v/>
      </c>
      <c r="AS720" t="n">
        <v>90.82436</v>
      </c>
      <c r="AT720" t="n">
        <v>96.02160000000001</v>
      </c>
      <c r="AU720" t="n">
        <v>98.09938</v>
      </c>
      <c r="AV720" t="n">
        <v>63.49846</v>
      </c>
      <c r="AW720" t="n">
        <v>89.45021</v>
      </c>
      <c r="AX720" t="n">
        <v>72.38070999999999</v>
      </c>
    </row>
    <row r="721">
      <c r="A721" s="92" t="n">
        <v>39783</v>
      </c>
      <c r="B721" t="n">
        <v>88.43967000000001</v>
      </c>
      <c r="C721" t="n">
        <v>89.87666</v>
      </c>
      <c r="D721" t="n">
        <v/>
      </c>
      <c r="E721" t="n">
        <v>90.8707</v>
      </c>
      <c r="F721" t="n">
        <v>101.3379</v>
      </c>
      <c r="G721" t="n">
        <v>89.15694000000001</v>
      </c>
      <c r="H721" t="n">
        <v/>
      </c>
      <c r="I721" t="n">
        <v>81.74776</v>
      </c>
      <c r="J721" t="n">
        <v>74.70267</v>
      </c>
      <c r="K721" t="n">
        <v>95.5</v>
      </c>
      <c r="L721" t="n">
        <v>93.27245000000001</v>
      </c>
      <c r="M721" t="n">
        <v>90.22986</v>
      </c>
      <c r="N721" t="n">
        <v>93.28</v>
      </c>
      <c r="O721" t="n">
        <v>96.14827</v>
      </c>
      <c r="P721" t="n">
        <v>91.83051</v>
      </c>
      <c r="Q721" t="n">
        <v/>
      </c>
      <c r="R721" t="n">
        <v>92.60735</v>
      </c>
      <c r="S721" t="n">
        <v>93.97252</v>
      </c>
      <c r="T721" t="n">
        <v/>
      </c>
      <c r="U721" t="n">
        <v>91.34520000000001</v>
      </c>
      <c r="V721" t="n">
        <v>88.3</v>
      </c>
      <c r="W721" t="n">
        <v>98.78749000000001</v>
      </c>
      <c r="X721" t="n">
        <v>81.21713</v>
      </c>
      <c r="Y721" t="n">
        <v/>
      </c>
      <c r="Z721" t="n">
        <v/>
      </c>
      <c r="AA721" t="n">
        <v>100.3465</v>
      </c>
      <c r="AB721" t="n">
        <v>79.28242</v>
      </c>
      <c r="AC721" t="n">
        <v>89.89371</v>
      </c>
      <c r="AD721" t="n">
        <v>91.65697</v>
      </c>
      <c r="AE721" t="n">
        <v>100.5969</v>
      </c>
      <c r="AF721" t="n">
        <v>88.03726</v>
      </c>
      <c r="AG721" t="n">
        <v>91.6511</v>
      </c>
      <c r="AH721" t="n">
        <v>88.64346999999999</v>
      </c>
      <c r="AI721" t="n">
        <v>96.56323999999999</v>
      </c>
      <c r="AJ721" t="n">
        <v>81.71854</v>
      </c>
      <c r="AK721" t="n">
        <v>88.48752</v>
      </c>
      <c r="AL721" t="n">
        <v>88.85148</v>
      </c>
      <c r="AM721" t="n">
        <v>89.84811000000001</v>
      </c>
      <c r="AN721" t="n">
        <v>89.67044</v>
      </c>
      <c r="AO721" t="n">
        <v>90.67594</v>
      </c>
      <c r="AP721" t="n">
        <v>93.58955</v>
      </c>
      <c r="AQ721" t="n">
        <v/>
      </c>
      <c r="AR721" t="n">
        <v/>
      </c>
      <c r="AS721" t="n">
        <v>90.88816</v>
      </c>
      <c r="AT721" t="n">
        <v>96.1516</v>
      </c>
      <c r="AU721" t="n">
        <v>96.63831</v>
      </c>
      <c r="AV721" t="n">
        <v>63.34731</v>
      </c>
      <c r="AW721" t="n">
        <v>89.20666</v>
      </c>
      <c r="AX721" t="n">
        <v>72.67543000000001</v>
      </c>
    </row>
    <row r="722">
      <c r="A722" s="92" t="n">
        <v>39814</v>
      </c>
      <c r="B722" t="n">
        <v>87.93765</v>
      </c>
      <c r="C722" t="n">
        <v>89.85723</v>
      </c>
      <c r="D722" t="n">
        <v/>
      </c>
      <c r="E722" t="n">
        <v>90.3698</v>
      </c>
      <c r="F722" t="n">
        <v>100.6539</v>
      </c>
      <c r="G722" t="n">
        <v>88.88055</v>
      </c>
      <c r="H722" t="n">
        <v/>
      </c>
      <c r="I722" t="n">
        <v>82.18103000000001</v>
      </c>
      <c r="J722" t="n">
        <v>75.39917</v>
      </c>
      <c r="K722" t="n">
        <v>96.2</v>
      </c>
      <c r="L722" t="n">
        <v>92.36113</v>
      </c>
      <c r="M722" t="n">
        <v>89.92136000000001</v>
      </c>
      <c r="N722" t="n">
        <v>92.06999999999999</v>
      </c>
      <c r="O722" t="n">
        <v>94.47197</v>
      </c>
      <c r="P722" t="n">
        <v>91.83051</v>
      </c>
      <c r="Q722" t="n">
        <v/>
      </c>
      <c r="R722" t="n">
        <v>92.10065</v>
      </c>
      <c r="S722" t="n">
        <v>93.55582</v>
      </c>
      <c r="T722" t="n">
        <v/>
      </c>
      <c r="U722" t="n">
        <v>91.25064</v>
      </c>
      <c r="V722" t="n">
        <v>87.8</v>
      </c>
      <c r="W722" t="n">
        <v>97.82026999999999</v>
      </c>
      <c r="X722" t="n">
        <v>81.51765</v>
      </c>
      <c r="Y722" t="n">
        <v/>
      </c>
      <c r="Z722" t="n">
        <v/>
      </c>
      <c r="AA722" t="n">
        <v>98.5787</v>
      </c>
      <c r="AB722" t="n">
        <v>79.47741000000001</v>
      </c>
      <c r="AC722" t="n">
        <v>89.59001000000001</v>
      </c>
      <c r="AD722" t="n">
        <v>91.67632</v>
      </c>
      <c r="AE722" t="n">
        <v>99.89525999999999</v>
      </c>
      <c r="AF722" t="n">
        <v>88.03726</v>
      </c>
      <c r="AG722" t="n">
        <v>93.2616</v>
      </c>
      <c r="AH722" t="n">
        <v>87.77555</v>
      </c>
      <c r="AI722" t="n">
        <v>98.51734999999999</v>
      </c>
      <c r="AJ722" t="n">
        <v>82.0072</v>
      </c>
      <c r="AK722" t="n">
        <v>88.20105</v>
      </c>
      <c r="AL722" t="n">
        <v>88.52558999999999</v>
      </c>
      <c r="AM722" t="n">
        <v>89.72026</v>
      </c>
      <c r="AN722" t="n">
        <v>89.18656</v>
      </c>
      <c r="AO722" t="n">
        <v>90.84981999999999</v>
      </c>
      <c r="AP722" t="n">
        <v>93.07315</v>
      </c>
      <c r="AQ722" t="n">
        <v/>
      </c>
      <c r="AR722" t="n">
        <v/>
      </c>
      <c r="AS722" t="n">
        <v>91.46738000000001</v>
      </c>
      <c r="AT722" t="n">
        <v>94.63158</v>
      </c>
      <c r="AU722" t="n">
        <v>95.81395000000001</v>
      </c>
      <c r="AV722" t="n">
        <v>63.29012</v>
      </c>
      <c r="AW722" t="n">
        <v>89.46218</v>
      </c>
      <c r="AX722" t="n">
        <v>73.30757</v>
      </c>
    </row>
    <row r="723">
      <c r="A723" s="92" t="n">
        <v>39845</v>
      </c>
      <c r="B723" t="n">
        <v>88.35599999999999</v>
      </c>
      <c r="C723" t="n">
        <v>90.49824</v>
      </c>
      <c r="D723" t="n">
        <v/>
      </c>
      <c r="E723" t="n">
        <v>90.77749</v>
      </c>
      <c r="F723" t="n">
        <v>100.9466</v>
      </c>
      <c r="G723" t="n">
        <v>87.41318</v>
      </c>
      <c r="H723" t="n">
        <v/>
      </c>
      <c r="I723" t="n">
        <v>82.99850000000001</v>
      </c>
      <c r="J723" t="n">
        <v>76.20305999999999</v>
      </c>
      <c r="K723" t="n">
        <v>96.2</v>
      </c>
      <c r="L723" t="n">
        <v>93.04254</v>
      </c>
      <c r="M723" t="n">
        <v>91.07952</v>
      </c>
      <c r="N723" t="n">
        <v>92.52</v>
      </c>
      <c r="O723" t="n">
        <v>94.37108000000001</v>
      </c>
      <c r="P723" t="n">
        <v>91.66024</v>
      </c>
      <c r="Q723" t="n">
        <v/>
      </c>
      <c r="R723" t="n">
        <v>91.97181999999999</v>
      </c>
      <c r="S723" t="n">
        <v>93.96531</v>
      </c>
      <c r="T723" t="n">
        <v/>
      </c>
      <c r="U723" t="n">
        <v>91.59405</v>
      </c>
      <c r="V723" t="n">
        <v>88.2</v>
      </c>
      <c r="W723" t="n">
        <v>96.35172</v>
      </c>
      <c r="X723" t="n">
        <v>81.81818</v>
      </c>
      <c r="Y723" t="n">
        <v/>
      </c>
      <c r="Z723" t="n">
        <v/>
      </c>
      <c r="AA723" t="n">
        <v>98.02021000000001</v>
      </c>
      <c r="AB723" t="n">
        <v>79.97445</v>
      </c>
      <c r="AC723" t="n">
        <v>89.18508</v>
      </c>
      <c r="AD723" t="n">
        <v>91.85428</v>
      </c>
      <c r="AE723" t="n">
        <v>99.70515</v>
      </c>
      <c r="AF723" t="n">
        <v>88.43821</v>
      </c>
      <c r="AG723" t="n">
        <v>93.6006</v>
      </c>
      <c r="AH723" t="n">
        <v>89.46178999999999</v>
      </c>
      <c r="AI723" t="n">
        <v>99.77791999999999</v>
      </c>
      <c r="AJ723" t="n">
        <v>82.36172999999999</v>
      </c>
      <c r="AK723" t="n">
        <v>88.79866</v>
      </c>
      <c r="AL723" t="n">
        <v>89.20842</v>
      </c>
      <c r="AM723" t="n">
        <v>90.00087000000001</v>
      </c>
      <c r="AN723" t="n">
        <v>89.44611999999999</v>
      </c>
      <c r="AO723" t="n">
        <v>91.02369</v>
      </c>
      <c r="AP723" t="n">
        <v>92.99898</v>
      </c>
      <c r="AQ723" t="n">
        <v/>
      </c>
      <c r="AR723" t="n">
        <v/>
      </c>
      <c r="AS723" t="n">
        <v>91.48746</v>
      </c>
      <c r="AT723" t="n">
        <v>95.05158</v>
      </c>
      <c r="AU723" t="n">
        <v>95.60283</v>
      </c>
      <c r="AV723" t="n">
        <v>63.05319</v>
      </c>
      <c r="AW723" t="n">
        <v>89.86095</v>
      </c>
      <c r="AX723" t="n">
        <v>74.08437000000001</v>
      </c>
    </row>
    <row r="724">
      <c r="A724" s="92" t="n">
        <v>39873</v>
      </c>
      <c r="B724" t="n">
        <v>88.85802</v>
      </c>
      <c r="C724" t="n">
        <v>90.44968</v>
      </c>
      <c r="D724" t="n">
        <v/>
      </c>
      <c r="E724" t="n">
        <v>90.94593</v>
      </c>
      <c r="F724" t="n">
        <v>100.9117</v>
      </c>
      <c r="G724" t="n">
        <v>87.78876</v>
      </c>
      <c r="H724" t="n">
        <v/>
      </c>
      <c r="I724" t="n">
        <v>83.3582</v>
      </c>
      <c r="J724" t="n">
        <v>76.10217</v>
      </c>
      <c r="K724" t="n">
        <v>96.3</v>
      </c>
      <c r="L724" t="n">
        <v>93.0133</v>
      </c>
      <c r="M724" t="n">
        <v>91.55405</v>
      </c>
      <c r="N724" t="n">
        <v>93.19</v>
      </c>
      <c r="O724" t="n">
        <v>94.91652999999999</v>
      </c>
      <c r="P724" t="n">
        <v>91.37645999999999</v>
      </c>
      <c r="Q724" t="n">
        <v/>
      </c>
      <c r="R724" t="n">
        <v>92.08347000000001</v>
      </c>
      <c r="S724" t="n">
        <v>94.39403</v>
      </c>
      <c r="T724" t="n">
        <v/>
      </c>
      <c r="U724" t="n">
        <v>91.90861</v>
      </c>
      <c r="V724" t="n">
        <v>88.5</v>
      </c>
      <c r="W724" t="n">
        <v>98.95017</v>
      </c>
      <c r="X724" t="n">
        <v>82.19383999999999</v>
      </c>
      <c r="Y724" t="n">
        <v/>
      </c>
      <c r="Z724" t="n">
        <v/>
      </c>
      <c r="AA724" t="n">
        <v>98.01675</v>
      </c>
      <c r="AB724" t="n">
        <v>79.6272</v>
      </c>
      <c r="AC724" t="n">
        <v>89.59001000000001</v>
      </c>
      <c r="AD724" t="n">
        <v>91.94088000000001</v>
      </c>
      <c r="AE724" t="n">
        <v>100.0024</v>
      </c>
      <c r="AF724" t="n">
        <v>88.83705</v>
      </c>
      <c r="AG724" t="n">
        <v>93.80159999999999</v>
      </c>
      <c r="AH724" t="n">
        <v>89.37914000000001</v>
      </c>
      <c r="AI724" t="n">
        <v>100.5449</v>
      </c>
      <c r="AJ724" t="n">
        <v>82.74893</v>
      </c>
      <c r="AK724" t="n">
        <v>89.93565</v>
      </c>
      <c r="AL724" t="n">
        <v>89.43234</v>
      </c>
      <c r="AM724" t="n">
        <v>90.33945</v>
      </c>
      <c r="AN724" t="n">
        <v>89.75519</v>
      </c>
      <c r="AO724" t="n">
        <v>91.37144000000001</v>
      </c>
      <c r="AP724" t="n">
        <v>94.25078000000001</v>
      </c>
      <c r="AQ724" t="n">
        <v/>
      </c>
      <c r="AR724" t="n">
        <v/>
      </c>
      <c r="AS724" t="n">
        <v>91.30488</v>
      </c>
      <c r="AT724" t="n">
        <v>96.3716</v>
      </c>
      <c r="AU724" t="n">
        <v>95.89773</v>
      </c>
      <c r="AV724" t="n">
        <v>63.0491</v>
      </c>
      <c r="AW724" t="n">
        <v>90.25476</v>
      </c>
      <c r="AX724" t="n">
        <v>75.10966000000001</v>
      </c>
    </row>
    <row r="725">
      <c r="A725" s="92" t="n">
        <v>39904</v>
      </c>
      <c r="B725" t="n">
        <v>89.02537</v>
      </c>
      <c r="C725" t="n">
        <v>90.59536</v>
      </c>
      <c r="D725" t="n">
        <v/>
      </c>
      <c r="E725" t="n">
        <v>91.15747</v>
      </c>
      <c r="F725" t="n">
        <v>101.8963</v>
      </c>
      <c r="G725" t="n">
        <v>87.70142</v>
      </c>
      <c r="H725" t="n">
        <v/>
      </c>
      <c r="I725" t="n">
        <v>83.58709</v>
      </c>
      <c r="J725" t="n">
        <v>76.2508</v>
      </c>
      <c r="K725" t="n">
        <v>96.3</v>
      </c>
      <c r="L725" t="n">
        <v>93.10386</v>
      </c>
      <c r="M725" t="n">
        <v>91.54281</v>
      </c>
      <c r="N725" t="n">
        <v>93.64</v>
      </c>
      <c r="O725" t="n">
        <v>96.29855999999999</v>
      </c>
      <c r="P725" t="n">
        <v>91.03592999999999</v>
      </c>
      <c r="Q725" t="n">
        <v/>
      </c>
      <c r="R725" t="n">
        <v>91.93747</v>
      </c>
      <c r="S725" t="n">
        <v>94.5767</v>
      </c>
      <c r="T725" t="n">
        <v/>
      </c>
      <c r="U725" t="n">
        <v>92.11091999999999</v>
      </c>
      <c r="V725" t="n">
        <v>88.8</v>
      </c>
      <c r="W725" t="n">
        <v>98.99344000000001</v>
      </c>
      <c r="X725" t="n">
        <v>82.94515</v>
      </c>
      <c r="Y725" t="n">
        <v/>
      </c>
      <c r="Z725" t="n">
        <v/>
      </c>
      <c r="AA725" t="n">
        <v>97.04984</v>
      </c>
      <c r="AB725" t="n">
        <v>79.82785</v>
      </c>
      <c r="AC725" t="n">
        <v>90.1974</v>
      </c>
      <c r="AD725" t="n">
        <v>92.23029</v>
      </c>
      <c r="AE725" t="n">
        <v>100.1522</v>
      </c>
      <c r="AF725" t="n">
        <v>88.75664999999999</v>
      </c>
      <c r="AG725" t="n">
        <v>93.8831</v>
      </c>
      <c r="AH725" t="n">
        <v>89.60231</v>
      </c>
      <c r="AI725" t="n">
        <v>100.5625</v>
      </c>
      <c r="AJ725" t="n">
        <v>83.02127</v>
      </c>
      <c r="AK725" t="n">
        <v>90.17225000000001</v>
      </c>
      <c r="AL725" t="n">
        <v>89.77643999999999</v>
      </c>
      <c r="AM725" t="n">
        <v>90.58642</v>
      </c>
      <c r="AN725" t="n">
        <v>90.07738000000001</v>
      </c>
      <c r="AO725" t="n">
        <v>91.71919</v>
      </c>
      <c r="AP725" t="n">
        <v>94.53225999999999</v>
      </c>
      <c r="AQ725" t="n">
        <v/>
      </c>
      <c r="AR725" t="n">
        <v/>
      </c>
      <c r="AS725" t="n">
        <v>91.41305</v>
      </c>
      <c r="AT725" t="n">
        <v>96.47161</v>
      </c>
      <c r="AU725" t="n">
        <v>96.08874</v>
      </c>
      <c r="AV725" t="n">
        <v>63.42493</v>
      </c>
      <c r="AW725" t="n">
        <v>90.46281</v>
      </c>
      <c r="AX725" t="n">
        <v>75.45121</v>
      </c>
    </row>
    <row r="726">
      <c r="A726" s="92" t="n">
        <v>39934</v>
      </c>
      <c r="B726" t="n">
        <v>89.27638</v>
      </c>
      <c r="C726" t="n">
        <v>90.67306000000001</v>
      </c>
      <c r="D726" t="n">
        <v/>
      </c>
      <c r="E726" t="n">
        <v>91.41319</v>
      </c>
      <c r="F726" t="n">
        <v>101.9071</v>
      </c>
      <c r="G726" t="n">
        <v>87.36951000000001</v>
      </c>
      <c r="H726" t="n">
        <v/>
      </c>
      <c r="I726" t="n">
        <v>83.77511</v>
      </c>
      <c r="J726" t="n">
        <v>76.40485</v>
      </c>
      <c r="K726" t="n">
        <v>96.40000000000001</v>
      </c>
      <c r="L726" t="n">
        <v>92.98088</v>
      </c>
      <c r="M726" t="n">
        <v>91.79366</v>
      </c>
      <c r="N726" t="n">
        <v>93.67</v>
      </c>
      <c r="O726" t="n">
        <v>96.25651999999999</v>
      </c>
      <c r="P726" t="n">
        <v>91.09269</v>
      </c>
      <c r="Q726" t="n">
        <v/>
      </c>
      <c r="R726" t="n">
        <v>91.77428999999999</v>
      </c>
      <c r="S726" t="n">
        <v>94.75454000000001</v>
      </c>
      <c r="T726" t="n">
        <v/>
      </c>
      <c r="U726" t="n">
        <v>92.14201</v>
      </c>
      <c r="V726" t="n">
        <v>89.09999999999999</v>
      </c>
      <c r="W726" t="n">
        <v>99.13451999999999</v>
      </c>
      <c r="X726" t="n">
        <v>83.32080999999999</v>
      </c>
      <c r="Y726" t="n">
        <v/>
      </c>
      <c r="Z726" t="n">
        <v/>
      </c>
      <c r="AA726" t="n">
        <v>96.69495000000001</v>
      </c>
      <c r="AB726" t="n">
        <v>80.67010000000001</v>
      </c>
      <c r="AC726" t="n">
        <v>90.70356</v>
      </c>
      <c r="AD726" t="n">
        <v>92.43737</v>
      </c>
      <c r="AE726" t="n">
        <v>100.0488</v>
      </c>
      <c r="AF726" t="n">
        <v>89.0772</v>
      </c>
      <c r="AG726" t="n">
        <v>93.6448</v>
      </c>
      <c r="AH726" t="n">
        <v>89.65191</v>
      </c>
      <c r="AI726" t="n">
        <v>100.1372</v>
      </c>
      <c r="AJ726" t="n">
        <v>83.03479</v>
      </c>
      <c r="AK726" t="n">
        <v>90.24938</v>
      </c>
      <c r="AL726" t="n">
        <v>89.91692999999999</v>
      </c>
      <c r="AM726" t="n">
        <v>90.65946</v>
      </c>
      <c r="AN726" t="n">
        <v>90.25226000000001</v>
      </c>
      <c r="AO726" t="n">
        <v>91.98</v>
      </c>
      <c r="AP726" t="n">
        <v>94.34395000000001</v>
      </c>
      <c r="AQ726" t="n">
        <v/>
      </c>
      <c r="AR726" t="n">
        <v/>
      </c>
      <c r="AS726" t="n">
        <v>91.35361</v>
      </c>
      <c r="AT726" t="n">
        <v>97.19162</v>
      </c>
      <c r="AU726" t="n">
        <v>95.68996</v>
      </c>
      <c r="AV726" t="n">
        <v>64.42169</v>
      </c>
      <c r="AW726" t="n">
        <v>90.45662</v>
      </c>
      <c r="AX726" t="n">
        <v>75.66077</v>
      </c>
    </row>
    <row r="727">
      <c r="A727" s="92" t="n">
        <v>39965</v>
      </c>
      <c r="B727" t="n">
        <v>89.02537</v>
      </c>
      <c r="C727" t="n">
        <v>90.8673</v>
      </c>
      <c r="D727" t="n">
        <v/>
      </c>
      <c r="E727" t="n">
        <v>91.37551000000001</v>
      </c>
      <c r="F727" t="n">
        <v>101.601</v>
      </c>
      <c r="G727" t="n">
        <v>87.37824000000001</v>
      </c>
      <c r="H727" t="n">
        <v/>
      </c>
      <c r="I727" t="n">
        <v>83.95496</v>
      </c>
      <c r="J727" t="n">
        <v>76.64895</v>
      </c>
      <c r="K727" t="n">
        <v>96.3</v>
      </c>
      <c r="L727" t="n">
        <v>93.03751</v>
      </c>
      <c r="M727" t="n">
        <v>91.76862</v>
      </c>
      <c r="N727" t="n">
        <v>93.63</v>
      </c>
      <c r="O727" t="n">
        <v>96.17245</v>
      </c>
      <c r="P727" t="n">
        <v>90.97917</v>
      </c>
      <c r="Q727" t="n">
        <v/>
      </c>
      <c r="R727" t="n">
        <v>91.75711</v>
      </c>
      <c r="S727" t="n">
        <v>94.75856</v>
      </c>
      <c r="T727" t="n">
        <v/>
      </c>
      <c r="U727" t="n">
        <v>92.16781</v>
      </c>
      <c r="V727" t="n">
        <v>89.2</v>
      </c>
      <c r="W727" t="n">
        <v>99.11131</v>
      </c>
      <c r="X727" t="n">
        <v>83.62134</v>
      </c>
      <c r="Y727" t="n">
        <v/>
      </c>
      <c r="Z727" t="n">
        <v/>
      </c>
      <c r="AA727" t="n">
        <v>96.19015</v>
      </c>
      <c r="AB727" t="n">
        <v>81.54004</v>
      </c>
      <c r="AC727" t="n">
        <v>91.51340999999999</v>
      </c>
      <c r="AD727" t="n">
        <v>92.35298</v>
      </c>
      <c r="AE727" t="n">
        <v>99.90604</v>
      </c>
      <c r="AF727" t="n">
        <v>89.23694999999999</v>
      </c>
      <c r="AG727" t="n">
        <v>93.46380000000001</v>
      </c>
      <c r="AH727" t="n">
        <v>89.83376</v>
      </c>
      <c r="AI727" t="n">
        <v>99.58471</v>
      </c>
      <c r="AJ727" t="n">
        <v>83.22973</v>
      </c>
      <c r="AK727" t="n">
        <v>89.71478</v>
      </c>
      <c r="AL727" t="n">
        <v>90.23963999999999</v>
      </c>
      <c r="AM727" t="n">
        <v>90.7039</v>
      </c>
      <c r="AN727" t="n">
        <v>90.28496</v>
      </c>
      <c r="AO727" t="n">
        <v>92.24081</v>
      </c>
      <c r="AP727" t="n">
        <v>94.4289</v>
      </c>
      <c r="AQ727" t="n">
        <v/>
      </c>
      <c r="AR727" t="n">
        <v/>
      </c>
      <c r="AS727" t="n">
        <v>91.71474000000001</v>
      </c>
      <c r="AT727" t="n">
        <v>97.72163</v>
      </c>
      <c r="AU727" t="n">
        <v>95.66985</v>
      </c>
      <c r="AV727" t="n">
        <v>64.82611</v>
      </c>
      <c r="AW727" t="n">
        <v>90.52061</v>
      </c>
      <c r="AX727" t="n">
        <v>75.93861</v>
      </c>
    </row>
    <row r="728">
      <c r="A728" s="92" t="n">
        <v>39995</v>
      </c>
      <c r="B728" t="n">
        <v>88.77436</v>
      </c>
      <c r="C728" t="n">
        <v>91.00327</v>
      </c>
      <c r="D728" t="n">
        <v/>
      </c>
      <c r="E728" t="n">
        <v>91.37093</v>
      </c>
      <c r="F728" t="n">
        <v>100.9977</v>
      </c>
      <c r="G728" t="n">
        <v>87.00266000000001</v>
      </c>
      <c r="H728" t="n">
        <v/>
      </c>
      <c r="I728" t="n">
        <v>84.10209999999999</v>
      </c>
      <c r="J728" t="n">
        <v>77.12954999999999</v>
      </c>
      <c r="K728" t="n">
        <v>96.5</v>
      </c>
      <c r="L728" t="n">
        <v>93.49346</v>
      </c>
      <c r="M728" t="n">
        <v>91.48035</v>
      </c>
      <c r="N728" t="n">
        <v>93.09999999999999</v>
      </c>
      <c r="O728" t="n">
        <v>94.8272</v>
      </c>
      <c r="P728" t="n">
        <v>91.31971</v>
      </c>
      <c r="Q728" t="n">
        <v/>
      </c>
      <c r="R728" t="n">
        <v>91.23323000000001</v>
      </c>
      <c r="S728" t="n">
        <v>94.44359</v>
      </c>
      <c r="T728" t="n">
        <v/>
      </c>
      <c r="U728" t="n">
        <v>92.18810000000001</v>
      </c>
      <c r="V728" t="n">
        <v>89.2</v>
      </c>
      <c r="W728" t="n">
        <v>98.16656</v>
      </c>
      <c r="X728" t="n">
        <v>85.49963</v>
      </c>
      <c r="Y728" t="n">
        <v/>
      </c>
      <c r="Z728" t="n">
        <v/>
      </c>
      <c r="AA728" t="n">
        <v>95.54429</v>
      </c>
      <c r="AB728" t="n">
        <v>81.40774999999999</v>
      </c>
      <c r="AC728" t="n">
        <v>92.32326999999999</v>
      </c>
      <c r="AD728" t="n">
        <v>92.54343</v>
      </c>
      <c r="AE728" t="n">
        <v>99.67749999999999</v>
      </c>
      <c r="AF728" t="n">
        <v>89.31734</v>
      </c>
      <c r="AG728" t="n">
        <v>93.2912</v>
      </c>
      <c r="AH728" t="n">
        <v>88.84184999999999</v>
      </c>
      <c r="AI728" t="n">
        <v>99.44978999999999</v>
      </c>
      <c r="AJ728" t="n">
        <v>83.49593</v>
      </c>
      <c r="AK728" t="n">
        <v>89.64948</v>
      </c>
      <c r="AL728" t="n">
        <v>89.68792999999999</v>
      </c>
      <c r="AM728" t="n">
        <v>90.71948</v>
      </c>
      <c r="AN728" t="n">
        <v>90.2522</v>
      </c>
      <c r="AO728" t="n">
        <v>92.58857</v>
      </c>
      <c r="AP728" t="n">
        <v>94.11360999999999</v>
      </c>
      <c r="AQ728" t="n">
        <v/>
      </c>
      <c r="AR728" t="n">
        <v/>
      </c>
      <c r="AS728" t="n">
        <v>91.97774</v>
      </c>
      <c r="AT728" t="n">
        <v>96.46160999999999</v>
      </c>
      <c r="AU728" t="n">
        <v>95.39507</v>
      </c>
      <c r="AV728" t="n">
        <v>65.33674999999999</v>
      </c>
      <c r="AW728" t="n">
        <v>90.54826</v>
      </c>
      <c r="AX728" t="n">
        <v>76.48974</v>
      </c>
    </row>
    <row r="729">
      <c r="A729" s="92" t="n">
        <v>40026</v>
      </c>
      <c r="B729" t="n">
        <v>89.19271000000001</v>
      </c>
      <c r="C729" t="n">
        <v>91.01299</v>
      </c>
      <c r="D729" t="n">
        <v/>
      </c>
      <c r="E729" t="n">
        <v>91.2272</v>
      </c>
      <c r="F729" t="n">
        <v>100.9762</v>
      </c>
      <c r="G729" t="n">
        <v>86.91531999999999</v>
      </c>
      <c r="H729" t="n">
        <v/>
      </c>
      <c r="I729" t="n">
        <v>84.20837</v>
      </c>
      <c r="J729" t="n">
        <v>77.27058</v>
      </c>
      <c r="K729" t="n">
        <v>96.40000000000001</v>
      </c>
      <c r="L729" t="n">
        <v>93.57877000000001</v>
      </c>
      <c r="M729" t="n">
        <v>91.61962</v>
      </c>
      <c r="N729" t="n">
        <v>93.42</v>
      </c>
      <c r="O729" t="n">
        <v>94.88815</v>
      </c>
      <c r="P729" t="n">
        <v>91.54673</v>
      </c>
      <c r="Q729" t="n">
        <v/>
      </c>
      <c r="R729" t="n">
        <v>91.61971</v>
      </c>
      <c r="S729" t="n">
        <v>95.05367</v>
      </c>
      <c r="T729" t="n">
        <v/>
      </c>
      <c r="U729" t="n">
        <v>92.34914000000001</v>
      </c>
      <c r="V729" t="n">
        <v>89.59999999999999</v>
      </c>
      <c r="W729" t="n">
        <v>97.20950999999999</v>
      </c>
      <c r="X729" t="n">
        <v>85.72502</v>
      </c>
      <c r="Y729" t="n">
        <v/>
      </c>
      <c r="Z729" t="n">
        <v/>
      </c>
      <c r="AA729" t="n">
        <v>95.89960000000001</v>
      </c>
      <c r="AB729" t="n">
        <v>81.54819000000001</v>
      </c>
      <c r="AC729" t="n">
        <v>92.62696</v>
      </c>
      <c r="AD729" t="n">
        <v>92.88602</v>
      </c>
      <c r="AE729" t="n">
        <v>99.78400000000001</v>
      </c>
      <c r="AF729" t="n">
        <v>89.39669000000001</v>
      </c>
      <c r="AG729" t="n">
        <v>93.2208</v>
      </c>
      <c r="AH729" t="n">
        <v>90.16439</v>
      </c>
      <c r="AI729" t="n">
        <v>98.73950000000001</v>
      </c>
      <c r="AJ729" t="n">
        <v>83.67994</v>
      </c>
      <c r="AK729" t="n">
        <v>89.91571999999999</v>
      </c>
      <c r="AL729" t="n">
        <v>89.50288</v>
      </c>
      <c r="AM729" t="n">
        <v>90.84789000000001</v>
      </c>
      <c r="AN729" t="n">
        <v>90.44139</v>
      </c>
      <c r="AO729" t="n">
        <v>92.58857</v>
      </c>
      <c r="AP729" t="n">
        <v>93.65940999999999</v>
      </c>
      <c r="AQ729" t="n">
        <v/>
      </c>
      <c r="AR729" t="n">
        <v/>
      </c>
      <c r="AS729" t="n">
        <v>92.0849</v>
      </c>
      <c r="AT729" t="n">
        <v>96.64161</v>
      </c>
      <c r="AU729" t="n">
        <v>95.54250999999999</v>
      </c>
      <c r="AV729" t="n">
        <v>65.27139</v>
      </c>
      <c r="AW729" t="n">
        <v>90.64981</v>
      </c>
      <c r="AX729" t="n">
        <v>76.76072000000001</v>
      </c>
    </row>
    <row r="730">
      <c r="A730" s="92" t="n">
        <v>40057</v>
      </c>
      <c r="B730" t="n">
        <v>89.36005</v>
      </c>
      <c r="C730" t="n">
        <v>91.07126</v>
      </c>
      <c r="D730" t="n">
        <v/>
      </c>
      <c r="E730" t="n">
        <v>91.56026</v>
      </c>
      <c r="F730" t="n">
        <v>101.0737</v>
      </c>
      <c r="G730" t="n">
        <v>87.16862</v>
      </c>
      <c r="H730" t="n">
        <v/>
      </c>
      <c r="I730" t="n">
        <v>84.25742</v>
      </c>
      <c r="J730" t="n">
        <v>77.45936</v>
      </c>
      <c r="K730" t="n">
        <v>96</v>
      </c>
      <c r="L730" t="n">
        <v>93.46693999999999</v>
      </c>
      <c r="M730" t="n">
        <v>92.06901000000001</v>
      </c>
      <c r="N730" t="n">
        <v>93.61</v>
      </c>
      <c r="O730" t="n">
        <v>94.83981</v>
      </c>
      <c r="P730" t="n">
        <v>91.717</v>
      </c>
      <c r="Q730" t="n">
        <v/>
      </c>
      <c r="R730" t="n">
        <v>91.97181999999999</v>
      </c>
      <c r="S730" t="n">
        <v>94.72648</v>
      </c>
      <c r="T730" t="n">
        <v/>
      </c>
      <c r="U730" t="n">
        <v>92.44838</v>
      </c>
      <c r="V730" t="n">
        <v>89.59999999999999</v>
      </c>
      <c r="W730" t="n">
        <v>99.71899000000001</v>
      </c>
      <c r="X730" t="n">
        <v>85.72502</v>
      </c>
      <c r="Y730" t="n">
        <v/>
      </c>
      <c r="Z730" t="n">
        <v/>
      </c>
      <c r="AA730" t="n">
        <v>95.7287</v>
      </c>
      <c r="AB730" t="n">
        <v>82.29789</v>
      </c>
      <c r="AC730" t="n">
        <v>92.52573</v>
      </c>
      <c r="AD730" t="n">
        <v>92.67138</v>
      </c>
      <c r="AE730" t="n">
        <v>99.81968999999999</v>
      </c>
      <c r="AF730" t="n">
        <v>89.55643999999999</v>
      </c>
      <c r="AG730" t="n">
        <v>94.22709999999999</v>
      </c>
      <c r="AH730" t="n">
        <v>90.17265999999999</v>
      </c>
      <c r="AI730" t="n">
        <v>98.95506</v>
      </c>
      <c r="AJ730" t="n">
        <v>83.99397</v>
      </c>
      <c r="AK730" t="n">
        <v>90.69301</v>
      </c>
      <c r="AL730" t="n">
        <v>90.44636</v>
      </c>
      <c r="AM730" t="n">
        <v>90.99757</v>
      </c>
      <c r="AN730" t="n">
        <v>90.5145</v>
      </c>
      <c r="AO730" t="n">
        <v>92.76244</v>
      </c>
      <c r="AP730" t="n">
        <v>94.08273</v>
      </c>
      <c r="AQ730" t="n">
        <v/>
      </c>
      <c r="AR730" t="n">
        <v/>
      </c>
      <c r="AS730" t="n">
        <v>92.12165</v>
      </c>
      <c r="AT730" t="n">
        <v>96.2816</v>
      </c>
      <c r="AU730" t="n">
        <v>96.37693</v>
      </c>
      <c r="AV730" t="n">
        <v>65.57777</v>
      </c>
      <c r="AW730" t="n">
        <v>90.87314000000001</v>
      </c>
      <c r="AX730" t="n">
        <v>76.99114</v>
      </c>
    </row>
    <row r="731">
      <c r="A731" s="92" t="n">
        <v>40087</v>
      </c>
      <c r="B731" t="n">
        <v>89.44372</v>
      </c>
      <c r="C731" t="n">
        <v>91.11982</v>
      </c>
      <c r="D731" t="n">
        <v/>
      </c>
      <c r="E731" t="n">
        <v>91.7406</v>
      </c>
      <c r="F731" t="n">
        <v>101.9572</v>
      </c>
      <c r="G731" t="n">
        <v>87.02887</v>
      </c>
      <c r="H731" t="n">
        <v/>
      </c>
      <c r="I731" t="n">
        <v>84.27377</v>
      </c>
      <c r="J731" t="n">
        <v>77.70345</v>
      </c>
      <c r="K731" t="n">
        <v>96.09999999999999</v>
      </c>
      <c r="L731" t="n">
        <v>93.47926</v>
      </c>
      <c r="M731" t="n">
        <v>92.15613999999999</v>
      </c>
      <c r="N731" t="n">
        <v>93.93000000000001</v>
      </c>
      <c r="O731" t="n">
        <v>95.86556</v>
      </c>
      <c r="P731" t="n">
        <v>91.66024</v>
      </c>
      <c r="Q731" t="n">
        <v/>
      </c>
      <c r="R731" t="n">
        <v>92.29817</v>
      </c>
      <c r="S731" t="n">
        <v>94.71389000000001</v>
      </c>
      <c r="T731" t="n">
        <v/>
      </c>
      <c r="U731" t="n">
        <v>92.58835000000001</v>
      </c>
      <c r="V731" t="n">
        <v>89.59999999999999</v>
      </c>
      <c r="W731" t="n">
        <v>100.116</v>
      </c>
      <c r="X731" t="n">
        <v>85.95041999999999</v>
      </c>
      <c r="Y731" t="n">
        <v/>
      </c>
      <c r="Z731" t="n">
        <v/>
      </c>
      <c r="AA731" t="n">
        <v>95.73862</v>
      </c>
      <c r="AB731" t="n">
        <v>83.3991</v>
      </c>
      <c r="AC731" t="n">
        <v>92.7282</v>
      </c>
      <c r="AD731" t="n">
        <v>92.8625</v>
      </c>
      <c r="AE731" t="n">
        <v>99.66718</v>
      </c>
      <c r="AF731" t="n">
        <v>89.55643999999999</v>
      </c>
      <c r="AG731" t="n">
        <v>94.634</v>
      </c>
      <c r="AH731" t="n">
        <v>90.21399</v>
      </c>
      <c r="AI731" t="n">
        <v>98.84233999999999</v>
      </c>
      <c r="AJ731" t="n">
        <v>84.24136</v>
      </c>
      <c r="AK731" t="n">
        <v>90.74032</v>
      </c>
      <c r="AL731" t="n">
        <v>90.44486000000001</v>
      </c>
      <c r="AM731" t="n">
        <v>91.21381</v>
      </c>
      <c r="AN731" t="n">
        <v>90.79498</v>
      </c>
      <c r="AO731" t="n">
        <v>92.93631999999999</v>
      </c>
      <c r="AP731" t="n">
        <v>94.24506</v>
      </c>
      <c r="AQ731" t="n">
        <v/>
      </c>
      <c r="AR731" t="n">
        <v/>
      </c>
      <c r="AS731" t="n">
        <v>92.42175</v>
      </c>
      <c r="AT731" t="n">
        <v>96.74162</v>
      </c>
      <c r="AU731" t="n">
        <v>96.6048</v>
      </c>
      <c r="AV731" t="n">
        <v>66.90542000000001</v>
      </c>
      <c r="AW731" t="n">
        <v>91.11835000000001</v>
      </c>
      <c r="AX731" t="n">
        <v>77.01027999999999</v>
      </c>
    </row>
    <row r="732">
      <c r="A732" s="92" t="n">
        <v>40118</v>
      </c>
      <c r="B732" t="n">
        <v>89.27638</v>
      </c>
      <c r="C732" t="n">
        <v>91.09068000000001</v>
      </c>
      <c r="D732" t="n">
        <v/>
      </c>
      <c r="E732" t="n">
        <v>91.79531</v>
      </c>
      <c r="F732" t="n">
        <v>102.0302</v>
      </c>
      <c r="G732" t="n">
        <v>86.81923999999999</v>
      </c>
      <c r="H732" t="n">
        <v/>
      </c>
      <c r="I732" t="n">
        <v>84.32281999999999</v>
      </c>
      <c r="J732" t="n">
        <v>77.70887999999999</v>
      </c>
      <c r="K732" t="n">
        <v>96</v>
      </c>
      <c r="L732" t="n">
        <v>93.23943</v>
      </c>
      <c r="M732" t="n">
        <v>91.99669</v>
      </c>
      <c r="N732" t="n">
        <v>93.84999999999999</v>
      </c>
      <c r="O732" t="n">
        <v>96.31432</v>
      </c>
      <c r="P732" t="n">
        <v>91.26295</v>
      </c>
      <c r="Q732" t="n">
        <v/>
      </c>
      <c r="R732" t="n">
        <v>91.989</v>
      </c>
      <c r="S732" t="n">
        <v>94.70307</v>
      </c>
      <c r="T732" t="n">
        <v/>
      </c>
      <c r="U732" t="n">
        <v>92.48917</v>
      </c>
      <c r="V732" t="n">
        <v>89.7</v>
      </c>
      <c r="W732" t="n">
        <v>100.5085</v>
      </c>
      <c r="X732" t="n">
        <v>86.02554000000001</v>
      </c>
      <c r="Y732" t="n">
        <v/>
      </c>
      <c r="Z732" t="n">
        <v/>
      </c>
      <c r="AA732" t="n">
        <v>95.6254</v>
      </c>
      <c r="AB732" t="n">
        <v>83.93340000000001</v>
      </c>
      <c r="AC732" t="n">
        <v>92.82942</v>
      </c>
      <c r="AD732" t="n">
        <v>92.74115</v>
      </c>
      <c r="AE732" t="n">
        <v>99.67037000000001</v>
      </c>
      <c r="AF732" t="n">
        <v>89.79553</v>
      </c>
      <c r="AG732" t="n">
        <v>94.6527</v>
      </c>
      <c r="AH732" t="n">
        <v>90.30492</v>
      </c>
      <c r="AI732" t="n">
        <v>98.09648</v>
      </c>
      <c r="AJ732" t="n">
        <v>84.46832999999999</v>
      </c>
      <c r="AK732" t="n">
        <v>90.55553999999999</v>
      </c>
      <c r="AL732" t="n">
        <v>90.44859</v>
      </c>
      <c r="AM732" t="n">
        <v>91.18600000000001</v>
      </c>
      <c r="AN732" t="n">
        <v>90.82662999999999</v>
      </c>
      <c r="AO732" t="n">
        <v>92.93631999999999</v>
      </c>
      <c r="AP732" t="n">
        <v>94.31559</v>
      </c>
      <c r="AQ732" t="n">
        <v/>
      </c>
      <c r="AR732" t="n">
        <v/>
      </c>
      <c r="AS732" t="n">
        <v>92.52522</v>
      </c>
      <c r="AT732" t="n">
        <v>97.22162</v>
      </c>
      <c r="AU732" t="n">
        <v>96.45065</v>
      </c>
      <c r="AV732" t="n">
        <v>67.40788000000001</v>
      </c>
      <c r="AW732" t="n">
        <v>90.97511</v>
      </c>
      <c r="AX732" t="n">
        <v>77.02527000000001</v>
      </c>
    </row>
    <row r="733">
      <c r="A733" s="92" t="n">
        <v>40148</v>
      </c>
      <c r="B733" t="n">
        <v>89.69473000000001</v>
      </c>
      <c r="C733" t="n">
        <v>91.30434</v>
      </c>
      <c r="D733" t="n">
        <v/>
      </c>
      <c r="E733" t="n">
        <v>91.54761000000001</v>
      </c>
      <c r="F733" t="n">
        <v>101.8807</v>
      </c>
      <c r="G733" t="n">
        <v>86.66203</v>
      </c>
      <c r="H733" t="n">
        <v/>
      </c>
      <c r="I733" t="n">
        <v>84.43727</v>
      </c>
      <c r="J733" t="n">
        <v>78.24590000000001</v>
      </c>
      <c r="K733" t="n">
        <v>95.8</v>
      </c>
      <c r="L733" t="n">
        <v>94.2178</v>
      </c>
      <c r="M733" t="n">
        <v>91.88500000000001</v>
      </c>
      <c r="N733" t="n">
        <v>94.29000000000001</v>
      </c>
      <c r="O733" t="n">
        <v>96.33009</v>
      </c>
      <c r="P733" t="n">
        <v>91.2062</v>
      </c>
      <c r="Q733" t="n">
        <v/>
      </c>
      <c r="R733" t="n">
        <v>92.10065</v>
      </c>
      <c r="S733" t="n">
        <v>95.08273</v>
      </c>
      <c r="T733" t="n">
        <v/>
      </c>
      <c r="U733" t="n">
        <v>92.51599</v>
      </c>
      <c r="V733" t="n">
        <v>90</v>
      </c>
      <c r="W733" t="n">
        <v>101.0015</v>
      </c>
      <c r="X733" t="n">
        <v>86.02554000000001</v>
      </c>
      <c r="Y733" t="n">
        <v/>
      </c>
      <c r="Z733" t="n">
        <v/>
      </c>
      <c r="AA733" t="n">
        <v>95.09165</v>
      </c>
      <c r="AB733" t="n">
        <v>84.56297000000001</v>
      </c>
      <c r="AC733" t="n">
        <v>92.82942</v>
      </c>
      <c r="AD733" t="n">
        <v>93.03319999999999</v>
      </c>
      <c r="AE733" t="n">
        <v>99.42563</v>
      </c>
      <c r="AF733" t="n">
        <v>89.95634</v>
      </c>
      <c r="AG733" t="n">
        <v>94.31870000000001</v>
      </c>
      <c r="AH733" t="n">
        <v>90.24706</v>
      </c>
      <c r="AI733" t="n">
        <v>97.41507</v>
      </c>
      <c r="AJ733" t="n">
        <v>84.86989</v>
      </c>
      <c r="AK733" t="n">
        <v>89.85471</v>
      </c>
      <c r="AL733" t="n">
        <v>90.73368000000001</v>
      </c>
      <c r="AM733" t="n">
        <v>91.2161</v>
      </c>
      <c r="AN733" t="n">
        <v>91.07711</v>
      </c>
      <c r="AO733" t="n">
        <v>92.76244</v>
      </c>
      <c r="AP733" t="n">
        <v>94.46084999999999</v>
      </c>
      <c r="AQ733" t="n">
        <v/>
      </c>
      <c r="AR733" t="n">
        <v/>
      </c>
      <c r="AS733" t="n">
        <v>92.47356000000001</v>
      </c>
      <c r="AT733" t="n">
        <v>96.72161</v>
      </c>
      <c r="AU733" t="n">
        <v>96.63831</v>
      </c>
      <c r="AV733" t="n">
        <v>67.17912</v>
      </c>
      <c r="AW733" t="n">
        <v>90.82689999999999</v>
      </c>
      <c r="AX733" t="n">
        <v>77.14125</v>
      </c>
    </row>
    <row r="734">
      <c r="A734" s="92" t="n">
        <v>40179</v>
      </c>
      <c r="B734" t="n">
        <v>89.02537</v>
      </c>
      <c r="C734" t="n">
        <v>91.29463</v>
      </c>
      <c r="D734" t="n">
        <v/>
      </c>
      <c r="E734" t="n">
        <v>91.51464</v>
      </c>
      <c r="F734" t="n">
        <v>101.3056</v>
      </c>
      <c r="G734" t="n">
        <v>87.35204</v>
      </c>
      <c r="H734" t="n">
        <v/>
      </c>
      <c r="I734" t="n">
        <v>85.02585999999999</v>
      </c>
      <c r="J734" t="n">
        <v>79.65622999999999</v>
      </c>
      <c r="K734" t="n">
        <v>96.40000000000001</v>
      </c>
      <c r="L734" t="n">
        <v>93.09593</v>
      </c>
      <c r="M734" t="n">
        <v>91.67908</v>
      </c>
      <c r="N734" t="n">
        <v>92.79000000000001</v>
      </c>
      <c r="O734" t="n">
        <v>94.49614</v>
      </c>
      <c r="P734" t="n">
        <v>90.80891</v>
      </c>
      <c r="Q734" t="n">
        <v/>
      </c>
      <c r="R734" t="n">
        <v>92.06629</v>
      </c>
      <c r="S734" t="n">
        <v>94.4006</v>
      </c>
      <c r="T734" t="n">
        <v/>
      </c>
      <c r="U734" t="n">
        <v>92.3185</v>
      </c>
      <c r="V734" t="n">
        <v>89.59999999999999</v>
      </c>
      <c r="W734" t="n">
        <v>99.54024</v>
      </c>
      <c r="X734" t="n">
        <v>86.47633</v>
      </c>
      <c r="Y734" t="n">
        <v/>
      </c>
      <c r="Z734" t="n">
        <v/>
      </c>
      <c r="AA734" t="n">
        <v>94.12912</v>
      </c>
      <c r="AB734" t="n">
        <v>83.68536</v>
      </c>
      <c r="AC734" t="n">
        <v>92.22204000000001</v>
      </c>
      <c r="AD734" t="n">
        <v>93.13208</v>
      </c>
      <c r="AE734" t="n">
        <v>99.02911</v>
      </c>
      <c r="AF734" t="n">
        <v>90.17956</v>
      </c>
      <c r="AG734" t="n">
        <v>94.06399999999999</v>
      </c>
      <c r="AH734" t="n">
        <v>89.18075</v>
      </c>
      <c r="AI734" t="n">
        <v>96.77958</v>
      </c>
      <c r="AJ734" t="n">
        <v>85.65691</v>
      </c>
      <c r="AK734" t="n">
        <v>89.81001000000001</v>
      </c>
      <c r="AL734" t="n">
        <v>90.34321</v>
      </c>
      <c r="AM734" t="n">
        <v>91.07617</v>
      </c>
      <c r="AN734" t="n">
        <v>90.60512</v>
      </c>
      <c r="AO734" t="n">
        <v>93.02325</v>
      </c>
      <c r="AP734" t="n">
        <v>93.50288</v>
      </c>
      <c r="AQ734" t="n">
        <v/>
      </c>
      <c r="AR734" t="n">
        <v/>
      </c>
      <c r="AS734" t="n">
        <v>92.72063</v>
      </c>
      <c r="AT734" t="n">
        <v>95.03158999999999</v>
      </c>
      <c r="AU734" t="n">
        <v>95.05996</v>
      </c>
      <c r="AV734" t="n">
        <v>68.22081</v>
      </c>
      <c r="AW734" t="n">
        <v>90.85209</v>
      </c>
      <c r="AX734" t="n">
        <v>77.42055999999999</v>
      </c>
    </row>
    <row r="735">
      <c r="A735" s="92" t="n">
        <v>40210</v>
      </c>
      <c r="B735" t="n">
        <v>89.36005</v>
      </c>
      <c r="C735" t="n">
        <v>91.73168</v>
      </c>
      <c r="D735" t="n">
        <v/>
      </c>
      <c r="E735" t="n">
        <v>92.12752999999999</v>
      </c>
      <c r="F735" t="n">
        <v>101.5171</v>
      </c>
      <c r="G735" t="n">
        <v>87.51481</v>
      </c>
      <c r="H735" t="n">
        <v/>
      </c>
      <c r="I735" t="n">
        <v>85.50816</v>
      </c>
      <c r="J735" t="n">
        <v>80.27896</v>
      </c>
      <c r="K735" t="n">
        <v>96.40000000000001</v>
      </c>
      <c r="L735" t="n">
        <v>93.63281000000001</v>
      </c>
      <c r="M735" t="n">
        <v>92.85413</v>
      </c>
      <c r="N735" t="n">
        <v>93.2</v>
      </c>
      <c r="O735" t="n">
        <v>94.38052999999999</v>
      </c>
      <c r="P735" t="n">
        <v>90.92242</v>
      </c>
      <c r="Q735" t="n">
        <v/>
      </c>
      <c r="R735" t="n">
        <v>92.43828000000001</v>
      </c>
      <c r="S735" t="n">
        <v>95.06469</v>
      </c>
      <c r="T735" t="n">
        <v/>
      </c>
      <c r="U735" t="n">
        <v>92.56614</v>
      </c>
      <c r="V735" t="n">
        <v>89.90000000000001</v>
      </c>
      <c r="W735" t="n">
        <v>98.07042</v>
      </c>
      <c r="X735" t="n">
        <v>86.77686</v>
      </c>
      <c r="Y735" t="n">
        <v/>
      </c>
      <c r="Z735" t="n">
        <v/>
      </c>
      <c r="AA735" t="n">
        <v>94.74665</v>
      </c>
      <c r="AB735" t="n">
        <v>84.71884</v>
      </c>
      <c r="AC735" t="n">
        <v>92.01957</v>
      </c>
      <c r="AD735" t="n">
        <v>93.19933</v>
      </c>
      <c r="AE735" t="n">
        <v>98.9449</v>
      </c>
      <c r="AF735" t="n">
        <v>90.36152</v>
      </c>
      <c r="AG735" t="n">
        <v>93.64230000000001</v>
      </c>
      <c r="AH735" t="n">
        <v>90.61075</v>
      </c>
      <c r="AI735" t="n">
        <v>96.33632</v>
      </c>
      <c r="AJ735" t="n">
        <v>86.13906</v>
      </c>
      <c r="AK735" t="n">
        <v>90.43016</v>
      </c>
      <c r="AL735" t="n">
        <v>90.86381</v>
      </c>
      <c r="AM735" t="n">
        <v>91.30164000000001</v>
      </c>
      <c r="AN735" t="n">
        <v>90.86926</v>
      </c>
      <c r="AO735" t="n">
        <v>93.02325</v>
      </c>
      <c r="AP735" t="n">
        <v>93.53779</v>
      </c>
      <c r="AQ735" t="n">
        <v/>
      </c>
      <c r="AR735" t="n">
        <v/>
      </c>
      <c r="AS735" t="n">
        <v>92.67151</v>
      </c>
      <c r="AT735" t="n">
        <v>95.30159</v>
      </c>
      <c r="AU735" t="n">
        <v>95.43863</v>
      </c>
      <c r="AV735" t="n">
        <v>68.20856000000001</v>
      </c>
      <c r="AW735" t="n">
        <v>91.06509</v>
      </c>
      <c r="AX735" t="n">
        <v>77.97636</v>
      </c>
    </row>
    <row r="736">
      <c r="A736" s="92" t="n">
        <v>40238</v>
      </c>
      <c r="B736" t="n">
        <v>90.19674999999999</v>
      </c>
      <c r="C736" t="n">
        <v>91.62485</v>
      </c>
      <c r="D736" t="n">
        <v/>
      </c>
      <c r="E736" t="n">
        <v>91.85691</v>
      </c>
      <c r="F736" t="n">
        <v>101.4035</v>
      </c>
      <c r="G736" t="n">
        <v>87.39545</v>
      </c>
      <c r="H736" t="n">
        <v/>
      </c>
      <c r="I736" t="n">
        <v>85.60626000000001</v>
      </c>
      <c r="J736" t="n">
        <v>80.55669</v>
      </c>
      <c r="K736" t="n">
        <v>96.3</v>
      </c>
      <c r="L736" t="n">
        <v>93.81556999999999</v>
      </c>
      <c r="M736" t="n">
        <v>93.31057</v>
      </c>
      <c r="N736" t="n">
        <v>94.23</v>
      </c>
      <c r="O736" t="n">
        <v>95.03843999999999</v>
      </c>
      <c r="P736" t="n">
        <v>91.43322000000001</v>
      </c>
      <c r="Q736" t="n">
        <v/>
      </c>
      <c r="R736" t="n">
        <v>92.71726</v>
      </c>
      <c r="S736" t="n">
        <v>95.4014</v>
      </c>
      <c r="T736" t="n">
        <v/>
      </c>
      <c r="U736" t="n">
        <v>92.75582</v>
      </c>
      <c r="V736" t="n">
        <v>90.2</v>
      </c>
      <c r="W736" t="n">
        <v>101.3259</v>
      </c>
      <c r="X736" t="n">
        <v>87.15252</v>
      </c>
      <c r="Y736" t="n">
        <v/>
      </c>
      <c r="Z736" t="n">
        <v/>
      </c>
      <c r="AA736" t="n">
        <v>94.59428</v>
      </c>
      <c r="AB736" t="n">
        <v>85.14091000000001</v>
      </c>
      <c r="AC736" t="n">
        <v>92.22204000000001</v>
      </c>
      <c r="AD736" t="n">
        <v>93.40485</v>
      </c>
      <c r="AE736" t="n">
        <v>99.14011000000001</v>
      </c>
      <c r="AF736" t="n">
        <v>90.36152</v>
      </c>
      <c r="AG736" t="n">
        <v>93.7963</v>
      </c>
      <c r="AH736" t="n">
        <v>90.82567</v>
      </c>
      <c r="AI736" t="n">
        <v>96.53883999999999</v>
      </c>
      <c r="AJ736" t="n">
        <v>86.54886999999999</v>
      </c>
      <c r="AK736" t="n">
        <v>91.60120000000001</v>
      </c>
      <c r="AL736" t="n">
        <v>91.04356</v>
      </c>
      <c r="AM736" t="n">
        <v>91.55251</v>
      </c>
      <c r="AN736" t="n">
        <v>91.26781</v>
      </c>
      <c r="AO736" t="n">
        <v>93.19713</v>
      </c>
      <c r="AP736" t="n">
        <v>94.73126000000001</v>
      </c>
      <c r="AQ736" t="n">
        <v/>
      </c>
      <c r="AR736" t="n">
        <v/>
      </c>
      <c r="AS736" t="n">
        <v>92.65272</v>
      </c>
      <c r="AT736" t="n">
        <v>96.45161</v>
      </c>
      <c r="AU736" t="n">
        <v>95.85081</v>
      </c>
      <c r="AV736" t="n">
        <v>68.61297999999999</v>
      </c>
      <c r="AW736" t="n">
        <v>91.25375</v>
      </c>
      <c r="AX736" t="n">
        <v>78.79164</v>
      </c>
    </row>
    <row r="737">
      <c r="A737" s="92" t="n">
        <v>40269</v>
      </c>
      <c r="B737" t="n">
        <v>90.19674999999999</v>
      </c>
      <c r="C737" t="n">
        <v>91.67341</v>
      </c>
      <c r="D737" t="n">
        <v/>
      </c>
      <c r="E737" t="n">
        <v>92.18537000000001</v>
      </c>
      <c r="F737" t="n">
        <v>102.2989</v>
      </c>
      <c r="G737" t="n">
        <v>87.57992</v>
      </c>
      <c r="H737" t="n">
        <v/>
      </c>
      <c r="I737" t="n">
        <v>85.67166</v>
      </c>
      <c r="J737" t="n">
        <v>80.57187999999999</v>
      </c>
      <c r="K737" t="n">
        <v>96.5</v>
      </c>
      <c r="L737" t="n">
        <v>93.71722</v>
      </c>
      <c r="M737" t="n">
        <v>93.31062</v>
      </c>
      <c r="N737" t="n">
        <v>94.43000000000001</v>
      </c>
      <c r="O737" t="n">
        <v>96.14617</v>
      </c>
      <c r="P737" t="n">
        <v>91.37645999999999</v>
      </c>
      <c r="Q737" t="n">
        <v/>
      </c>
      <c r="R737" t="n">
        <v>92.90326</v>
      </c>
      <c r="S737" t="n">
        <v>95.38337</v>
      </c>
      <c r="T737" t="n">
        <v/>
      </c>
      <c r="U737" t="n">
        <v>92.79518</v>
      </c>
      <c r="V737" t="n">
        <v>90.59999999999999</v>
      </c>
      <c r="W737" t="n">
        <v>102.3152</v>
      </c>
      <c r="X737" t="n">
        <v>87.52818000000001</v>
      </c>
      <c r="Y737" t="n">
        <v/>
      </c>
      <c r="Z737" t="n">
        <v/>
      </c>
      <c r="AA737" t="n">
        <v>94.74329</v>
      </c>
      <c r="AB737" t="n">
        <v>85.17216000000001</v>
      </c>
      <c r="AC737" t="n">
        <v>92.82942</v>
      </c>
      <c r="AD737" t="n">
        <v>93.70838000000001</v>
      </c>
      <c r="AE737" t="n">
        <v>98.82810000000001</v>
      </c>
      <c r="AF737" t="n">
        <v>90.4525</v>
      </c>
      <c r="AG737" t="n">
        <v>93.73090000000001</v>
      </c>
      <c r="AH737" t="n">
        <v>90.76781</v>
      </c>
      <c r="AI737" t="n">
        <v>96.54601</v>
      </c>
      <c r="AJ737" t="n">
        <v>86.57886000000001</v>
      </c>
      <c r="AK737" t="n">
        <v>91.85252</v>
      </c>
      <c r="AL737" t="n">
        <v>91.33083000000001</v>
      </c>
      <c r="AM737" t="n">
        <v>91.68510000000001</v>
      </c>
      <c r="AN737" t="n">
        <v>91.56245</v>
      </c>
      <c r="AO737" t="n">
        <v>93.37101</v>
      </c>
      <c r="AP737" t="n">
        <v>94.92223</v>
      </c>
      <c r="AQ737" t="n">
        <v/>
      </c>
      <c r="AR737" t="n">
        <v/>
      </c>
      <c r="AS737" t="n">
        <v>92.70714</v>
      </c>
      <c r="AT737" t="n">
        <v>97.35162</v>
      </c>
      <c r="AU737" t="n">
        <v>96.04852</v>
      </c>
      <c r="AV737" t="n">
        <v>69.25842</v>
      </c>
      <c r="AW737" t="n">
        <v>91.29791</v>
      </c>
      <c r="AX737" t="n">
        <v>78.77193</v>
      </c>
    </row>
    <row r="738">
      <c r="A738" s="92" t="n">
        <v>40299</v>
      </c>
      <c r="B738" t="n">
        <v>90.36409999999999</v>
      </c>
      <c r="C738" t="n">
        <v>91.95506</v>
      </c>
      <c r="D738" t="n">
        <v/>
      </c>
      <c r="E738" t="n">
        <v>92.34081999999999</v>
      </c>
      <c r="F738" t="n">
        <v>102.1918</v>
      </c>
      <c r="G738" t="n">
        <v>87.69928</v>
      </c>
      <c r="H738" t="n">
        <v/>
      </c>
      <c r="I738" t="n">
        <v>85.81881</v>
      </c>
      <c r="J738" t="n">
        <v>80.79752999999999</v>
      </c>
      <c r="K738" t="n">
        <v>96.7</v>
      </c>
      <c r="L738" t="n">
        <v>93.65703999999999</v>
      </c>
      <c r="M738" t="n">
        <v>93.32013999999999</v>
      </c>
      <c r="N738" t="n">
        <v>94.53</v>
      </c>
      <c r="O738" t="n">
        <v>96.36476999999999</v>
      </c>
      <c r="P738" t="n">
        <v>91.43322000000001</v>
      </c>
      <c r="Q738" t="n">
        <v/>
      </c>
      <c r="R738" t="n">
        <v>92.99625</v>
      </c>
      <c r="S738" t="n">
        <v>95.45741</v>
      </c>
      <c r="T738" t="n">
        <v/>
      </c>
      <c r="U738" t="n">
        <v>92.81480000000001</v>
      </c>
      <c r="V738" t="n">
        <v>90.8</v>
      </c>
      <c r="W738" t="n">
        <v>103.0773</v>
      </c>
      <c r="X738" t="n">
        <v>87.6033</v>
      </c>
      <c r="Y738" t="n">
        <v/>
      </c>
      <c r="Z738" t="n">
        <v/>
      </c>
      <c r="AA738" t="n">
        <v>95.12145</v>
      </c>
      <c r="AB738" t="n">
        <v>85.75152</v>
      </c>
      <c r="AC738" t="n">
        <v>93.23435000000001</v>
      </c>
      <c r="AD738" t="n">
        <v>93.70677000000001</v>
      </c>
      <c r="AE738" t="n">
        <v>98.77153</v>
      </c>
      <c r="AF738" t="n">
        <v>90.63446</v>
      </c>
      <c r="AG738" t="n">
        <v>93.5806</v>
      </c>
      <c r="AH738" t="n">
        <v>90.82567</v>
      </c>
      <c r="AI738" t="n">
        <v>96.26467</v>
      </c>
      <c r="AJ738" t="n">
        <v>86.59384</v>
      </c>
      <c r="AK738" t="n">
        <v>91.91754</v>
      </c>
      <c r="AL738" t="n">
        <v>91.35646</v>
      </c>
      <c r="AM738" t="n">
        <v>91.76508</v>
      </c>
      <c r="AN738" t="n">
        <v>91.73917</v>
      </c>
      <c r="AO738" t="n">
        <v>93.45795</v>
      </c>
      <c r="AP738" t="n">
        <v>95.04839</v>
      </c>
      <c r="AQ738" t="n">
        <v/>
      </c>
      <c r="AR738" t="n">
        <v/>
      </c>
      <c r="AS738" t="n">
        <v>92.65951</v>
      </c>
      <c r="AT738" t="n">
        <v>97.51163</v>
      </c>
      <c r="AU738" t="n">
        <v>96.36018</v>
      </c>
      <c r="AV738" t="n">
        <v>70.30419999999999</v>
      </c>
      <c r="AW738" t="n">
        <v>91.30906</v>
      </c>
      <c r="AX738" t="n">
        <v>78.83421</v>
      </c>
    </row>
    <row r="739">
      <c r="A739" s="92" t="n">
        <v>40330</v>
      </c>
      <c r="B739" t="n">
        <v>90.53143</v>
      </c>
      <c r="C739" t="n">
        <v>92.03276</v>
      </c>
      <c r="D739" t="n">
        <v/>
      </c>
      <c r="E739" t="n">
        <v>92.39471</v>
      </c>
      <c r="F739" t="n">
        <v>101.82</v>
      </c>
      <c r="G739" t="n">
        <v>87.90545</v>
      </c>
      <c r="H739" t="n">
        <v/>
      </c>
      <c r="I739" t="n">
        <v>85.94143</v>
      </c>
      <c r="J739" t="n">
        <v>80.86696999999999</v>
      </c>
      <c r="K739" t="n">
        <v>96.59999999999999</v>
      </c>
      <c r="L739" t="n">
        <v>93.70519</v>
      </c>
      <c r="M739" t="n">
        <v>93.23725</v>
      </c>
      <c r="N739" t="n">
        <v>94.55</v>
      </c>
      <c r="O739" t="n">
        <v>96.44569</v>
      </c>
      <c r="P739" t="n">
        <v>92.11429</v>
      </c>
      <c r="Q739" t="n">
        <v/>
      </c>
      <c r="R739" t="n">
        <v>93.18225</v>
      </c>
      <c r="S739" t="n">
        <v>95.53722</v>
      </c>
      <c r="T739" t="n">
        <v/>
      </c>
      <c r="U739" t="n">
        <v>92.83790999999999</v>
      </c>
      <c r="V739" t="n">
        <v>91</v>
      </c>
      <c r="W739" t="n">
        <v>103.1176</v>
      </c>
      <c r="X739" t="n">
        <v>87.6033</v>
      </c>
      <c r="Y739" t="n">
        <v/>
      </c>
      <c r="Z739" t="n">
        <v/>
      </c>
      <c r="AA739" t="n">
        <v>95.0788</v>
      </c>
      <c r="AB739" t="n">
        <v>86.03985</v>
      </c>
      <c r="AC739" t="n">
        <v>93.84174</v>
      </c>
      <c r="AD739" t="n">
        <v>93.74418</v>
      </c>
      <c r="AE739" t="n">
        <v>98.58611999999999</v>
      </c>
      <c r="AF739" t="n">
        <v>90.72439</v>
      </c>
      <c r="AG739" t="n">
        <v>93.6786</v>
      </c>
      <c r="AH739" t="n">
        <v>90.94965000000001</v>
      </c>
      <c r="AI739" t="n">
        <v>96.15723</v>
      </c>
      <c r="AJ739" t="n">
        <v>86.76854</v>
      </c>
      <c r="AK739" t="n">
        <v>91.36179</v>
      </c>
      <c r="AL739" t="n">
        <v>91.6454</v>
      </c>
      <c r="AM739" t="n">
        <v>91.80209000000001</v>
      </c>
      <c r="AN739" t="n">
        <v>91.80391</v>
      </c>
      <c r="AO739" t="n">
        <v>93.63182</v>
      </c>
      <c r="AP739" t="n">
        <v>95.14834999999999</v>
      </c>
      <c r="AQ739" t="n">
        <v/>
      </c>
      <c r="AR739" t="n">
        <v/>
      </c>
      <c r="AS739" t="n">
        <v>92.74751999999999</v>
      </c>
      <c r="AT739" t="n">
        <v>97.88163</v>
      </c>
      <c r="AU739" t="n">
        <v>96.39703</v>
      </c>
      <c r="AV739" t="n">
        <v>70.46352</v>
      </c>
      <c r="AW739" t="n">
        <v>91.33878</v>
      </c>
      <c r="AX739" t="n">
        <v>79.02137</v>
      </c>
    </row>
    <row r="740">
      <c r="A740" s="92" t="n">
        <v>40360</v>
      </c>
      <c r="B740" t="n">
        <v>90.11308</v>
      </c>
      <c r="C740" t="n">
        <v>92.22701000000001</v>
      </c>
      <c r="D740" t="n">
        <v/>
      </c>
      <c r="E740" t="n">
        <v>92.56335</v>
      </c>
      <c r="F740" t="n">
        <v>101.1152</v>
      </c>
      <c r="G740" t="n">
        <v>88.44801</v>
      </c>
      <c r="H740" t="n">
        <v/>
      </c>
      <c r="I740" t="n">
        <v>85.9823</v>
      </c>
      <c r="J740" t="n">
        <v>81.16204999999999</v>
      </c>
      <c r="K740" t="n">
        <v>96.90000000000001</v>
      </c>
      <c r="L740" t="n">
        <v>94.05037</v>
      </c>
      <c r="M740" t="n">
        <v>92.96693</v>
      </c>
      <c r="N740" t="n">
        <v>93.98999999999999</v>
      </c>
      <c r="O740" t="n">
        <v>95.57444</v>
      </c>
      <c r="P740" t="n">
        <v>92.17104</v>
      </c>
      <c r="Q740" t="n">
        <v/>
      </c>
      <c r="R740" t="n">
        <v>92.34528</v>
      </c>
      <c r="S740" t="n">
        <v>95.29666</v>
      </c>
      <c r="T740" t="n">
        <v/>
      </c>
      <c r="U740" t="n">
        <v>92.82496999999999</v>
      </c>
      <c r="V740" t="n">
        <v>90.8</v>
      </c>
      <c r="W740" t="n">
        <v>102.3818</v>
      </c>
      <c r="X740" t="n">
        <v>87.67843999999999</v>
      </c>
      <c r="Y740" t="n">
        <v/>
      </c>
      <c r="Z740" t="n">
        <v/>
      </c>
      <c r="AA740" t="n">
        <v>95.06013</v>
      </c>
      <c r="AB740" t="n">
        <v>85.30585000000001</v>
      </c>
      <c r="AC740" t="n">
        <v>94.24666999999999</v>
      </c>
      <c r="AD740" t="n">
        <v>94.12634</v>
      </c>
      <c r="AE740" t="n">
        <v>98.22939</v>
      </c>
      <c r="AF740" t="n">
        <v>90.90741</v>
      </c>
      <c r="AG740" t="n">
        <v>93.33410000000001</v>
      </c>
      <c r="AH740" t="n">
        <v>90.5033</v>
      </c>
      <c r="AI740" t="n">
        <v>95.80110000000001</v>
      </c>
      <c r="AJ740" t="n">
        <v>86.97413</v>
      </c>
      <c r="AK740" t="n">
        <v>90.89715</v>
      </c>
      <c r="AL740" t="n">
        <v>91.07026</v>
      </c>
      <c r="AM740" t="n">
        <v>91.77243</v>
      </c>
      <c r="AN740" t="n">
        <v>91.68478</v>
      </c>
      <c r="AO740" t="n">
        <v>93.71876</v>
      </c>
      <c r="AP740" t="n">
        <v>95.26298</v>
      </c>
      <c r="AQ740" t="n">
        <v/>
      </c>
      <c r="AR740" t="n">
        <v/>
      </c>
      <c r="AS740" t="n">
        <v>92.82040000000001</v>
      </c>
      <c r="AT740" t="n">
        <v>96.50161</v>
      </c>
      <c r="AU740" t="n">
        <v>96.15911</v>
      </c>
      <c r="AV740" t="n">
        <v>70.12038</v>
      </c>
      <c r="AW740" t="n">
        <v>91.33589000000001</v>
      </c>
      <c r="AX740" t="n">
        <v>79.18138</v>
      </c>
    </row>
    <row r="741">
      <c r="A741" s="92" t="n">
        <v>40391</v>
      </c>
      <c r="B741" t="n">
        <v>90.28043</v>
      </c>
      <c r="C741" t="n">
        <v>92.27557</v>
      </c>
      <c r="D741" t="n">
        <v/>
      </c>
      <c r="E741" t="n">
        <v>92.56183</v>
      </c>
      <c r="F741" t="n">
        <v>101.0729</v>
      </c>
      <c r="G741" t="n">
        <v>87.85120000000001</v>
      </c>
      <c r="H741" t="n">
        <v/>
      </c>
      <c r="I741" t="n">
        <v>86.12127</v>
      </c>
      <c r="J741" t="n">
        <v>81.31068</v>
      </c>
      <c r="K741" t="n">
        <v>96.8</v>
      </c>
      <c r="L741" t="n">
        <v>94.25694</v>
      </c>
      <c r="M741" t="n">
        <v>93.42699</v>
      </c>
      <c r="N741" t="n">
        <v>94.31</v>
      </c>
      <c r="O741" t="n">
        <v>95.84349</v>
      </c>
      <c r="P741" t="n">
        <v>92.51157000000001</v>
      </c>
      <c r="Q741" t="n">
        <v/>
      </c>
      <c r="R741" t="n">
        <v>92.90326</v>
      </c>
      <c r="S741" t="n">
        <v>95.76244</v>
      </c>
      <c r="T741" t="n">
        <v/>
      </c>
      <c r="U741" t="n">
        <v>92.99124</v>
      </c>
      <c r="V741" t="n">
        <v>91.3</v>
      </c>
      <c r="W741" t="n">
        <v>101.232</v>
      </c>
      <c r="X741" t="n">
        <v>87.75357</v>
      </c>
      <c r="Y741" t="n">
        <v/>
      </c>
      <c r="Z741" t="n">
        <v/>
      </c>
      <c r="AA741" t="n">
        <v>95.97901</v>
      </c>
      <c r="AB741" t="n">
        <v>85.44331</v>
      </c>
      <c r="AC741" t="n">
        <v>94.75282</v>
      </c>
      <c r="AD741" t="n">
        <v>94.43261</v>
      </c>
      <c r="AE741" t="n">
        <v>98.19188</v>
      </c>
      <c r="AF741" t="n">
        <v>91.08937</v>
      </c>
      <c r="AG741" t="n">
        <v>93.1182</v>
      </c>
      <c r="AH741" t="n">
        <v>91.71011</v>
      </c>
      <c r="AI741" t="n">
        <v>95.46485</v>
      </c>
      <c r="AJ741" t="n">
        <v>87.09683</v>
      </c>
      <c r="AK741" t="n">
        <v>91.06925</v>
      </c>
      <c r="AL741" t="n">
        <v>90.97651999999999</v>
      </c>
      <c r="AM741" t="n">
        <v>91.89529</v>
      </c>
      <c r="AN741" t="n">
        <v>91.86572</v>
      </c>
      <c r="AO741" t="n">
        <v>93.63182</v>
      </c>
      <c r="AP741" t="n">
        <v>94.88905</v>
      </c>
      <c r="AQ741" t="n">
        <v/>
      </c>
      <c r="AR741" t="n">
        <v/>
      </c>
      <c r="AS741" t="n">
        <v>92.86671</v>
      </c>
      <c r="AT741" t="n">
        <v>97.08162</v>
      </c>
      <c r="AU741" t="n">
        <v>96.17252000000001</v>
      </c>
      <c r="AV741" t="n">
        <v>69.69553000000001</v>
      </c>
      <c r="AW741" t="n">
        <v>91.45684</v>
      </c>
      <c r="AX741" t="n">
        <v>79.25502</v>
      </c>
    </row>
    <row r="742">
      <c r="A742" s="92" t="n">
        <v>40422</v>
      </c>
      <c r="B742" t="n">
        <v>90.6151</v>
      </c>
      <c r="C742" t="n">
        <v>92.36297999999999</v>
      </c>
      <c r="D742" t="n">
        <v/>
      </c>
      <c r="E742" t="n">
        <v>92.89227</v>
      </c>
      <c r="F742" t="n">
        <v>101.1198</v>
      </c>
      <c r="G742" t="n">
        <v>88.15503</v>
      </c>
      <c r="H742" t="n">
        <v/>
      </c>
      <c r="I742" t="n">
        <v>86.20302</v>
      </c>
      <c r="J742" t="n">
        <v>81.38120000000001</v>
      </c>
      <c r="K742" t="n">
        <v>96.5</v>
      </c>
      <c r="L742" t="n">
        <v>94.07187</v>
      </c>
      <c r="M742" t="n">
        <v>93.80543</v>
      </c>
      <c r="N742" t="n">
        <v>94.7</v>
      </c>
      <c r="O742" t="n">
        <v>95.87817</v>
      </c>
      <c r="P742" t="n">
        <v>93.19264</v>
      </c>
      <c r="Q742" t="n">
        <v/>
      </c>
      <c r="R742" t="n">
        <v>93.27525</v>
      </c>
      <c r="S742" t="n">
        <v>95.61456</v>
      </c>
      <c r="T742" t="n">
        <v/>
      </c>
      <c r="U742" t="n">
        <v>93.041</v>
      </c>
      <c r="V742" t="n">
        <v>91.3</v>
      </c>
      <c r="W742" t="n">
        <v>103.7413</v>
      </c>
      <c r="X742" t="n">
        <v>87.67843999999999</v>
      </c>
      <c r="Y742" t="n">
        <v/>
      </c>
      <c r="Z742" t="n">
        <v/>
      </c>
      <c r="AA742" t="n">
        <v>95.76782</v>
      </c>
      <c r="AB742" t="n">
        <v>85.50281</v>
      </c>
      <c r="AC742" t="n">
        <v>94.55036</v>
      </c>
      <c r="AD742" t="n">
        <v>94.12984</v>
      </c>
      <c r="AE742" t="n">
        <v>98.18689999999999</v>
      </c>
      <c r="AF742" t="n">
        <v>91.17928999999999</v>
      </c>
      <c r="AG742" t="n">
        <v>93.6161</v>
      </c>
      <c r="AH742" t="n">
        <v>91.71838</v>
      </c>
      <c r="AI742" t="n">
        <v>96.14054</v>
      </c>
      <c r="AJ742" t="n">
        <v>87.44968</v>
      </c>
      <c r="AK742" t="n">
        <v>91.80938999999999</v>
      </c>
      <c r="AL742" t="n">
        <v>91.56131999999999</v>
      </c>
      <c r="AM742" t="n">
        <v>91.99494</v>
      </c>
      <c r="AN742" t="n">
        <v>91.90013999999999</v>
      </c>
      <c r="AO742" t="n">
        <v>93.80569</v>
      </c>
      <c r="AP742" t="n">
        <v>95.20441</v>
      </c>
      <c r="AQ742" t="n">
        <v/>
      </c>
      <c r="AR742" t="n">
        <v/>
      </c>
      <c r="AS742" t="n">
        <v>92.89197</v>
      </c>
      <c r="AT742" t="n">
        <v>96.57161000000001</v>
      </c>
      <c r="AU742" t="n">
        <v>97.16108</v>
      </c>
      <c r="AV742" t="n">
        <v>69.55663</v>
      </c>
      <c r="AW742" t="n">
        <v>91.60380000000001</v>
      </c>
      <c r="AX742" t="n">
        <v>79.41904</v>
      </c>
    </row>
    <row r="743">
      <c r="A743" s="92" t="n">
        <v>40452</v>
      </c>
      <c r="B743" t="n">
        <v>90.86612</v>
      </c>
      <c r="C743" t="n">
        <v>92.48923000000001</v>
      </c>
      <c r="D743" t="n">
        <v/>
      </c>
      <c r="E743" t="n">
        <v>93.29546999999999</v>
      </c>
      <c r="F743" t="n">
        <v>101.8475</v>
      </c>
      <c r="G743" t="n">
        <v>87.99226</v>
      </c>
      <c r="H743" t="n">
        <v/>
      </c>
      <c r="I743" t="n">
        <v>86.23572</v>
      </c>
      <c r="J743" t="n">
        <v>81.76308</v>
      </c>
      <c r="K743" t="n">
        <v>96.3</v>
      </c>
      <c r="L743" t="n">
        <v>94.15186</v>
      </c>
      <c r="M743" t="n">
        <v>93.73456</v>
      </c>
      <c r="N743" t="n">
        <v>94.98</v>
      </c>
      <c r="O743" t="n">
        <v>96.92389</v>
      </c>
      <c r="P743" t="n">
        <v>93.30615</v>
      </c>
      <c r="Q743" t="n">
        <v/>
      </c>
      <c r="R743" t="n">
        <v>93.64722999999999</v>
      </c>
      <c r="S743" t="n">
        <v>95.59844</v>
      </c>
      <c r="T743" t="n">
        <v/>
      </c>
      <c r="U743" t="n">
        <v>93.17058</v>
      </c>
      <c r="V743" t="n">
        <v>91.40000000000001</v>
      </c>
      <c r="W743" t="n">
        <v>104.0622</v>
      </c>
      <c r="X743" t="n">
        <v>87.8287</v>
      </c>
      <c r="Y743" t="n">
        <v/>
      </c>
      <c r="Z743" t="n">
        <v/>
      </c>
      <c r="AA743" t="n">
        <v>95.80231999999999</v>
      </c>
      <c r="AB743" t="n">
        <v>85.85943</v>
      </c>
      <c r="AC743" t="n">
        <v>94.55036</v>
      </c>
      <c r="AD743" t="n">
        <v>94.34092</v>
      </c>
      <c r="AE743" t="n">
        <v>98.59426000000001</v>
      </c>
      <c r="AF743" t="n">
        <v>91.17928999999999</v>
      </c>
      <c r="AG743" t="n">
        <v>93.7294</v>
      </c>
      <c r="AH743" t="n">
        <v>91.75971</v>
      </c>
      <c r="AI743" t="n">
        <v>96.29815000000001</v>
      </c>
      <c r="AJ743" t="n">
        <v>87.65725999999999</v>
      </c>
      <c r="AK743" t="n">
        <v>91.91397000000001</v>
      </c>
      <c r="AL743" t="n">
        <v>91.66792</v>
      </c>
      <c r="AM743" t="n">
        <v>92.17305</v>
      </c>
      <c r="AN743" t="n">
        <v>92.14663</v>
      </c>
      <c r="AO743" t="n">
        <v>93.97957</v>
      </c>
      <c r="AP743" t="n">
        <v>95.72555</v>
      </c>
      <c r="AQ743" t="n">
        <v/>
      </c>
      <c r="AR743" t="n">
        <v/>
      </c>
      <c r="AS743" t="n">
        <v>92.97751</v>
      </c>
      <c r="AT743" t="n">
        <v>96.71160999999999</v>
      </c>
      <c r="AU743" t="n">
        <v>97.54646</v>
      </c>
      <c r="AV743" t="n">
        <v>70.1694</v>
      </c>
      <c r="AW743" t="n">
        <v>91.6748</v>
      </c>
      <c r="AX743" t="n">
        <v>79.52030999999999</v>
      </c>
    </row>
    <row r="744">
      <c r="A744" s="92" t="n">
        <v>40483</v>
      </c>
      <c r="B744" t="n">
        <v>90.69878</v>
      </c>
      <c r="C744" t="n">
        <v>92.51837</v>
      </c>
      <c r="D744" t="n">
        <v/>
      </c>
      <c r="E744" t="n">
        <v>93.25579</v>
      </c>
      <c r="F744" t="n">
        <v>102.0149</v>
      </c>
      <c r="G744" t="n">
        <v>87.79694000000001</v>
      </c>
      <c r="H744" t="n">
        <v/>
      </c>
      <c r="I744" t="n">
        <v>86.30112</v>
      </c>
      <c r="J744" t="n">
        <v>81.94534</v>
      </c>
      <c r="K744" t="n">
        <v>96.2</v>
      </c>
      <c r="L744" t="n">
        <v>94.1058</v>
      </c>
      <c r="M744" t="n">
        <v>93.73867</v>
      </c>
      <c r="N744" t="n">
        <v>94.89</v>
      </c>
      <c r="O744" t="n">
        <v>97.45462999999999</v>
      </c>
      <c r="P744" t="n">
        <v>92.79536</v>
      </c>
      <c r="Q744" t="n">
        <v/>
      </c>
      <c r="R744" t="n">
        <v>93.74023</v>
      </c>
      <c r="S744" t="n">
        <v>95.55840000000001</v>
      </c>
      <c r="T744" t="n">
        <v/>
      </c>
      <c r="U744" t="n">
        <v>93.14272</v>
      </c>
      <c r="V744" t="n">
        <v>91.59999999999999</v>
      </c>
      <c r="W744" t="n">
        <v>104.1894</v>
      </c>
      <c r="X744" t="n">
        <v>87.75357</v>
      </c>
      <c r="Y744" t="n">
        <v/>
      </c>
      <c r="Z744" t="n">
        <v/>
      </c>
      <c r="AA744" t="n">
        <v>95.5806</v>
      </c>
      <c r="AB744" t="n">
        <v>85.69589999999999</v>
      </c>
      <c r="AC744" t="n">
        <v>94.75282</v>
      </c>
      <c r="AD744" t="n">
        <v>94.25834999999999</v>
      </c>
      <c r="AE744" t="n">
        <v>98.34938</v>
      </c>
      <c r="AF744" t="n">
        <v>91.17928999999999</v>
      </c>
      <c r="AG744" t="n">
        <v>93.55329999999999</v>
      </c>
      <c r="AH744" t="n">
        <v>91.91676</v>
      </c>
      <c r="AI744" t="n">
        <v>96.09023999999999</v>
      </c>
      <c r="AJ744" t="n">
        <v>87.94322</v>
      </c>
      <c r="AK744" t="n">
        <v>91.72217999999999</v>
      </c>
      <c r="AL744" t="n">
        <v>91.74842</v>
      </c>
      <c r="AM744" t="n">
        <v>92.19654</v>
      </c>
      <c r="AN744" t="n">
        <v>92.23578999999999</v>
      </c>
      <c r="AO744" t="n">
        <v>93.97957</v>
      </c>
      <c r="AP744" t="n">
        <v>95.85306</v>
      </c>
      <c r="AQ744" t="n">
        <v/>
      </c>
      <c r="AR744" t="n">
        <v/>
      </c>
      <c r="AS744" t="n">
        <v>92.96845999999999</v>
      </c>
      <c r="AT744" t="n">
        <v>96.93162</v>
      </c>
      <c r="AU744" t="n">
        <v>97.63357999999999</v>
      </c>
      <c r="AV744" t="n">
        <v>70.70453999999999</v>
      </c>
      <c r="AW744" t="n">
        <v>91.67397</v>
      </c>
      <c r="AX744" t="n">
        <v>79.57608999999999</v>
      </c>
    </row>
    <row r="745">
      <c r="A745" s="92" t="n">
        <v>40513</v>
      </c>
      <c r="B745" t="n">
        <v>91.03346000000001</v>
      </c>
      <c r="C745" t="n">
        <v>92.59607</v>
      </c>
      <c r="D745" t="n">
        <v/>
      </c>
      <c r="E745" t="n">
        <v>92.9164</v>
      </c>
      <c r="F745" t="n">
        <v>102.0637</v>
      </c>
      <c r="G745" t="n">
        <v>87.91630000000001</v>
      </c>
      <c r="H745" t="n">
        <v/>
      </c>
      <c r="I745" t="n">
        <v>86.48096</v>
      </c>
      <c r="J745" t="n">
        <v>82.16882</v>
      </c>
      <c r="K745" t="n">
        <v>96.2</v>
      </c>
      <c r="L745" t="n">
        <v>94.40747</v>
      </c>
      <c r="M745" t="n">
        <v>93.64143</v>
      </c>
      <c r="N745" t="n">
        <v>95.27</v>
      </c>
      <c r="O745" t="n">
        <v>97.54396</v>
      </c>
      <c r="P745" t="n">
        <v>92.85211</v>
      </c>
      <c r="Q745" t="n">
        <v/>
      </c>
      <c r="R745" t="n">
        <v>93.74023</v>
      </c>
      <c r="S745" t="n">
        <v>95.8903</v>
      </c>
      <c r="T745" t="n">
        <v/>
      </c>
      <c r="U745" t="n">
        <v>93.16374999999999</v>
      </c>
      <c r="V745" t="n">
        <v>92.09999999999999</v>
      </c>
      <c r="W745" t="n">
        <v>104.2885</v>
      </c>
      <c r="X745" t="n">
        <v>87.75357</v>
      </c>
      <c r="Y745" t="n">
        <v/>
      </c>
      <c r="Z745" t="n">
        <v/>
      </c>
      <c r="AA745" t="n">
        <v>95.41604</v>
      </c>
      <c r="AB745" t="n">
        <v>85.78193</v>
      </c>
      <c r="AC745" t="n">
        <v>95.15774999999999</v>
      </c>
      <c r="AD745" t="n">
        <v>94.49539</v>
      </c>
      <c r="AE745" t="n">
        <v>98.35339</v>
      </c>
      <c r="AF745" t="n">
        <v>91.45224</v>
      </c>
      <c r="AG745" t="n">
        <v>93.4936</v>
      </c>
      <c r="AH745" t="n">
        <v>91.85064</v>
      </c>
      <c r="AI745" t="n">
        <v>95.34629</v>
      </c>
      <c r="AJ745" t="n">
        <v>88.28234</v>
      </c>
      <c r="AK745" t="n">
        <v>91.23675</v>
      </c>
      <c r="AL745" t="n">
        <v>91.8707</v>
      </c>
      <c r="AM745" t="n">
        <v>92.24472</v>
      </c>
      <c r="AN745" t="n">
        <v>92.44392999999999</v>
      </c>
      <c r="AO745" t="n">
        <v>94.06650999999999</v>
      </c>
      <c r="AP745" t="n">
        <v>95.86958</v>
      </c>
      <c r="AQ745" t="n">
        <v/>
      </c>
      <c r="AR745" t="n">
        <v/>
      </c>
      <c r="AS745" t="n">
        <v>93.00597</v>
      </c>
      <c r="AT745" t="n">
        <v>96.78162</v>
      </c>
      <c r="AU745" t="n">
        <v>97.83465</v>
      </c>
      <c r="AV745" t="n">
        <v>70.83935</v>
      </c>
      <c r="AW745" t="n">
        <v>91.55756</v>
      </c>
      <c r="AX745" t="n">
        <v>79.60509999999999</v>
      </c>
    </row>
    <row r="746">
      <c r="A746" s="92" t="n">
        <v>40544</v>
      </c>
      <c r="B746" t="n">
        <v>90.36409999999999</v>
      </c>
      <c r="C746" t="n">
        <v>92.95542</v>
      </c>
      <c r="D746" t="n">
        <v/>
      </c>
      <c r="E746" t="n">
        <v>92.90260000000001</v>
      </c>
      <c r="F746" t="n">
        <v>101.5473</v>
      </c>
      <c r="G746" t="n">
        <v>88.04652</v>
      </c>
      <c r="H746" t="n">
        <v/>
      </c>
      <c r="I746" t="n">
        <v>87.06955000000001</v>
      </c>
      <c r="J746" t="n">
        <v>82.80889999999999</v>
      </c>
      <c r="K746" t="n">
        <v>96.40000000000001</v>
      </c>
      <c r="L746" t="n">
        <v>93.80934000000001</v>
      </c>
      <c r="M746" t="n">
        <v>93.44058</v>
      </c>
      <c r="N746" t="n">
        <v>93.77</v>
      </c>
      <c r="O746" t="n">
        <v>95.68479000000001</v>
      </c>
      <c r="P746" t="n">
        <v>92.73860000000001</v>
      </c>
      <c r="Q746" t="n">
        <v/>
      </c>
      <c r="R746" t="n">
        <v>93.55423</v>
      </c>
      <c r="S746" t="n">
        <v>95.25379</v>
      </c>
      <c r="T746" t="n">
        <v/>
      </c>
      <c r="U746" t="n">
        <v>93.0894</v>
      </c>
      <c r="V746" t="n">
        <v>91.90000000000001</v>
      </c>
      <c r="W746" t="n">
        <v>102.7033</v>
      </c>
      <c r="X746" t="n">
        <v>87.8287</v>
      </c>
      <c r="Y746" t="n">
        <v/>
      </c>
      <c r="Z746" t="n">
        <v/>
      </c>
      <c r="AA746" t="n">
        <v>94.86857000000001</v>
      </c>
      <c r="AB746" t="n">
        <v>84.25106</v>
      </c>
      <c r="AC746" t="n">
        <v>95.05652000000001</v>
      </c>
      <c r="AD746" t="n">
        <v>94.61362</v>
      </c>
      <c r="AE746" t="n">
        <v>97.83656000000001</v>
      </c>
      <c r="AF746" t="n">
        <v>91.90609000000001</v>
      </c>
      <c r="AG746" t="n">
        <v>93.11069999999999</v>
      </c>
      <c r="AH746" t="n">
        <v>91.04058000000001</v>
      </c>
      <c r="AI746" t="n">
        <v>95.63405</v>
      </c>
      <c r="AJ746" t="n">
        <v>88.70819</v>
      </c>
      <c r="AK746" t="n">
        <v>91.08942999999999</v>
      </c>
      <c r="AL746" t="n">
        <v>91.26569000000001</v>
      </c>
      <c r="AM746" t="n">
        <v>92.16083999999999</v>
      </c>
      <c r="AN746" t="n">
        <v>92.03955999999999</v>
      </c>
      <c r="AO746" t="n">
        <v>94.41426</v>
      </c>
      <c r="AP746" t="n">
        <v>96.09336</v>
      </c>
      <c r="AQ746" t="n">
        <v/>
      </c>
      <c r="AR746" t="n">
        <v/>
      </c>
      <c r="AS746" t="n">
        <v>93.60513</v>
      </c>
      <c r="AT746" t="n">
        <v>94.66158</v>
      </c>
      <c r="AU746" t="n">
        <v>97.22475</v>
      </c>
      <c r="AV746" t="n">
        <v>70.71271</v>
      </c>
      <c r="AW746" t="n">
        <v>91.71526</v>
      </c>
      <c r="AX746" t="n">
        <v>79.65252</v>
      </c>
    </row>
    <row r="747">
      <c r="A747" s="92" t="n">
        <v>40575</v>
      </c>
      <c r="B747" t="n">
        <v>91.08629000000001</v>
      </c>
      <c r="C747" t="n">
        <v>93.30506</v>
      </c>
      <c r="D747" t="n">
        <v/>
      </c>
      <c r="E747" t="n">
        <v>93.12488999999999</v>
      </c>
      <c r="F747" t="n">
        <v>101.8309</v>
      </c>
      <c r="G747" t="n">
        <v>88.3395</v>
      </c>
      <c r="H747" t="n">
        <v/>
      </c>
      <c r="I747" t="n">
        <v>87.64178</v>
      </c>
      <c r="J747" t="n">
        <v>83.36653</v>
      </c>
      <c r="K747" t="n">
        <v>96.40000000000001</v>
      </c>
      <c r="L747" t="n">
        <v>94.33534</v>
      </c>
      <c r="M747" t="n">
        <v>94.64400000000001</v>
      </c>
      <c r="N747" t="n">
        <v>94.09999999999999</v>
      </c>
      <c r="O747" t="n">
        <v>95.71527</v>
      </c>
      <c r="P747" t="n">
        <v>92.90886999999999</v>
      </c>
      <c r="Q747" t="n">
        <v/>
      </c>
      <c r="R747" t="n">
        <v>93.92622</v>
      </c>
      <c r="S747" t="n">
        <v>95.66401999999999</v>
      </c>
      <c r="T747" t="n">
        <v/>
      </c>
      <c r="U747" t="n">
        <v>93.40176</v>
      </c>
      <c r="V747" t="n">
        <v>92.40000000000001</v>
      </c>
      <c r="W747" t="n">
        <v>100.5698</v>
      </c>
      <c r="X747" t="n">
        <v>87.90383</v>
      </c>
      <c r="Y747" t="n">
        <v/>
      </c>
      <c r="Z747" t="n">
        <v/>
      </c>
      <c r="AA747" t="n">
        <v>95.77528</v>
      </c>
      <c r="AB747" t="n">
        <v>85.28699</v>
      </c>
      <c r="AC747" t="n">
        <v>95.15774999999999</v>
      </c>
      <c r="AD747" t="n">
        <v>94.81561000000001</v>
      </c>
      <c r="AE747" t="n">
        <v>97.76853</v>
      </c>
      <c r="AF747" t="n">
        <v>92.26896000000001</v>
      </c>
      <c r="AG747" t="n">
        <v>92.56319999999999</v>
      </c>
      <c r="AH747" t="n">
        <v>92.73508</v>
      </c>
      <c r="AI747" t="n">
        <v>95.36875000000001</v>
      </c>
      <c r="AJ747" t="n">
        <v>89.0098</v>
      </c>
      <c r="AK747" t="n">
        <v>91.68532</v>
      </c>
      <c r="AL747" t="n">
        <v>91.60719</v>
      </c>
      <c r="AM747" t="n">
        <v>92.43895999999999</v>
      </c>
      <c r="AN747" t="n">
        <v>92.32953999999999</v>
      </c>
      <c r="AO747" t="n">
        <v>94.5012</v>
      </c>
      <c r="AP747" t="n">
        <v>95.94314</v>
      </c>
      <c r="AQ747" t="n">
        <v/>
      </c>
      <c r="AR747" t="n">
        <v/>
      </c>
      <c r="AS747" t="n">
        <v>93.73375</v>
      </c>
      <c r="AT747" t="n">
        <v>94.30157</v>
      </c>
      <c r="AU747" t="n">
        <v>97.86481000000001</v>
      </c>
      <c r="AV747" t="n">
        <v>70.72087999999999</v>
      </c>
      <c r="AW747" t="n">
        <v>92.05953</v>
      </c>
      <c r="AX747" t="n">
        <v>80.19905</v>
      </c>
    </row>
    <row r="748">
      <c r="A748" s="92" t="n">
        <v>40603</v>
      </c>
      <c r="B748" t="n">
        <v>91.98902</v>
      </c>
      <c r="C748" t="n">
        <v>93.42161</v>
      </c>
      <c r="D748" t="n">
        <v/>
      </c>
      <c r="E748" t="n">
        <v>93.65054000000001</v>
      </c>
      <c r="F748" t="n">
        <v>102.3057</v>
      </c>
      <c r="G748" t="n">
        <v>88.65418</v>
      </c>
      <c r="H748" t="n">
        <v/>
      </c>
      <c r="I748" t="n">
        <v>87.78075</v>
      </c>
      <c r="J748" t="n">
        <v>83.70827</v>
      </c>
      <c r="K748" t="n">
        <v>96.3</v>
      </c>
      <c r="L748" t="n">
        <v>94.64825</v>
      </c>
      <c r="M748" t="n">
        <v>95.12127</v>
      </c>
      <c r="N748" t="n">
        <v>95.45</v>
      </c>
      <c r="O748" t="n">
        <v>96.29961</v>
      </c>
      <c r="P748" t="n">
        <v>93.47642</v>
      </c>
      <c r="Q748" t="n">
        <v/>
      </c>
      <c r="R748" t="n">
        <v>94.29819999999999</v>
      </c>
      <c r="S748" t="n">
        <v>96.25481000000001</v>
      </c>
      <c r="T748" t="n">
        <v/>
      </c>
      <c r="U748" t="n">
        <v>93.69070000000001</v>
      </c>
      <c r="V748" t="n">
        <v>92.7</v>
      </c>
      <c r="W748" t="n">
        <v>104.5615</v>
      </c>
      <c r="X748" t="n">
        <v>88.27949</v>
      </c>
      <c r="Y748" t="n">
        <v/>
      </c>
      <c r="Z748" t="n">
        <v/>
      </c>
      <c r="AA748" t="n">
        <v>96.60778000000001</v>
      </c>
      <c r="AB748" t="n">
        <v>85.95247999999999</v>
      </c>
      <c r="AC748" t="n">
        <v>95.46145</v>
      </c>
      <c r="AD748" t="n">
        <v>95.04333</v>
      </c>
      <c r="AE748" t="n">
        <v>97.86811</v>
      </c>
      <c r="AF748" t="n">
        <v>92.5419</v>
      </c>
      <c r="AG748" t="n">
        <v>93.29040000000001</v>
      </c>
      <c r="AH748" t="n">
        <v>93.01613</v>
      </c>
      <c r="AI748" t="n">
        <v>95.98821</v>
      </c>
      <c r="AJ748" t="n">
        <v>89.15849</v>
      </c>
      <c r="AK748" t="n">
        <v>92.81361</v>
      </c>
      <c r="AL748" t="n">
        <v>92.07848</v>
      </c>
      <c r="AM748" t="n">
        <v>92.78444</v>
      </c>
      <c r="AN748" t="n">
        <v>92.84504</v>
      </c>
      <c r="AO748" t="n">
        <v>94.93588</v>
      </c>
      <c r="AP748" t="n">
        <v>97.69423</v>
      </c>
      <c r="AQ748" t="n">
        <v/>
      </c>
      <c r="AR748" t="n">
        <v/>
      </c>
      <c r="AS748" t="n">
        <v>94.01026</v>
      </c>
      <c r="AT748" t="n">
        <v>96.3716</v>
      </c>
      <c r="AU748" t="n">
        <v>98.53502</v>
      </c>
      <c r="AV748" t="n">
        <v>71.12121999999999</v>
      </c>
      <c r="AW748" t="n">
        <v>92.33983000000001</v>
      </c>
      <c r="AX748" t="n">
        <v>81.07726</v>
      </c>
    </row>
    <row r="749">
      <c r="A749" s="92" t="n">
        <v>40634</v>
      </c>
      <c r="B749" t="n">
        <v>92.44038999999999</v>
      </c>
      <c r="C749" t="n">
        <v>93.34390999999999</v>
      </c>
      <c r="D749" t="n">
        <v/>
      </c>
      <c r="E749" t="n">
        <v>93.42771</v>
      </c>
      <c r="F749" t="n">
        <v>102.4632</v>
      </c>
      <c r="G749" t="n">
        <v>88.64333000000001</v>
      </c>
      <c r="H749" t="n">
        <v/>
      </c>
      <c r="I749" t="n">
        <v>87.8952</v>
      </c>
      <c r="J749" t="n">
        <v>84.01746</v>
      </c>
      <c r="K749" t="n">
        <v>96.40000000000001</v>
      </c>
      <c r="L749" t="n">
        <v>94.45256000000001</v>
      </c>
      <c r="M749" t="n">
        <v>95.34097</v>
      </c>
      <c r="N749" t="n">
        <v>95.94</v>
      </c>
      <c r="O749" t="n">
        <v>97.73314000000001</v>
      </c>
      <c r="P749" t="n">
        <v>93.70345</v>
      </c>
      <c r="Q749" t="n">
        <v/>
      </c>
      <c r="R749" t="n">
        <v>94.48419</v>
      </c>
      <c r="S749" t="n">
        <v>96.52137999999999</v>
      </c>
      <c r="T749" t="n">
        <v/>
      </c>
      <c r="U749" t="n">
        <v>93.85392</v>
      </c>
      <c r="V749" t="n">
        <v>93.40000000000001</v>
      </c>
      <c r="W749" t="n">
        <v>104.9896</v>
      </c>
      <c r="X749" t="n">
        <v>88.65514</v>
      </c>
      <c r="Y749" t="n">
        <v/>
      </c>
      <c r="Z749" t="n">
        <v/>
      </c>
      <c r="AA749" t="n">
        <v>97.10047</v>
      </c>
      <c r="AB749" t="n">
        <v>86.71519000000001</v>
      </c>
      <c r="AC749" t="n">
        <v>95.96760999999999</v>
      </c>
      <c r="AD749" t="n">
        <v>95.46263</v>
      </c>
      <c r="AE749" t="n">
        <v>97.84574000000001</v>
      </c>
      <c r="AF749" t="n">
        <v>92.72281</v>
      </c>
      <c r="AG749" t="n">
        <v>93.7367</v>
      </c>
      <c r="AH749" t="n">
        <v>93.17318</v>
      </c>
      <c r="AI749" t="n">
        <v>96.46890999999999</v>
      </c>
      <c r="AJ749" t="n">
        <v>89.15943</v>
      </c>
      <c r="AK749" t="n">
        <v>93.15455</v>
      </c>
      <c r="AL749" t="n">
        <v>92.91516</v>
      </c>
      <c r="AM749" t="n">
        <v>93.03619</v>
      </c>
      <c r="AN749" t="n">
        <v>93.29437</v>
      </c>
      <c r="AO749" t="n">
        <v>95.28363</v>
      </c>
      <c r="AP749" t="n">
        <v>98.08015</v>
      </c>
      <c r="AQ749" t="n">
        <v/>
      </c>
      <c r="AR749" t="n">
        <v/>
      </c>
      <c r="AS749" t="n">
        <v>94.35393000000001</v>
      </c>
      <c r="AT749" t="n">
        <v>97.09162000000001</v>
      </c>
      <c r="AU749" t="n">
        <v>99.1114</v>
      </c>
      <c r="AV749" t="n">
        <v>72.19968</v>
      </c>
      <c r="AW749" t="n">
        <v>92.51651</v>
      </c>
      <c r="AX749" t="n">
        <v>81.22413</v>
      </c>
    </row>
    <row r="750">
      <c r="A750" s="92" t="n">
        <v>40664</v>
      </c>
      <c r="B750" t="n">
        <v>92.53067</v>
      </c>
      <c r="C750" t="n">
        <v>93.53815</v>
      </c>
      <c r="D750" t="n">
        <v/>
      </c>
      <c r="E750" t="n">
        <v>94.05155000000001</v>
      </c>
      <c r="F750" t="n">
        <v>102.4324</v>
      </c>
      <c r="G750" t="n">
        <v>88.7627</v>
      </c>
      <c r="H750" t="n">
        <v/>
      </c>
      <c r="I750" t="n">
        <v>88.05052000000001</v>
      </c>
      <c r="J750" t="n">
        <v>84.29192999999999</v>
      </c>
      <c r="K750" t="n">
        <v>96.59999999999999</v>
      </c>
      <c r="L750" t="n">
        <v>94.49447000000001</v>
      </c>
      <c r="M750" t="n">
        <v>95.3843</v>
      </c>
      <c r="N750" t="n">
        <v>95.92</v>
      </c>
      <c r="O750" t="n">
        <v>97.83929000000001</v>
      </c>
      <c r="P750" t="n">
        <v>93.98721999999999</v>
      </c>
      <c r="Q750" t="n">
        <v/>
      </c>
      <c r="R750" t="n">
        <v>94.67019000000001</v>
      </c>
      <c r="S750" t="n">
        <v>96.57774000000001</v>
      </c>
      <c r="T750" t="n">
        <v/>
      </c>
      <c r="U750" t="n">
        <v>93.99939000000001</v>
      </c>
      <c r="V750" t="n">
        <v>93.40000000000001</v>
      </c>
      <c r="W750" t="n">
        <v>105.1512</v>
      </c>
      <c r="X750" t="n">
        <v>88.88054</v>
      </c>
      <c r="Y750" t="n">
        <v/>
      </c>
      <c r="Z750" t="n">
        <v/>
      </c>
      <c r="AA750" t="n">
        <v>97.08190999999999</v>
      </c>
      <c r="AB750" t="n">
        <v>87.52837</v>
      </c>
      <c r="AC750" t="n">
        <v>96.37254</v>
      </c>
      <c r="AD750" t="n">
        <v>95.43745</v>
      </c>
      <c r="AE750" t="n">
        <v>98.01242000000001</v>
      </c>
      <c r="AF750" t="n">
        <v>93.08673</v>
      </c>
      <c r="AG750" t="n">
        <v>94.1611</v>
      </c>
      <c r="AH750" t="n">
        <v>93.24757</v>
      </c>
      <c r="AI750" t="n">
        <v>96.43992</v>
      </c>
      <c r="AJ750" t="n">
        <v>89.27754</v>
      </c>
      <c r="AK750" t="n">
        <v>93.22037</v>
      </c>
      <c r="AL750" t="n">
        <v>92.64605</v>
      </c>
      <c r="AM750" t="n">
        <v>93.21959</v>
      </c>
      <c r="AN750" t="n">
        <v>93.46441</v>
      </c>
      <c r="AO750" t="n">
        <v>95.63139</v>
      </c>
      <c r="AP750" t="n">
        <v>98.0351</v>
      </c>
      <c r="AQ750" t="n">
        <v/>
      </c>
      <c r="AR750" t="n">
        <v/>
      </c>
      <c r="AS750" t="n">
        <v>94.5243</v>
      </c>
      <c r="AT750" t="n">
        <v>97.59162999999999</v>
      </c>
      <c r="AU750" t="n">
        <v>99.40965</v>
      </c>
      <c r="AV750" t="n">
        <v>73.43337</v>
      </c>
      <c r="AW750" t="n">
        <v>92.68823</v>
      </c>
      <c r="AX750" t="n">
        <v>81.35175</v>
      </c>
    </row>
    <row r="751">
      <c r="A751" s="92" t="n">
        <v>40695</v>
      </c>
      <c r="B751" t="n">
        <v>92.80149</v>
      </c>
      <c r="C751" t="n">
        <v>93.68384</v>
      </c>
      <c r="D751" t="n">
        <v/>
      </c>
      <c r="E751" t="n">
        <v>93.44723999999999</v>
      </c>
      <c r="F751" t="n">
        <v>102.2318</v>
      </c>
      <c r="G751" t="n">
        <v>88.71929</v>
      </c>
      <c r="H751" t="n">
        <v/>
      </c>
      <c r="I751" t="n">
        <v>88.28758999999999</v>
      </c>
      <c r="J751" t="n">
        <v>84.56749000000001</v>
      </c>
      <c r="K751" t="n">
        <v>96.5</v>
      </c>
      <c r="L751" t="n">
        <v>94.73004</v>
      </c>
      <c r="M751" t="n">
        <v>95.13367</v>
      </c>
      <c r="N751" t="n">
        <v>96</v>
      </c>
      <c r="O751" t="n">
        <v>97.89604</v>
      </c>
      <c r="P751" t="n">
        <v>94.10073</v>
      </c>
      <c r="Q751" t="n">
        <v/>
      </c>
      <c r="R751" t="n">
        <v>94.94917</v>
      </c>
      <c r="S751" t="n">
        <v>96.67995999999999</v>
      </c>
      <c r="T751" t="n">
        <v/>
      </c>
      <c r="U751" t="n">
        <v>94.07003</v>
      </c>
      <c r="V751" t="n">
        <v>93.3</v>
      </c>
      <c r="W751" t="n">
        <v>105.141</v>
      </c>
      <c r="X751" t="n">
        <v>88.88054</v>
      </c>
      <c r="Y751" t="n">
        <v/>
      </c>
      <c r="Z751" t="n">
        <v/>
      </c>
      <c r="AA751" t="n">
        <v>97.21048999999999</v>
      </c>
      <c r="AB751" t="n">
        <v>88.01147</v>
      </c>
      <c r="AC751" t="n">
        <v>96.97992000000001</v>
      </c>
      <c r="AD751" t="n">
        <v>95.63605</v>
      </c>
      <c r="AE751" t="n">
        <v>97.84583000000001</v>
      </c>
      <c r="AF751" t="n">
        <v>93.26764</v>
      </c>
      <c r="AG751" t="n">
        <v>94.3621</v>
      </c>
      <c r="AH751" t="n">
        <v>93.3137</v>
      </c>
      <c r="AI751" t="n">
        <v>96.57307</v>
      </c>
      <c r="AJ751" t="n">
        <v>89.40595999999999</v>
      </c>
      <c r="AK751" t="n">
        <v>92.67927</v>
      </c>
      <c r="AL751" t="n">
        <v>92.52412</v>
      </c>
      <c r="AM751" t="n">
        <v>93.29815000000001</v>
      </c>
      <c r="AN751" t="n">
        <v>93.55904</v>
      </c>
      <c r="AO751" t="n">
        <v>95.71832000000001</v>
      </c>
      <c r="AP751" t="n">
        <v>97.90518</v>
      </c>
      <c r="AQ751" t="n">
        <v/>
      </c>
      <c r="AR751" t="n">
        <v/>
      </c>
      <c r="AS751" t="n">
        <v>94.5806</v>
      </c>
      <c r="AT751" t="n">
        <v>97.59162999999999</v>
      </c>
      <c r="AU751" t="n">
        <v>99.34599</v>
      </c>
      <c r="AV751" t="n">
        <v>73.8909</v>
      </c>
      <c r="AW751" t="n">
        <v>92.8356</v>
      </c>
      <c r="AX751" t="n">
        <v>81.82565</v>
      </c>
    </row>
    <row r="752">
      <c r="A752" s="92" t="n">
        <v>40725</v>
      </c>
      <c r="B752" t="n">
        <v>92.44038999999999</v>
      </c>
      <c r="C752" t="n">
        <v>93.89751</v>
      </c>
      <c r="D752" t="n">
        <v/>
      </c>
      <c r="E752" t="n">
        <v>93.45502999999999</v>
      </c>
      <c r="F752" t="n">
        <v>101.4865</v>
      </c>
      <c r="G752" t="n">
        <v>88.78439</v>
      </c>
      <c r="H752" t="n">
        <v/>
      </c>
      <c r="I752" t="n">
        <v>88.37751</v>
      </c>
      <c r="J752" t="n">
        <v>84.86475</v>
      </c>
      <c r="K752" t="n">
        <v>96.90000000000001</v>
      </c>
      <c r="L752" t="n">
        <v>94.89677</v>
      </c>
      <c r="M752" t="n">
        <v>94.92762999999999</v>
      </c>
      <c r="N752" t="n">
        <v>95.12</v>
      </c>
      <c r="O752" t="n">
        <v>96.72421</v>
      </c>
      <c r="P752" t="n">
        <v>94.44126</v>
      </c>
      <c r="Q752" t="n">
        <v/>
      </c>
      <c r="R752" t="n">
        <v>94.76318000000001</v>
      </c>
      <c r="S752" t="n">
        <v>96.15882999999999</v>
      </c>
      <c r="T752" t="n">
        <v/>
      </c>
      <c r="U752" t="n">
        <v>94.1195</v>
      </c>
      <c r="V752" t="n">
        <v>93.3</v>
      </c>
      <c r="W752" t="n">
        <v>103.2036</v>
      </c>
      <c r="X752" t="n">
        <v>89.03081</v>
      </c>
      <c r="Y752" t="n">
        <v/>
      </c>
      <c r="Z752" t="n">
        <v/>
      </c>
      <c r="AA752" t="n">
        <v>97.05052999999999</v>
      </c>
      <c r="AB752" t="n">
        <v>87.8745</v>
      </c>
      <c r="AC752" t="n">
        <v>96.97992000000001</v>
      </c>
      <c r="AD752" t="n">
        <v>95.95492</v>
      </c>
      <c r="AE752" t="n">
        <v>97.72211</v>
      </c>
      <c r="AF752" t="n">
        <v>93.4496</v>
      </c>
      <c r="AG752" t="n">
        <v>93.761</v>
      </c>
      <c r="AH752" t="n">
        <v>92.18127</v>
      </c>
      <c r="AI752" t="n">
        <v>96.17386999999999</v>
      </c>
      <c r="AJ752" t="n">
        <v>89.59453000000001</v>
      </c>
      <c r="AK752" t="n">
        <v>93.01947</v>
      </c>
      <c r="AL752" t="n">
        <v>92.06377000000001</v>
      </c>
      <c r="AM752" t="n">
        <v>93.30341</v>
      </c>
      <c r="AN752" t="n">
        <v>93.40264000000001</v>
      </c>
      <c r="AO752" t="n">
        <v>95.80526</v>
      </c>
      <c r="AP752" t="n">
        <v>97.67258</v>
      </c>
      <c r="AQ752" t="n">
        <v/>
      </c>
      <c r="AR752" t="n">
        <v/>
      </c>
      <c r="AS752" t="n">
        <v>94.80284</v>
      </c>
      <c r="AT752" t="n">
        <v>96.1016</v>
      </c>
      <c r="AU752" t="n">
        <v>99.2354</v>
      </c>
      <c r="AV752" t="n">
        <v>73.70707</v>
      </c>
      <c r="AW752" t="n">
        <v>92.9483</v>
      </c>
      <c r="AX752" t="n">
        <v>82.21182</v>
      </c>
    </row>
    <row r="753">
      <c r="A753" s="92" t="n">
        <v>40756</v>
      </c>
      <c r="B753" t="n">
        <v>92.71120999999999</v>
      </c>
      <c r="C753" t="n">
        <v>93.90722</v>
      </c>
      <c r="D753" t="n">
        <v/>
      </c>
      <c r="E753" t="n">
        <v>93.81901999999999</v>
      </c>
      <c r="F753" t="n">
        <v>101.3358</v>
      </c>
      <c r="G753" t="n">
        <v>88.88206</v>
      </c>
      <c r="H753" t="n">
        <v/>
      </c>
      <c r="I753" t="n">
        <v>88.41021000000001</v>
      </c>
      <c r="J753" t="n">
        <v>85.13814000000001</v>
      </c>
      <c r="K753" t="n">
        <v>96.90000000000001</v>
      </c>
      <c r="L753" t="n">
        <v>95.14369000000001</v>
      </c>
      <c r="M753" t="n">
        <v>95.04142</v>
      </c>
      <c r="N753" t="n">
        <v>95.43000000000001</v>
      </c>
      <c r="O753" t="n">
        <v>96.97328</v>
      </c>
      <c r="P753" t="n">
        <v>94.49802</v>
      </c>
      <c r="Q753" t="n">
        <v/>
      </c>
      <c r="R753" t="n">
        <v>95.22816</v>
      </c>
      <c r="S753" t="n">
        <v>96.80361000000001</v>
      </c>
      <c r="T753" t="n">
        <v/>
      </c>
      <c r="U753" t="n">
        <v>94.42386999999999</v>
      </c>
      <c r="V753" t="n">
        <v>93.8</v>
      </c>
      <c r="W753" t="n">
        <v>101.3167</v>
      </c>
      <c r="X753" t="n">
        <v>89.10593</v>
      </c>
      <c r="Y753" t="n">
        <v/>
      </c>
      <c r="Z753" t="n">
        <v/>
      </c>
      <c r="AA753" t="n">
        <v>97.16231999999999</v>
      </c>
      <c r="AB753" t="n">
        <v>88.17509</v>
      </c>
      <c r="AC753" t="n">
        <v>97.38485</v>
      </c>
      <c r="AD753" t="n">
        <v>96.28677</v>
      </c>
      <c r="AE753" t="n">
        <v>97.78899</v>
      </c>
      <c r="AF753" t="n">
        <v>93.63155999999999</v>
      </c>
      <c r="AG753" t="n">
        <v>93.5197</v>
      </c>
      <c r="AH753" t="n">
        <v>93.73526</v>
      </c>
      <c r="AI753" t="n">
        <v>96.38773</v>
      </c>
      <c r="AJ753" t="n">
        <v>89.71102999999999</v>
      </c>
      <c r="AK753" t="n">
        <v>93.30710000000001</v>
      </c>
      <c r="AL753" t="n">
        <v>91.79034</v>
      </c>
      <c r="AM753" t="n">
        <v>93.54375</v>
      </c>
      <c r="AN753" t="n">
        <v>93.65732</v>
      </c>
      <c r="AO753" t="n">
        <v>95.97913</v>
      </c>
      <c r="AP753" t="n">
        <v>97.02602</v>
      </c>
      <c r="AQ753" t="n">
        <v/>
      </c>
      <c r="AR753" t="n">
        <v/>
      </c>
      <c r="AS753" t="n">
        <v>94.76485</v>
      </c>
      <c r="AT753" t="n">
        <v>96.1816</v>
      </c>
      <c r="AU753" t="n">
        <v>99.35603</v>
      </c>
      <c r="AV753" t="n">
        <v>73.91949</v>
      </c>
      <c r="AW753" t="n">
        <v>93.24139</v>
      </c>
      <c r="AX753" t="n">
        <v>82.25467999999999</v>
      </c>
    </row>
    <row r="754">
      <c r="A754" s="92" t="n">
        <v>40787</v>
      </c>
      <c r="B754" t="n">
        <v>93.07231</v>
      </c>
      <c r="C754" t="n">
        <v>93.93635999999999</v>
      </c>
      <c r="D754" t="n">
        <v/>
      </c>
      <c r="E754" t="n">
        <v>94.41463</v>
      </c>
      <c r="F754" t="n">
        <v>101.624</v>
      </c>
      <c r="G754" t="n">
        <v>89.21844</v>
      </c>
      <c r="H754" t="n">
        <v/>
      </c>
      <c r="I754" t="n">
        <v>88.54101</v>
      </c>
      <c r="J754" t="n">
        <v>85.36053</v>
      </c>
      <c r="K754" t="n">
        <v>96.5</v>
      </c>
      <c r="L754" t="n">
        <v>95.11198</v>
      </c>
      <c r="M754" t="n">
        <v>95.42135</v>
      </c>
      <c r="N754" t="n">
        <v>96.23</v>
      </c>
      <c r="O754" t="n">
        <v>96.99746</v>
      </c>
      <c r="P754" t="n">
        <v>95.06556999999999</v>
      </c>
      <c r="Q754" t="n">
        <v/>
      </c>
      <c r="R754" t="n">
        <v>95.60015</v>
      </c>
      <c r="S754" t="n">
        <v>96.58909</v>
      </c>
      <c r="T754" t="n">
        <v/>
      </c>
      <c r="U754" t="n">
        <v>94.53877</v>
      </c>
      <c r="V754" t="n">
        <v>94</v>
      </c>
      <c r="W754" t="n">
        <v>105.767</v>
      </c>
      <c r="X754" t="n">
        <v>89.03081</v>
      </c>
      <c r="Y754" t="n">
        <v/>
      </c>
      <c r="Z754" t="n">
        <v/>
      </c>
      <c r="AA754" t="n">
        <v>97.50566000000001</v>
      </c>
      <c r="AB754" t="n">
        <v>88.77508</v>
      </c>
      <c r="AC754" t="n">
        <v>97.38485</v>
      </c>
      <c r="AD754" t="n">
        <v>96.23394</v>
      </c>
      <c r="AE754" t="n">
        <v>97.80383</v>
      </c>
      <c r="AF754" t="n">
        <v>93.54058000000001</v>
      </c>
      <c r="AG754" t="n">
        <v>94.2526</v>
      </c>
      <c r="AH754" t="n">
        <v>93.81792</v>
      </c>
      <c r="AI754" t="n">
        <v>96.88291</v>
      </c>
      <c r="AJ754" t="n">
        <v>89.93082</v>
      </c>
      <c r="AK754" t="n">
        <v>93.68814</v>
      </c>
      <c r="AL754" t="n">
        <v>92.79881</v>
      </c>
      <c r="AM754" t="n">
        <v>93.71836</v>
      </c>
      <c r="AN754" t="n">
        <v>93.86722</v>
      </c>
      <c r="AO754" t="n">
        <v>96.15300999999999</v>
      </c>
      <c r="AP754" t="n">
        <v>98.02254000000001</v>
      </c>
      <c r="AQ754" t="n">
        <v/>
      </c>
      <c r="AR754" t="n">
        <v/>
      </c>
      <c r="AS754" t="n">
        <v>95.14134</v>
      </c>
      <c r="AT754" t="n">
        <v>97.08162</v>
      </c>
      <c r="AU754" t="n">
        <v>100.3848</v>
      </c>
      <c r="AV754" t="n">
        <v>74.39745000000001</v>
      </c>
      <c r="AW754" t="n">
        <v>93.4127</v>
      </c>
      <c r="AX754" t="n">
        <v>82.46521</v>
      </c>
    </row>
    <row r="755">
      <c r="A755" s="92" t="n">
        <v>40817</v>
      </c>
      <c r="B755" t="n">
        <v>93.07231</v>
      </c>
      <c r="C755" t="n">
        <v>94.1306</v>
      </c>
      <c r="D755" t="n">
        <v/>
      </c>
      <c r="E755" t="n">
        <v>94.5822</v>
      </c>
      <c r="F755" t="n">
        <v>101.5052</v>
      </c>
      <c r="G755" t="n">
        <v>89.34866</v>
      </c>
      <c r="H755" t="n">
        <v/>
      </c>
      <c r="I755" t="n">
        <v>88.61458</v>
      </c>
      <c r="J755" t="n">
        <v>85.62199</v>
      </c>
      <c r="K755" t="n">
        <v>96.59999999999999</v>
      </c>
      <c r="L755" t="n">
        <v>95.05249999999999</v>
      </c>
      <c r="M755" t="n">
        <v>95.33521</v>
      </c>
      <c r="N755" t="n">
        <v>96.48999999999999</v>
      </c>
      <c r="O755" t="n">
        <v>98.05369</v>
      </c>
      <c r="P755" t="n">
        <v>95.17908</v>
      </c>
      <c r="Q755" t="n">
        <v/>
      </c>
      <c r="R755" t="n">
        <v>95.87914000000001</v>
      </c>
      <c r="S755" t="n">
        <v>96.74869</v>
      </c>
      <c r="T755" t="n">
        <v/>
      </c>
      <c r="U755" t="n">
        <v>94.68026</v>
      </c>
      <c r="V755" t="n">
        <v>94.09999999999999</v>
      </c>
      <c r="W755" t="n">
        <v>105.7343</v>
      </c>
      <c r="X755" t="n">
        <v>89.48159</v>
      </c>
      <c r="Y755" t="n">
        <v/>
      </c>
      <c r="Z755" t="n">
        <v/>
      </c>
      <c r="AA755" t="n">
        <v>97.69920999999999</v>
      </c>
      <c r="AB755" t="n">
        <v>89.31399</v>
      </c>
      <c r="AC755" t="n">
        <v>97.48608</v>
      </c>
      <c r="AD755" t="n">
        <v>96.68823999999999</v>
      </c>
      <c r="AE755" t="n">
        <v>97.72132999999999</v>
      </c>
      <c r="AF755" t="n">
        <v>93.54058000000001</v>
      </c>
      <c r="AG755" t="n">
        <v>94.2954</v>
      </c>
      <c r="AH755" t="n">
        <v>94.09896000000001</v>
      </c>
      <c r="AI755" t="n">
        <v>96.98239</v>
      </c>
      <c r="AJ755" t="n">
        <v>90.07059</v>
      </c>
      <c r="AK755" t="n">
        <v>93.77251</v>
      </c>
      <c r="AL755" t="n">
        <v>92.82662999999999</v>
      </c>
      <c r="AM755" t="n">
        <v>93.94781</v>
      </c>
      <c r="AN755" t="n">
        <v>94.25181000000001</v>
      </c>
      <c r="AO755" t="n">
        <v>96.41383</v>
      </c>
      <c r="AP755" t="n">
        <v>98.57178999999999</v>
      </c>
      <c r="AQ755" t="n">
        <v/>
      </c>
      <c r="AR755" t="n">
        <v/>
      </c>
      <c r="AS755" t="n">
        <v>95.27636</v>
      </c>
      <c r="AT755" t="n">
        <v>97.75163000000001</v>
      </c>
      <c r="AU755" t="n">
        <v>100.482</v>
      </c>
      <c r="AV755" t="n">
        <v>76.44408</v>
      </c>
      <c r="AW755" t="n">
        <v>93.60011</v>
      </c>
      <c r="AX755" t="n">
        <v>82.65961</v>
      </c>
    </row>
    <row r="756">
      <c r="A756" s="92" t="n">
        <v>40848</v>
      </c>
      <c r="B756" t="n">
        <v>92.98204</v>
      </c>
      <c r="C756" t="n">
        <v>94.24715</v>
      </c>
      <c r="D756" t="n">
        <v/>
      </c>
      <c r="E756" t="n">
        <v>94.75915999999999</v>
      </c>
      <c r="F756" t="n">
        <v>101.3176</v>
      </c>
      <c r="G756" t="n">
        <v>89.42461</v>
      </c>
      <c r="H756" t="n">
        <v/>
      </c>
      <c r="I756" t="n">
        <v>88.78625</v>
      </c>
      <c r="J756" t="n">
        <v>85.75761</v>
      </c>
      <c r="K756" t="n">
        <v>96.59999999999999</v>
      </c>
      <c r="L756" t="n">
        <v>95.15076999999999</v>
      </c>
      <c r="M756" t="n">
        <v>95.19797</v>
      </c>
      <c r="N756" t="n">
        <v>96.40000000000001</v>
      </c>
      <c r="O756" t="n">
        <v>98.49615</v>
      </c>
      <c r="P756" t="n">
        <v>95.12233000000001</v>
      </c>
      <c r="Q756" t="n">
        <v/>
      </c>
      <c r="R756" t="n">
        <v>95.69315</v>
      </c>
      <c r="S756" t="n">
        <v>96.91988000000001</v>
      </c>
      <c r="T756" t="n">
        <v/>
      </c>
      <c r="U756" t="n">
        <v>94.66933</v>
      </c>
      <c r="V756" t="n">
        <v>94.2</v>
      </c>
      <c r="W756" t="n">
        <v>105.7432</v>
      </c>
      <c r="X756" t="n">
        <v>89.63186</v>
      </c>
      <c r="Y756" t="n">
        <v/>
      </c>
      <c r="Z756" t="n">
        <v/>
      </c>
      <c r="AA756" t="n">
        <v>97.67137</v>
      </c>
      <c r="AB756" t="n">
        <v>89.40698</v>
      </c>
      <c r="AC756" t="n">
        <v>97.08114999999999</v>
      </c>
      <c r="AD756" t="n">
        <v>96.35263999999999</v>
      </c>
      <c r="AE756" t="n">
        <v>97.3035</v>
      </c>
      <c r="AF756" t="n">
        <v>93.72149</v>
      </c>
      <c r="AG756" t="n">
        <v>94.32729999999999</v>
      </c>
      <c r="AH756" t="n">
        <v>94.16508</v>
      </c>
      <c r="AI756" t="n">
        <v>96.8678</v>
      </c>
      <c r="AJ756" t="n">
        <v>90.30887</v>
      </c>
      <c r="AK756" t="n">
        <v>93.41069</v>
      </c>
      <c r="AL756" t="n">
        <v>92.76040999999999</v>
      </c>
      <c r="AM756" t="n">
        <v>94.00604</v>
      </c>
      <c r="AN756" t="n">
        <v>94.39806</v>
      </c>
      <c r="AO756" t="n">
        <v>96.67464</v>
      </c>
      <c r="AP756" t="n">
        <v>98.44849000000001</v>
      </c>
      <c r="AQ756" t="n">
        <v/>
      </c>
      <c r="AR756" t="n">
        <v/>
      </c>
      <c r="AS756" t="n">
        <v>95.77813999999999</v>
      </c>
      <c r="AT756" t="n">
        <v>98.04163</v>
      </c>
      <c r="AU756" t="n">
        <v>100.6093</v>
      </c>
      <c r="AV756" t="n">
        <v>77.59607</v>
      </c>
      <c r="AW756" t="n">
        <v>93.648</v>
      </c>
      <c r="AX756" t="n">
        <v>82.63525</v>
      </c>
    </row>
    <row r="757">
      <c r="A757" s="92" t="n">
        <v>40878</v>
      </c>
      <c r="B757" t="n">
        <v>93.25286</v>
      </c>
      <c r="C757" t="n">
        <v>94.38311</v>
      </c>
      <c r="D757" t="n">
        <v/>
      </c>
      <c r="E757" t="n">
        <v>94.17167000000001</v>
      </c>
      <c r="F757" t="n">
        <v>101.055</v>
      </c>
      <c r="G757" t="n">
        <v>89.99973</v>
      </c>
      <c r="H757" t="n">
        <v/>
      </c>
      <c r="I757" t="n">
        <v>89.08054</v>
      </c>
      <c r="J757" t="n">
        <v>86.07004999999999</v>
      </c>
      <c r="K757" t="n">
        <v>96.59999999999999</v>
      </c>
      <c r="L757" t="n">
        <v>95.43835</v>
      </c>
      <c r="M757" t="n">
        <v>95.11534</v>
      </c>
      <c r="N757" t="n">
        <v>96.81999999999999</v>
      </c>
      <c r="O757" t="n">
        <v>98.65169</v>
      </c>
      <c r="P757" t="n">
        <v>95.06556999999999</v>
      </c>
      <c r="Q757" t="n">
        <v/>
      </c>
      <c r="R757" t="n">
        <v>95.69315</v>
      </c>
      <c r="S757" t="n">
        <v>97.37743</v>
      </c>
      <c r="T757" t="n">
        <v/>
      </c>
      <c r="U757" t="n">
        <v>94.72523</v>
      </c>
      <c r="V757" t="n">
        <v>94.59999999999999</v>
      </c>
      <c r="W757" t="n">
        <v>105.4967</v>
      </c>
      <c r="X757" t="n">
        <v>90.00751</v>
      </c>
      <c r="Y757" t="n">
        <v/>
      </c>
      <c r="Z757" t="n">
        <v/>
      </c>
      <c r="AA757" t="n">
        <v>97.26573999999999</v>
      </c>
      <c r="AB757" t="n">
        <v>89.57492999999999</v>
      </c>
      <c r="AC757" t="n">
        <v>97.18239</v>
      </c>
      <c r="AD757" t="n">
        <v>96.65303</v>
      </c>
      <c r="AE757" t="n">
        <v>97.3409</v>
      </c>
      <c r="AF757" t="n">
        <v>93.90345000000001</v>
      </c>
      <c r="AG757" t="n">
        <v>94.15470000000001</v>
      </c>
      <c r="AH757" t="n">
        <v>94.18162</v>
      </c>
      <c r="AI757" t="n">
        <v>96.85307</v>
      </c>
      <c r="AJ757" t="n">
        <v>90.65170999999999</v>
      </c>
      <c r="AK757" t="n">
        <v>93.0723</v>
      </c>
      <c r="AL757" t="n">
        <v>93.07104</v>
      </c>
      <c r="AM757" t="n">
        <v>94.07849</v>
      </c>
      <c r="AN757" t="n">
        <v>94.60827</v>
      </c>
      <c r="AO757" t="n">
        <v>96.84851</v>
      </c>
      <c r="AP757" t="n">
        <v>98.44859</v>
      </c>
      <c r="AQ757" t="n">
        <v/>
      </c>
      <c r="AR757" t="n">
        <v/>
      </c>
      <c r="AS757" t="n">
        <v>95.86166</v>
      </c>
      <c r="AT757" t="n">
        <v>97.17162</v>
      </c>
      <c r="AU757" t="n">
        <v>100.9377</v>
      </c>
      <c r="AV757" t="n">
        <v>77.58381</v>
      </c>
      <c r="AW757" t="n">
        <v>93.59887999999999</v>
      </c>
      <c r="AX757" t="n">
        <v>82.85062000000001</v>
      </c>
    </row>
    <row r="758">
      <c r="A758" s="92" t="n">
        <v>40909</v>
      </c>
      <c r="B758" t="n">
        <v>92.44038999999999</v>
      </c>
      <c r="C758" t="n">
        <v>95.01439999999999</v>
      </c>
      <c r="D758" t="n">
        <v/>
      </c>
      <c r="E758" t="n">
        <v>94.29714</v>
      </c>
      <c r="F758" t="n">
        <v>100.4944</v>
      </c>
      <c r="G758" t="n">
        <v>90.31441</v>
      </c>
      <c r="H758" t="n">
        <v/>
      </c>
      <c r="I758" t="n">
        <v>89.55468</v>
      </c>
      <c r="J758" t="n">
        <v>86.75677</v>
      </c>
      <c r="K758" t="n">
        <v>97.3</v>
      </c>
      <c r="L758" t="n">
        <v>94.95808</v>
      </c>
      <c r="M758" t="n">
        <v>95.36761</v>
      </c>
      <c r="N758" t="n">
        <v>95.2</v>
      </c>
      <c r="O758" t="n">
        <v>96.58022</v>
      </c>
      <c r="P758" t="n">
        <v>95.00882</v>
      </c>
      <c r="Q758" t="n">
        <v/>
      </c>
      <c r="R758" t="n">
        <v>95.97214</v>
      </c>
      <c r="S758" t="n">
        <v>96.67816999999999</v>
      </c>
      <c r="T758" t="n">
        <v/>
      </c>
      <c r="U758" t="n">
        <v>94.67649</v>
      </c>
      <c r="V758" t="n">
        <v>94.09999999999999</v>
      </c>
      <c r="W758" t="n">
        <v>103.7027</v>
      </c>
      <c r="X758" t="n">
        <v>91.35988</v>
      </c>
      <c r="Y758" t="n">
        <v/>
      </c>
      <c r="Z758" t="n">
        <v/>
      </c>
      <c r="AA758" t="n">
        <v>96.36507</v>
      </c>
      <c r="AB758" t="n">
        <v>89.24086</v>
      </c>
      <c r="AC758" t="n">
        <v>97.08114999999999</v>
      </c>
      <c r="AD758" t="n">
        <v>96.51161999999999</v>
      </c>
      <c r="AE758" t="n">
        <v>97.04783999999999</v>
      </c>
      <c r="AF758" t="n">
        <v>94.12138</v>
      </c>
      <c r="AG758" t="n">
        <v>93.8955</v>
      </c>
      <c r="AH758" t="n">
        <v>93.05746000000001</v>
      </c>
      <c r="AI758" t="n">
        <v>96.47381</v>
      </c>
      <c r="AJ758" t="n">
        <v>90.90965</v>
      </c>
      <c r="AK758" t="n">
        <v>92.81319000000001</v>
      </c>
      <c r="AL758" t="n">
        <v>92.52464000000001</v>
      </c>
      <c r="AM758" t="n">
        <v>93.99356</v>
      </c>
      <c r="AN758" t="n">
        <v>94.12154</v>
      </c>
      <c r="AO758" t="n">
        <v>96.67464</v>
      </c>
      <c r="AP758" t="n">
        <v>98.22649</v>
      </c>
      <c r="AQ758" t="n">
        <v/>
      </c>
      <c r="AR758" t="n">
        <v/>
      </c>
      <c r="AS758" t="n">
        <v>96.35415999999999</v>
      </c>
      <c r="AT758" t="n">
        <v>95.69159999999999</v>
      </c>
      <c r="AU758" t="n">
        <v>99.33257999999999</v>
      </c>
      <c r="AV758" t="n">
        <v>77.62466000000001</v>
      </c>
      <c r="AW758" t="n">
        <v>93.80404</v>
      </c>
      <c r="AX758" t="n">
        <v>83.19286</v>
      </c>
    </row>
    <row r="759">
      <c r="A759" s="92" t="n">
        <v>40940</v>
      </c>
      <c r="B759" t="n">
        <v>92.89176</v>
      </c>
      <c r="C759" t="n">
        <v>95.42232</v>
      </c>
      <c r="D759" t="n">
        <v/>
      </c>
      <c r="E759" t="n">
        <v>94.64555</v>
      </c>
      <c r="F759" t="n">
        <v>100.73</v>
      </c>
      <c r="G759" t="n">
        <v>90.72676</v>
      </c>
      <c r="H759" t="n">
        <v/>
      </c>
      <c r="I759" t="n">
        <v>90.15143999999999</v>
      </c>
      <c r="J759" t="n">
        <v>87.42398</v>
      </c>
      <c r="K759" t="n">
        <v>97.40000000000001</v>
      </c>
      <c r="L759" t="n">
        <v>95.44524</v>
      </c>
      <c r="M759" t="n">
        <v>96.50887</v>
      </c>
      <c r="N759" t="n">
        <v>95.53</v>
      </c>
      <c r="O759" t="n">
        <v>96.5014</v>
      </c>
      <c r="P759" t="n">
        <v>95.12233000000001</v>
      </c>
      <c r="Q759" t="n">
        <v/>
      </c>
      <c r="R759" t="n">
        <v>96.34412</v>
      </c>
      <c r="S759" t="n">
        <v>96.97292</v>
      </c>
      <c r="T759" t="n">
        <v/>
      </c>
      <c r="U759" t="n">
        <v>94.9614</v>
      </c>
      <c r="V759" t="n">
        <v>94.5</v>
      </c>
      <c r="W759" t="n">
        <v>101.2889</v>
      </c>
      <c r="X759" t="n">
        <v>91.73553</v>
      </c>
      <c r="Y759" t="n">
        <v/>
      </c>
      <c r="Z759" t="n">
        <v/>
      </c>
      <c r="AA759" t="n">
        <v>97.29935999999999</v>
      </c>
      <c r="AB759" t="n">
        <v>90.18454</v>
      </c>
      <c r="AC759" t="n">
        <v>96.77746</v>
      </c>
      <c r="AD759" t="n">
        <v>96.71944000000001</v>
      </c>
      <c r="AE759" t="n">
        <v>97.24781</v>
      </c>
      <c r="AF759" t="n">
        <v>94.48531</v>
      </c>
      <c r="AG759" t="n">
        <v>93.98</v>
      </c>
      <c r="AH759" t="n">
        <v>94.81809</v>
      </c>
      <c r="AI759" t="n">
        <v>96.22229</v>
      </c>
      <c r="AJ759" t="n">
        <v>91.20253</v>
      </c>
      <c r="AK759" t="n">
        <v>93.28991000000001</v>
      </c>
      <c r="AL759" t="n">
        <v>93.05408</v>
      </c>
      <c r="AM759" t="n">
        <v>94.24609</v>
      </c>
      <c r="AN759" t="n">
        <v>94.36442</v>
      </c>
      <c r="AO759" t="n">
        <v>96.93545</v>
      </c>
      <c r="AP759" t="n">
        <v>98.13732</v>
      </c>
      <c r="AQ759" t="n">
        <v/>
      </c>
      <c r="AR759" t="n">
        <v/>
      </c>
      <c r="AS759" t="n">
        <v>96.54398</v>
      </c>
      <c r="AT759" t="n">
        <v>95.8416</v>
      </c>
      <c r="AU759" t="n">
        <v>99.82519000000001</v>
      </c>
      <c r="AV759" t="n">
        <v>77.50211</v>
      </c>
      <c r="AW759" t="n">
        <v>94.06328000000001</v>
      </c>
      <c r="AX759" t="n">
        <v>83.72355</v>
      </c>
    </row>
    <row r="760">
      <c r="A760" s="92" t="n">
        <v>40969</v>
      </c>
      <c r="B760" t="n">
        <v>93.88477</v>
      </c>
      <c r="C760" t="n">
        <v>95.41261</v>
      </c>
      <c r="D760" t="n">
        <v/>
      </c>
      <c r="E760" t="n">
        <v>94.99722</v>
      </c>
      <c r="F760" t="n">
        <v>101.1782</v>
      </c>
      <c r="G760" t="n">
        <v>90.68335</v>
      </c>
      <c r="H760" t="n">
        <v/>
      </c>
      <c r="I760" t="n">
        <v>90.3231</v>
      </c>
      <c r="J760" t="n">
        <v>87.62902</v>
      </c>
      <c r="K760" t="n">
        <v>97.2</v>
      </c>
      <c r="L760" t="n">
        <v>95.88120000000001</v>
      </c>
      <c r="M760" t="n">
        <v>96.85442999999999</v>
      </c>
      <c r="N760" t="n">
        <v>96.98</v>
      </c>
      <c r="O760" t="n">
        <v>97.08678999999999</v>
      </c>
      <c r="P760" t="n">
        <v>95.97366</v>
      </c>
      <c r="Q760" t="n">
        <v/>
      </c>
      <c r="R760" t="n">
        <v>96.62311</v>
      </c>
      <c r="S760" t="n">
        <v>97.75695</v>
      </c>
      <c r="T760" t="n">
        <v/>
      </c>
      <c r="U760" t="n">
        <v>95.33378999999999</v>
      </c>
      <c r="V760" t="n">
        <v>94.8</v>
      </c>
      <c r="W760" t="n">
        <v>104.8277</v>
      </c>
      <c r="X760" t="n">
        <v>92.33659</v>
      </c>
      <c r="Y760" t="n">
        <v/>
      </c>
      <c r="Z760" t="n">
        <v/>
      </c>
      <c r="AA760" t="n">
        <v>98.32203</v>
      </c>
      <c r="AB760" t="n">
        <v>91.03863</v>
      </c>
      <c r="AC760" t="n">
        <v>97.08114999999999</v>
      </c>
      <c r="AD760" t="n">
        <v>97.1054</v>
      </c>
      <c r="AE760" t="n">
        <v>97.46080000000001</v>
      </c>
      <c r="AF760" t="n">
        <v>94.2039</v>
      </c>
      <c r="AG760" t="n">
        <v>94.86069999999999</v>
      </c>
      <c r="AH760" t="n">
        <v>94.94208</v>
      </c>
      <c r="AI760" t="n">
        <v>96.72214</v>
      </c>
      <c r="AJ760" t="n">
        <v>91.36682</v>
      </c>
      <c r="AK760" t="n">
        <v>94.4987</v>
      </c>
      <c r="AL760" t="n">
        <v>93.4122</v>
      </c>
      <c r="AM760" t="n">
        <v>94.61439</v>
      </c>
      <c r="AN760" t="n">
        <v>94.89318</v>
      </c>
      <c r="AO760" t="n">
        <v>97.19626</v>
      </c>
      <c r="AP760" t="n">
        <v>99.3659</v>
      </c>
      <c r="AQ760" t="n">
        <v/>
      </c>
      <c r="AR760" t="n">
        <v/>
      </c>
      <c r="AS760" t="n">
        <v>96.7822</v>
      </c>
      <c r="AT760" t="n">
        <v>96.95161</v>
      </c>
      <c r="AU760" t="n">
        <v>100.1804</v>
      </c>
      <c r="AV760" t="n">
        <v>77.77173000000001</v>
      </c>
      <c r="AW760" t="n">
        <v>94.42242</v>
      </c>
      <c r="AX760" t="n">
        <v>84.78764</v>
      </c>
    </row>
    <row r="761">
      <c r="A761" s="92" t="n">
        <v>41000</v>
      </c>
      <c r="B761" t="n">
        <v>94.24587</v>
      </c>
      <c r="C761" t="n">
        <v>95.45144999999999</v>
      </c>
      <c r="D761" t="n">
        <v/>
      </c>
      <c r="E761" t="n">
        <v>95.37054999999999</v>
      </c>
      <c r="F761" t="n">
        <v>101.3379</v>
      </c>
      <c r="G761" t="n">
        <v>90.84612</v>
      </c>
      <c r="H761" t="n">
        <v/>
      </c>
      <c r="I761" t="n">
        <v>90.50295</v>
      </c>
      <c r="J761" t="n">
        <v>87.81128</v>
      </c>
      <c r="K761" t="n">
        <v>97.40000000000001</v>
      </c>
      <c r="L761" t="n">
        <v>95.6302</v>
      </c>
      <c r="M761" t="n">
        <v>97.01472</v>
      </c>
      <c r="N761" t="n">
        <v>97.44</v>
      </c>
      <c r="O761" t="n">
        <v>98.42993</v>
      </c>
      <c r="P761" t="n">
        <v>96.14393</v>
      </c>
      <c r="Q761" t="n">
        <v/>
      </c>
      <c r="R761" t="n">
        <v>96.99509</v>
      </c>
      <c r="S761" t="n">
        <v>97.91648000000001</v>
      </c>
      <c r="T761" t="n">
        <v/>
      </c>
      <c r="U761" t="n">
        <v>95.55074</v>
      </c>
      <c r="V761" t="n">
        <v>95.2</v>
      </c>
      <c r="W761" t="n">
        <v>105.8178</v>
      </c>
      <c r="X761" t="n">
        <v>92.78738</v>
      </c>
      <c r="Y761" t="n">
        <v/>
      </c>
      <c r="Z761" t="n">
        <v/>
      </c>
      <c r="AA761" t="n">
        <v>97.97638000000001</v>
      </c>
      <c r="AB761" t="n">
        <v>91.64749</v>
      </c>
      <c r="AC761" t="n">
        <v>97.89100999999999</v>
      </c>
      <c r="AD761" t="n">
        <v>97.47309</v>
      </c>
      <c r="AE761" t="n">
        <v>97.73887999999999</v>
      </c>
      <c r="AF761" t="n">
        <v>94.17639</v>
      </c>
      <c r="AG761" t="n">
        <v>95.3612</v>
      </c>
      <c r="AH761" t="n">
        <v>95.09087</v>
      </c>
      <c r="AI761" t="n">
        <v>97.31384</v>
      </c>
      <c r="AJ761" t="n">
        <v>91.48577</v>
      </c>
      <c r="AK761" t="n">
        <v>94.88016</v>
      </c>
      <c r="AL761" t="n">
        <v>93.80135</v>
      </c>
      <c r="AM761" t="n">
        <v>94.91338</v>
      </c>
      <c r="AN761" t="n">
        <v>95.29980999999999</v>
      </c>
      <c r="AO761" t="n">
        <v>97.71789</v>
      </c>
      <c r="AP761" t="n">
        <v>99.54424</v>
      </c>
      <c r="AQ761" t="n">
        <v/>
      </c>
      <c r="AR761" t="n">
        <v/>
      </c>
      <c r="AS761" t="n">
        <v>97.25771</v>
      </c>
      <c r="AT761" t="n">
        <v>97.93163</v>
      </c>
      <c r="AU761" t="n">
        <v>100.5725</v>
      </c>
      <c r="AV761" t="n">
        <v>79.17699</v>
      </c>
      <c r="AW761" t="n">
        <v>94.65689</v>
      </c>
      <c r="AX761" t="n">
        <v>84.98144000000001</v>
      </c>
    </row>
    <row r="762">
      <c r="A762" s="92" t="n">
        <v>41030</v>
      </c>
      <c r="B762" t="n">
        <v>94.33614</v>
      </c>
      <c r="C762" t="n">
        <v>95.69426</v>
      </c>
      <c r="D762" t="n">
        <v/>
      </c>
      <c r="E762" t="n">
        <v>95.44696999999999</v>
      </c>
      <c r="F762" t="n">
        <v>101.2793</v>
      </c>
      <c r="G762" t="n">
        <v>90.85697</v>
      </c>
      <c r="H762" t="n">
        <v/>
      </c>
      <c r="I762" t="n">
        <v>90.65827</v>
      </c>
      <c r="J762" t="n">
        <v>88.43725999999999</v>
      </c>
      <c r="K762" t="n">
        <v>97.5</v>
      </c>
      <c r="L762" t="n">
        <v>95.85633</v>
      </c>
      <c r="M762" t="n">
        <v>97.2817</v>
      </c>
      <c r="N762" t="n">
        <v>97.43000000000001</v>
      </c>
      <c r="O762" t="n">
        <v>98.55815</v>
      </c>
      <c r="P762" t="n">
        <v>96.37096</v>
      </c>
      <c r="Q762" t="n">
        <v/>
      </c>
      <c r="R762" t="n">
        <v>97.27409</v>
      </c>
      <c r="S762" t="n">
        <v>97.97707</v>
      </c>
      <c r="T762" t="n">
        <v/>
      </c>
      <c r="U762" t="n">
        <v>95.62730000000001</v>
      </c>
      <c r="V762" t="n">
        <v>95.3</v>
      </c>
      <c r="W762" t="n">
        <v>105.5716</v>
      </c>
      <c r="X762" t="n">
        <v>92.86251</v>
      </c>
      <c r="Y762" t="n">
        <v/>
      </c>
      <c r="Z762" t="n">
        <v/>
      </c>
      <c r="AA762" t="n">
        <v>98.01611</v>
      </c>
      <c r="AB762" t="n">
        <v>91.93246000000001</v>
      </c>
      <c r="AC762" t="n">
        <v>97.89100999999999</v>
      </c>
      <c r="AD762" t="n">
        <v>97.4472</v>
      </c>
      <c r="AE762" t="n">
        <v>97.53961</v>
      </c>
      <c r="AF762" t="n">
        <v>94.45780000000001</v>
      </c>
      <c r="AG762" t="n">
        <v>95.71469999999999</v>
      </c>
      <c r="AH762" t="n">
        <v>95.157</v>
      </c>
      <c r="AI762" t="n">
        <v>97.39564</v>
      </c>
      <c r="AJ762" t="n">
        <v>91.71217</v>
      </c>
      <c r="AK762" t="n">
        <v>94.86666</v>
      </c>
      <c r="AL762" t="n">
        <v>93.93702999999999</v>
      </c>
      <c r="AM762" t="n">
        <v>95.02981</v>
      </c>
      <c r="AN762" t="n">
        <v>95.46858</v>
      </c>
      <c r="AO762" t="n">
        <v>97.71789</v>
      </c>
      <c r="AP762" t="n">
        <v>99.38571</v>
      </c>
      <c r="AQ762" t="n">
        <v/>
      </c>
      <c r="AR762" t="n">
        <v/>
      </c>
      <c r="AS762" t="n">
        <v>97.32647</v>
      </c>
      <c r="AT762" t="n">
        <v>98.54164</v>
      </c>
      <c r="AU762" t="n">
        <v>100.6764</v>
      </c>
      <c r="AV762" t="n">
        <v>80.11247</v>
      </c>
      <c r="AW762" t="n">
        <v>94.78032</v>
      </c>
      <c r="AX762" t="n">
        <v>84.97792</v>
      </c>
    </row>
    <row r="763">
      <c r="A763" s="92" t="n">
        <v>41061</v>
      </c>
      <c r="B763" t="n">
        <v>94.60696</v>
      </c>
      <c r="C763" t="n">
        <v>95.78167000000001</v>
      </c>
      <c r="D763" t="n">
        <v/>
      </c>
      <c r="E763" t="n">
        <v>95.14243</v>
      </c>
      <c r="F763" t="n">
        <v>101.1272</v>
      </c>
      <c r="G763" t="n">
        <v>90.93293</v>
      </c>
      <c r="H763" t="n">
        <v/>
      </c>
      <c r="I763" t="n">
        <v>90.82993999999999</v>
      </c>
      <c r="J763" t="n">
        <v>88.44593999999999</v>
      </c>
      <c r="K763" t="n">
        <v>97.59999999999999</v>
      </c>
      <c r="L763" t="n">
        <v>95.76957</v>
      </c>
      <c r="M763" t="n">
        <v>97.06071</v>
      </c>
      <c r="N763" t="n">
        <v>97.5</v>
      </c>
      <c r="O763" t="n">
        <v>98.59493999999999</v>
      </c>
      <c r="P763" t="n">
        <v>96.37096</v>
      </c>
      <c r="Q763" t="n">
        <v/>
      </c>
      <c r="R763" t="n">
        <v>97.46008</v>
      </c>
      <c r="S763" t="n">
        <v>98.172</v>
      </c>
      <c r="T763" t="n">
        <v/>
      </c>
      <c r="U763" t="n">
        <v>95.65669</v>
      </c>
      <c r="V763" t="n">
        <v>95.09999999999999</v>
      </c>
      <c r="W763" t="n">
        <v>105.4798</v>
      </c>
      <c r="X763" t="n">
        <v>93.23817</v>
      </c>
      <c r="Y763" t="n">
        <v/>
      </c>
      <c r="Z763" t="n">
        <v/>
      </c>
      <c r="AA763" t="n">
        <v>98.07932</v>
      </c>
      <c r="AB763" t="n">
        <v>92.57826</v>
      </c>
      <c r="AC763" t="n">
        <v>97.89100999999999</v>
      </c>
      <c r="AD763" t="n">
        <v>97.73011</v>
      </c>
      <c r="AE763" t="n">
        <v>97.29566</v>
      </c>
      <c r="AF763" t="n">
        <v>94.5583</v>
      </c>
      <c r="AG763" t="n">
        <v>96.06910000000001</v>
      </c>
      <c r="AH763" t="n">
        <v>95.27272000000001</v>
      </c>
      <c r="AI763" t="n">
        <v>97.48969</v>
      </c>
      <c r="AJ763" t="n">
        <v>91.85762</v>
      </c>
      <c r="AK763" t="n">
        <v>94.36363</v>
      </c>
      <c r="AL763" t="n">
        <v>93.63059</v>
      </c>
      <c r="AM763" t="n">
        <v>95.07113</v>
      </c>
      <c r="AN763" t="n">
        <v>95.50763999999999</v>
      </c>
      <c r="AO763" t="n">
        <v>97.80482000000001</v>
      </c>
      <c r="AP763" t="n">
        <v>99.25691</v>
      </c>
      <c r="AQ763" t="n">
        <v/>
      </c>
      <c r="AR763" t="n">
        <v/>
      </c>
      <c r="AS763" t="n">
        <v>97.4044</v>
      </c>
      <c r="AT763" t="n">
        <v>98.39164</v>
      </c>
      <c r="AU763" t="n">
        <v>100.4183</v>
      </c>
      <c r="AV763" t="n">
        <v>80.47196</v>
      </c>
      <c r="AW763" t="n">
        <v>94.89466</v>
      </c>
      <c r="AX763" t="n">
        <v>85.60942</v>
      </c>
    </row>
    <row r="764">
      <c r="A764" s="92" t="n">
        <v>41091</v>
      </c>
      <c r="B764" t="n">
        <v>94.15559</v>
      </c>
      <c r="C764" t="n">
        <v>95.99534</v>
      </c>
      <c r="D764" t="n">
        <v/>
      </c>
      <c r="E764" t="n">
        <v>94.87600999999999</v>
      </c>
      <c r="F764" t="n">
        <v>100.5692</v>
      </c>
      <c r="G764" t="n">
        <v>90.97633</v>
      </c>
      <c r="H764" t="n">
        <v/>
      </c>
      <c r="I764" t="n">
        <v>91.05067</v>
      </c>
      <c r="J764" t="n">
        <v>88.36457</v>
      </c>
      <c r="K764" t="n">
        <v>97.8</v>
      </c>
      <c r="L764" t="n">
        <v>96.1705</v>
      </c>
      <c r="M764" t="n">
        <v>96.88244</v>
      </c>
      <c r="N764" t="n">
        <v>96.73</v>
      </c>
      <c r="O764" t="n">
        <v>97.73209</v>
      </c>
      <c r="P764" t="n">
        <v>96.25745000000001</v>
      </c>
      <c r="Q764" t="n">
        <v/>
      </c>
      <c r="R764" t="n">
        <v>97.08808999999999</v>
      </c>
      <c r="S764" t="n">
        <v>97.71899999999999</v>
      </c>
      <c r="T764" t="n">
        <v/>
      </c>
      <c r="U764" t="n">
        <v>95.65721000000001</v>
      </c>
      <c r="V764" t="n">
        <v>95.2</v>
      </c>
      <c r="W764" t="n">
        <v>103.6846</v>
      </c>
      <c r="X764" t="n">
        <v>93.53870000000001</v>
      </c>
      <c r="Y764" t="n">
        <v/>
      </c>
      <c r="Z764" t="n">
        <v/>
      </c>
      <c r="AA764" t="n">
        <v>98.05761</v>
      </c>
      <c r="AB764" t="n">
        <v>91.60316</v>
      </c>
      <c r="AC764" t="n">
        <v>98.1947</v>
      </c>
      <c r="AD764" t="n">
        <v>98.07846000000001</v>
      </c>
      <c r="AE764" t="n">
        <v>97.06918</v>
      </c>
      <c r="AF764" t="n">
        <v>94.56676</v>
      </c>
      <c r="AG764" t="n">
        <v>95.7191</v>
      </c>
      <c r="AH764" t="n">
        <v>94.18162</v>
      </c>
      <c r="AI764" t="n">
        <v>96.82071999999999</v>
      </c>
      <c r="AJ764" t="n">
        <v>92.09875</v>
      </c>
      <c r="AK764" t="n">
        <v>95.04302</v>
      </c>
      <c r="AL764" t="n">
        <v>93.53185000000001</v>
      </c>
      <c r="AM764" t="n">
        <v>95.05388000000001</v>
      </c>
      <c r="AN764" t="n">
        <v>95.44225</v>
      </c>
      <c r="AO764" t="n">
        <v>97.89176</v>
      </c>
      <c r="AP764" t="n">
        <v>98.92004</v>
      </c>
      <c r="AQ764" t="n">
        <v/>
      </c>
      <c r="AR764" t="n">
        <v/>
      </c>
      <c r="AS764" t="n">
        <v>97.58138</v>
      </c>
      <c r="AT764" t="n">
        <v>97.10162</v>
      </c>
      <c r="AU764" t="n">
        <v>100.1167</v>
      </c>
      <c r="AV764" t="n">
        <v>80.12063999999999</v>
      </c>
      <c r="AW764" t="n">
        <v>94.90044</v>
      </c>
      <c r="AX764" t="n">
        <v>85.93308</v>
      </c>
    </row>
    <row r="765">
      <c r="A765" s="92" t="n">
        <v>41122</v>
      </c>
      <c r="B765" t="n">
        <v>94.15559</v>
      </c>
      <c r="C765" t="n">
        <v>96.09246</v>
      </c>
      <c r="D765" t="n">
        <v/>
      </c>
      <c r="E765" t="n">
        <v>94.89960000000001</v>
      </c>
      <c r="F765" t="n">
        <v>100.3564</v>
      </c>
      <c r="G765" t="n">
        <v>90.61825</v>
      </c>
      <c r="H765" t="n">
        <v/>
      </c>
      <c r="I765" t="n">
        <v>91.10789</v>
      </c>
      <c r="J765" t="n">
        <v>89.20644</v>
      </c>
      <c r="K765" t="n">
        <v>97.8</v>
      </c>
      <c r="L765" t="n">
        <v>96.35271</v>
      </c>
      <c r="M765" t="n">
        <v>96.98762000000001</v>
      </c>
      <c r="N765" t="n">
        <v>96.89</v>
      </c>
      <c r="O765" t="n">
        <v>97.89814</v>
      </c>
      <c r="P765" t="n">
        <v>96.42771</v>
      </c>
      <c r="Q765" t="n">
        <v/>
      </c>
      <c r="R765" t="n">
        <v>97.18107999999999</v>
      </c>
      <c r="S765" t="n">
        <v>98.27395</v>
      </c>
      <c r="T765" t="n">
        <v/>
      </c>
      <c r="U765" t="n">
        <v>95.8526</v>
      </c>
      <c r="V765" t="n">
        <v>95.59999999999999</v>
      </c>
      <c r="W765" t="n">
        <v>101.7782</v>
      </c>
      <c r="X765" t="n">
        <v>93.68895999999999</v>
      </c>
      <c r="Y765" t="n">
        <v/>
      </c>
      <c r="Z765" t="n">
        <v/>
      </c>
      <c r="AA765" t="n">
        <v>98.37114</v>
      </c>
      <c r="AB765" t="n">
        <v>91.38592</v>
      </c>
      <c r="AC765" t="n">
        <v>98.80209000000001</v>
      </c>
      <c r="AD765" t="n">
        <v>98.36166</v>
      </c>
      <c r="AE765" t="n">
        <v>97.2988</v>
      </c>
      <c r="AF765" t="n">
        <v>94.72122</v>
      </c>
      <c r="AG765" t="n">
        <v>95.97320000000001</v>
      </c>
      <c r="AH765" t="n">
        <v>95.60336</v>
      </c>
      <c r="AI765" t="n">
        <v>96.44628</v>
      </c>
      <c r="AJ765" t="n">
        <v>92.30549999999999</v>
      </c>
      <c r="AK765" t="n">
        <v>95.10294</v>
      </c>
      <c r="AL765" t="n">
        <v>93.01084</v>
      </c>
      <c r="AM765" t="n">
        <v>95.19213000000001</v>
      </c>
      <c r="AN765" t="n">
        <v>95.58546</v>
      </c>
      <c r="AO765" t="n">
        <v>97.80482000000001</v>
      </c>
      <c r="AP765" t="n">
        <v>98.41473999999999</v>
      </c>
      <c r="AQ765" t="n">
        <v/>
      </c>
      <c r="AR765" t="n">
        <v/>
      </c>
      <c r="AS765" t="n">
        <v>97.71426</v>
      </c>
      <c r="AT765" t="n">
        <v>97.47163</v>
      </c>
      <c r="AU765" t="n">
        <v>100.0162</v>
      </c>
      <c r="AV765" t="n">
        <v>79.93273000000001</v>
      </c>
      <c r="AW765" t="n">
        <v>95.02552</v>
      </c>
      <c r="AX765" t="n">
        <v>86.11359</v>
      </c>
    </row>
    <row r="766">
      <c r="A766" s="92" t="n">
        <v>41153</v>
      </c>
      <c r="B766" t="n">
        <v>94.96805999999999</v>
      </c>
      <c r="C766" t="n">
        <v>96.09246</v>
      </c>
      <c r="D766" t="n">
        <v/>
      </c>
      <c r="E766" t="n">
        <v>95.21418</v>
      </c>
      <c r="F766" t="n">
        <v>100.6529</v>
      </c>
      <c r="G766" t="n">
        <v>91.03059</v>
      </c>
      <c r="H766" t="n">
        <v/>
      </c>
      <c r="I766" t="n">
        <v>91.25503999999999</v>
      </c>
      <c r="J766" t="n">
        <v>89.4679</v>
      </c>
      <c r="K766" t="n">
        <v>97.5</v>
      </c>
      <c r="L766" t="n">
        <v>96.32183999999999</v>
      </c>
      <c r="M766" t="n">
        <v>97.34505</v>
      </c>
      <c r="N766" t="n">
        <v>97.68000000000001</v>
      </c>
      <c r="O766" t="n">
        <v>98.81774</v>
      </c>
      <c r="P766" t="n">
        <v>96.76824000000001</v>
      </c>
      <c r="Q766" t="n">
        <v/>
      </c>
      <c r="R766" t="n">
        <v>97.46008</v>
      </c>
      <c r="S766" t="n">
        <v>97.94883</v>
      </c>
      <c r="T766" t="n">
        <v/>
      </c>
      <c r="U766" t="n">
        <v>95.95399999999999</v>
      </c>
      <c r="V766" t="n">
        <v>95.8</v>
      </c>
      <c r="W766" t="n">
        <v>105.2346</v>
      </c>
      <c r="X766" t="n">
        <v>93.83922</v>
      </c>
      <c r="Y766" t="n">
        <v/>
      </c>
      <c r="Z766" t="n">
        <v/>
      </c>
      <c r="AA766" t="n">
        <v>97.93874</v>
      </c>
      <c r="AB766" t="n">
        <v>91.95641000000001</v>
      </c>
      <c r="AC766" t="n">
        <v>98.1947</v>
      </c>
      <c r="AD766" t="n">
        <v>97.98627999999999</v>
      </c>
      <c r="AE766" t="n">
        <v>97.20083</v>
      </c>
      <c r="AF766" t="n">
        <v>94.8122</v>
      </c>
      <c r="AG766" t="n">
        <v>96.6568</v>
      </c>
      <c r="AH766" t="n">
        <v>95.77694</v>
      </c>
      <c r="AI766" t="n">
        <v>96.89685</v>
      </c>
      <c r="AJ766" t="n">
        <v>92.43622000000001</v>
      </c>
      <c r="AK766" t="n">
        <v>95.49866</v>
      </c>
      <c r="AL766" t="n">
        <v>94.08157</v>
      </c>
      <c r="AM766" t="n">
        <v>95.35563999999999</v>
      </c>
      <c r="AN766" t="n">
        <v>95.73978</v>
      </c>
      <c r="AO766" t="n">
        <v>97.80482000000001</v>
      </c>
      <c r="AP766" t="n">
        <v>99.09838999999999</v>
      </c>
      <c r="AQ766" t="n">
        <v/>
      </c>
      <c r="AR766" t="n">
        <v/>
      </c>
      <c r="AS766" t="n">
        <v>97.98755</v>
      </c>
      <c r="AT766" t="n">
        <v>98.41164000000001</v>
      </c>
      <c r="AU766" t="n">
        <v>100.5021</v>
      </c>
      <c r="AV766" t="n">
        <v>80.08797</v>
      </c>
      <c r="AW766" t="n">
        <v>95.2666</v>
      </c>
      <c r="AX766" t="n">
        <v>86.37621</v>
      </c>
    </row>
    <row r="767">
      <c r="A767" s="92" t="n">
        <v>41183</v>
      </c>
      <c r="B767" t="n">
        <v>95.23887999999999</v>
      </c>
      <c r="C767" t="n">
        <v>96.24786</v>
      </c>
      <c r="D767" t="n">
        <v/>
      </c>
      <c r="E767" t="n">
        <v>95.49728</v>
      </c>
      <c r="F767" t="n">
        <v>100.7828</v>
      </c>
      <c r="G767" t="n">
        <v>91.03059</v>
      </c>
      <c r="H767" t="n">
        <v/>
      </c>
      <c r="I767" t="n">
        <v>91.38583</v>
      </c>
      <c r="J767" t="n">
        <v>89.63496000000001</v>
      </c>
      <c r="K767" t="n">
        <v>97.7</v>
      </c>
      <c r="L767" t="n">
        <v>96.40306</v>
      </c>
      <c r="M767" t="n">
        <v>97.44408</v>
      </c>
      <c r="N767" t="n">
        <v>97.91</v>
      </c>
      <c r="O767" t="n">
        <v>100.3406</v>
      </c>
      <c r="P767" t="n">
        <v>97.05202</v>
      </c>
      <c r="Q767" t="n">
        <v/>
      </c>
      <c r="R767" t="n">
        <v>97.55307000000001</v>
      </c>
      <c r="S767" t="n">
        <v>98.00493</v>
      </c>
      <c r="T767" t="n">
        <v/>
      </c>
      <c r="U767" t="n">
        <v>96.11902000000001</v>
      </c>
      <c r="V767" t="n">
        <v>96.3</v>
      </c>
      <c r="W767" t="n">
        <v>105.4933</v>
      </c>
      <c r="X767" t="n">
        <v>93.98948</v>
      </c>
      <c r="Y767" t="n">
        <v/>
      </c>
      <c r="Z767" t="n">
        <v/>
      </c>
      <c r="AA767" t="n">
        <v>97.65175000000001</v>
      </c>
      <c r="AB767" t="n">
        <v>92.14624999999999</v>
      </c>
      <c r="AC767" t="n">
        <v>98.09347</v>
      </c>
      <c r="AD767" t="n">
        <v>97.94276000000001</v>
      </c>
      <c r="AE767" t="n">
        <v>97.17712</v>
      </c>
      <c r="AF767" t="n">
        <v>94.85769999999999</v>
      </c>
      <c r="AG767" t="n">
        <v>96.9708</v>
      </c>
      <c r="AH767" t="n">
        <v>95.99185</v>
      </c>
      <c r="AI767" t="n">
        <v>96.64208000000001</v>
      </c>
      <c r="AJ767" t="n">
        <v>92.62363999999999</v>
      </c>
      <c r="AK767" t="n">
        <v>95.96451999999999</v>
      </c>
      <c r="AL767" t="n">
        <v>94.19647999999999</v>
      </c>
      <c r="AM767" t="n">
        <v>95.58646</v>
      </c>
      <c r="AN767" t="n">
        <v>96.08817999999999</v>
      </c>
      <c r="AO767" t="n">
        <v>98.06564</v>
      </c>
      <c r="AP767" t="n">
        <v>99.50461</v>
      </c>
      <c r="AQ767" t="n">
        <v/>
      </c>
      <c r="AR767" t="n">
        <v/>
      </c>
      <c r="AS767" t="n">
        <v>98.36669000000001</v>
      </c>
      <c r="AT767" t="n">
        <v>98.90165</v>
      </c>
      <c r="AU767" t="n">
        <v>100.5122</v>
      </c>
      <c r="AV767" t="n">
        <v>81.03979</v>
      </c>
      <c r="AW767" t="n">
        <v>95.47135</v>
      </c>
      <c r="AX767" t="n">
        <v>86.59357</v>
      </c>
    </row>
    <row r="768">
      <c r="A768" s="92" t="n">
        <v>41214</v>
      </c>
      <c r="B768" t="n">
        <v>95.41943000000001</v>
      </c>
      <c r="C768" t="n">
        <v>96.29642</v>
      </c>
      <c r="D768" t="n">
        <v/>
      </c>
      <c r="E768" t="n">
        <v>95.59012</v>
      </c>
      <c r="F768" t="n">
        <v>100.7196</v>
      </c>
      <c r="G768" t="n">
        <v>91.05229</v>
      </c>
      <c r="H768" t="n">
        <v/>
      </c>
      <c r="I768" t="n">
        <v>91.48392</v>
      </c>
      <c r="J768" t="n">
        <v>90.36726</v>
      </c>
      <c r="K768" t="n">
        <v>97.5</v>
      </c>
      <c r="L768" t="n">
        <v>96.53386999999999</v>
      </c>
      <c r="M768" t="n">
        <v>97.26125</v>
      </c>
      <c r="N768" t="n">
        <v>97.76000000000001</v>
      </c>
      <c r="O768" t="n">
        <v>100.5382</v>
      </c>
      <c r="P768" t="n">
        <v>96.825</v>
      </c>
      <c r="Q768" t="n">
        <v/>
      </c>
      <c r="R768" t="n">
        <v>97.27409</v>
      </c>
      <c r="S768" t="n">
        <v>97.93818</v>
      </c>
      <c r="T768" t="n">
        <v/>
      </c>
      <c r="U768" t="n">
        <v>96.09650000000001</v>
      </c>
      <c r="V768" t="n">
        <v>96.40000000000001</v>
      </c>
      <c r="W768" t="n">
        <v>105.1666</v>
      </c>
      <c r="X768" t="n">
        <v>94.13975000000001</v>
      </c>
      <c r="Y768" t="n">
        <v/>
      </c>
      <c r="Z768" t="n">
        <v/>
      </c>
      <c r="AA768" t="n">
        <v>97.43344</v>
      </c>
      <c r="AB768" t="n">
        <v>92.59667</v>
      </c>
      <c r="AC768" t="n">
        <v>97.89100999999999</v>
      </c>
      <c r="AD768" t="n">
        <v>97.77081</v>
      </c>
      <c r="AE768" t="n">
        <v>96.95438</v>
      </c>
      <c r="AF768" t="n">
        <v>95.00263</v>
      </c>
      <c r="AG768" t="n">
        <v>96.86879999999999</v>
      </c>
      <c r="AH768" t="n">
        <v>96.1737</v>
      </c>
      <c r="AI768" t="n">
        <v>96.67009</v>
      </c>
      <c r="AJ768" t="n">
        <v>92.61530999999999</v>
      </c>
      <c r="AK768" t="n">
        <v>95.59179</v>
      </c>
      <c r="AL768" t="n">
        <v>94.25748</v>
      </c>
      <c r="AM768" t="n">
        <v>95.59524999999999</v>
      </c>
      <c r="AN768" t="n">
        <v>96.14812000000001</v>
      </c>
      <c r="AO768" t="n">
        <v>98.15257</v>
      </c>
      <c r="AP768" t="n">
        <v>99.48479</v>
      </c>
      <c r="AQ768" t="n">
        <v/>
      </c>
      <c r="AR768" t="n">
        <v/>
      </c>
      <c r="AS768" t="n">
        <v>98.42709000000001</v>
      </c>
      <c r="AT768" t="n">
        <v>99.27164999999999</v>
      </c>
      <c r="AU768" t="n">
        <v>100.2742</v>
      </c>
      <c r="AV768" t="n">
        <v>81.6648</v>
      </c>
      <c r="AW768" t="n">
        <v>95.46598</v>
      </c>
      <c r="AX768" t="n">
        <v>86.63347</v>
      </c>
    </row>
    <row r="769">
      <c r="A769" s="92" t="n">
        <v>41244</v>
      </c>
      <c r="B769" t="n">
        <v>95.59998</v>
      </c>
      <c r="C769" t="n">
        <v>96.40325</v>
      </c>
      <c r="D769" t="n">
        <v/>
      </c>
      <c r="E769" t="n">
        <v>95.08318</v>
      </c>
      <c r="F769" t="n">
        <v>100.501</v>
      </c>
      <c r="G769" t="n">
        <v>91.33443</v>
      </c>
      <c r="H769" t="n">
        <v/>
      </c>
      <c r="I769" t="n">
        <v>91.67194000000001</v>
      </c>
      <c r="J769" t="n">
        <v>90.91404</v>
      </c>
      <c r="K769" t="n">
        <v>97.3</v>
      </c>
      <c r="L769" t="n">
        <v>96.92709000000001</v>
      </c>
      <c r="M769" t="n">
        <v>97.1572</v>
      </c>
      <c r="N769" t="n">
        <v>98.26000000000001</v>
      </c>
      <c r="O769" t="n">
        <v>100.5487</v>
      </c>
      <c r="P769" t="n">
        <v>96.88175</v>
      </c>
      <c r="Q769" t="n">
        <v/>
      </c>
      <c r="R769" t="n">
        <v>97.36708</v>
      </c>
      <c r="S769" t="n">
        <v>98.36117</v>
      </c>
      <c r="T769" t="n">
        <v/>
      </c>
      <c r="U769" t="n">
        <v>96.09068000000001</v>
      </c>
      <c r="V769" t="n">
        <v>96.59999999999999</v>
      </c>
      <c r="W769" t="n">
        <v>104.8909</v>
      </c>
      <c r="X769" t="n">
        <v>94.29001</v>
      </c>
      <c r="Y769" t="n">
        <v/>
      </c>
      <c r="Z769" t="n">
        <v/>
      </c>
      <c r="AA769" t="n">
        <v>97.58571999999999</v>
      </c>
      <c r="AB769" t="n">
        <v>92.7637</v>
      </c>
      <c r="AC769" t="n">
        <v>98.09347</v>
      </c>
      <c r="AD769" t="n">
        <v>98.00619</v>
      </c>
      <c r="AE769" t="n">
        <v>96.75814</v>
      </c>
      <c r="AF769" t="n">
        <v>95.14757</v>
      </c>
      <c r="AG769" t="n">
        <v>96.7094</v>
      </c>
      <c r="AH769" t="n">
        <v>96.03318</v>
      </c>
      <c r="AI769" t="n">
        <v>96.44974000000001</v>
      </c>
      <c r="AJ769" t="n">
        <v>92.66379999999999</v>
      </c>
      <c r="AK769" t="n">
        <v>95.32066</v>
      </c>
      <c r="AL769" t="n">
        <v>94.35145</v>
      </c>
      <c r="AM769" t="n">
        <v>95.59907</v>
      </c>
      <c r="AN769" t="n">
        <v>96.31218</v>
      </c>
      <c r="AO769" t="n">
        <v>98.06564</v>
      </c>
      <c r="AP769" t="n">
        <v>99.61359</v>
      </c>
      <c r="AQ769" t="n">
        <v/>
      </c>
      <c r="AR769" t="n">
        <v/>
      </c>
      <c r="AS769" t="n">
        <v>98.38890000000001</v>
      </c>
      <c r="AT769" t="n">
        <v>98.82165000000001</v>
      </c>
      <c r="AU769" t="n">
        <v>100.4284</v>
      </c>
      <c r="AV769" t="n">
        <v>81.66889</v>
      </c>
      <c r="AW769" t="n">
        <v>95.37103999999999</v>
      </c>
      <c r="AX769" t="n">
        <v>86.99307</v>
      </c>
    </row>
    <row r="770">
      <c r="A770" s="92" t="n">
        <v>41275</v>
      </c>
      <c r="B770" t="n">
        <v>94.78751</v>
      </c>
      <c r="C770" t="n">
        <v>96.16045</v>
      </c>
      <c r="D770" t="n">
        <v/>
      </c>
      <c r="E770" t="n">
        <v>95.06847</v>
      </c>
      <c r="F770" t="n">
        <v>100.107</v>
      </c>
      <c r="G770" t="n">
        <v>91.33443</v>
      </c>
      <c r="H770" t="n">
        <v/>
      </c>
      <c r="I770" t="n">
        <v>91.94989</v>
      </c>
      <c r="J770" t="n">
        <v>91.79496</v>
      </c>
      <c r="K770" t="n">
        <v>98.09999999999999</v>
      </c>
      <c r="L770" t="n">
        <v>95.95338</v>
      </c>
      <c r="M770" t="n">
        <v>96.49681</v>
      </c>
      <c r="N770" t="n">
        <v>96.47</v>
      </c>
      <c r="O770" t="n">
        <v>98.38054</v>
      </c>
      <c r="P770" t="n">
        <v>96.37096</v>
      </c>
      <c r="Q770" t="n">
        <v/>
      </c>
      <c r="R770" t="n">
        <v>97.08808999999999</v>
      </c>
      <c r="S770" t="n">
        <v>97.56565999999999</v>
      </c>
      <c r="T770" t="n">
        <v/>
      </c>
      <c r="U770" t="n">
        <v>95.99856</v>
      </c>
      <c r="V770" t="n">
        <v>95.90000000000001</v>
      </c>
      <c r="W770" t="n">
        <v>102.4917</v>
      </c>
      <c r="X770" t="n">
        <v>94.81592999999999</v>
      </c>
      <c r="Y770" t="n">
        <v/>
      </c>
      <c r="Z770" t="n">
        <v/>
      </c>
      <c r="AA770" t="n">
        <v>97.00006999999999</v>
      </c>
      <c r="AB770" t="n">
        <v>92.82285</v>
      </c>
      <c r="AC770" t="n">
        <v>97.78977</v>
      </c>
      <c r="AD770" t="n">
        <v>98.05772</v>
      </c>
      <c r="AE770" t="n">
        <v>96.43326999999999</v>
      </c>
      <c r="AF770" t="n">
        <v>95.52948000000001</v>
      </c>
      <c r="AG770" t="n">
        <v>96.1439</v>
      </c>
      <c r="AH770" t="n">
        <v>94.90075</v>
      </c>
      <c r="AI770" t="n">
        <v>95.93998000000001</v>
      </c>
      <c r="AJ770" t="n">
        <v>93.08138</v>
      </c>
      <c r="AK770" t="n">
        <v>95.32458</v>
      </c>
      <c r="AL770" t="n">
        <v>93.82583</v>
      </c>
      <c r="AM770" t="n">
        <v>95.49982</v>
      </c>
      <c r="AN770" t="n">
        <v>95.74158</v>
      </c>
      <c r="AO770" t="n">
        <v>97.9787</v>
      </c>
      <c r="AP770" t="n">
        <v>97.89954</v>
      </c>
      <c r="AQ770" t="n">
        <v/>
      </c>
      <c r="AR770" t="n">
        <v/>
      </c>
      <c r="AS770" t="n">
        <v>98.74606</v>
      </c>
      <c r="AT770" t="n">
        <v>97.17162</v>
      </c>
      <c r="AU770" t="n">
        <v>99.16167</v>
      </c>
      <c r="AV770" t="n">
        <v>82.57169</v>
      </c>
      <c r="AW770" t="n">
        <v>95.61005</v>
      </c>
      <c r="AX770" t="n">
        <v>87.25662</v>
      </c>
    </row>
    <row r="771">
      <c r="A771" s="92" t="n">
        <v>41306</v>
      </c>
      <c r="B771" t="n">
        <v>95.05833</v>
      </c>
      <c r="C771" t="n">
        <v>96.56836</v>
      </c>
      <c r="D771" t="n">
        <v/>
      </c>
      <c r="E771" t="n">
        <v>95.62356</v>
      </c>
      <c r="F771" t="n">
        <v>100.3194</v>
      </c>
      <c r="G771" t="n">
        <v>91.45379</v>
      </c>
      <c r="H771" t="n">
        <v/>
      </c>
      <c r="I771" t="n">
        <v>92.47308</v>
      </c>
      <c r="J771" t="n">
        <v>92.44806</v>
      </c>
      <c r="K771" t="n">
        <v>98.2</v>
      </c>
      <c r="L771" t="n">
        <v>96.49535</v>
      </c>
      <c r="M771" t="n">
        <v>97.70923999999999</v>
      </c>
      <c r="N771" t="n">
        <v>96.76000000000001</v>
      </c>
      <c r="O771" t="n">
        <v>98.37423</v>
      </c>
      <c r="P771" t="n">
        <v>96.48447</v>
      </c>
      <c r="Q771" t="n">
        <v/>
      </c>
      <c r="R771" t="n">
        <v>97.27409</v>
      </c>
      <c r="S771" t="n">
        <v>97.76311</v>
      </c>
      <c r="T771" t="n">
        <v/>
      </c>
      <c r="U771" t="n">
        <v>96.29667000000001</v>
      </c>
      <c r="V771" t="n">
        <v>96.40000000000001</v>
      </c>
      <c r="W771" t="n">
        <v>99.96375999999999</v>
      </c>
      <c r="X771" t="n">
        <v>95.41698</v>
      </c>
      <c r="Y771" t="n">
        <v/>
      </c>
      <c r="Z771" t="n">
        <v/>
      </c>
      <c r="AA771" t="n">
        <v>97.89039</v>
      </c>
      <c r="AB771" t="n">
        <v>94.29494</v>
      </c>
      <c r="AC771" t="n">
        <v>97.38485</v>
      </c>
      <c r="AD771" t="n">
        <v>98.08807</v>
      </c>
      <c r="AE771" t="n">
        <v>96.36356000000001</v>
      </c>
      <c r="AF771" t="n">
        <v>95.77491999999999</v>
      </c>
      <c r="AG771" t="n">
        <v>96.0059</v>
      </c>
      <c r="AH771" t="n">
        <v>96.95068999999999</v>
      </c>
      <c r="AI771" t="n">
        <v>95.93179000000001</v>
      </c>
      <c r="AJ771" t="n">
        <v>93.66383</v>
      </c>
      <c r="AK771" t="n">
        <v>95.97443</v>
      </c>
      <c r="AL771" t="n">
        <v>94.42883</v>
      </c>
      <c r="AM771" t="n">
        <v>95.76794</v>
      </c>
      <c r="AN771" t="n">
        <v>95.97803999999999</v>
      </c>
      <c r="AO771" t="n">
        <v>97.89176</v>
      </c>
      <c r="AP771" t="n">
        <v>97.67165</v>
      </c>
      <c r="AQ771" t="n">
        <v/>
      </c>
      <c r="AR771" t="n">
        <v/>
      </c>
      <c r="AS771" t="n">
        <v>98.77054</v>
      </c>
      <c r="AT771" t="n">
        <v>97.56162</v>
      </c>
      <c r="AU771" t="n">
        <v>99.60737</v>
      </c>
      <c r="AV771" t="n">
        <v>82.57986</v>
      </c>
      <c r="AW771" t="n">
        <v>95.94855</v>
      </c>
      <c r="AX771" t="n">
        <v>88.24428</v>
      </c>
    </row>
    <row r="772">
      <c r="A772" s="92" t="n">
        <v>41334</v>
      </c>
      <c r="B772" t="n">
        <v>96.2319</v>
      </c>
      <c r="C772" t="n">
        <v>96.75288999999999</v>
      </c>
      <c r="D772" t="n">
        <v/>
      </c>
      <c r="E772" t="n">
        <v>95.93756</v>
      </c>
      <c r="F772" t="n">
        <v>100.5872</v>
      </c>
      <c r="G772" t="n">
        <v>91.69251</v>
      </c>
      <c r="H772" t="n">
        <v/>
      </c>
      <c r="I772" t="n">
        <v>92.74284</v>
      </c>
      <c r="J772" t="n">
        <v>92.56847999999999</v>
      </c>
      <c r="K772" t="n">
        <v>98.09999999999999</v>
      </c>
      <c r="L772" t="n">
        <v>97.17778</v>
      </c>
      <c r="M772" t="n">
        <v>98.08956000000001</v>
      </c>
      <c r="N772" t="n">
        <v>98.42</v>
      </c>
      <c r="O772" t="n">
        <v>99.03740000000001</v>
      </c>
      <c r="P772" t="n">
        <v>97.44931</v>
      </c>
      <c r="Q772" t="n">
        <v/>
      </c>
      <c r="R772" t="n">
        <v>97.73907</v>
      </c>
      <c r="S772" t="n">
        <v>98.65483999999999</v>
      </c>
      <c r="T772" t="n">
        <v/>
      </c>
      <c r="U772" t="n">
        <v>96.65969</v>
      </c>
      <c r="V772" t="n">
        <v>96.8</v>
      </c>
      <c r="W772" t="n">
        <v>103.3902</v>
      </c>
      <c r="X772" t="n">
        <v>95.79264000000001</v>
      </c>
      <c r="Y772" t="n">
        <v/>
      </c>
      <c r="Z772" t="n">
        <v/>
      </c>
      <c r="AA772" t="n">
        <v>98.4473</v>
      </c>
      <c r="AB772" t="n">
        <v>94.72462</v>
      </c>
      <c r="AC772" t="n">
        <v>97.68855000000001</v>
      </c>
      <c r="AD772" t="n">
        <v>98.29303</v>
      </c>
      <c r="AE772" t="n">
        <v>96.77614</v>
      </c>
      <c r="AF772" t="n">
        <v>95.63844</v>
      </c>
      <c r="AG772" t="n">
        <v>96.6978</v>
      </c>
      <c r="AH772" t="n">
        <v>96.98376</v>
      </c>
      <c r="AI772" t="n">
        <v>96.72414000000001</v>
      </c>
      <c r="AJ772" t="n">
        <v>93.97023</v>
      </c>
      <c r="AK772" t="n">
        <v>97.28104</v>
      </c>
      <c r="AL772" t="n">
        <v>94.74867999999999</v>
      </c>
      <c r="AM772" t="n">
        <v>96.14865</v>
      </c>
      <c r="AN772" t="n">
        <v>96.57554</v>
      </c>
      <c r="AO772" t="n">
        <v>98.15257</v>
      </c>
      <c r="AP772" t="n">
        <v>99.72257999999999</v>
      </c>
      <c r="AQ772" t="n">
        <v/>
      </c>
      <c r="AR772" t="n">
        <v/>
      </c>
      <c r="AS772" t="n">
        <v>98.89209</v>
      </c>
      <c r="AT772" t="n">
        <v>98.10164</v>
      </c>
      <c r="AU772" t="n">
        <v>100.1804</v>
      </c>
      <c r="AV772" t="n">
        <v>82.85765000000001</v>
      </c>
      <c r="AW772" t="n">
        <v>96.20448</v>
      </c>
      <c r="AX772" t="n">
        <v>89.25841</v>
      </c>
    </row>
    <row r="773">
      <c r="A773" s="92" t="n">
        <v>41365</v>
      </c>
      <c r="B773" t="n">
        <v>96.2319</v>
      </c>
      <c r="C773" t="n">
        <v>96.56836</v>
      </c>
      <c r="D773" t="n">
        <v/>
      </c>
      <c r="E773" t="n">
        <v>95.90792999999999</v>
      </c>
      <c r="F773" t="n">
        <v>100.7399</v>
      </c>
      <c r="G773" t="n">
        <v>91.56229999999999</v>
      </c>
      <c r="H773" t="n">
        <v/>
      </c>
      <c r="I773" t="n">
        <v>92.88997999999999</v>
      </c>
      <c r="J773" t="n">
        <v>92.55547</v>
      </c>
      <c r="K773" t="n">
        <v>98.40000000000001</v>
      </c>
      <c r="L773" t="n">
        <v>96.51886</v>
      </c>
      <c r="M773" t="n">
        <v>98.12439000000001</v>
      </c>
      <c r="N773" t="n">
        <v>98.39</v>
      </c>
      <c r="O773" t="n">
        <v>100.019</v>
      </c>
      <c r="P773" t="n">
        <v>97.50606999999999</v>
      </c>
      <c r="Q773" t="n">
        <v/>
      </c>
      <c r="R773" t="n">
        <v>98.01805</v>
      </c>
      <c r="S773" t="n">
        <v>98.51963000000001</v>
      </c>
      <c r="T773" t="n">
        <v/>
      </c>
      <c r="U773" t="n">
        <v>96.70195</v>
      </c>
      <c r="V773" t="n">
        <v>96.90000000000001</v>
      </c>
      <c r="W773" t="n">
        <v>104.1443</v>
      </c>
      <c r="X773" t="n">
        <v>96.1683</v>
      </c>
      <c r="Y773" t="n">
        <v/>
      </c>
      <c r="Z773" t="n">
        <v/>
      </c>
      <c r="AA773" t="n">
        <v>98.41556</v>
      </c>
      <c r="AB773" t="n">
        <v>95.15621</v>
      </c>
      <c r="AC773" t="n">
        <v>98.1947</v>
      </c>
      <c r="AD773" t="n">
        <v>98.51486</v>
      </c>
      <c r="AE773" t="n">
        <v>97.16221</v>
      </c>
      <c r="AF773" t="n">
        <v>95.57496999999999</v>
      </c>
      <c r="AG773" t="n">
        <v>97.0429</v>
      </c>
      <c r="AH773" t="n">
        <v>97.12428</v>
      </c>
      <c r="AI773" t="n">
        <v>96.97919</v>
      </c>
      <c r="AJ773" t="n">
        <v>94.22387999999999</v>
      </c>
      <c r="AK773" t="n">
        <v>97.56251</v>
      </c>
      <c r="AL773" t="n">
        <v>95.16296</v>
      </c>
      <c r="AM773" t="n">
        <v>96.2953</v>
      </c>
      <c r="AN773" t="n">
        <v>96.73441</v>
      </c>
      <c r="AO773" t="n">
        <v>98.76114</v>
      </c>
      <c r="AP773" t="n">
        <v>99.85138000000001</v>
      </c>
      <c r="AQ773" t="n">
        <v/>
      </c>
      <c r="AR773" t="n">
        <v/>
      </c>
      <c r="AS773" t="n">
        <v>99.00211</v>
      </c>
      <c r="AT773" t="n">
        <v>98.99165000000001</v>
      </c>
      <c r="AU773" t="n">
        <v>100.0028</v>
      </c>
      <c r="AV773" t="n">
        <v>84.04232</v>
      </c>
      <c r="AW773" t="n">
        <v>96.28044</v>
      </c>
      <c r="AX773" t="n">
        <v>89.42482</v>
      </c>
    </row>
    <row r="774">
      <c r="A774" s="92" t="n">
        <v>41395</v>
      </c>
      <c r="B774" t="n">
        <v>96.50272</v>
      </c>
      <c r="C774" t="n">
        <v>96.93742</v>
      </c>
      <c r="D774" t="n">
        <v/>
      </c>
      <c r="E774" t="n">
        <v>96.02683</v>
      </c>
      <c r="F774" t="n">
        <v>100.8928</v>
      </c>
      <c r="G774" t="n">
        <v>91.64910999999999</v>
      </c>
      <c r="H774" t="n">
        <v/>
      </c>
      <c r="I774" t="n">
        <v>93.09435999999999</v>
      </c>
      <c r="J774" t="n">
        <v>92.76593</v>
      </c>
      <c r="K774" t="n">
        <v>98.09999999999999</v>
      </c>
      <c r="L774" t="n">
        <v>96.94884</v>
      </c>
      <c r="M774" t="n">
        <v>98.21791</v>
      </c>
      <c r="N774" t="n">
        <v>98.59</v>
      </c>
      <c r="O774" t="n">
        <v>100.3269</v>
      </c>
      <c r="P774" t="n">
        <v>97.8466</v>
      </c>
      <c r="Q774" t="n">
        <v/>
      </c>
      <c r="R774" t="n">
        <v>98.01805</v>
      </c>
      <c r="S774" t="n">
        <v>98.72331</v>
      </c>
      <c r="T774" t="n">
        <v/>
      </c>
      <c r="U774" t="n">
        <v>96.84314999999999</v>
      </c>
      <c r="V774" t="n">
        <v>97.2</v>
      </c>
      <c r="W774" t="n">
        <v>103.838</v>
      </c>
      <c r="X774" t="n">
        <v>96.24342</v>
      </c>
      <c r="Y774" t="n">
        <v/>
      </c>
      <c r="Z774" t="n">
        <v/>
      </c>
      <c r="AA774" t="n">
        <v>98.53516999999999</v>
      </c>
      <c r="AB774" t="n">
        <v>95.20853</v>
      </c>
      <c r="AC774" t="n">
        <v>98.39716</v>
      </c>
      <c r="AD774" t="n">
        <v>98.57996</v>
      </c>
      <c r="AE774" t="n">
        <v>97.23266</v>
      </c>
      <c r="AF774" t="n">
        <v>95.93783999999999</v>
      </c>
      <c r="AG774" t="n">
        <v>97.3566</v>
      </c>
      <c r="AH774" t="n">
        <v>97.19041</v>
      </c>
      <c r="AI774" t="n">
        <v>97.24033</v>
      </c>
      <c r="AJ774" t="n">
        <v>94.44322</v>
      </c>
      <c r="AK774" t="n">
        <v>97.59508</v>
      </c>
      <c r="AL774" t="n">
        <v>95.42870000000001</v>
      </c>
      <c r="AM774" t="n">
        <v>96.47024</v>
      </c>
      <c r="AN774" t="n">
        <v>97.02039000000001</v>
      </c>
      <c r="AO774" t="n">
        <v>98.6742</v>
      </c>
      <c r="AP774" t="n">
        <v>99.92074</v>
      </c>
      <c r="AQ774" t="n">
        <v/>
      </c>
      <c r="AR774" t="n">
        <v/>
      </c>
      <c r="AS774" t="n">
        <v>99.05126</v>
      </c>
      <c r="AT774" t="n">
        <v>99.30166</v>
      </c>
      <c r="AU774" t="n">
        <v>100.1435</v>
      </c>
      <c r="AV774" t="n">
        <v>85.07993</v>
      </c>
      <c r="AW774" t="n">
        <v>96.37372999999999</v>
      </c>
      <c r="AX774" t="n">
        <v>89.47017</v>
      </c>
    </row>
    <row r="775">
      <c r="A775" s="92" t="n">
        <v>41426</v>
      </c>
      <c r="B775" t="n">
        <v>96.41245000000001</v>
      </c>
      <c r="C775" t="n">
        <v>97.11224</v>
      </c>
      <c r="D775" t="n">
        <v/>
      </c>
      <c r="E775" t="n">
        <v>95.79177</v>
      </c>
      <c r="F775" t="n">
        <v>100.902</v>
      </c>
      <c r="G775" t="n">
        <v>91.63826</v>
      </c>
      <c r="H775" t="n">
        <v/>
      </c>
      <c r="I775" t="n">
        <v>93.33143</v>
      </c>
      <c r="J775" t="n">
        <v>92.91455999999999</v>
      </c>
      <c r="K775" t="n">
        <v>98</v>
      </c>
      <c r="L775" t="n">
        <v>97.02631</v>
      </c>
      <c r="M775" t="n">
        <v>98.06649</v>
      </c>
      <c r="N775" t="n">
        <v>98.63</v>
      </c>
      <c r="O775" t="n">
        <v>100.3122</v>
      </c>
      <c r="P775" t="n">
        <v>98.13038</v>
      </c>
      <c r="Q775" t="n">
        <v/>
      </c>
      <c r="R775" t="n">
        <v>98.01805</v>
      </c>
      <c r="S775" t="n">
        <v>98.83772</v>
      </c>
      <c r="T775" t="n">
        <v/>
      </c>
      <c r="U775" t="n">
        <v>96.88684000000001</v>
      </c>
      <c r="V775" t="n">
        <v>97.09999999999999</v>
      </c>
      <c r="W775" t="n">
        <v>103.5264</v>
      </c>
      <c r="X775" t="n">
        <v>96.46881999999999</v>
      </c>
      <c r="Y775" t="n">
        <v/>
      </c>
      <c r="Z775" t="n">
        <v/>
      </c>
      <c r="AA775" t="n">
        <v>98.67062</v>
      </c>
      <c r="AB775" t="n">
        <v>95.70313</v>
      </c>
      <c r="AC775" t="n">
        <v>99.00454999999999</v>
      </c>
      <c r="AD775" t="n">
        <v>98.80067</v>
      </c>
      <c r="AE775" t="n">
        <v>97.17292</v>
      </c>
      <c r="AF775" t="n">
        <v>95.99285</v>
      </c>
      <c r="AG775" t="n">
        <v>97.49339999999999</v>
      </c>
      <c r="AH775" t="n">
        <v>97.39704999999999</v>
      </c>
      <c r="AI775" t="n">
        <v>97.0252</v>
      </c>
      <c r="AJ775" t="n">
        <v>94.64400999999999</v>
      </c>
      <c r="AK775" t="n">
        <v>97.11069000000001</v>
      </c>
      <c r="AL775" t="n">
        <v>95.13946</v>
      </c>
      <c r="AM775" t="n">
        <v>96.51895</v>
      </c>
      <c r="AN775" t="n">
        <v>97.06399999999999</v>
      </c>
      <c r="AO775" t="n">
        <v>98.6742</v>
      </c>
      <c r="AP775" t="n">
        <v>99.89100999999999</v>
      </c>
      <c r="AQ775" t="n">
        <v/>
      </c>
      <c r="AR775" t="n">
        <v/>
      </c>
      <c r="AS775" t="n">
        <v>98.95352</v>
      </c>
      <c r="AT775" t="n">
        <v>99.53166</v>
      </c>
      <c r="AU775" t="n">
        <v>100.0061</v>
      </c>
      <c r="AV775" t="n">
        <v>85.3904</v>
      </c>
      <c r="AW775" t="n">
        <v>96.44721</v>
      </c>
      <c r="AX775" t="n">
        <v>89.99181</v>
      </c>
    </row>
    <row r="776">
      <c r="A776" s="92" t="n">
        <v>41456</v>
      </c>
      <c r="B776" t="n">
        <v>95.8708</v>
      </c>
      <c r="C776" t="n">
        <v>97.35505000000001</v>
      </c>
      <c r="D776" t="n">
        <v/>
      </c>
      <c r="E776" t="n">
        <v>95.68932</v>
      </c>
      <c r="F776" t="n">
        <v>100.2596</v>
      </c>
      <c r="G776" t="n">
        <v>91.77932</v>
      </c>
      <c r="H776" t="n">
        <v/>
      </c>
      <c r="I776" t="n">
        <v>93.55215</v>
      </c>
      <c r="J776" t="n">
        <v>93.23894</v>
      </c>
      <c r="K776" t="n">
        <v>98.2</v>
      </c>
      <c r="L776" t="n">
        <v>97.48842</v>
      </c>
      <c r="M776" t="n">
        <v>97.71897</v>
      </c>
      <c r="N776" t="n">
        <v>97.78</v>
      </c>
      <c r="O776" t="n">
        <v>98.98063999999999</v>
      </c>
      <c r="P776" t="n">
        <v>98.01687</v>
      </c>
      <c r="Q776" t="n">
        <v/>
      </c>
      <c r="R776" t="n">
        <v>97.92506</v>
      </c>
      <c r="S776" t="n">
        <v>98.56277</v>
      </c>
      <c r="T776" t="n">
        <v/>
      </c>
      <c r="U776" t="n">
        <v>96.94501</v>
      </c>
      <c r="V776" t="n">
        <v>97</v>
      </c>
      <c r="W776" t="n">
        <v>101.4405</v>
      </c>
      <c r="X776" t="n">
        <v>96.46881999999999</v>
      </c>
      <c r="Y776" t="n">
        <v/>
      </c>
      <c r="Z776" t="n">
        <v/>
      </c>
      <c r="AA776" t="n">
        <v>98.39672</v>
      </c>
      <c r="AB776" t="n">
        <v>95.17657</v>
      </c>
      <c r="AC776" t="n">
        <v>99.30825</v>
      </c>
      <c r="AD776" t="n">
        <v>99.03523</v>
      </c>
      <c r="AE776" t="n">
        <v>97.14706</v>
      </c>
      <c r="AF776" t="n">
        <v>96.01083</v>
      </c>
      <c r="AG776" t="n">
        <v>96.84010000000001</v>
      </c>
      <c r="AH776" t="n">
        <v>95.98358</v>
      </c>
      <c r="AI776" t="n">
        <v>96.90215000000001</v>
      </c>
      <c r="AJ776" t="n">
        <v>94.69888</v>
      </c>
      <c r="AK776" t="n">
        <v>98.13263999999999</v>
      </c>
      <c r="AL776" t="n">
        <v>95.14335</v>
      </c>
      <c r="AM776" t="n">
        <v>96.55137000000001</v>
      </c>
      <c r="AN776" t="n">
        <v>97.02619</v>
      </c>
      <c r="AO776" t="n">
        <v>99.28277</v>
      </c>
      <c r="AP776" t="n">
        <v>99.37581</v>
      </c>
      <c r="AQ776" t="n">
        <v/>
      </c>
      <c r="AR776" t="n">
        <v/>
      </c>
      <c r="AS776" t="n">
        <v>98.9855</v>
      </c>
      <c r="AT776" t="n">
        <v>98.98165</v>
      </c>
      <c r="AU776" t="n">
        <v>99.62747</v>
      </c>
      <c r="AV776" t="n">
        <v>85.51703999999999</v>
      </c>
      <c r="AW776" t="n">
        <v>96.50996000000001</v>
      </c>
      <c r="AX776" t="n">
        <v>90.34877</v>
      </c>
    </row>
    <row r="777">
      <c r="A777" s="92" t="n">
        <v>41487</v>
      </c>
      <c r="B777" t="n">
        <v>96.05135</v>
      </c>
      <c r="C777" t="n">
        <v>97.43274</v>
      </c>
      <c r="D777" t="n">
        <v/>
      </c>
      <c r="E777" t="n">
        <v>95.77706000000001</v>
      </c>
      <c r="F777" t="n">
        <v>100.2695</v>
      </c>
      <c r="G777" t="n">
        <v>91.69251</v>
      </c>
      <c r="H777" t="n">
        <v/>
      </c>
      <c r="I777" t="n">
        <v>93.60937</v>
      </c>
      <c r="J777" t="n">
        <v>93.3344</v>
      </c>
      <c r="K777" t="n">
        <v>98.2</v>
      </c>
      <c r="L777" t="n">
        <v>97.62417000000001</v>
      </c>
      <c r="M777" t="n">
        <v>97.87379</v>
      </c>
      <c r="N777" t="n">
        <v>97.95999999999999</v>
      </c>
      <c r="O777" t="n">
        <v>99.09520000000001</v>
      </c>
      <c r="P777" t="n">
        <v>98.18713</v>
      </c>
      <c r="Q777" t="n">
        <v/>
      </c>
      <c r="R777" t="n">
        <v>97.92506</v>
      </c>
      <c r="S777" t="n">
        <v>99.10745</v>
      </c>
      <c r="T777" t="n">
        <v/>
      </c>
      <c r="U777" t="n">
        <v>97.17731999999999</v>
      </c>
      <c r="V777" t="n">
        <v>97.3</v>
      </c>
      <c r="W777" t="n">
        <v>99.17818</v>
      </c>
      <c r="X777" t="n">
        <v>96.31856000000001</v>
      </c>
      <c r="Y777" t="n">
        <v/>
      </c>
      <c r="Z777" t="n">
        <v/>
      </c>
      <c r="AA777" t="n">
        <v>98.55728000000001</v>
      </c>
      <c r="AB777" t="n">
        <v>95.4847</v>
      </c>
      <c r="AC777" t="n">
        <v>99.51071</v>
      </c>
      <c r="AD777" t="n">
        <v>99.5342</v>
      </c>
      <c r="AE777" t="n">
        <v>97.35294</v>
      </c>
      <c r="AF777" t="n">
        <v>95.96534</v>
      </c>
      <c r="AG777" t="n">
        <v>97.05759999999999</v>
      </c>
      <c r="AH777" t="n">
        <v>97.67809</v>
      </c>
      <c r="AI777" t="n">
        <v>96.57917999999999</v>
      </c>
      <c r="AJ777" t="n">
        <v>94.80664</v>
      </c>
      <c r="AK777" t="n">
        <v>98.05615</v>
      </c>
      <c r="AL777" t="n">
        <v>95.16518000000001</v>
      </c>
      <c r="AM777" t="n">
        <v>96.71287</v>
      </c>
      <c r="AN777" t="n">
        <v>97.19024</v>
      </c>
      <c r="AO777" t="n">
        <v>99.19582</v>
      </c>
      <c r="AP777" t="n">
        <v>98.46428</v>
      </c>
      <c r="AQ777" t="n">
        <v/>
      </c>
      <c r="AR777" t="n">
        <v/>
      </c>
      <c r="AS777" t="n">
        <v>99.04864000000001</v>
      </c>
      <c r="AT777" t="n">
        <v>99.39165</v>
      </c>
      <c r="AU777" t="n">
        <v>99.8587</v>
      </c>
      <c r="AV777" t="n">
        <v>85.57423</v>
      </c>
      <c r="AW777" t="n">
        <v>96.70232</v>
      </c>
      <c r="AX777" t="n">
        <v>90.54087</v>
      </c>
    </row>
    <row r="778">
      <c r="A778" s="92" t="n">
        <v>41518</v>
      </c>
      <c r="B778" t="n">
        <v>96.86381</v>
      </c>
      <c r="C778" t="n">
        <v>97.43274</v>
      </c>
      <c r="D778" t="n">
        <v/>
      </c>
      <c r="E778" t="n">
        <v>96.16367</v>
      </c>
      <c r="F778" t="n">
        <v>100.5148</v>
      </c>
      <c r="G778" t="n">
        <v>92.34358</v>
      </c>
      <c r="H778" t="n">
        <v/>
      </c>
      <c r="I778" t="n">
        <v>93.70747</v>
      </c>
      <c r="J778" t="n">
        <v>93.41903000000001</v>
      </c>
      <c r="K778" t="n">
        <v>97.8</v>
      </c>
      <c r="L778" t="n">
        <v>97.60455</v>
      </c>
      <c r="M778" t="n">
        <v>98.15306</v>
      </c>
      <c r="N778" t="n">
        <v>98.67</v>
      </c>
      <c r="O778" t="n">
        <v>99.09730999999999</v>
      </c>
      <c r="P778" t="n">
        <v>97.90336000000001</v>
      </c>
      <c r="Q778" t="n">
        <v/>
      </c>
      <c r="R778" t="n">
        <v>98.39004</v>
      </c>
      <c r="S778" t="n">
        <v>98.82043</v>
      </c>
      <c r="T778" t="n">
        <v/>
      </c>
      <c r="U778" t="n">
        <v>97.29455</v>
      </c>
      <c r="V778" t="n">
        <v>97.7</v>
      </c>
      <c r="W778" t="n">
        <v>102.8908</v>
      </c>
      <c r="X778" t="n">
        <v>96.99473999999999</v>
      </c>
      <c r="Y778" t="n">
        <v/>
      </c>
      <c r="Z778" t="n">
        <v/>
      </c>
      <c r="AA778" t="n">
        <v>98.38691</v>
      </c>
      <c r="AB778" t="n">
        <v>95.96606</v>
      </c>
      <c r="AC778" t="n">
        <v>99.20702</v>
      </c>
      <c r="AD778" t="n">
        <v>99.14512000000001</v>
      </c>
      <c r="AE778" t="n">
        <v>97.32655</v>
      </c>
      <c r="AF778" t="n">
        <v>96.25627</v>
      </c>
      <c r="AG778" t="n">
        <v>97.66289999999999</v>
      </c>
      <c r="AH778" t="n">
        <v>97.67809</v>
      </c>
      <c r="AI778" t="n">
        <v>97.16204</v>
      </c>
      <c r="AJ778" t="n">
        <v>95.11857999999999</v>
      </c>
      <c r="AK778" t="n">
        <v>98.232</v>
      </c>
      <c r="AL778" t="n">
        <v>95.58891</v>
      </c>
      <c r="AM778" t="n">
        <v>96.88472</v>
      </c>
      <c r="AN778" t="n">
        <v>97.33083000000001</v>
      </c>
      <c r="AO778" t="n">
        <v>99.10889</v>
      </c>
      <c r="AP778" t="n">
        <v>99.43525</v>
      </c>
      <c r="AQ778" t="n">
        <v/>
      </c>
      <c r="AR778" t="n">
        <v/>
      </c>
      <c r="AS778" t="n">
        <v>99.03371</v>
      </c>
      <c r="AT778" t="n">
        <v>99.79165999999999</v>
      </c>
      <c r="AU778" t="n">
        <v>100.2575</v>
      </c>
      <c r="AV778" t="n">
        <v>86.09711</v>
      </c>
      <c r="AW778" t="n">
        <v>96.91862999999999</v>
      </c>
      <c r="AX778" t="n">
        <v>90.99329</v>
      </c>
    </row>
    <row r="779">
      <c r="A779" s="92" t="n">
        <v>41548</v>
      </c>
      <c r="B779" t="n">
        <v>96.86381</v>
      </c>
      <c r="C779" t="n">
        <v>97.57841999999999</v>
      </c>
      <c r="D779" t="n">
        <v/>
      </c>
      <c r="E779" t="n">
        <v>96.44338999999999</v>
      </c>
      <c r="F779" t="n">
        <v>100.6691</v>
      </c>
      <c r="G779" t="n">
        <v>92.46294</v>
      </c>
      <c r="H779" t="n">
        <v/>
      </c>
      <c r="I779" t="n">
        <v>93.78104</v>
      </c>
      <c r="J779" t="n">
        <v>93.58826000000001</v>
      </c>
      <c r="K779" t="n">
        <v>98.2</v>
      </c>
      <c r="L779" t="n">
        <v>97.54433</v>
      </c>
      <c r="M779" t="n">
        <v>98.43137</v>
      </c>
      <c r="N779" t="n">
        <v>98.72</v>
      </c>
      <c r="O779" t="n">
        <v>100.0137</v>
      </c>
      <c r="P779" t="n">
        <v>97.96011</v>
      </c>
      <c r="Q779" t="n">
        <v/>
      </c>
      <c r="R779" t="n">
        <v>98.57603</v>
      </c>
      <c r="S779" t="n">
        <v>98.79451</v>
      </c>
      <c r="T779" t="n">
        <v/>
      </c>
      <c r="U779" t="n">
        <v>97.41925000000001</v>
      </c>
      <c r="V779" t="n">
        <v>97.8</v>
      </c>
      <c r="W779" t="n">
        <v>102.9326</v>
      </c>
      <c r="X779" t="n">
        <v>97.06986999999999</v>
      </c>
      <c r="Y779" t="n">
        <v/>
      </c>
      <c r="Z779" t="n">
        <v/>
      </c>
      <c r="AA779" t="n">
        <v>98.30768999999999</v>
      </c>
      <c r="AB779" t="n">
        <v>96.02764999999999</v>
      </c>
      <c r="AC779" t="n">
        <v>99.61194999999999</v>
      </c>
      <c r="AD779" t="n">
        <v>99.08435</v>
      </c>
      <c r="AE779" t="n">
        <v>97.5663</v>
      </c>
      <c r="AF779" t="n">
        <v>96.36523</v>
      </c>
      <c r="AG779" t="n">
        <v>97.8245</v>
      </c>
      <c r="AH779" t="n">
        <v>97.9426</v>
      </c>
      <c r="AI779" t="n">
        <v>97.6027</v>
      </c>
      <c r="AJ779" t="n">
        <v>95.27414</v>
      </c>
      <c r="AK779" t="n">
        <v>98.07572999999999</v>
      </c>
      <c r="AL779" t="n">
        <v>95.80515</v>
      </c>
      <c r="AM779" t="n">
        <v>97.08721</v>
      </c>
      <c r="AN779" t="n">
        <v>97.55242</v>
      </c>
      <c r="AO779" t="n">
        <v>99.54358000000001</v>
      </c>
      <c r="AP779" t="n">
        <v>99.69286</v>
      </c>
      <c r="AQ779" t="n">
        <v/>
      </c>
      <c r="AR779" t="n">
        <v/>
      </c>
      <c r="AS779" t="n">
        <v>99.21768</v>
      </c>
      <c r="AT779" t="n">
        <v>100.2517</v>
      </c>
      <c r="AU779" t="n">
        <v>100.3312</v>
      </c>
      <c r="AV779" t="n">
        <v>87.34305999999999</v>
      </c>
      <c r="AW779" t="n">
        <v>97.07550000000001</v>
      </c>
      <c r="AX779" t="n">
        <v>91.16240999999999</v>
      </c>
    </row>
    <row r="780">
      <c r="A780" s="92" t="n">
        <v>41579</v>
      </c>
      <c r="B780" t="n">
        <v>96.95408999999999</v>
      </c>
      <c r="C780" t="n">
        <v>97.72411</v>
      </c>
      <c r="D780" t="n">
        <v/>
      </c>
      <c r="E780" t="n">
        <v>96.22453</v>
      </c>
      <c r="F780" t="n">
        <v>100.7577</v>
      </c>
      <c r="G780" t="n">
        <v>92.73423</v>
      </c>
      <c r="H780" t="n">
        <v/>
      </c>
      <c r="I780" t="n">
        <v>93.89548000000001</v>
      </c>
      <c r="J780" t="n">
        <v>93.94736</v>
      </c>
      <c r="K780" t="n">
        <v>98</v>
      </c>
      <c r="L780" t="n">
        <v>97.86962</v>
      </c>
      <c r="M780" t="n">
        <v>98.22778</v>
      </c>
      <c r="N780" t="n">
        <v>98.69</v>
      </c>
      <c r="O780" t="n">
        <v>100.4299</v>
      </c>
      <c r="P780" t="n">
        <v>97.78984</v>
      </c>
      <c r="Q780" t="n">
        <v/>
      </c>
      <c r="R780" t="n">
        <v>98.39004</v>
      </c>
      <c r="S780" t="n">
        <v>98.79751</v>
      </c>
      <c r="T780" t="n">
        <v/>
      </c>
      <c r="U780" t="n">
        <v>97.44844999999999</v>
      </c>
      <c r="V780" t="n">
        <v>98</v>
      </c>
      <c r="W780" t="n">
        <v>101.3354</v>
      </c>
      <c r="X780" t="n">
        <v>97.44553000000001</v>
      </c>
      <c r="Y780" t="n">
        <v/>
      </c>
      <c r="Z780" t="n">
        <v/>
      </c>
      <c r="AA780" t="n">
        <v>98.23854</v>
      </c>
      <c r="AB780" t="n">
        <v>96.53901999999999</v>
      </c>
      <c r="AC780" t="n">
        <v>99.40948</v>
      </c>
      <c r="AD780" t="n">
        <v>98.76088</v>
      </c>
      <c r="AE780" t="n">
        <v>97.52812</v>
      </c>
      <c r="AF780" t="n">
        <v>96.60962000000001</v>
      </c>
      <c r="AG780" t="n">
        <v>97.8175</v>
      </c>
      <c r="AH780" t="n">
        <v>98.02526</v>
      </c>
      <c r="AI780" t="n">
        <v>97.21329</v>
      </c>
      <c r="AJ780" t="n">
        <v>95.41522999999999</v>
      </c>
      <c r="AK780" t="n">
        <v>97.57616</v>
      </c>
      <c r="AL780" t="n">
        <v>95.99003999999999</v>
      </c>
      <c r="AM780" t="n">
        <v>97.13173999999999</v>
      </c>
      <c r="AN780" t="n">
        <v>97.62089</v>
      </c>
      <c r="AO780" t="n">
        <v>99.36971</v>
      </c>
      <c r="AP780" t="n">
        <v>99.46496999999999</v>
      </c>
      <c r="AQ780" t="n">
        <v/>
      </c>
      <c r="AR780" t="n">
        <v/>
      </c>
      <c r="AS780" t="n">
        <v>99.20905</v>
      </c>
      <c r="AT780" t="n">
        <v>100.2117</v>
      </c>
      <c r="AU780" t="n">
        <v>100.2139</v>
      </c>
      <c r="AV780" t="n">
        <v>87.78834000000001</v>
      </c>
      <c r="AW780" t="n">
        <v>97.10894</v>
      </c>
      <c r="AX780" t="n">
        <v>91.24111000000001</v>
      </c>
    </row>
    <row r="781">
      <c r="A781" s="92" t="n">
        <v>41609</v>
      </c>
      <c r="B781" t="n">
        <v>97.586</v>
      </c>
      <c r="C781" t="n">
        <v>97.82123</v>
      </c>
      <c r="D781" t="n">
        <v/>
      </c>
      <c r="E781" t="n">
        <v>95.85919</v>
      </c>
      <c r="F781" t="n">
        <v>100.4144</v>
      </c>
      <c r="G781" t="n">
        <v>93.26594</v>
      </c>
      <c r="H781" t="n">
        <v/>
      </c>
      <c r="I781" t="n">
        <v>94.12438</v>
      </c>
      <c r="J781" t="n">
        <v>94.79900000000001</v>
      </c>
      <c r="K781" t="n">
        <v>98</v>
      </c>
      <c r="L781" t="n">
        <v>98.11672</v>
      </c>
      <c r="M781" t="n">
        <v>98.10758</v>
      </c>
      <c r="N781" t="n">
        <v>98.95999999999999</v>
      </c>
      <c r="O781" t="n">
        <v>100.3238</v>
      </c>
      <c r="P781" t="n">
        <v>97.8466</v>
      </c>
      <c r="Q781" t="n">
        <v/>
      </c>
      <c r="R781" t="n">
        <v>98.66903000000001</v>
      </c>
      <c r="S781" t="n">
        <v>99.13145</v>
      </c>
      <c r="T781" t="n">
        <v/>
      </c>
      <c r="U781" t="n">
        <v>97.42522</v>
      </c>
      <c r="V781" t="n">
        <v>98.09999999999999</v>
      </c>
      <c r="W781" t="n">
        <v>102.476</v>
      </c>
      <c r="X781" t="n">
        <v>97.59578999999999</v>
      </c>
      <c r="Y781" t="n">
        <v/>
      </c>
      <c r="Z781" t="n">
        <v/>
      </c>
      <c r="AA781" t="n">
        <v>98.19522000000001</v>
      </c>
      <c r="AB781" t="n">
        <v>97.00790000000001</v>
      </c>
      <c r="AC781" t="n">
        <v>99.40948</v>
      </c>
      <c r="AD781" t="n">
        <v>98.79501999999999</v>
      </c>
      <c r="AE781" t="n">
        <v>97.4879</v>
      </c>
      <c r="AF781" t="n">
        <v>96.67415</v>
      </c>
      <c r="AG781" t="n">
        <v>97.6366</v>
      </c>
      <c r="AH781" t="n">
        <v>97.95086999999999</v>
      </c>
      <c r="AI781" t="n">
        <v>97.01007</v>
      </c>
      <c r="AJ781" t="n">
        <v>95.81689</v>
      </c>
      <c r="AK781" t="n">
        <v>97.44437000000001</v>
      </c>
      <c r="AL781" t="n">
        <v>96.17278</v>
      </c>
      <c r="AM781" t="n">
        <v>97.13947</v>
      </c>
      <c r="AN781" t="n">
        <v>97.71693999999999</v>
      </c>
      <c r="AO781" t="n">
        <v>99.28277</v>
      </c>
      <c r="AP781" t="n">
        <v>99.81175</v>
      </c>
      <c r="AQ781" t="n">
        <v/>
      </c>
      <c r="AR781" t="n">
        <v/>
      </c>
      <c r="AS781" t="n">
        <v>99.18709</v>
      </c>
      <c r="AT781" t="n">
        <v>98.75165</v>
      </c>
      <c r="AU781" t="n">
        <v>100.616</v>
      </c>
      <c r="AV781" t="n">
        <v>87.48605000000001</v>
      </c>
      <c r="AW781" t="n">
        <v>97.00863</v>
      </c>
      <c r="AX781" t="n">
        <v>91.53334</v>
      </c>
    </row>
    <row r="782">
      <c r="A782" s="92" t="n">
        <v>41640</v>
      </c>
      <c r="B782" t="n">
        <v>96.50272</v>
      </c>
      <c r="C782" t="n">
        <v>98.01546999999999</v>
      </c>
      <c r="D782" t="n">
        <v/>
      </c>
      <c r="E782" t="n">
        <v>96.08038000000001</v>
      </c>
      <c r="F782" t="n">
        <v>100.001</v>
      </c>
      <c r="G782" t="n">
        <v>93.51551000000001</v>
      </c>
      <c r="H782" t="n">
        <v/>
      </c>
      <c r="I782" t="n">
        <v>94.50859</v>
      </c>
      <c r="J782" t="n">
        <v>95.38374</v>
      </c>
      <c r="K782" t="n">
        <v>98.2</v>
      </c>
      <c r="L782" t="n">
        <v>97.42585</v>
      </c>
      <c r="M782" t="n">
        <v>97.86917</v>
      </c>
      <c r="N782" t="n">
        <v>97.25</v>
      </c>
      <c r="O782" t="n">
        <v>98.20608</v>
      </c>
      <c r="P782" t="n">
        <v>97.78984</v>
      </c>
      <c r="Q782" t="n">
        <v/>
      </c>
      <c r="R782" t="n">
        <v>98.39004</v>
      </c>
      <c r="S782" t="n">
        <v>98.34303</v>
      </c>
      <c r="T782" t="n">
        <v/>
      </c>
      <c r="U782" t="n">
        <v>97.31936</v>
      </c>
      <c r="V782" t="n">
        <v>97.40000000000001</v>
      </c>
      <c r="W782" t="n">
        <v>100.4567</v>
      </c>
      <c r="X782" t="n">
        <v>97.82119</v>
      </c>
      <c r="Y782" t="n">
        <v/>
      </c>
      <c r="Z782" t="n">
        <v/>
      </c>
      <c r="AA782" t="n">
        <v>97.65501999999999</v>
      </c>
      <c r="AB782" t="n">
        <v>96.17353</v>
      </c>
      <c r="AC782" t="n">
        <v>98.70086000000001</v>
      </c>
      <c r="AD782" t="n">
        <v>98.91988000000001</v>
      </c>
      <c r="AE782" t="n">
        <v>97.15192</v>
      </c>
      <c r="AF782" t="n">
        <v>96.94604</v>
      </c>
      <c r="AG782" t="n">
        <v>96.9862</v>
      </c>
      <c r="AH782" t="n">
        <v>96.81844</v>
      </c>
      <c r="AI782" t="n">
        <v>97.39521999999999</v>
      </c>
      <c r="AJ782" t="n">
        <v>96.50033000000001</v>
      </c>
      <c r="AK782" t="n">
        <v>97.15443999999999</v>
      </c>
      <c r="AL782" t="n">
        <v>95.90591000000001</v>
      </c>
      <c r="AM782" t="n">
        <v>97.02742000000001</v>
      </c>
      <c r="AN782" t="n">
        <v>97.17791</v>
      </c>
      <c r="AO782" t="n">
        <v>98.84808</v>
      </c>
      <c r="AP782" t="n">
        <v>97.97880000000001</v>
      </c>
      <c r="AQ782" t="n">
        <v/>
      </c>
      <c r="AR782" t="n">
        <v/>
      </c>
      <c r="AS782" t="n">
        <v>99.19631</v>
      </c>
      <c r="AT782" t="n">
        <v>97.70162999999999</v>
      </c>
      <c r="AU782" t="n">
        <v>99.19517999999999</v>
      </c>
      <c r="AV782" t="n">
        <v>88.34799</v>
      </c>
      <c r="AW782" t="n">
        <v>97.16013</v>
      </c>
      <c r="AX782" t="n">
        <v>91.86148</v>
      </c>
    </row>
    <row r="783">
      <c r="A783" s="92" t="n">
        <v>41671</v>
      </c>
      <c r="B783" t="n">
        <v>96.77354</v>
      </c>
      <c r="C783" t="n">
        <v>98.21943</v>
      </c>
      <c r="D783" t="n">
        <v/>
      </c>
      <c r="E783" t="n">
        <v>96.67749999999999</v>
      </c>
      <c r="F783" t="n">
        <v>100.1685</v>
      </c>
      <c r="G783" t="n">
        <v>93.84105</v>
      </c>
      <c r="H783" t="n">
        <v/>
      </c>
      <c r="I783" t="n">
        <v>95.10535</v>
      </c>
      <c r="J783" t="n">
        <v>96.38618</v>
      </c>
      <c r="K783" t="n">
        <v>98.40000000000001</v>
      </c>
      <c r="L783" t="n">
        <v>97.98430999999999</v>
      </c>
      <c r="M783" t="n">
        <v>98.64063</v>
      </c>
      <c r="N783" t="n">
        <v>97.70999999999999</v>
      </c>
      <c r="O783" t="n">
        <v>98.23971</v>
      </c>
      <c r="P783" t="n">
        <v>98.01687</v>
      </c>
      <c r="Q783" t="n">
        <v/>
      </c>
      <c r="R783" t="n">
        <v>98.66903000000001</v>
      </c>
      <c r="S783" t="n">
        <v>99.07617999999999</v>
      </c>
      <c r="T783" t="n">
        <v/>
      </c>
      <c r="U783" t="n">
        <v>97.64700999999999</v>
      </c>
      <c r="V783" t="n">
        <v>97.90000000000001</v>
      </c>
      <c r="W783" t="n">
        <v>98.55011</v>
      </c>
      <c r="X783" t="n">
        <v>97.67092</v>
      </c>
      <c r="Y783" t="n">
        <v/>
      </c>
      <c r="Z783" t="n">
        <v/>
      </c>
      <c r="AA783" t="n">
        <v>98.33056999999999</v>
      </c>
      <c r="AB783" t="n">
        <v>97.0363</v>
      </c>
      <c r="AC783" t="n">
        <v>98.70086000000001</v>
      </c>
      <c r="AD783" t="n">
        <v>98.91219</v>
      </c>
      <c r="AE783" t="n">
        <v>97.2509</v>
      </c>
      <c r="AF783" t="n">
        <v>97.11002000000001</v>
      </c>
      <c r="AG783" t="n">
        <v>96.5933</v>
      </c>
      <c r="AH783" t="n">
        <v>98.38896</v>
      </c>
      <c r="AI783" t="n">
        <v>97.18687</v>
      </c>
      <c r="AJ783" t="n">
        <v>96.8008</v>
      </c>
      <c r="AK783" t="n">
        <v>97.57243</v>
      </c>
      <c r="AL783" t="n">
        <v>96.43442</v>
      </c>
      <c r="AM783" t="n">
        <v>97.32617999999999</v>
      </c>
      <c r="AN783" t="n">
        <v>97.53089</v>
      </c>
      <c r="AO783" t="n">
        <v>99.02195</v>
      </c>
      <c r="AP783" t="n">
        <v>97.78064000000001</v>
      </c>
      <c r="AQ783" t="n">
        <v/>
      </c>
      <c r="AR783" t="n">
        <v/>
      </c>
      <c r="AS783" t="n">
        <v>99.19041</v>
      </c>
      <c r="AT783" t="n">
        <v>98.14163000000001</v>
      </c>
      <c r="AU783" t="n">
        <v>99.62412</v>
      </c>
      <c r="AV783" t="n">
        <v>88.94441</v>
      </c>
      <c r="AW783" t="n">
        <v>97.45238000000001</v>
      </c>
      <c r="AX783" t="n">
        <v>92.86198</v>
      </c>
    </row>
    <row r="784">
      <c r="A784" s="92" t="n">
        <v>41699</v>
      </c>
      <c r="B784" t="n">
        <v>98.03737</v>
      </c>
      <c r="C784" t="n">
        <v>98.34569</v>
      </c>
      <c r="D784" t="n">
        <v/>
      </c>
      <c r="E784" t="n">
        <v>96.94721</v>
      </c>
      <c r="F784" t="n">
        <v>100.5508</v>
      </c>
      <c r="G784" t="n">
        <v>94.54637</v>
      </c>
      <c r="H784" t="n">
        <v/>
      </c>
      <c r="I784" t="n">
        <v>95.37512</v>
      </c>
      <c r="J784" t="n">
        <v>96.94054</v>
      </c>
      <c r="K784" t="n">
        <v>98.40000000000001</v>
      </c>
      <c r="L784" t="n">
        <v>98.42786</v>
      </c>
      <c r="M784" t="n">
        <v>98.88101</v>
      </c>
      <c r="N784" t="n">
        <v>99.13</v>
      </c>
      <c r="O784" t="n">
        <v>98.82510000000001</v>
      </c>
      <c r="P784" t="n">
        <v>98.64117</v>
      </c>
      <c r="Q784" t="n">
        <v/>
      </c>
      <c r="R784" t="n">
        <v>99.22701000000001</v>
      </c>
      <c r="S784" t="n">
        <v>99.69813000000001</v>
      </c>
      <c r="T784" t="n">
        <v/>
      </c>
      <c r="U784" t="n">
        <v>97.99265</v>
      </c>
      <c r="V784" t="n">
        <v>98.2</v>
      </c>
      <c r="W784" t="n">
        <v>101.8889</v>
      </c>
      <c r="X784" t="n">
        <v>97.89632</v>
      </c>
      <c r="Y784" t="n">
        <v/>
      </c>
      <c r="Z784" t="n">
        <v/>
      </c>
      <c r="AA784" t="n">
        <v>99.2243</v>
      </c>
      <c r="AB784" t="n">
        <v>97.52968</v>
      </c>
      <c r="AC784" t="n">
        <v>99.00454999999999</v>
      </c>
      <c r="AD784" t="n">
        <v>99.12488999999999</v>
      </c>
      <c r="AE784" t="n">
        <v>97.50238</v>
      </c>
      <c r="AF784" t="n">
        <v>97.29939</v>
      </c>
      <c r="AG784" t="n">
        <v>97.1729</v>
      </c>
      <c r="AH784" t="n">
        <v>98.46335999999999</v>
      </c>
      <c r="AI784" t="n">
        <v>97.98173</v>
      </c>
      <c r="AJ784" t="n">
        <v>97.00602000000001</v>
      </c>
      <c r="AK784" t="n">
        <v>98.61836</v>
      </c>
      <c r="AL784" t="n">
        <v>96.74285999999999</v>
      </c>
      <c r="AM784" t="n">
        <v>97.7183</v>
      </c>
      <c r="AN784" t="n">
        <v>98.08002999999999</v>
      </c>
      <c r="AO784" t="n">
        <v>99.28277</v>
      </c>
      <c r="AP784" t="n">
        <v>99.53433</v>
      </c>
      <c r="AQ784" t="n">
        <v/>
      </c>
      <c r="AR784" t="n">
        <v/>
      </c>
      <c r="AS784" t="n">
        <v>99.20482</v>
      </c>
      <c r="AT784" t="n">
        <v>99.39165</v>
      </c>
      <c r="AU784" t="n">
        <v>99.71795</v>
      </c>
      <c r="AV784" t="n">
        <v>89.90849</v>
      </c>
      <c r="AW784" t="n">
        <v>97.79832</v>
      </c>
      <c r="AX784" t="n">
        <v>93.98022</v>
      </c>
    </row>
    <row r="785">
      <c r="A785" s="92" t="n">
        <v>41730</v>
      </c>
      <c r="B785" t="n">
        <v>98.21792000000001</v>
      </c>
      <c r="C785" t="n">
        <v>98.44280999999999</v>
      </c>
      <c r="D785" t="n">
        <v/>
      </c>
      <c r="E785" t="n">
        <v>96.98806</v>
      </c>
      <c r="F785" t="n">
        <v>100.6802</v>
      </c>
      <c r="G785" t="n">
        <v>95.27341</v>
      </c>
      <c r="H785" t="n">
        <v/>
      </c>
      <c r="I785" t="n">
        <v>95.61219</v>
      </c>
      <c r="J785" t="n">
        <v>97.33762</v>
      </c>
      <c r="K785" t="n">
        <v>98.59999999999999</v>
      </c>
      <c r="L785" t="n">
        <v>98.14819</v>
      </c>
      <c r="M785" t="n">
        <v>99.04559</v>
      </c>
      <c r="N785" t="n">
        <v>99.38</v>
      </c>
      <c r="O785" t="n">
        <v>100.1462</v>
      </c>
      <c r="P785" t="n">
        <v>98.75467999999999</v>
      </c>
      <c r="Q785" t="n">
        <v/>
      </c>
      <c r="R785" t="n">
        <v>99.50599</v>
      </c>
      <c r="S785" t="n">
        <v>99.69659</v>
      </c>
      <c r="T785" t="n">
        <v/>
      </c>
      <c r="U785" t="n">
        <v>98.41822000000001</v>
      </c>
      <c r="V785" t="n">
        <v>98.7</v>
      </c>
      <c r="W785" t="n">
        <v>102.3546</v>
      </c>
      <c r="X785" t="n">
        <v>97.97145</v>
      </c>
      <c r="Y785" t="n">
        <v/>
      </c>
      <c r="Z785" t="n">
        <v/>
      </c>
      <c r="AA785" t="n">
        <v>99.37428</v>
      </c>
      <c r="AB785" t="n">
        <v>97.89928999999999</v>
      </c>
      <c r="AC785" t="n">
        <v>99.30825</v>
      </c>
      <c r="AD785" t="n">
        <v>99.50305</v>
      </c>
      <c r="AE785" t="n">
        <v>99.43549</v>
      </c>
      <c r="AF785" t="n">
        <v>97.43691</v>
      </c>
      <c r="AG785" t="n">
        <v>97.6951</v>
      </c>
      <c r="AH785" t="n">
        <v>98.54601</v>
      </c>
      <c r="AI785" t="n">
        <v>98.45910000000001</v>
      </c>
      <c r="AJ785" t="n">
        <v>97.26376</v>
      </c>
      <c r="AK785" t="n">
        <v>99.10966000000001</v>
      </c>
      <c r="AL785" t="n">
        <v>97.55049</v>
      </c>
      <c r="AM785" t="n">
        <v>98.18361</v>
      </c>
      <c r="AN785" t="n">
        <v>98.4755</v>
      </c>
      <c r="AO785" t="n">
        <v>99.54358000000001</v>
      </c>
      <c r="AP785" t="n">
        <v>99.94055</v>
      </c>
      <c r="AQ785" t="n">
        <v/>
      </c>
      <c r="AR785" t="n">
        <v/>
      </c>
      <c r="AS785" t="n">
        <v>99.51009000000001</v>
      </c>
      <c r="AT785" t="n">
        <v>99.95166999999999</v>
      </c>
      <c r="AU785" t="n">
        <v>100.1972</v>
      </c>
      <c r="AV785" t="n">
        <v>91.53436000000001</v>
      </c>
      <c r="AW785" t="n">
        <v>98.04434999999999</v>
      </c>
      <c r="AX785" t="n">
        <v>94.24305</v>
      </c>
    </row>
    <row r="786">
      <c r="A786" s="92" t="n">
        <v>41760</v>
      </c>
      <c r="B786" t="n">
        <v>98.39847</v>
      </c>
      <c r="C786" t="n">
        <v>98.59820999999999</v>
      </c>
      <c r="D786" t="n">
        <v/>
      </c>
      <c r="E786" t="n">
        <v>97.28164</v>
      </c>
      <c r="F786" t="n">
        <v>100.8544</v>
      </c>
      <c r="G786" t="n">
        <v>95.44701999999999</v>
      </c>
      <c r="H786" t="n">
        <v/>
      </c>
      <c r="I786" t="n">
        <v>95.89831</v>
      </c>
      <c r="J786" t="n">
        <v>97.5535</v>
      </c>
      <c r="K786" t="n">
        <v>98.7</v>
      </c>
      <c r="L786" t="n">
        <v>98.0528</v>
      </c>
      <c r="M786" t="n">
        <v>98.88879</v>
      </c>
      <c r="N786" t="n">
        <v>99.25</v>
      </c>
      <c r="O786" t="n">
        <v>100.245</v>
      </c>
      <c r="P786" t="n">
        <v>99.03847</v>
      </c>
      <c r="Q786" t="n">
        <v/>
      </c>
      <c r="R786" t="n">
        <v>99.31999999999999</v>
      </c>
      <c r="S786" t="n">
        <v>99.72169</v>
      </c>
      <c r="T786" t="n">
        <v/>
      </c>
      <c r="U786" t="n">
        <v>98.55407</v>
      </c>
      <c r="V786" t="n">
        <v>98.7</v>
      </c>
      <c r="W786" t="n">
        <v>101.4109</v>
      </c>
      <c r="X786" t="n">
        <v>98.12170999999999</v>
      </c>
      <c r="Y786" t="n">
        <v/>
      </c>
      <c r="Z786" t="n">
        <v/>
      </c>
      <c r="AA786" t="n">
        <v>99.16531000000001</v>
      </c>
      <c r="AB786" t="n">
        <v>97.94991</v>
      </c>
      <c r="AC786" t="n">
        <v>99.30825</v>
      </c>
      <c r="AD786" t="n">
        <v>99.35252</v>
      </c>
      <c r="AE786" t="n">
        <v>99.59958</v>
      </c>
      <c r="AF786" t="n">
        <v>97.67283</v>
      </c>
      <c r="AG786" t="n">
        <v>98.0192</v>
      </c>
      <c r="AH786" t="n">
        <v>98.58734</v>
      </c>
      <c r="AI786" t="n">
        <v>98.68449</v>
      </c>
      <c r="AJ786" t="n">
        <v>97.34438</v>
      </c>
      <c r="AK786" t="n">
        <v>98.74139</v>
      </c>
      <c r="AL786" t="n">
        <v>97.53163000000001</v>
      </c>
      <c r="AM786" t="n">
        <v>98.33392000000001</v>
      </c>
      <c r="AN786" t="n">
        <v>98.54813</v>
      </c>
      <c r="AO786" t="n">
        <v>99.54358000000001</v>
      </c>
      <c r="AP786" t="n">
        <v>99.91083</v>
      </c>
      <c r="AQ786" t="n">
        <v/>
      </c>
      <c r="AR786" t="n">
        <v/>
      </c>
      <c r="AS786" t="n">
        <v>99.50859</v>
      </c>
      <c r="AT786" t="n">
        <v>100.4217</v>
      </c>
      <c r="AU786" t="n">
        <v>100.0933</v>
      </c>
      <c r="AV786" t="n">
        <v>92.77213</v>
      </c>
      <c r="AW786" t="n">
        <v>98.259</v>
      </c>
      <c r="AX786" t="n">
        <v>94.49119</v>
      </c>
    </row>
    <row r="787">
      <c r="A787" s="92" t="n">
        <v>41791</v>
      </c>
      <c r="B787" t="n">
        <v>98.48874000000001</v>
      </c>
      <c r="C787" t="n">
        <v>98.66619</v>
      </c>
      <c r="D787" t="n">
        <v/>
      </c>
      <c r="E787" t="n">
        <v>97.2653</v>
      </c>
      <c r="F787" t="n">
        <v>100.6937</v>
      </c>
      <c r="G787" t="n">
        <v>95.43617</v>
      </c>
      <c r="H787" t="n">
        <v/>
      </c>
      <c r="I787" t="n">
        <v>96.0291</v>
      </c>
      <c r="J787" t="n">
        <v>97.61752</v>
      </c>
      <c r="K787" t="n">
        <v>98.90000000000001</v>
      </c>
      <c r="L787" t="n">
        <v>98.35046</v>
      </c>
      <c r="M787" t="n">
        <v>98.74093000000001</v>
      </c>
      <c r="N787" t="n">
        <v>99.38</v>
      </c>
      <c r="O787" t="n">
        <v>100.3007</v>
      </c>
      <c r="P787" t="n">
        <v>99.03847</v>
      </c>
      <c r="Q787" t="n">
        <v/>
      </c>
      <c r="R787" t="n">
        <v>99.31999999999999</v>
      </c>
      <c r="S787" t="n">
        <v>99.71939999999999</v>
      </c>
      <c r="T787" t="n">
        <v/>
      </c>
      <c r="U787" t="n">
        <v>98.61255</v>
      </c>
      <c r="V787" t="n">
        <v>98.90000000000001</v>
      </c>
      <c r="W787" t="n">
        <v>102.4124</v>
      </c>
      <c r="X787" t="n">
        <v>98.27197</v>
      </c>
      <c r="Y787" t="n">
        <v/>
      </c>
      <c r="Z787" t="n">
        <v/>
      </c>
      <c r="AA787" t="n">
        <v>99.44645</v>
      </c>
      <c r="AB787" t="n">
        <v>98.37627000000001</v>
      </c>
      <c r="AC787" t="n">
        <v>99.91564</v>
      </c>
      <c r="AD787" t="n">
        <v>99.45177</v>
      </c>
      <c r="AE787" t="n">
        <v>99.48208</v>
      </c>
      <c r="AF787" t="n">
        <v>97.63686</v>
      </c>
      <c r="AG787" t="n">
        <v>98.3541</v>
      </c>
      <c r="AH787" t="n">
        <v>98.72786000000001</v>
      </c>
      <c r="AI787" t="n">
        <v>98.8981</v>
      </c>
      <c r="AJ787" t="n">
        <v>97.54402</v>
      </c>
      <c r="AK787" t="n">
        <v>98.36926</v>
      </c>
      <c r="AL787" t="n">
        <v>97.30652000000001</v>
      </c>
      <c r="AM787" t="n">
        <v>98.40559</v>
      </c>
      <c r="AN787" t="n">
        <v>98.68835</v>
      </c>
      <c r="AO787" t="n">
        <v>99.71745</v>
      </c>
      <c r="AP787" t="n">
        <v>99.90092</v>
      </c>
      <c r="AQ787" t="n">
        <v/>
      </c>
      <c r="AR787" t="n">
        <v/>
      </c>
      <c r="AS787" t="n">
        <v>99.5885</v>
      </c>
      <c r="AT787" t="n">
        <v>100.6817</v>
      </c>
      <c r="AU787" t="n">
        <v>100.3211</v>
      </c>
      <c r="AV787" t="n">
        <v>93.02540999999999</v>
      </c>
      <c r="AW787" t="n">
        <v>98.31184</v>
      </c>
      <c r="AX787" t="n">
        <v>95.0517</v>
      </c>
    </row>
    <row r="788">
      <c r="A788" s="92" t="n">
        <v>41821</v>
      </c>
      <c r="B788" t="n">
        <v>97.94710000000001</v>
      </c>
      <c r="C788" t="n">
        <v>98.92842</v>
      </c>
      <c r="D788" t="n">
        <v/>
      </c>
      <c r="E788" t="n">
        <v>97.16200000000001</v>
      </c>
      <c r="F788" t="n">
        <v>100.2188</v>
      </c>
      <c r="G788" t="n">
        <v>95.40362</v>
      </c>
      <c r="H788" t="n">
        <v/>
      </c>
      <c r="I788" t="n">
        <v>96.01276</v>
      </c>
      <c r="J788" t="n">
        <v>98.21095</v>
      </c>
      <c r="K788" t="n">
        <v>99.2</v>
      </c>
      <c r="L788" t="n">
        <v>98.72292</v>
      </c>
      <c r="M788" t="n">
        <v>98.53209</v>
      </c>
      <c r="N788" t="n">
        <v>98.55</v>
      </c>
      <c r="O788" t="n">
        <v>98.95227</v>
      </c>
      <c r="P788" t="n">
        <v>98.69793</v>
      </c>
      <c r="Q788" t="n">
        <v/>
      </c>
      <c r="R788" t="n">
        <v>99.13401</v>
      </c>
      <c r="S788" t="n">
        <v>99.40439000000001</v>
      </c>
      <c r="T788" t="n">
        <v/>
      </c>
      <c r="U788" t="n">
        <v>98.62036000000001</v>
      </c>
      <c r="V788" t="n">
        <v>98.59999999999999</v>
      </c>
      <c r="W788" t="n">
        <v>100.6395</v>
      </c>
      <c r="X788" t="n">
        <v>98.49737</v>
      </c>
      <c r="Y788" t="n">
        <v/>
      </c>
      <c r="Z788" t="n">
        <v/>
      </c>
      <c r="AA788" t="n">
        <v>99.1356</v>
      </c>
      <c r="AB788" t="n">
        <v>98.07107999999999</v>
      </c>
      <c r="AC788" t="n">
        <v>100.0169</v>
      </c>
      <c r="AD788" t="n">
        <v>99.63245000000001</v>
      </c>
      <c r="AE788" t="n">
        <v>99.58699</v>
      </c>
      <c r="AF788" t="n">
        <v>97.81776000000001</v>
      </c>
      <c r="AG788" t="n">
        <v>97.9007</v>
      </c>
      <c r="AH788" t="n">
        <v>97.48797999999999</v>
      </c>
      <c r="AI788" t="n">
        <v>98.34371</v>
      </c>
      <c r="AJ788" t="n">
        <v>97.72435</v>
      </c>
      <c r="AK788" t="n">
        <v>99.39610999999999</v>
      </c>
      <c r="AL788" t="n">
        <v>97.50613</v>
      </c>
      <c r="AM788" t="n">
        <v>98.40326</v>
      </c>
      <c r="AN788" t="n">
        <v>98.59524</v>
      </c>
      <c r="AO788" t="n">
        <v>99.71745</v>
      </c>
      <c r="AP788" t="n">
        <v>98.97949</v>
      </c>
      <c r="AQ788" t="n">
        <v/>
      </c>
      <c r="AR788" t="n">
        <v/>
      </c>
      <c r="AS788" t="n">
        <v>99.6113</v>
      </c>
      <c r="AT788" t="n">
        <v>99.25166</v>
      </c>
      <c r="AU788" t="n">
        <v>99.79167</v>
      </c>
      <c r="AV788" t="n">
        <v>93.49111000000001</v>
      </c>
      <c r="AW788" t="n">
        <v>98.304</v>
      </c>
      <c r="AX788" t="n">
        <v>95.50013</v>
      </c>
    </row>
    <row r="789">
      <c r="A789" s="92" t="n">
        <v>41852</v>
      </c>
      <c r="B789" t="n">
        <v>98.03737</v>
      </c>
      <c r="C789" t="n">
        <v>98.81187</v>
      </c>
      <c r="D789" t="n">
        <v/>
      </c>
      <c r="E789" t="n">
        <v>97.60724999999999</v>
      </c>
      <c r="F789" t="n">
        <v>100.206</v>
      </c>
      <c r="G789" t="n">
        <v>95.74001</v>
      </c>
      <c r="H789" t="n">
        <v/>
      </c>
      <c r="I789" t="n">
        <v>96.11085</v>
      </c>
      <c r="J789" t="n">
        <v>98.28363</v>
      </c>
      <c r="K789" t="n">
        <v>99.2</v>
      </c>
      <c r="L789" t="n">
        <v>98.85532000000001</v>
      </c>
      <c r="M789" t="n">
        <v>98.51430999999999</v>
      </c>
      <c r="N789" t="n">
        <v>98.87</v>
      </c>
      <c r="O789" t="n">
        <v>99.11727</v>
      </c>
      <c r="P789" t="n">
        <v>99.03847</v>
      </c>
      <c r="Q789" t="n">
        <v/>
      </c>
      <c r="R789" t="n">
        <v>99.50599</v>
      </c>
      <c r="S789" t="n">
        <v>100.1838</v>
      </c>
      <c r="T789" t="n">
        <v/>
      </c>
      <c r="U789" t="n">
        <v>98.80332</v>
      </c>
      <c r="V789" t="n">
        <v>99.09999999999999</v>
      </c>
      <c r="W789" t="n">
        <v>99.00346</v>
      </c>
      <c r="X789" t="n">
        <v>98.64764</v>
      </c>
      <c r="Y789" t="n">
        <v/>
      </c>
      <c r="Z789" t="n">
        <v/>
      </c>
      <c r="AA789" t="n">
        <v>99.46778999999999</v>
      </c>
      <c r="AB789" t="n">
        <v>98.44099</v>
      </c>
      <c r="AC789" t="n">
        <v>99.81441</v>
      </c>
      <c r="AD789" t="n">
        <v>99.93644999999999</v>
      </c>
      <c r="AE789" t="n">
        <v>99.70775999999999</v>
      </c>
      <c r="AF789" t="n">
        <v>97.95424</v>
      </c>
      <c r="AG789" t="n">
        <v>98.2</v>
      </c>
      <c r="AH789" t="n">
        <v>98.9593</v>
      </c>
      <c r="AI789" t="n">
        <v>98.30233</v>
      </c>
      <c r="AJ789" t="n">
        <v>97.92419</v>
      </c>
      <c r="AK789" t="n">
        <v>99.4794</v>
      </c>
      <c r="AL789" t="n">
        <v>97.1456</v>
      </c>
      <c r="AM789" t="n">
        <v>98.5453</v>
      </c>
      <c r="AN789" t="n">
        <v>98.80746000000001</v>
      </c>
      <c r="AO789" t="n">
        <v>99.71745</v>
      </c>
      <c r="AP789" t="n">
        <v>98.81106</v>
      </c>
      <c r="AQ789" t="n">
        <v/>
      </c>
      <c r="AR789" t="n">
        <v/>
      </c>
      <c r="AS789" t="n">
        <v>99.63306</v>
      </c>
      <c r="AT789" t="n">
        <v>99.66166</v>
      </c>
      <c r="AU789" t="n">
        <v>99.77157</v>
      </c>
      <c r="AV789" t="n">
        <v>93.41758</v>
      </c>
      <c r="AW789" t="n">
        <v>98.36922</v>
      </c>
      <c r="AX789" t="n">
        <v>95.69795000000001</v>
      </c>
    </row>
    <row r="790">
      <c r="A790" s="92" t="n">
        <v>41883</v>
      </c>
      <c r="B790" t="n">
        <v>98.66929</v>
      </c>
      <c r="C790" t="n">
        <v>98.85072</v>
      </c>
      <c r="D790" t="n">
        <v/>
      </c>
      <c r="E790" t="n">
        <v>97.87204</v>
      </c>
      <c r="F790" t="n">
        <v>100.397</v>
      </c>
      <c r="G790" t="n">
        <v>96.23916</v>
      </c>
      <c r="H790" t="n">
        <v/>
      </c>
      <c r="I790" t="n">
        <v>96.20895</v>
      </c>
      <c r="J790" t="n">
        <v>98.47239999999999</v>
      </c>
      <c r="K790" t="n">
        <v>98.8</v>
      </c>
      <c r="L790" t="n">
        <v>98.81516000000001</v>
      </c>
      <c r="M790" t="n">
        <v>99.00784</v>
      </c>
      <c r="N790" t="n">
        <v>99.42</v>
      </c>
      <c r="O790" t="n">
        <v>99.06998</v>
      </c>
      <c r="P790" t="n">
        <v>98.58441999999999</v>
      </c>
      <c r="Q790" t="n">
        <v/>
      </c>
      <c r="R790" t="n">
        <v>100.064</v>
      </c>
      <c r="S790" t="n">
        <v>99.61897</v>
      </c>
      <c r="T790" t="n">
        <v/>
      </c>
      <c r="U790" t="n">
        <v>98.86956000000001</v>
      </c>
      <c r="V790" t="n">
        <v>99.2</v>
      </c>
      <c r="W790" t="n">
        <v>102.0714</v>
      </c>
      <c r="X790" t="n">
        <v>98.27197</v>
      </c>
      <c r="Y790" t="n">
        <v/>
      </c>
      <c r="Z790" t="n">
        <v/>
      </c>
      <c r="AA790" t="n">
        <v>99.19137000000001</v>
      </c>
      <c r="AB790" t="n">
        <v>98.31156</v>
      </c>
      <c r="AC790" t="n">
        <v>99.71317999999999</v>
      </c>
      <c r="AD790" t="n">
        <v>99.44798</v>
      </c>
      <c r="AE790" t="n">
        <v>99.6511</v>
      </c>
      <c r="AF790" t="n">
        <v>97.86432000000001</v>
      </c>
      <c r="AG790" t="n">
        <v>98.8271</v>
      </c>
      <c r="AH790" t="n">
        <v>98.81879000000001</v>
      </c>
      <c r="AI790" t="n">
        <v>99.29031000000001</v>
      </c>
      <c r="AJ790" t="n">
        <v>98.21758</v>
      </c>
      <c r="AK790" t="n">
        <v>99.48784999999999</v>
      </c>
      <c r="AL790" t="n">
        <v>97.8792</v>
      </c>
      <c r="AM790" t="n">
        <v>98.6455</v>
      </c>
      <c r="AN790" t="n">
        <v>98.79263</v>
      </c>
      <c r="AO790" t="n">
        <v>99.71745</v>
      </c>
      <c r="AP790" t="n">
        <v>99.55415000000001</v>
      </c>
      <c r="AQ790" t="n">
        <v/>
      </c>
      <c r="AR790" t="n">
        <v/>
      </c>
      <c r="AS790" t="n">
        <v>99.71339</v>
      </c>
      <c r="AT790" t="n">
        <v>99.92167000000001</v>
      </c>
      <c r="AU790" t="n">
        <v>100.0162</v>
      </c>
      <c r="AV790" t="n">
        <v>93.5483</v>
      </c>
      <c r="AW790" t="n">
        <v>98.5942</v>
      </c>
      <c r="AX790" t="n">
        <v>96.04504</v>
      </c>
    </row>
    <row r="791">
      <c r="A791" s="92" t="n">
        <v>41913</v>
      </c>
      <c r="B791" t="n">
        <v>98.66929</v>
      </c>
      <c r="C791" t="n">
        <v>98.96727</v>
      </c>
      <c r="D791" t="n">
        <v/>
      </c>
      <c r="E791" t="n">
        <v>98.34697</v>
      </c>
      <c r="F791" t="n">
        <v>100.652</v>
      </c>
      <c r="G791" t="n">
        <v>96.68406</v>
      </c>
      <c r="H791" t="n">
        <v/>
      </c>
      <c r="I791" t="n">
        <v>96.38879</v>
      </c>
      <c r="J791" t="n">
        <v>98.70131000000001</v>
      </c>
      <c r="K791" t="n">
        <v>99</v>
      </c>
      <c r="L791" t="n">
        <v>98.65842000000001</v>
      </c>
      <c r="M791" t="n">
        <v>99.14816999999999</v>
      </c>
      <c r="N791" t="n">
        <v>99.42</v>
      </c>
      <c r="O791" t="n">
        <v>99.96436</v>
      </c>
      <c r="P791" t="n">
        <v>98.8682</v>
      </c>
      <c r="Q791" t="n">
        <v/>
      </c>
      <c r="R791" t="n">
        <v>100.064</v>
      </c>
      <c r="S791" t="n">
        <v>99.55664</v>
      </c>
      <c r="T791" t="n">
        <v/>
      </c>
      <c r="U791" t="n">
        <v>99.03613</v>
      </c>
      <c r="V791" t="n">
        <v>99.40000000000001</v>
      </c>
      <c r="W791" t="n">
        <v>101.7649</v>
      </c>
      <c r="X791" t="n">
        <v>98.57250000000001</v>
      </c>
      <c r="Y791" t="n">
        <v/>
      </c>
      <c r="Z791" t="n">
        <v/>
      </c>
      <c r="AA791" t="n">
        <v>99.07236</v>
      </c>
      <c r="AB791" t="n">
        <v>98.66918</v>
      </c>
      <c r="AC791" t="n">
        <v>100.0169</v>
      </c>
      <c r="AD791" t="n">
        <v>99.46624</v>
      </c>
      <c r="AE791" t="n">
        <v>99.80868</v>
      </c>
      <c r="AF791" t="n">
        <v>97.91827000000001</v>
      </c>
      <c r="AG791" t="n">
        <v>99.0265</v>
      </c>
      <c r="AH791" t="n">
        <v>98.81879000000001</v>
      </c>
      <c r="AI791" t="n">
        <v>99.42752</v>
      </c>
      <c r="AJ791" t="n">
        <v>98.35545999999999</v>
      </c>
      <c r="AK791" t="n">
        <v>99.43891000000001</v>
      </c>
      <c r="AL791" t="n">
        <v>98.22859</v>
      </c>
      <c r="AM791" t="n">
        <v>98.87569000000001</v>
      </c>
      <c r="AN791" t="n">
        <v>99.01166000000001</v>
      </c>
      <c r="AO791" t="n">
        <v>99.89133</v>
      </c>
      <c r="AP791" t="n">
        <v>99.85138000000001</v>
      </c>
      <c r="AQ791" t="n">
        <v/>
      </c>
      <c r="AR791" t="n">
        <v/>
      </c>
      <c r="AS791" t="n">
        <v>99.94432</v>
      </c>
      <c r="AT791" t="n">
        <v>100.4017</v>
      </c>
      <c r="AU791" t="n">
        <v>100.3044</v>
      </c>
      <c r="AV791" t="n">
        <v>94.89229</v>
      </c>
      <c r="AW791" t="n">
        <v>98.83032</v>
      </c>
      <c r="AX791" t="n">
        <v>96.29216</v>
      </c>
    </row>
    <row r="792">
      <c r="A792" s="92" t="n">
        <v>41944</v>
      </c>
      <c r="B792" t="n">
        <v>99.12066</v>
      </c>
      <c r="C792" t="n">
        <v>98.89928</v>
      </c>
      <c r="D792" t="n">
        <v/>
      </c>
      <c r="E792" t="n">
        <v>98.26174</v>
      </c>
      <c r="F792" t="n">
        <v>100.7733</v>
      </c>
      <c r="G792" t="n">
        <v>97.00960000000001</v>
      </c>
      <c r="H792" t="n">
        <v/>
      </c>
      <c r="I792" t="n">
        <v>96.56046000000001</v>
      </c>
      <c r="J792" t="n">
        <v>98.88683</v>
      </c>
      <c r="K792" t="n">
        <v>98.8</v>
      </c>
      <c r="L792" t="n">
        <v>98.86234</v>
      </c>
      <c r="M792" t="n">
        <v>99.001</v>
      </c>
      <c r="N792" t="n">
        <v>99.34999999999999</v>
      </c>
      <c r="O792" t="n">
        <v>100.3932</v>
      </c>
      <c r="P792" t="n">
        <v>98.13038</v>
      </c>
      <c r="Q792" t="n">
        <v/>
      </c>
      <c r="R792" t="n">
        <v>99.97096999999999</v>
      </c>
      <c r="S792" t="n">
        <v>99.40443</v>
      </c>
      <c r="T792" t="n">
        <v/>
      </c>
      <c r="U792" t="n">
        <v>98.97669999999999</v>
      </c>
      <c r="V792" t="n">
        <v>99.3</v>
      </c>
      <c r="W792" t="n">
        <v>100.6803</v>
      </c>
      <c r="X792" t="n">
        <v>98.72275999999999</v>
      </c>
      <c r="Y792" t="n">
        <v/>
      </c>
      <c r="Z792" t="n">
        <v/>
      </c>
      <c r="AA792" t="n">
        <v>98.99916</v>
      </c>
      <c r="AB792" t="n">
        <v>98.24534</v>
      </c>
      <c r="AC792" t="n">
        <v>100.1181</v>
      </c>
      <c r="AD792" t="n">
        <v>99.22862000000001</v>
      </c>
      <c r="AE792" t="n">
        <v>99.75912</v>
      </c>
      <c r="AF792" t="n">
        <v>97.90028</v>
      </c>
      <c r="AG792" t="n">
        <v>99.154</v>
      </c>
      <c r="AH792" t="n">
        <v>98.75266000000001</v>
      </c>
      <c r="AI792" t="n">
        <v>99.22749</v>
      </c>
      <c r="AJ792" t="n">
        <v>98.5124</v>
      </c>
      <c r="AK792" t="n">
        <v>98.81616</v>
      </c>
      <c r="AL792" t="n">
        <v>98.18092</v>
      </c>
      <c r="AM792" t="n">
        <v>98.85682</v>
      </c>
      <c r="AN792" t="n">
        <v>99.02155999999999</v>
      </c>
      <c r="AO792" t="n">
        <v>99.80439</v>
      </c>
      <c r="AP792" t="n">
        <v>99.77212</v>
      </c>
      <c r="AQ792" t="n">
        <v/>
      </c>
      <c r="AR792" t="n">
        <v/>
      </c>
      <c r="AS792" t="n">
        <v>99.87701</v>
      </c>
      <c r="AT792" t="n">
        <v>100.1417</v>
      </c>
      <c r="AU792" t="n">
        <v>100.11</v>
      </c>
      <c r="AV792" t="n">
        <v>95.40291999999999</v>
      </c>
      <c r="AW792" t="n">
        <v>98.76221</v>
      </c>
      <c r="AX792" t="n">
        <v>96.43369</v>
      </c>
    </row>
    <row r="793">
      <c r="A793" s="92" t="n">
        <v>41974</v>
      </c>
      <c r="B793" t="n">
        <v>99.39148</v>
      </c>
      <c r="C793" t="n">
        <v>99.04497000000001</v>
      </c>
      <c r="D793" t="n">
        <v/>
      </c>
      <c r="E793" t="n">
        <v>98.00246</v>
      </c>
      <c r="F793" t="n">
        <v>100.5578</v>
      </c>
      <c r="G793" t="n">
        <v>97.29173</v>
      </c>
      <c r="H793" t="n">
        <v/>
      </c>
      <c r="I793" t="n">
        <v>96.9692</v>
      </c>
      <c r="J793" t="n">
        <v>99.08861</v>
      </c>
      <c r="K793" t="n">
        <v>99</v>
      </c>
      <c r="L793" t="n">
        <v>99.32624</v>
      </c>
      <c r="M793" t="n">
        <v>99.11245</v>
      </c>
      <c r="N793" t="n">
        <v>99.7</v>
      </c>
      <c r="O793" t="n">
        <v>100.3795</v>
      </c>
      <c r="P793" t="n">
        <v>98.58441999999999</v>
      </c>
      <c r="Q793" t="n">
        <v/>
      </c>
      <c r="R793" t="n">
        <v>100.064</v>
      </c>
      <c r="S793" t="n">
        <v>99.80132</v>
      </c>
      <c r="T793" t="n">
        <v/>
      </c>
      <c r="U793" t="n">
        <v>98.93087</v>
      </c>
      <c r="V793" t="n">
        <v>99.5</v>
      </c>
      <c r="W793" t="n">
        <v>101.0713</v>
      </c>
      <c r="X793" t="n">
        <v>98.64764</v>
      </c>
      <c r="Y793" t="n">
        <v/>
      </c>
      <c r="Z793" t="n">
        <v/>
      </c>
      <c r="AA793" t="n">
        <v>98.9128</v>
      </c>
      <c r="AB793" t="n">
        <v>98.68358000000001</v>
      </c>
      <c r="AC793" t="n">
        <v>100.4218</v>
      </c>
      <c r="AD793" t="n">
        <v>99.43094000000001</v>
      </c>
      <c r="AE793" t="n">
        <v>99.60796999999999</v>
      </c>
      <c r="AF793" t="n">
        <v>98.02724000000001</v>
      </c>
      <c r="AG793" t="n">
        <v>99.0248</v>
      </c>
      <c r="AH793" t="n">
        <v>98.67</v>
      </c>
      <c r="AI793" t="n">
        <v>98.90685999999999</v>
      </c>
      <c r="AJ793" t="n">
        <v>98.72217000000001</v>
      </c>
      <c r="AK793" t="n">
        <v>98.78400000000001</v>
      </c>
      <c r="AL793" t="n">
        <v>98.46187999999999</v>
      </c>
      <c r="AM793" t="n">
        <v>98.84481</v>
      </c>
      <c r="AN793" t="n">
        <v>99.20211</v>
      </c>
      <c r="AO793" t="n">
        <v>99.80439</v>
      </c>
      <c r="AP793" t="n">
        <v>100.0694</v>
      </c>
      <c r="AQ793" t="n">
        <v/>
      </c>
      <c r="AR793" t="n">
        <v/>
      </c>
      <c r="AS793" t="n">
        <v>99.69238</v>
      </c>
      <c r="AT793" t="n">
        <v>100.0817</v>
      </c>
      <c r="AU793" t="n">
        <v>100.5691</v>
      </c>
      <c r="AV793" t="n">
        <v>95.10471</v>
      </c>
      <c r="AW793" t="n">
        <v>98.56695999999999</v>
      </c>
      <c r="AX793" t="n">
        <v>96.66251</v>
      </c>
    </row>
    <row r="794">
      <c r="A794" s="92" t="n">
        <v>42005</v>
      </c>
      <c r="B794" t="n">
        <v>98.30819</v>
      </c>
      <c r="C794" t="n">
        <v>99.24892</v>
      </c>
      <c r="D794" t="n">
        <v/>
      </c>
      <c r="E794" t="n">
        <v>98.40608</v>
      </c>
      <c r="F794" t="n">
        <v>100.2125</v>
      </c>
      <c r="G794" t="n">
        <v>97.97535000000001</v>
      </c>
      <c r="H794" t="n">
        <v/>
      </c>
      <c r="I794" t="n">
        <v>97.48421</v>
      </c>
      <c r="J794" t="n">
        <v>99.71784</v>
      </c>
      <c r="K794" t="n">
        <v>99.2</v>
      </c>
      <c r="L794" t="n">
        <v>98.43379</v>
      </c>
      <c r="M794" t="n">
        <v>98.66063</v>
      </c>
      <c r="N794" t="n">
        <v>97.87</v>
      </c>
      <c r="O794" t="n">
        <v>98.44674999999999</v>
      </c>
      <c r="P794" t="n">
        <v>98.75467999999999</v>
      </c>
      <c r="Q794" t="n">
        <v/>
      </c>
      <c r="R794" t="n">
        <v>99.31999999999999</v>
      </c>
      <c r="S794" t="n">
        <v>98.70338</v>
      </c>
      <c r="T794" t="n">
        <v/>
      </c>
      <c r="U794" t="n">
        <v>98.81652</v>
      </c>
      <c r="V794" t="n">
        <v>98.90000000000001</v>
      </c>
      <c r="W794" t="n">
        <v>99.25163000000001</v>
      </c>
      <c r="X794" t="n">
        <v>98.87302</v>
      </c>
      <c r="Y794" t="n">
        <v/>
      </c>
      <c r="Z794" t="n">
        <v/>
      </c>
      <c r="AA794" t="n">
        <v>98.58275999999999</v>
      </c>
      <c r="AB794" t="n">
        <v>97.73161</v>
      </c>
      <c r="AC794" t="n">
        <v>99.71317999999999</v>
      </c>
      <c r="AD794" t="n">
        <v>99.24982</v>
      </c>
      <c r="AE794" t="n">
        <v>99.30542</v>
      </c>
      <c r="AF794" t="n">
        <v>99.32002</v>
      </c>
      <c r="AG794" t="n">
        <v>98.3646</v>
      </c>
      <c r="AH794" t="n">
        <v>98.06</v>
      </c>
      <c r="AI794" t="n">
        <v>98.49088</v>
      </c>
      <c r="AJ794" t="n">
        <v>98.67102</v>
      </c>
      <c r="AK794" t="n">
        <v>98.04584</v>
      </c>
      <c r="AL794" t="n">
        <v>98.29687</v>
      </c>
      <c r="AM794" t="n">
        <v>98.73578999999999</v>
      </c>
      <c r="AN794" t="n">
        <v>98.56374</v>
      </c>
      <c r="AO794" t="n">
        <v>99.63052</v>
      </c>
      <c r="AP794" t="n">
        <v>98.25622</v>
      </c>
      <c r="AQ794" t="n">
        <v/>
      </c>
      <c r="AR794" t="n">
        <v/>
      </c>
      <c r="AS794" t="n">
        <v>99.80902</v>
      </c>
      <c r="AT794" t="n">
        <v>98.72165</v>
      </c>
      <c r="AU794" t="n">
        <v>99.29906</v>
      </c>
      <c r="AV794" t="n">
        <v>95.85637</v>
      </c>
      <c r="AW794" t="n">
        <v>98.76221</v>
      </c>
      <c r="AX794" t="n">
        <v>97.03635</v>
      </c>
    </row>
    <row r="795">
      <c r="A795" s="92" t="n">
        <v>42036</v>
      </c>
      <c r="B795" t="n">
        <v>98.60822</v>
      </c>
      <c r="C795" t="n">
        <v>99.63741</v>
      </c>
      <c r="D795" t="n">
        <v/>
      </c>
      <c r="E795" t="n">
        <v>99.25373999999999</v>
      </c>
      <c r="F795" t="n">
        <v>100.1345</v>
      </c>
      <c r="G795" t="n">
        <v>98.23578000000001</v>
      </c>
      <c r="H795" t="n">
        <v/>
      </c>
      <c r="I795" t="n">
        <v>98.40796</v>
      </c>
      <c r="J795" t="n">
        <v>100.1898</v>
      </c>
      <c r="K795" t="n">
        <v>99.5</v>
      </c>
      <c r="L795" t="n">
        <v>98.96416000000001</v>
      </c>
      <c r="M795" t="n">
        <v>99.74802</v>
      </c>
      <c r="N795" t="n">
        <v>98.38</v>
      </c>
      <c r="O795" t="n">
        <v>98.3942</v>
      </c>
      <c r="P795" t="n">
        <v>99.09522</v>
      </c>
      <c r="Q795" t="n">
        <v/>
      </c>
      <c r="R795" t="n">
        <v>99.69</v>
      </c>
      <c r="S795" t="n">
        <v>99.30606</v>
      </c>
      <c r="T795" t="n">
        <v/>
      </c>
      <c r="U795" t="n">
        <v>99.17352</v>
      </c>
      <c r="V795" t="n">
        <v>99.3</v>
      </c>
      <c r="W795" t="n">
        <v>97.56332</v>
      </c>
      <c r="X795" t="n">
        <v>99.17355000000001</v>
      </c>
      <c r="Y795" t="n">
        <v/>
      </c>
      <c r="Z795" t="n">
        <v/>
      </c>
      <c r="AA795" t="n">
        <v>99.40646</v>
      </c>
      <c r="AB795" t="n">
        <v>98.58716</v>
      </c>
      <c r="AC795" t="n">
        <v>99.30825</v>
      </c>
      <c r="AD795" t="n">
        <v>99.58341</v>
      </c>
      <c r="AE795" t="n">
        <v>99.31543000000001</v>
      </c>
      <c r="AF795" t="n">
        <v>99.43957</v>
      </c>
      <c r="AG795" t="n">
        <v>97.9554</v>
      </c>
      <c r="AH795" t="n">
        <v>99.83</v>
      </c>
      <c r="AI795" t="n">
        <v>98.52337</v>
      </c>
      <c r="AJ795" t="n">
        <v>99.08526999999999</v>
      </c>
      <c r="AK795" t="n">
        <v>98.40509</v>
      </c>
      <c r="AL795" t="n">
        <v>98.48434</v>
      </c>
      <c r="AM795" t="n">
        <v>99.03695999999999</v>
      </c>
      <c r="AN795" t="n">
        <v>98.85444</v>
      </c>
      <c r="AO795" t="n">
        <v>99.63052</v>
      </c>
      <c r="AP795" t="n">
        <v>98.03825000000001</v>
      </c>
      <c r="AQ795" t="n">
        <v/>
      </c>
      <c r="AR795" t="n">
        <v/>
      </c>
      <c r="AS795" t="n">
        <v>99.83417</v>
      </c>
      <c r="AT795" t="n">
        <v>99.04165</v>
      </c>
      <c r="AU795" t="n">
        <v>99.83524</v>
      </c>
      <c r="AV795" t="n">
        <v>95.78691999999999</v>
      </c>
      <c r="AW795" t="n">
        <v>99.1069</v>
      </c>
      <c r="AX795" t="n">
        <v>98.26215000000001</v>
      </c>
    </row>
    <row r="796">
      <c r="A796" s="92" t="n">
        <v>42064</v>
      </c>
      <c r="B796" t="n">
        <v>99.80831999999999</v>
      </c>
      <c r="C796" t="n">
        <v>99.40432</v>
      </c>
      <c r="D796" t="n">
        <v/>
      </c>
      <c r="E796" t="n">
        <v>99.83362</v>
      </c>
      <c r="F796" t="n">
        <v>100.386</v>
      </c>
      <c r="G796" t="n">
        <v>98.93025</v>
      </c>
      <c r="H796" t="n">
        <v/>
      </c>
      <c r="I796" t="n">
        <v>98.82487</v>
      </c>
      <c r="J796" t="n">
        <v>100.2201</v>
      </c>
      <c r="K796" t="n">
        <v>99.5</v>
      </c>
      <c r="L796" t="n">
        <v>99.3955</v>
      </c>
      <c r="M796" t="n">
        <v>100.0979</v>
      </c>
      <c r="N796" t="n">
        <v>99.77</v>
      </c>
      <c r="O796" t="n">
        <v>98.99746</v>
      </c>
      <c r="P796" t="n">
        <v>99.71953999999999</v>
      </c>
      <c r="Q796" t="n">
        <v/>
      </c>
      <c r="R796" t="n">
        <v>99.89</v>
      </c>
      <c r="S796" t="n">
        <v>100.0015</v>
      </c>
      <c r="T796" t="n">
        <v/>
      </c>
      <c r="U796" t="n">
        <v>99.54606</v>
      </c>
      <c r="V796" t="n">
        <v>99.40000000000001</v>
      </c>
      <c r="W796" t="n">
        <v>100.4482</v>
      </c>
      <c r="X796" t="n">
        <v>99.39895</v>
      </c>
      <c r="Y796" t="n">
        <v/>
      </c>
      <c r="Z796" t="n">
        <v/>
      </c>
      <c r="AA796" t="n">
        <v>99.82056</v>
      </c>
      <c r="AB796" t="n">
        <v>99.62893</v>
      </c>
      <c r="AC796" t="n">
        <v>99.51071</v>
      </c>
      <c r="AD796" t="n">
        <v>99.51387</v>
      </c>
      <c r="AE796" t="n">
        <v>99.56635</v>
      </c>
      <c r="AF796" t="n">
        <v>99.58978999999999</v>
      </c>
      <c r="AG796" t="n">
        <v>98.8419</v>
      </c>
      <c r="AH796" t="n">
        <v>99.75</v>
      </c>
      <c r="AI796" t="n">
        <v>99.48702</v>
      </c>
      <c r="AJ796" t="n">
        <v>99.40483</v>
      </c>
      <c r="AK796" t="n">
        <v>99.59636999999999</v>
      </c>
      <c r="AL796" t="n">
        <v>99.17077999999999</v>
      </c>
      <c r="AM796" t="n">
        <v>99.43186</v>
      </c>
      <c r="AN796" t="n">
        <v>99.29437</v>
      </c>
      <c r="AO796" t="n">
        <v>99.71745</v>
      </c>
      <c r="AP796" t="n">
        <v>100.1585</v>
      </c>
      <c r="AQ796" t="n">
        <v/>
      </c>
      <c r="AR796" t="n">
        <v/>
      </c>
      <c r="AS796" t="n">
        <v>99.78825000000001</v>
      </c>
      <c r="AT796" t="n">
        <v>99.94167</v>
      </c>
      <c r="AU796" t="n">
        <v>99.86875000000001</v>
      </c>
      <c r="AV796" t="n">
        <v>96.33024</v>
      </c>
      <c r="AW796" t="n">
        <v>99.51309999999999</v>
      </c>
      <c r="AX796" t="n">
        <v>99.22038000000001</v>
      </c>
    </row>
    <row r="797">
      <c r="A797" s="92" t="n">
        <v>42095</v>
      </c>
      <c r="B797" t="n">
        <v>99.90833000000001</v>
      </c>
      <c r="C797" t="n">
        <v>99.71511</v>
      </c>
      <c r="D797" t="n">
        <v/>
      </c>
      <c r="E797" t="n">
        <v>99.86591</v>
      </c>
      <c r="F797" t="n">
        <v>100.2221</v>
      </c>
      <c r="G797" t="n">
        <v>99.3643</v>
      </c>
      <c r="H797" t="n">
        <v/>
      </c>
      <c r="I797" t="n">
        <v>99.25814</v>
      </c>
      <c r="J797" t="n">
        <v>100.3362</v>
      </c>
      <c r="K797" t="n">
        <v>99.90000000000001</v>
      </c>
      <c r="L797" t="n">
        <v>99.86166</v>
      </c>
      <c r="M797" t="n">
        <v>100.1829</v>
      </c>
      <c r="N797" t="n">
        <v>100.3</v>
      </c>
      <c r="O797" t="n">
        <v>100.3059</v>
      </c>
      <c r="P797" t="n">
        <v>99.94656000000001</v>
      </c>
      <c r="Q797" t="n">
        <v/>
      </c>
      <c r="R797" t="n">
        <v>99.88</v>
      </c>
      <c r="S797" t="n">
        <v>100.1202</v>
      </c>
      <c r="T797" t="n">
        <v/>
      </c>
      <c r="U797" t="n">
        <v>99.87316</v>
      </c>
      <c r="V797" t="n">
        <v>99.7</v>
      </c>
      <c r="W797" t="n">
        <v>100.9293</v>
      </c>
      <c r="X797" t="n">
        <v>99.77460000000001</v>
      </c>
      <c r="Y797" t="n">
        <v/>
      </c>
      <c r="Z797" t="n">
        <v/>
      </c>
      <c r="AA797" t="n">
        <v>99.74625</v>
      </c>
      <c r="AB797" t="n">
        <v>99.81161</v>
      </c>
      <c r="AC797" t="n">
        <v>99.91564</v>
      </c>
      <c r="AD797" t="n">
        <v>99.93026999999999</v>
      </c>
      <c r="AE797" t="n">
        <v>99.98441</v>
      </c>
      <c r="AF797" t="n">
        <v>99.65009000000001</v>
      </c>
      <c r="AG797" t="n">
        <v>99.55110000000001</v>
      </c>
      <c r="AH797" t="n">
        <v>99.86</v>
      </c>
      <c r="AI797" t="n">
        <v>100.1281</v>
      </c>
      <c r="AJ797" t="n">
        <v>99.53751</v>
      </c>
      <c r="AK797" t="n">
        <v>100.2603</v>
      </c>
      <c r="AL797" t="n">
        <v>99.6053</v>
      </c>
      <c r="AM797" t="n">
        <v>99.81013</v>
      </c>
      <c r="AN797" t="n">
        <v>99.81281</v>
      </c>
      <c r="AO797" t="n">
        <v>100.1521</v>
      </c>
      <c r="AP797" t="n">
        <v>100.4062</v>
      </c>
      <c r="AQ797" t="n">
        <v/>
      </c>
      <c r="AR797" t="n">
        <v/>
      </c>
      <c r="AS797" t="n">
        <v>99.82417</v>
      </c>
      <c r="AT797" t="n">
        <v>99.99167</v>
      </c>
      <c r="AU797" t="n">
        <v>99.7347</v>
      </c>
      <c r="AV797" t="n">
        <v>98.10724999999999</v>
      </c>
      <c r="AW797" t="n">
        <v>99.81650999999999</v>
      </c>
      <c r="AX797" t="n">
        <v>99.54517</v>
      </c>
    </row>
    <row r="798">
      <c r="A798" s="92" t="n">
        <v>42125</v>
      </c>
      <c r="B798" t="n">
        <v>100.1083</v>
      </c>
      <c r="C798" t="n">
        <v>99.65684</v>
      </c>
      <c r="D798" t="n">
        <v/>
      </c>
      <c r="E798" t="n">
        <v>100.0895</v>
      </c>
      <c r="F798" t="n">
        <v>100.3114</v>
      </c>
      <c r="G798" t="n">
        <v>99.49451000000001</v>
      </c>
      <c r="H798" t="n">
        <v/>
      </c>
      <c r="I798" t="n">
        <v>99.60966000000001</v>
      </c>
      <c r="J798" t="n">
        <v>100.3058</v>
      </c>
      <c r="K798" t="n">
        <v>100</v>
      </c>
      <c r="L798" t="n">
        <v>99.99348000000001</v>
      </c>
      <c r="M798" t="n">
        <v>100.2628</v>
      </c>
      <c r="N798" t="n">
        <v>100.52</v>
      </c>
      <c r="O798" t="n">
        <v>100.6874</v>
      </c>
      <c r="P798" t="n">
        <v>100.1736</v>
      </c>
      <c r="Q798" t="n">
        <v/>
      </c>
      <c r="R798" t="n">
        <v>99.73</v>
      </c>
      <c r="S798" t="n">
        <v>100.2969</v>
      </c>
      <c r="T798" t="n">
        <v/>
      </c>
      <c r="U798" t="n">
        <v>99.99194</v>
      </c>
      <c r="V798" t="n">
        <v>99.90000000000001</v>
      </c>
      <c r="W798" t="n">
        <v>99.9954</v>
      </c>
      <c r="X798" t="n">
        <v>100</v>
      </c>
      <c r="Y798" t="n">
        <v/>
      </c>
      <c r="Z798" t="n">
        <v/>
      </c>
      <c r="AA798" t="n">
        <v>99.98339</v>
      </c>
      <c r="AB798" t="n">
        <v>99.88258</v>
      </c>
      <c r="AC798" t="n">
        <v>99.91564</v>
      </c>
      <c r="AD798" t="n">
        <v>99.93519999999999</v>
      </c>
      <c r="AE798" t="n">
        <v>100.1271</v>
      </c>
      <c r="AF798" t="n">
        <v>99.85004000000001</v>
      </c>
      <c r="AG798" t="n">
        <v>99.8215</v>
      </c>
      <c r="AH798" t="n">
        <v>100.09</v>
      </c>
      <c r="AI798" t="n">
        <v>100.4871</v>
      </c>
      <c r="AJ798" t="n">
        <v>99.65819999999999</v>
      </c>
      <c r="AK798" t="n">
        <v>100.451</v>
      </c>
      <c r="AL798" t="n">
        <v>99.83219</v>
      </c>
      <c r="AM798" t="n">
        <v>99.98327999999999</v>
      </c>
      <c r="AN798" t="n">
        <v>100.085</v>
      </c>
      <c r="AO798" t="n">
        <v>100.1521</v>
      </c>
      <c r="AP798" t="n">
        <v>100.6539</v>
      </c>
      <c r="AQ798" t="n">
        <v/>
      </c>
      <c r="AR798" t="n">
        <v/>
      </c>
      <c r="AS798" t="n">
        <v>100.0091</v>
      </c>
      <c r="AT798" t="n">
        <v>100.3417</v>
      </c>
      <c r="AU798" t="n">
        <v>100.0564</v>
      </c>
      <c r="AV798" t="n">
        <v>99.83114999999999</v>
      </c>
      <c r="AW798" t="n">
        <v>99.94736</v>
      </c>
      <c r="AX798" t="n">
        <v>99.6545</v>
      </c>
    </row>
    <row r="799">
      <c r="A799" s="92" t="n">
        <v>42156</v>
      </c>
      <c r="B799" t="n">
        <v>100.2084</v>
      </c>
      <c r="C799" t="n">
        <v>99.96763</v>
      </c>
      <c r="D799" t="n">
        <v/>
      </c>
      <c r="E799" t="n">
        <v>100.0442</v>
      </c>
      <c r="F799" t="n">
        <v>100.3052</v>
      </c>
      <c r="G799" t="n">
        <v>99.90685999999999</v>
      </c>
      <c r="H799" t="n">
        <v/>
      </c>
      <c r="I799" t="n">
        <v>99.96117</v>
      </c>
      <c r="J799" t="n">
        <v>100.4805</v>
      </c>
      <c r="K799" t="n">
        <v>100.2</v>
      </c>
      <c r="L799" t="n">
        <v>100.128</v>
      </c>
      <c r="M799" t="n">
        <v>99.96963</v>
      </c>
      <c r="N799" t="n">
        <v>100.57</v>
      </c>
      <c r="O799" t="n">
        <v>100.8146</v>
      </c>
      <c r="P799" t="n">
        <v>100.3438</v>
      </c>
      <c r="Q799" t="n">
        <v/>
      </c>
      <c r="R799" t="n">
        <v>99.7</v>
      </c>
      <c r="S799" t="n">
        <v>100.2992</v>
      </c>
      <c r="T799" t="n">
        <v/>
      </c>
      <c r="U799" t="n">
        <v>100.056</v>
      </c>
      <c r="V799" t="n">
        <v>99.90000000000001</v>
      </c>
      <c r="W799" t="n">
        <v>100.8238</v>
      </c>
      <c r="X799" t="n">
        <v>100.0751</v>
      </c>
      <c r="Y799" t="n">
        <v/>
      </c>
      <c r="Z799" t="n">
        <v/>
      </c>
      <c r="AA799" t="n">
        <v>100.2382</v>
      </c>
      <c r="AB799" t="n">
        <v>100.1149</v>
      </c>
      <c r="AC799" t="n">
        <v>100.4218</v>
      </c>
      <c r="AD799" t="n">
        <v>100.1649</v>
      </c>
      <c r="AE799" t="n">
        <v>99.95296</v>
      </c>
      <c r="AF799" t="n">
        <v>99.80983999999999</v>
      </c>
      <c r="AG799" t="n">
        <v>100.1104</v>
      </c>
      <c r="AH799" t="n">
        <v>100.3</v>
      </c>
      <c r="AI799" t="n">
        <v>100.6213</v>
      </c>
      <c r="AJ799" t="n">
        <v>99.86821</v>
      </c>
      <c r="AK799" t="n">
        <v>99.97333999999999</v>
      </c>
      <c r="AL799" t="n">
        <v>100.1898</v>
      </c>
      <c r="AM799" t="n">
        <v>100.0639</v>
      </c>
      <c r="AN799" t="n">
        <v>100.18</v>
      </c>
      <c r="AO799" t="n">
        <v>100.0652</v>
      </c>
      <c r="AP799" t="n">
        <v>100.4954</v>
      </c>
      <c r="AQ799" t="n">
        <v/>
      </c>
      <c r="AR799" t="n">
        <v/>
      </c>
      <c r="AS799" t="n">
        <v>100.0692</v>
      </c>
      <c r="AT799" t="n">
        <v>100.4517</v>
      </c>
      <c r="AU799" t="n">
        <v>99.92572</v>
      </c>
      <c r="AV799" t="n">
        <v>100.158</v>
      </c>
      <c r="AW799" t="n">
        <v>100.0444</v>
      </c>
      <c r="AX799" t="n">
        <v>100.0956</v>
      </c>
    </row>
    <row r="800">
      <c r="A800" s="92" t="n">
        <v>42186</v>
      </c>
      <c r="B800" t="n">
        <v>99.90833000000001</v>
      </c>
      <c r="C800" t="n">
        <v>100.1522</v>
      </c>
      <c r="D800" t="n">
        <v/>
      </c>
      <c r="E800" t="n">
        <v>100.0429</v>
      </c>
      <c r="F800" t="n">
        <v>99.66801</v>
      </c>
      <c r="G800" t="n">
        <v>100.0479</v>
      </c>
      <c r="H800" t="n">
        <v/>
      </c>
      <c r="I800" t="n">
        <v>100.092</v>
      </c>
      <c r="J800" t="n">
        <v>100.0455</v>
      </c>
      <c r="K800" t="n">
        <v>100.4</v>
      </c>
      <c r="L800" t="n">
        <v>100.5273</v>
      </c>
      <c r="M800" t="n">
        <v>99.92703</v>
      </c>
      <c r="N800" t="n">
        <v>99.93000000000001</v>
      </c>
      <c r="O800" t="n">
        <v>99.61228</v>
      </c>
      <c r="P800" t="n">
        <v>100.1736</v>
      </c>
      <c r="Q800" t="n">
        <v/>
      </c>
      <c r="R800" t="n">
        <v>99.73</v>
      </c>
      <c r="S800" t="n">
        <v>100.0093</v>
      </c>
      <c r="T800" t="n">
        <v/>
      </c>
      <c r="U800" t="n">
        <v>100.1095</v>
      </c>
      <c r="V800" t="n">
        <v>100</v>
      </c>
      <c r="W800" t="n">
        <v>99.16679000000001</v>
      </c>
      <c r="X800" t="n">
        <v>100.3757</v>
      </c>
      <c r="Y800" t="n">
        <v/>
      </c>
      <c r="Z800" t="n">
        <v/>
      </c>
      <c r="AA800" t="n">
        <v>100.1143</v>
      </c>
      <c r="AB800" t="n">
        <v>100.2899</v>
      </c>
      <c r="AC800" t="n">
        <v>100.6243</v>
      </c>
      <c r="AD800" t="n">
        <v>100.3538</v>
      </c>
      <c r="AE800" t="n">
        <v>100.0118</v>
      </c>
      <c r="AF800" t="n">
        <v>100.27</v>
      </c>
      <c r="AG800" t="n">
        <v>99.7032</v>
      </c>
      <c r="AH800" t="n">
        <v>99.17</v>
      </c>
      <c r="AI800" t="n">
        <v>99.78736000000001</v>
      </c>
      <c r="AJ800" t="n">
        <v>100.0422</v>
      </c>
      <c r="AK800" t="n">
        <v>100.9798</v>
      </c>
      <c r="AL800" t="n">
        <v>100.0422</v>
      </c>
      <c r="AM800" t="n">
        <v>100.1015</v>
      </c>
      <c r="AN800" t="n">
        <v>100.1506</v>
      </c>
      <c r="AO800" t="n">
        <v>100.2391</v>
      </c>
      <c r="AP800" t="n">
        <v>99.70277</v>
      </c>
      <c r="AQ800" t="n">
        <v/>
      </c>
      <c r="AR800" t="n">
        <v/>
      </c>
      <c r="AS800" t="n">
        <v>100.0803</v>
      </c>
      <c r="AT800" t="n">
        <v>99.58166</v>
      </c>
      <c r="AU800" t="n">
        <v>99.94247</v>
      </c>
      <c r="AV800" t="n">
        <v>100.2846</v>
      </c>
      <c r="AW800" t="n">
        <v>100.0782</v>
      </c>
      <c r="AX800" t="n">
        <v>100.4516</v>
      </c>
    </row>
    <row r="801">
      <c r="A801" s="92" t="n">
        <v>42217</v>
      </c>
      <c r="B801" t="n">
        <v>100.0083</v>
      </c>
      <c r="C801" t="n">
        <v>100.2299</v>
      </c>
      <c r="D801" t="n">
        <v/>
      </c>
      <c r="E801" t="n">
        <v>100.2844</v>
      </c>
      <c r="F801" t="n">
        <v>99.55173000000001</v>
      </c>
      <c r="G801" t="n">
        <v>100.4386</v>
      </c>
      <c r="H801" t="n">
        <v/>
      </c>
      <c r="I801" t="n">
        <v>100.3863</v>
      </c>
      <c r="J801" t="n">
        <v>99.9218</v>
      </c>
      <c r="K801" t="n">
        <v>100.4</v>
      </c>
      <c r="L801" t="n">
        <v>100.8478</v>
      </c>
      <c r="M801" t="n">
        <v>99.98566</v>
      </c>
      <c r="N801" t="n">
        <v>100.24</v>
      </c>
      <c r="O801" t="n">
        <v>99.70792</v>
      </c>
      <c r="P801" t="n">
        <v>100.4006</v>
      </c>
      <c r="Q801" t="n">
        <v/>
      </c>
      <c r="R801" t="n">
        <v>100.09</v>
      </c>
      <c r="S801" t="n">
        <v>100.6525</v>
      </c>
      <c r="T801" t="n">
        <v/>
      </c>
      <c r="U801" t="n">
        <v>100.3069</v>
      </c>
      <c r="V801" t="n">
        <v>100.3</v>
      </c>
      <c r="W801" t="n">
        <v>97.8926</v>
      </c>
      <c r="X801" t="n">
        <v>100.4508</v>
      </c>
      <c r="Y801" t="n">
        <v/>
      </c>
      <c r="Z801" t="n">
        <v/>
      </c>
      <c r="AA801" t="n">
        <v>100.8717</v>
      </c>
      <c r="AB801" t="n">
        <v>100.9479</v>
      </c>
      <c r="AC801" t="n">
        <v>100.6243</v>
      </c>
      <c r="AD801" t="n">
        <v>100.7632</v>
      </c>
      <c r="AE801" t="n">
        <v>100.2019</v>
      </c>
      <c r="AF801" t="n">
        <v>100.47</v>
      </c>
      <c r="AG801" t="n">
        <v>99.6568</v>
      </c>
      <c r="AH801" t="n">
        <v>100.66</v>
      </c>
      <c r="AI801" t="n">
        <v>100.0241</v>
      </c>
      <c r="AJ801" t="n">
        <v>100.2583</v>
      </c>
      <c r="AK801" t="n">
        <v>100.764</v>
      </c>
      <c r="AL801" t="n">
        <v>99.95831</v>
      </c>
      <c r="AM801" t="n">
        <v>100.2683</v>
      </c>
      <c r="AN801" t="n">
        <v>100.3855</v>
      </c>
      <c r="AO801" t="n">
        <v>100.1521</v>
      </c>
      <c r="AP801" t="n">
        <v>99.50461</v>
      </c>
      <c r="AQ801" t="n">
        <v/>
      </c>
      <c r="AR801" t="n">
        <v/>
      </c>
      <c r="AS801" t="n">
        <v>100.1304</v>
      </c>
      <c r="AT801" t="n">
        <v>99.99167</v>
      </c>
      <c r="AU801" t="n">
        <v>99.73135000000001</v>
      </c>
      <c r="AV801" t="n">
        <v>100.5787</v>
      </c>
      <c r="AW801" t="n">
        <v>100.167</v>
      </c>
      <c r="AX801" t="n">
        <v>100.6533</v>
      </c>
    </row>
    <row r="802">
      <c r="A802" s="92" t="n">
        <v>42248</v>
      </c>
      <c r="B802" t="n">
        <v>100.5084</v>
      </c>
      <c r="C802" t="n">
        <v>100.0842</v>
      </c>
      <c r="D802" t="n">
        <v/>
      </c>
      <c r="E802" t="n">
        <v>100.6099</v>
      </c>
      <c r="F802" t="n">
        <v>99.76566</v>
      </c>
      <c r="G802" t="n">
        <v>100.9052</v>
      </c>
      <c r="H802" t="n">
        <v/>
      </c>
      <c r="I802" t="n">
        <v>100.8767</v>
      </c>
      <c r="J802" t="n">
        <v>99.84151</v>
      </c>
      <c r="K802" t="n">
        <v>100.2</v>
      </c>
      <c r="L802" t="n">
        <v>100.7698</v>
      </c>
      <c r="M802" t="n">
        <v>100.3471</v>
      </c>
      <c r="N802" t="n">
        <v>100.71</v>
      </c>
      <c r="O802" t="n">
        <v>99.76467</v>
      </c>
      <c r="P802" t="n">
        <v>100.2303</v>
      </c>
      <c r="Q802" t="n">
        <v/>
      </c>
      <c r="R802" t="n">
        <v>100.52</v>
      </c>
      <c r="S802" t="n">
        <v>100.1264</v>
      </c>
      <c r="T802" t="n">
        <v/>
      </c>
      <c r="U802" t="n">
        <v>100.4499</v>
      </c>
      <c r="V802" t="n">
        <v>100.4</v>
      </c>
      <c r="W802" t="n">
        <v>100.8933</v>
      </c>
      <c r="X802" t="n">
        <v>100.2254</v>
      </c>
      <c r="Y802" t="n">
        <v/>
      </c>
      <c r="Z802" t="n">
        <v/>
      </c>
      <c r="AA802" t="n">
        <v>100.5598</v>
      </c>
      <c r="AB802" t="n">
        <v>100.636</v>
      </c>
      <c r="AC802" t="n">
        <v>100.1181</v>
      </c>
      <c r="AD802" t="n">
        <v>100.312</v>
      </c>
      <c r="AE802" t="n">
        <v>100.3275</v>
      </c>
      <c r="AF802" t="n">
        <v>100.2404</v>
      </c>
      <c r="AG802" t="n">
        <v>100.7332</v>
      </c>
      <c r="AH802" t="n">
        <v>100.66</v>
      </c>
      <c r="AI802" t="n">
        <v>100.5525</v>
      </c>
      <c r="AJ802" t="n">
        <v>100.6348</v>
      </c>
      <c r="AK802" t="n">
        <v>100.757</v>
      </c>
      <c r="AL802" t="n">
        <v>100.774</v>
      </c>
      <c r="AM802" t="n">
        <v>100.4519</v>
      </c>
      <c r="AN802" t="n">
        <v>100.4452</v>
      </c>
      <c r="AO802" t="n">
        <v>99.97826000000001</v>
      </c>
      <c r="AP802" t="n">
        <v>100.6737</v>
      </c>
      <c r="AQ802" t="n">
        <v/>
      </c>
      <c r="AR802" t="n">
        <v/>
      </c>
      <c r="AS802" t="n">
        <v>100.0207</v>
      </c>
      <c r="AT802" t="n">
        <v>100.2617</v>
      </c>
      <c r="AU802" t="n">
        <v>100.3848</v>
      </c>
      <c r="AV802" t="n">
        <v>101.4162</v>
      </c>
      <c r="AW802" t="n">
        <v>100.4592</v>
      </c>
      <c r="AX802" t="n">
        <v>100.9915</v>
      </c>
    </row>
    <row r="803">
      <c r="A803" s="92" t="n">
        <v>42278</v>
      </c>
      <c r="B803" t="n">
        <v>100.6084</v>
      </c>
      <c r="C803" t="n">
        <v>100.4727</v>
      </c>
      <c r="D803" t="n">
        <v/>
      </c>
      <c r="E803" t="n">
        <v>100.8103</v>
      </c>
      <c r="F803" t="n">
        <v>99.9374</v>
      </c>
      <c r="G803" t="n">
        <v>101.3501</v>
      </c>
      <c r="H803" t="n">
        <v/>
      </c>
      <c r="I803" t="n">
        <v>101.261</v>
      </c>
      <c r="J803" t="n">
        <v>99.7851</v>
      </c>
      <c r="K803" t="n">
        <v>100.4</v>
      </c>
      <c r="L803" t="n">
        <v>100.8504</v>
      </c>
      <c r="M803" t="n">
        <v>100.3321</v>
      </c>
      <c r="N803" t="n">
        <v>100.87</v>
      </c>
      <c r="O803" t="n">
        <v>100.7841</v>
      </c>
      <c r="P803" t="n">
        <v>100.6844</v>
      </c>
      <c r="Q803" t="n">
        <v/>
      </c>
      <c r="R803" t="n">
        <v>100.66</v>
      </c>
      <c r="S803" t="n">
        <v>100.1009</v>
      </c>
      <c r="T803" t="n">
        <v/>
      </c>
      <c r="U803" t="n">
        <v>100.6248</v>
      </c>
      <c r="V803" t="n">
        <v>100.6</v>
      </c>
      <c r="W803" t="n">
        <v>101.2594</v>
      </c>
      <c r="X803" t="n">
        <v>100.5259</v>
      </c>
      <c r="Y803" t="n">
        <v/>
      </c>
      <c r="Z803" t="n">
        <v/>
      </c>
      <c r="AA803" t="n">
        <v>100.4298</v>
      </c>
      <c r="AB803" t="n">
        <v>100.7904</v>
      </c>
      <c r="AC803" t="n">
        <v>100.0169</v>
      </c>
      <c r="AD803" t="n">
        <v>100.3795</v>
      </c>
      <c r="AE803" t="n">
        <v>100.4202</v>
      </c>
      <c r="AF803" t="n">
        <v>100.3399</v>
      </c>
      <c r="AG803" t="n">
        <v>101.3362</v>
      </c>
      <c r="AH803" t="n">
        <v>100.56</v>
      </c>
      <c r="AI803" t="n">
        <v>100.8335</v>
      </c>
      <c r="AJ803" t="n">
        <v>100.8557</v>
      </c>
      <c r="AK803" t="n">
        <v>100.7455</v>
      </c>
      <c r="AL803" t="n">
        <v>101.1273</v>
      </c>
      <c r="AM803" t="n">
        <v>100.7237</v>
      </c>
      <c r="AN803" t="n">
        <v>100.7909</v>
      </c>
      <c r="AO803" t="n">
        <v>100.1521</v>
      </c>
      <c r="AP803" t="n">
        <v>100.7827</v>
      </c>
      <c r="AQ803" t="n">
        <v/>
      </c>
      <c r="AR803" t="n">
        <v/>
      </c>
      <c r="AS803" t="n">
        <v>100.1427</v>
      </c>
      <c r="AT803" t="n">
        <v>100.5117</v>
      </c>
      <c r="AU803" t="n">
        <v>100.4418</v>
      </c>
      <c r="AV803" t="n">
        <v>103.4056</v>
      </c>
      <c r="AW803" t="n">
        <v>100.7177</v>
      </c>
      <c r="AX803" t="n">
        <v>101.1927</v>
      </c>
    </row>
    <row r="804">
      <c r="A804" s="92" t="n">
        <v>42309</v>
      </c>
      <c r="B804" t="n">
        <v>100.7084</v>
      </c>
      <c r="C804" t="n">
        <v>100.6766</v>
      </c>
      <c r="D804" t="n">
        <v/>
      </c>
      <c r="E804" t="n">
        <v>100.6257</v>
      </c>
      <c r="F804" t="n">
        <v>99.79832</v>
      </c>
      <c r="G804" t="n">
        <v>101.5345</v>
      </c>
      <c r="H804" t="n">
        <v/>
      </c>
      <c r="I804" t="n">
        <v>101.6942</v>
      </c>
      <c r="J804" t="n">
        <v>99.57680999999999</v>
      </c>
      <c r="K804" t="n">
        <v>100.1</v>
      </c>
      <c r="L804" t="n">
        <v>99.92283</v>
      </c>
      <c r="M804" t="n">
        <v>100.2413</v>
      </c>
      <c r="N804" t="n">
        <v>100.25</v>
      </c>
      <c r="O804" t="n">
        <v>101.2802</v>
      </c>
      <c r="P804" t="n">
        <v>100.3609</v>
      </c>
      <c r="Q804" t="n">
        <v/>
      </c>
      <c r="R804" t="n">
        <v>100.34</v>
      </c>
      <c r="S804" t="n">
        <v>99.95233</v>
      </c>
      <c r="T804" t="n">
        <v/>
      </c>
      <c r="U804" t="n">
        <v>100.5239</v>
      </c>
      <c r="V804" t="n">
        <v>100.7</v>
      </c>
      <c r="W804" t="n">
        <v>100.2121</v>
      </c>
      <c r="X804" t="n">
        <v>100.6011</v>
      </c>
      <c r="Y804" t="n">
        <v/>
      </c>
      <c r="Z804" t="n">
        <v/>
      </c>
      <c r="AA804" t="n">
        <v>100.1347</v>
      </c>
      <c r="AB804" t="n">
        <v>100.5092</v>
      </c>
      <c r="AC804" t="n">
        <v>99.81441</v>
      </c>
      <c r="AD804" t="n">
        <v>99.84985</v>
      </c>
      <c r="AE804" t="n">
        <v>100.375</v>
      </c>
      <c r="AF804" t="n">
        <v>100.4002</v>
      </c>
      <c r="AG804" t="n">
        <v>102.1058</v>
      </c>
      <c r="AH804" t="n">
        <v>100.6</v>
      </c>
      <c r="AI804" t="n">
        <v>100.6027</v>
      </c>
      <c r="AJ804" t="n">
        <v>100.8574</v>
      </c>
      <c r="AK804" t="n">
        <v>100.0099</v>
      </c>
      <c r="AL804" t="n">
        <v>101.1499</v>
      </c>
      <c r="AM804" t="n">
        <v>100.6765</v>
      </c>
      <c r="AN804" t="n">
        <v>100.6127</v>
      </c>
      <c r="AO804" t="n">
        <v>100.0652</v>
      </c>
      <c r="AP804" t="n">
        <v>100.7431</v>
      </c>
      <c r="AQ804" t="n">
        <v/>
      </c>
      <c r="AR804" t="n">
        <v/>
      </c>
      <c r="AS804" t="n">
        <v>100.1966</v>
      </c>
      <c r="AT804" t="n">
        <v>100.8417</v>
      </c>
      <c r="AU804" t="n">
        <v>100.1368</v>
      </c>
      <c r="AV804" t="n">
        <v>104.1572</v>
      </c>
      <c r="AW804" t="n">
        <v>100.7548</v>
      </c>
      <c r="AX804" t="n">
        <v>101.331</v>
      </c>
    </row>
    <row r="805">
      <c r="A805" s="92" t="n">
        <v>42339</v>
      </c>
      <c r="B805" t="n">
        <v>101.3084</v>
      </c>
      <c r="C805" t="n">
        <v>100.7543</v>
      </c>
      <c r="D805" t="n">
        <v/>
      </c>
      <c r="E805" t="n">
        <v>100.1337</v>
      </c>
      <c r="F805" t="n">
        <v>99.70732</v>
      </c>
      <c r="G805" t="n">
        <v>101.8167</v>
      </c>
      <c r="H805" t="n">
        <v/>
      </c>
      <c r="I805" t="n">
        <v>102.1438</v>
      </c>
      <c r="J805" t="n">
        <v>99.57898</v>
      </c>
      <c r="K805" t="n">
        <v>100.3</v>
      </c>
      <c r="L805" t="n">
        <v>100.3052</v>
      </c>
      <c r="M805" t="n">
        <v>100.245</v>
      </c>
      <c r="N805" t="n">
        <v>100.61</v>
      </c>
      <c r="O805" t="n">
        <v>101.2045</v>
      </c>
      <c r="P805" t="n">
        <v>100.1168</v>
      </c>
      <c r="Q805" t="n">
        <v/>
      </c>
      <c r="R805" t="n">
        <v>100.39</v>
      </c>
      <c r="S805" t="n">
        <v>100.4314</v>
      </c>
      <c r="T805" t="n">
        <v/>
      </c>
      <c r="U805" t="n">
        <v>100.5279</v>
      </c>
      <c r="V805" t="n">
        <v>101</v>
      </c>
      <c r="W805" t="n">
        <v>101.5642</v>
      </c>
      <c r="X805" t="n">
        <v>100.5259</v>
      </c>
      <c r="Y805" t="n">
        <v/>
      </c>
      <c r="Z805" t="n">
        <v/>
      </c>
      <c r="AA805" t="n">
        <v>100.1121</v>
      </c>
      <c r="AB805" t="n">
        <v>101.0699</v>
      </c>
      <c r="AC805" t="n">
        <v>100.0169</v>
      </c>
      <c r="AD805" t="n">
        <v>99.96425000000001</v>
      </c>
      <c r="AE805" t="n">
        <v>100.412</v>
      </c>
      <c r="AF805" t="n">
        <v>100.6202</v>
      </c>
      <c r="AG805" t="n">
        <v>101.82</v>
      </c>
      <c r="AH805" t="n">
        <v>100.47</v>
      </c>
      <c r="AI805" t="n">
        <v>100.4621</v>
      </c>
      <c r="AJ805" t="n">
        <v>101.1265</v>
      </c>
      <c r="AK805" t="n">
        <v>100.0118</v>
      </c>
      <c r="AL805" t="n">
        <v>101.3689</v>
      </c>
      <c r="AM805" t="n">
        <v>100.7162</v>
      </c>
      <c r="AN805" t="n">
        <v>100.8247</v>
      </c>
      <c r="AO805" t="n">
        <v>100.0652</v>
      </c>
      <c r="AP805" t="n">
        <v>100.5846</v>
      </c>
      <c r="AQ805" t="n">
        <v/>
      </c>
      <c r="AR805" t="n">
        <v/>
      </c>
      <c r="AS805" t="n">
        <v>100.0954</v>
      </c>
      <c r="AT805" t="n">
        <v>100.3217</v>
      </c>
      <c r="AU805" t="n">
        <v>100.6428</v>
      </c>
      <c r="AV805" t="n">
        <v>104.0878</v>
      </c>
      <c r="AW805" t="n">
        <v>100.6326</v>
      </c>
      <c r="AX805" t="n">
        <v>101.5657</v>
      </c>
    </row>
    <row r="806">
      <c r="A806" s="92" t="n">
        <v>42370</v>
      </c>
      <c r="B806" t="n">
        <v>100.4084</v>
      </c>
      <c r="C806" t="n">
        <v>101.0554</v>
      </c>
      <c r="D806" t="n">
        <v/>
      </c>
      <c r="E806" t="n">
        <v>100.4359</v>
      </c>
      <c r="F806" t="n">
        <v>99.33954</v>
      </c>
      <c r="G806" t="n">
        <v>102.6956</v>
      </c>
      <c r="H806" t="n">
        <v/>
      </c>
      <c r="I806" t="n">
        <v>102.9123</v>
      </c>
      <c r="J806" t="n">
        <v>100.0346</v>
      </c>
      <c r="K806" t="n">
        <v>100.8</v>
      </c>
      <c r="L806" t="n">
        <v>99.70159</v>
      </c>
      <c r="M806" t="n">
        <v>99.82914</v>
      </c>
      <c r="N806" t="n">
        <v>98.84</v>
      </c>
      <c r="O806" t="n">
        <v>99.24444</v>
      </c>
      <c r="P806" t="n">
        <v>99.83305</v>
      </c>
      <c r="Q806" t="n">
        <v/>
      </c>
      <c r="R806" t="n">
        <v>99.98999999999999</v>
      </c>
      <c r="S806" t="n">
        <v>99.33505</v>
      </c>
      <c r="T806" t="n">
        <v/>
      </c>
      <c r="U806" t="n">
        <v>100.4808</v>
      </c>
      <c r="V806" t="n">
        <v>100.3</v>
      </c>
      <c r="W806" t="n">
        <v>99.00498</v>
      </c>
      <c r="X806" t="n">
        <v>100.6762</v>
      </c>
      <c r="Y806" t="n">
        <v/>
      </c>
      <c r="Z806" t="n">
        <v/>
      </c>
      <c r="AA806" t="n">
        <v>99.44687</v>
      </c>
      <c r="AB806" t="n">
        <v>100.3125</v>
      </c>
      <c r="AC806" t="n">
        <v>99.51071</v>
      </c>
      <c r="AD806" t="n">
        <v>100.0062</v>
      </c>
      <c r="AE806" t="n">
        <v>99.79218</v>
      </c>
      <c r="AF806" t="n">
        <v>101.0899</v>
      </c>
      <c r="AG806" t="n">
        <v>101.1526</v>
      </c>
      <c r="AH806" t="n">
        <v>99.19</v>
      </c>
      <c r="AI806" t="n">
        <v>99.86203999999999</v>
      </c>
      <c r="AJ806" t="n">
        <v>101.3517</v>
      </c>
      <c r="AK806" t="n">
        <v>99.04618000000001</v>
      </c>
      <c r="AL806" t="n">
        <v>101.3344</v>
      </c>
      <c r="AM806" t="n">
        <v>100.6466</v>
      </c>
      <c r="AN806" t="n">
        <v>100.2658</v>
      </c>
      <c r="AO806" t="n">
        <v>99.54358000000001</v>
      </c>
      <c r="AP806" t="n">
        <v>99.22718999999999</v>
      </c>
      <c r="AQ806" t="n">
        <v/>
      </c>
      <c r="AR806" t="n">
        <v/>
      </c>
      <c r="AS806" t="n">
        <v>100.307</v>
      </c>
      <c r="AT806" t="n">
        <v>98.84164</v>
      </c>
      <c r="AU806" t="n">
        <v>99.7347</v>
      </c>
      <c r="AV806" t="n">
        <v>105.2602</v>
      </c>
      <c r="AW806" t="n">
        <v>100.9418</v>
      </c>
      <c r="AX806" t="n">
        <v>102.2939</v>
      </c>
    </row>
    <row r="807">
      <c r="A807" s="92" t="n">
        <v>42401</v>
      </c>
      <c r="B807" t="n">
        <v>100.5084</v>
      </c>
      <c r="C807" t="n">
        <v>101.3079</v>
      </c>
      <c r="D807" t="n">
        <v/>
      </c>
      <c r="E807" t="n">
        <v>101.0004</v>
      </c>
      <c r="F807" t="n">
        <v>99.60552</v>
      </c>
      <c r="G807" t="n">
        <v>103.1188</v>
      </c>
      <c r="H807" t="n">
        <v/>
      </c>
      <c r="I807" t="n">
        <v>104.1058</v>
      </c>
      <c r="J807" t="n">
        <v>100.4176</v>
      </c>
      <c r="K807" t="n">
        <v>101</v>
      </c>
      <c r="L807" t="n">
        <v>100.1118</v>
      </c>
      <c r="M807" t="n">
        <v>100.7233</v>
      </c>
      <c r="N807" t="n">
        <v>99.23999999999999</v>
      </c>
      <c r="O807" t="n">
        <v>99.33377</v>
      </c>
      <c r="P807" t="n">
        <v>100.6276</v>
      </c>
      <c r="Q807" t="n">
        <v/>
      </c>
      <c r="R807" t="n">
        <v>100.34</v>
      </c>
      <c r="S807" t="n">
        <v>99.76609000000001</v>
      </c>
      <c r="T807" t="n">
        <v/>
      </c>
      <c r="U807" t="n">
        <v>100.8589</v>
      </c>
      <c r="V807" t="n">
        <v>100.6</v>
      </c>
      <c r="W807" t="n">
        <v>97.16163</v>
      </c>
      <c r="X807" t="n">
        <v>100.7513</v>
      </c>
      <c r="Y807" t="n">
        <v/>
      </c>
      <c r="Z807" t="n">
        <v/>
      </c>
      <c r="AA807" t="n">
        <v>100.2639</v>
      </c>
      <c r="AB807" t="n">
        <v>101.2486</v>
      </c>
      <c r="AC807" t="n">
        <v>99.30825</v>
      </c>
      <c r="AD807" t="n">
        <v>99.88929</v>
      </c>
      <c r="AE807" t="n">
        <v>99.92274</v>
      </c>
      <c r="AF807" t="n">
        <v>101.3301</v>
      </c>
      <c r="AG807" t="n">
        <v>100.765</v>
      </c>
      <c r="AH807" t="n">
        <v>100.93</v>
      </c>
      <c r="AI807" t="n">
        <v>99.95037000000001</v>
      </c>
      <c r="AJ807" t="n">
        <v>101.7211</v>
      </c>
      <c r="AK807" t="n">
        <v>99.73386000000001</v>
      </c>
      <c r="AL807" t="n">
        <v>102.0125</v>
      </c>
      <c r="AM807" t="n">
        <v>100.9845</v>
      </c>
      <c r="AN807" t="n">
        <v>100.4907</v>
      </c>
      <c r="AO807" t="n">
        <v>99.54358000000001</v>
      </c>
      <c r="AP807" t="n">
        <v>98.96957999999999</v>
      </c>
      <c r="AQ807" t="n">
        <v/>
      </c>
      <c r="AR807" t="n">
        <v/>
      </c>
      <c r="AS807" t="n">
        <v>100.3607</v>
      </c>
      <c r="AT807" t="n">
        <v>99.15165</v>
      </c>
      <c r="AU807" t="n">
        <v>100.3982</v>
      </c>
      <c r="AV807" t="n">
        <v>105.4032</v>
      </c>
      <c r="AW807" t="n">
        <v>101.4174</v>
      </c>
      <c r="AX807" t="n">
        <v>103.5519</v>
      </c>
    </row>
    <row r="808">
      <c r="A808" s="92" t="n">
        <v>42430</v>
      </c>
      <c r="B808" t="n">
        <v>101.4084</v>
      </c>
      <c r="C808" t="n">
        <v>101.7352</v>
      </c>
      <c r="D808" t="n">
        <v/>
      </c>
      <c r="E808" t="n">
        <v>101.6089</v>
      </c>
      <c r="F808" t="n">
        <v>99.88558</v>
      </c>
      <c r="G808" t="n">
        <v>103.6397</v>
      </c>
      <c r="H808" t="n">
        <v/>
      </c>
      <c r="I808" t="n">
        <v>104.7761</v>
      </c>
      <c r="J808" t="n">
        <v>100.3709</v>
      </c>
      <c r="K808" t="n">
        <v>101</v>
      </c>
      <c r="L808" t="n">
        <v>100.8382</v>
      </c>
      <c r="M808" t="n">
        <v>100.9011</v>
      </c>
      <c r="N808" t="n">
        <v>100.8</v>
      </c>
      <c r="O808" t="n">
        <v>99.99693000000001</v>
      </c>
      <c r="P808" t="n">
        <v>101.3087</v>
      </c>
      <c r="Q808" t="n">
        <v/>
      </c>
      <c r="R808" t="n">
        <v>100.7</v>
      </c>
      <c r="S808" t="n">
        <v>100.4753</v>
      </c>
      <c r="T808" t="n">
        <v/>
      </c>
      <c r="U808" t="n">
        <v>101.236</v>
      </c>
      <c r="V808" t="n">
        <v>101.1</v>
      </c>
      <c r="W808" t="n">
        <v>99.05927</v>
      </c>
      <c r="X808" t="n">
        <v>100.9016</v>
      </c>
      <c r="Y808" t="n">
        <v/>
      </c>
      <c r="Z808" t="n">
        <v/>
      </c>
      <c r="AA808" t="n">
        <v>100.6997</v>
      </c>
      <c r="AB808" t="n">
        <v>101.6313</v>
      </c>
      <c r="AC808" t="n">
        <v>99.40948</v>
      </c>
      <c r="AD808" t="n">
        <v>100.1667</v>
      </c>
      <c r="AE808" t="n">
        <v>100.2171</v>
      </c>
      <c r="AF808" t="n">
        <v>101.4602</v>
      </c>
      <c r="AG808" t="n">
        <v>102.2483</v>
      </c>
      <c r="AH808" t="n">
        <v>100.85</v>
      </c>
      <c r="AI808" t="n">
        <v>101.1633</v>
      </c>
      <c r="AJ808" t="n">
        <v>102.0573</v>
      </c>
      <c r="AK808" t="n">
        <v>100.8986</v>
      </c>
      <c r="AL808" t="n">
        <v>102.7896</v>
      </c>
      <c r="AM808" t="n">
        <v>101.3806</v>
      </c>
      <c r="AN808" t="n">
        <v>101.0695</v>
      </c>
      <c r="AO808" t="n">
        <v>99.54358000000001</v>
      </c>
      <c r="AP808" t="n">
        <v>101.1295</v>
      </c>
      <c r="AQ808" t="n">
        <v/>
      </c>
      <c r="AR808" t="n">
        <v/>
      </c>
      <c r="AS808" t="n">
        <v>100.3296</v>
      </c>
      <c r="AT808" t="n">
        <v>100.0717</v>
      </c>
      <c r="AU808" t="n">
        <v>100.8071</v>
      </c>
      <c r="AV808" t="n">
        <v>105.8117</v>
      </c>
      <c r="AW808" t="n">
        <v>101.6972</v>
      </c>
      <c r="AX808" t="n">
        <v>104.6272</v>
      </c>
    </row>
    <row r="809">
      <c r="A809" s="92" t="n">
        <v>42461</v>
      </c>
      <c r="B809" t="n">
        <v>101.3084</v>
      </c>
      <c r="C809" t="n">
        <v>101.7838</v>
      </c>
      <c r="D809" t="n">
        <v/>
      </c>
      <c r="E809" t="n">
        <v>101.762</v>
      </c>
      <c r="F809" t="n">
        <v>100.1794</v>
      </c>
      <c r="G809" t="n">
        <v>103.9109</v>
      </c>
      <c r="H809" t="n">
        <v/>
      </c>
      <c r="I809" t="n">
        <v>105.3811</v>
      </c>
      <c r="J809" t="n">
        <v>100.3764</v>
      </c>
      <c r="K809" t="n">
        <v>101.6</v>
      </c>
      <c r="L809" t="n">
        <v>100.8209</v>
      </c>
      <c r="M809" t="n">
        <v>100.8752</v>
      </c>
      <c r="N809" t="n">
        <v>101.02</v>
      </c>
      <c r="O809" t="n">
        <v>100.9596</v>
      </c>
      <c r="P809" t="n">
        <v>101.3087</v>
      </c>
      <c r="Q809" t="n">
        <v/>
      </c>
      <c r="R809" t="n">
        <v>100.97</v>
      </c>
      <c r="S809" t="n">
        <v>100.5432</v>
      </c>
      <c r="T809" t="n">
        <v/>
      </c>
      <c r="U809" t="n">
        <v>101.4424</v>
      </c>
      <c r="V809" t="n">
        <v>101.2</v>
      </c>
      <c r="W809" t="n">
        <v>100.0088</v>
      </c>
      <c r="X809" t="n">
        <v>101.3524</v>
      </c>
      <c r="Y809" t="n">
        <v/>
      </c>
      <c r="Z809" t="n">
        <v/>
      </c>
      <c r="AA809" t="n">
        <v>100.7834</v>
      </c>
      <c r="AB809" t="n">
        <v>101.7241</v>
      </c>
      <c r="AC809" t="n">
        <v>99.71317999999999</v>
      </c>
      <c r="AD809" t="n">
        <v>100.2806</v>
      </c>
      <c r="AE809" t="n">
        <v>100.5743</v>
      </c>
      <c r="AF809" t="n">
        <v>101.64</v>
      </c>
      <c r="AG809" t="n">
        <v>102.441</v>
      </c>
      <c r="AH809" t="n">
        <v>101.02</v>
      </c>
      <c r="AI809" t="n">
        <v>101.3661</v>
      </c>
      <c r="AJ809" t="n">
        <v>102.133</v>
      </c>
      <c r="AK809" t="n">
        <v>100.9118</v>
      </c>
      <c r="AL809" t="n">
        <v>102.8165</v>
      </c>
      <c r="AM809" t="n">
        <v>101.657</v>
      </c>
      <c r="AN809" t="n">
        <v>101.3855</v>
      </c>
      <c r="AO809" t="n">
        <v>99.80439</v>
      </c>
      <c r="AP809" t="n">
        <v>101.1691</v>
      </c>
      <c r="AQ809" t="n">
        <v/>
      </c>
      <c r="AR809" t="n">
        <v/>
      </c>
      <c r="AS809" t="n">
        <v>100.6289</v>
      </c>
      <c r="AT809" t="n">
        <v>100.4617</v>
      </c>
      <c r="AU809" t="n">
        <v>100.7769</v>
      </c>
      <c r="AV809" t="n">
        <v>107.5928</v>
      </c>
      <c r="AW809" t="n">
        <v>101.959</v>
      </c>
      <c r="AX809" t="n">
        <v>104.8937</v>
      </c>
    </row>
    <row r="810">
      <c r="A810" s="92" t="n">
        <v>42491</v>
      </c>
      <c r="B810" t="n">
        <v>101.5085</v>
      </c>
      <c r="C810" t="n">
        <v>101.9781</v>
      </c>
      <c r="D810" t="n">
        <v/>
      </c>
      <c r="E810" t="n">
        <v>102.0957</v>
      </c>
      <c r="F810" t="n">
        <v>100.1495</v>
      </c>
      <c r="G810" t="n">
        <v>103.8024</v>
      </c>
      <c r="H810" t="n">
        <v/>
      </c>
      <c r="I810" t="n">
        <v>105.8061</v>
      </c>
      <c r="J810" t="n">
        <v>100.4208</v>
      </c>
      <c r="K810" t="n">
        <v>101.6</v>
      </c>
      <c r="L810" t="n">
        <v>101.3474</v>
      </c>
      <c r="M810" t="n">
        <v>100.9391</v>
      </c>
      <c r="N810" t="n">
        <v>101.32</v>
      </c>
      <c r="O810" t="n">
        <v>101.3201</v>
      </c>
      <c r="P810" t="n">
        <v>101.5357</v>
      </c>
      <c r="Q810" t="n">
        <v/>
      </c>
      <c r="R810" t="n">
        <v>100.98</v>
      </c>
      <c r="S810" t="n">
        <v>100.6456</v>
      </c>
      <c r="T810" t="n">
        <v/>
      </c>
      <c r="U810" t="n">
        <v>101.6633</v>
      </c>
      <c r="V810" t="n">
        <v>101.4</v>
      </c>
      <c r="W810" t="n">
        <v>99.06596999999999</v>
      </c>
      <c r="X810" t="n">
        <v>101.4275</v>
      </c>
      <c r="Y810" t="n">
        <v/>
      </c>
      <c r="Z810" t="n">
        <v/>
      </c>
      <c r="AA810" t="n">
        <v>101.2505</v>
      </c>
      <c r="AB810" t="n">
        <v>102.0683</v>
      </c>
      <c r="AC810" t="n">
        <v>99.91564</v>
      </c>
      <c r="AD810" t="n">
        <v>100.5267</v>
      </c>
      <c r="AE810" t="n">
        <v>100.6126</v>
      </c>
      <c r="AF810" t="n">
        <v>101.8802</v>
      </c>
      <c r="AG810" t="n">
        <v>102.5412</v>
      </c>
      <c r="AH810" t="n">
        <v>101.13</v>
      </c>
      <c r="AI810" t="n">
        <v>102.0641</v>
      </c>
      <c r="AJ810" t="n">
        <v>102.252</v>
      </c>
      <c r="AK810" t="n">
        <v>101.0173</v>
      </c>
      <c r="AL810" t="n">
        <v>103.1624</v>
      </c>
      <c r="AM810" t="n">
        <v>101.8911</v>
      </c>
      <c r="AN810" t="n">
        <v>101.7068</v>
      </c>
      <c r="AO810" t="n">
        <v>99.80439</v>
      </c>
      <c r="AP810" t="n">
        <v>101.4465</v>
      </c>
      <c r="AQ810" t="n">
        <v/>
      </c>
      <c r="AR810" t="n">
        <v/>
      </c>
      <c r="AS810" t="n">
        <v>100.5981</v>
      </c>
      <c r="AT810" t="n">
        <v>101.1217</v>
      </c>
      <c r="AU810" t="n">
        <v>100.9176</v>
      </c>
      <c r="AV810" t="n">
        <v>108.9409</v>
      </c>
      <c r="AW810" t="n">
        <v>102.1868</v>
      </c>
      <c r="AX810" t="n">
        <v>105.0259</v>
      </c>
    </row>
    <row r="811">
      <c r="A811" s="92" t="n">
        <v>42522</v>
      </c>
      <c r="B811" t="n">
        <v>101.6085</v>
      </c>
      <c r="C811" t="n">
        <v>101.9295</v>
      </c>
      <c r="D811" t="n">
        <v/>
      </c>
      <c r="E811" t="n">
        <v>102.2091</v>
      </c>
      <c r="F811" t="n">
        <v>100.0765</v>
      </c>
      <c r="G811" t="n">
        <v>104.128</v>
      </c>
      <c r="H811" t="n">
        <v/>
      </c>
      <c r="I811" t="n">
        <v>106.2966</v>
      </c>
      <c r="J811" t="n">
        <v>100.4122</v>
      </c>
      <c r="K811" t="n">
        <v>101.6</v>
      </c>
      <c r="L811" t="n">
        <v>101.3707</v>
      </c>
      <c r="M811" t="n">
        <v>100.9183</v>
      </c>
      <c r="N811" t="n">
        <v>101.37</v>
      </c>
      <c r="O811" t="n">
        <v>101.3706</v>
      </c>
      <c r="P811" t="n">
        <v>101.5357</v>
      </c>
      <c r="Q811" t="n">
        <v/>
      </c>
      <c r="R811" t="n">
        <v>100.94</v>
      </c>
      <c r="S811" t="n">
        <v>100.7328</v>
      </c>
      <c r="T811" t="n">
        <v/>
      </c>
      <c r="U811" t="n">
        <v>101.727</v>
      </c>
      <c r="V811" t="n">
        <v>101.5</v>
      </c>
      <c r="W811" t="n">
        <v>100.1172</v>
      </c>
      <c r="X811" t="n">
        <v>101.5026</v>
      </c>
      <c r="Y811" t="n">
        <v/>
      </c>
      <c r="Z811" t="n">
        <v/>
      </c>
      <c r="AA811" t="n">
        <v>101.9076</v>
      </c>
      <c r="AB811" t="n">
        <v>102.2794</v>
      </c>
      <c r="AC811" t="n">
        <v>100.4218</v>
      </c>
      <c r="AD811" t="n">
        <v>100.5229</v>
      </c>
      <c r="AE811" t="n">
        <v>100.4934</v>
      </c>
      <c r="AF811" t="n">
        <v>101.9003</v>
      </c>
      <c r="AG811" t="n">
        <v>102.934</v>
      </c>
      <c r="AH811" t="n">
        <v>101.24</v>
      </c>
      <c r="AI811" t="n">
        <v>102.1264</v>
      </c>
      <c r="AJ811" t="n">
        <v>102.4868</v>
      </c>
      <c r="AK811" t="n">
        <v>100.5152</v>
      </c>
      <c r="AL811" t="n">
        <v>103.4681</v>
      </c>
      <c r="AM811" t="n">
        <v>101.9731</v>
      </c>
      <c r="AN811" t="n">
        <v>101.7762</v>
      </c>
      <c r="AO811" t="n">
        <v>99.89133</v>
      </c>
      <c r="AP811" t="n">
        <v>101.2385</v>
      </c>
      <c r="AQ811" t="n">
        <v/>
      </c>
      <c r="AR811" t="n">
        <v/>
      </c>
      <c r="AS811" t="n">
        <v>100.5979</v>
      </c>
      <c r="AT811" t="n">
        <v>101.5917</v>
      </c>
      <c r="AU811" t="n">
        <v>100.9813</v>
      </c>
      <c r="AV811" t="n">
        <v>109.2023</v>
      </c>
      <c r="AW811" t="n">
        <v>102.29</v>
      </c>
      <c r="AX811" t="n">
        <v>105.5565</v>
      </c>
    </row>
    <row r="812">
      <c r="A812" s="92" t="n">
        <v>42552</v>
      </c>
      <c r="B812" t="n">
        <v>101.2084</v>
      </c>
      <c r="C812" t="n">
        <v>102.2403</v>
      </c>
      <c r="D812" t="n">
        <v/>
      </c>
      <c r="E812" t="n">
        <v>102.2003</v>
      </c>
      <c r="F812" t="n">
        <v>99.6026</v>
      </c>
      <c r="G812" t="n">
        <v>104.2365</v>
      </c>
      <c r="H812" t="n">
        <v/>
      </c>
      <c r="I812" t="n">
        <v>106.5909</v>
      </c>
      <c r="J812" t="n">
        <v>100.6357</v>
      </c>
      <c r="K812" t="n">
        <v>102</v>
      </c>
      <c r="L812" t="n">
        <v>101.9743</v>
      </c>
      <c r="M812" t="n">
        <v>101.0428</v>
      </c>
      <c r="N812" t="n">
        <v>100.8</v>
      </c>
      <c r="O812" t="n">
        <v>100.2576</v>
      </c>
      <c r="P812" t="n">
        <v>101.1952</v>
      </c>
      <c r="Q812" t="n">
        <v/>
      </c>
      <c r="R812" t="n">
        <v>100.9</v>
      </c>
      <c r="S812" t="n">
        <v>100.3559</v>
      </c>
      <c r="T812" t="n">
        <v/>
      </c>
      <c r="U812" t="n">
        <v>101.7562</v>
      </c>
      <c r="V812" t="n">
        <v>101.5</v>
      </c>
      <c r="W812" t="n">
        <v>97.45847000000001</v>
      </c>
      <c r="X812" t="n">
        <v>101.728</v>
      </c>
      <c r="Y812" t="n">
        <v/>
      </c>
      <c r="Z812" t="n">
        <v/>
      </c>
      <c r="AA812" t="n">
        <v>101.7986</v>
      </c>
      <c r="AB812" t="n">
        <v>101.724</v>
      </c>
      <c r="AC812" t="n">
        <v>100.7255</v>
      </c>
      <c r="AD812" t="n">
        <v>100.9569</v>
      </c>
      <c r="AE812" t="n">
        <v>100.3538</v>
      </c>
      <c r="AF812" t="n">
        <v>102.1203</v>
      </c>
      <c r="AG812" t="n">
        <v>102.4138</v>
      </c>
      <c r="AH812" t="n">
        <v>99.95</v>
      </c>
      <c r="AI812" t="n">
        <v>101.9012</v>
      </c>
      <c r="AJ812" t="n">
        <v>102.8381</v>
      </c>
      <c r="AK812" t="n">
        <v>101.4258</v>
      </c>
      <c r="AL812" t="n">
        <v>103.8388</v>
      </c>
      <c r="AM812" t="n">
        <v>102.0157</v>
      </c>
      <c r="AN812" t="n">
        <v>101.8352</v>
      </c>
      <c r="AO812" t="n">
        <v>99.89133</v>
      </c>
      <c r="AP812" t="n">
        <v>100.4954</v>
      </c>
      <c r="AQ812" t="n">
        <v/>
      </c>
      <c r="AR812" t="n">
        <v/>
      </c>
      <c r="AS812" t="n">
        <v>100.559</v>
      </c>
      <c r="AT812" t="n">
        <v>100.4917</v>
      </c>
      <c r="AU812" t="n">
        <v>100.9746</v>
      </c>
      <c r="AV812" t="n">
        <v>110.0275</v>
      </c>
      <c r="AW812" t="n">
        <v>102.2694</v>
      </c>
      <c r="AX812" t="n">
        <v>106.0776</v>
      </c>
    </row>
    <row r="813">
      <c r="A813" s="92" t="n">
        <v>42583</v>
      </c>
      <c r="B813" t="n">
        <v>101.1084</v>
      </c>
      <c r="C813" t="n">
        <v>102.3665</v>
      </c>
      <c r="D813" t="n">
        <v/>
      </c>
      <c r="E813" t="n">
        <v>102.1722</v>
      </c>
      <c r="F813" t="n">
        <v>99.50852</v>
      </c>
      <c r="G813" t="n">
        <v>104.3341</v>
      </c>
      <c r="H813" t="n">
        <v/>
      </c>
      <c r="I813" t="n">
        <v>106.7953</v>
      </c>
      <c r="J813" t="n">
        <v>100.7821</v>
      </c>
      <c r="K813" t="n">
        <v>102</v>
      </c>
      <c r="L813" t="n">
        <v>102.0216</v>
      </c>
      <c r="M813" t="n">
        <v>100.7165</v>
      </c>
      <c r="N813" t="n">
        <v>101.04</v>
      </c>
      <c r="O813" t="n">
        <v>100.6349</v>
      </c>
      <c r="P813" t="n">
        <v>101.7627</v>
      </c>
      <c r="Q813" t="n">
        <v/>
      </c>
      <c r="R813" t="n">
        <v>101.19</v>
      </c>
      <c r="S813" t="n">
        <v>100.9122</v>
      </c>
      <c r="T813" t="n">
        <v/>
      </c>
      <c r="U813" t="n">
        <v>101.9666</v>
      </c>
      <c r="V813" t="n">
        <v>101.8</v>
      </c>
      <c r="W813" t="n">
        <v>96.93563</v>
      </c>
      <c r="X813" t="n">
        <v>101.6529</v>
      </c>
      <c r="Y813" t="n">
        <v/>
      </c>
      <c r="Z813" t="n">
        <v/>
      </c>
      <c r="AA813" t="n">
        <v>101.824</v>
      </c>
      <c r="AB813" t="n">
        <v>102.2703</v>
      </c>
      <c r="AC813" t="n">
        <v>100.523</v>
      </c>
      <c r="AD813" t="n">
        <v>101.2396</v>
      </c>
      <c r="AE813" t="n">
        <v>100.43</v>
      </c>
      <c r="AF813" t="n">
        <v>102.3097</v>
      </c>
      <c r="AG813" t="n">
        <v>102.1176</v>
      </c>
      <c r="AH813" t="n">
        <v>101.49</v>
      </c>
      <c r="AI813" t="n">
        <v>101.6966</v>
      </c>
      <c r="AJ813" t="n">
        <v>103.0116</v>
      </c>
      <c r="AK813" t="n">
        <v>101.5931</v>
      </c>
      <c r="AL813" t="n">
        <v>103.432</v>
      </c>
      <c r="AM813" t="n">
        <v>102.1968</v>
      </c>
      <c r="AN813" t="n">
        <v>102.0268</v>
      </c>
      <c r="AO813" t="n">
        <v>99.80439</v>
      </c>
      <c r="AP813" t="n">
        <v>100.1387</v>
      </c>
      <c r="AQ813" t="n">
        <v/>
      </c>
      <c r="AR813" t="n">
        <v/>
      </c>
      <c r="AS813" t="n">
        <v>100.548</v>
      </c>
      <c r="AT813" t="n">
        <v>100.8017</v>
      </c>
      <c r="AU813" t="n">
        <v>100.9009</v>
      </c>
      <c r="AV813" t="n">
        <v>110.3747</v>
      </c>
      <c r="AW813" t="n">
        <v>102.4898</v>
      </c>
      <c r="AX813" t="n">
        <v>106.2538</v>
      </c>
    </row>
    <row r="814">
      <c r="A814" s="92" t="n">
        <v>42614</v>
      </c>
      <c r="B814" t="n">
        <v>101.8085</v>
      </c>
      <c r="C814" t="n">
        <v>102.1723</v>
      </c>
      <c r="D814" t="n">
        <v/>
      </c>
      <c r="E814" t="n">
        <v>102.5226</v>
      </c>
      <c r="F814" t="n">
        <v>99.57333</v>
      </c>
      <c r="G814" t="n">
        <v>104.3559</v>
      </c>
      <c r="H814" t="n">
        <v/>
      </c>
      <c r="I814" t="n">
        <v>107.1386</v>
      </c>
      <c r="J814" t="n">
        <v>100.8863</v>
      </c>
      <c r="K814" t="n">
        <v>101.7</v>
      </c>
      <c r="L814" t="n">
        <v>101.9213</v>
      </c>
      <c r="M814" t="n">
        <v>100.6799</v>
      </c>
      <c r="N814" t="n">
        <v>101.51</v>
      </c>
      <c r="O814" t="n">
        <v>100.6517</v>
      </c>
      <c r="P814" t="n">
        <v>102.2168</v>
      </c>
      <c r="Q814" t="n">
        <v/>
      </c>
      <c r="R814" t="n">
        <v>101.33</v>
      </c>
      <c r="S814" t="n">
        <v>100.6213</v>
      </c>
      <c r="T814" t="n">
        <v/>
      </c>
      <c r="U814" t="n">
        <v>102.0425</v>
      </c>
      <c r="V814" t="n">
        <v>102.1</v>
      </c>
      <c r="W814" t="n">
        <v>99.81711</v>
      </c>
      <c r="X814" t="n">
        <v>101.5778</v>
      </c>
      <c r="Y814" t="n">
        <v/>
      </c>
      <c r="Z814" t="n">
        <v/>
      </c>
      <c r="AA814" t="n">
        <v>101.2921</v>
      </c>
      <c r="AB814" t="n">
        <v>102.9583</v>
      </c>
      <c r="AC814" t="n">
        <v>100.2193</v>
      </c>
      <c r="AD814" t="n">
        <v>100.8128</v>
      </c>
      <c r="AE814" t="n">
        <v>100.3402</v>
      </c>
      <c r="AF814" t="n">
        <v>102.2399</v>
      </c>
      <c r="AG814" t="n">
        <v>102.6863</v>
      </c>
      <c r="AH814" t="n">
        <v>101.4</v>
      </c>
      <c r="AI814" t="n">
        <v>102.1044</v>
      </c>
      <c r="AJ814" t="n">
        <v>103.4437</v>
      </c>
      <c r="AK814" t="n">
        <v>101.204</v>
      </c>
      <c r="AL814" t="n">
        <v>103.8623</v>
      </c>
      <c r="AM814" t="n">
        <v>102.2965</v>
      </c>
      <c r="AN814" t="n">
        <v>102.038</v>
      </c>
      <c r="AO814" t="n">
        <v>99.63052</v>
      </c>
      <c r="AP814" t="n">
        <v>101.2187</v>
      </c>
      <c r="AQ814" t="n">
        <v/>
      </c>
      <c r="AR814" t="n">
        <v/>
      </c>
      <c r="AS814" t="n">
        <v>100.6419</v>
      </c>
      <c r="AT814" t="n">
        <v>100.7117</v>
      </c>
      <c r="AU814" t="n">
        <v>101.1556</v>
      </c>
      <c r="AV814" t="n">
        <v>110.4973</v>
      </c>
      <c r="AW814" t="n">
        <v>102.6768</v>
      </c>
      <c r="AX814" t="n">
        <v>106.5324</v>
      </c>
    </row>
    <row r="815">
      <c r="A815" s="92" t="n">
        <v>42644</v>
      </c>
      <c r="B815" t="n">
        <v>102.0085</v>
      </c>
      <c r="C815" t="n">
        <v>102.2694</v>
      </c>
      <c r="D815" t="n">
        <v/>
      </c>
      <c r="E815" t="n">
        <v>102.7106</v>
      </c>
      <c r="F815" t="n">
        <v>99.58671</v>
      </c>
      <c r="G815" t="n">
        <v>104.5512</v>
      </c>
      <c r="H815" t="n">
        <v/>
      </c>
      <c r="I815" t="n">
        <v>107.3103</v>
      </c>
      <c r="J815" t="n">
        <v>100.8114</v>
      </c>
      <c r="K815" t="n">
        <v>102.1</v>
      </c>
      <c r="L815" t="n">
        <v>101.9915</v>
      </c>
      <c r="M815" t="n">
        <v>100.8597</v>
      </c>
      <c r="N815" t="n">
        <v>101.62</v>
      </c>
      <c r="O815" t="n">
        <v>101.6911</v>
      </c>
      <c r="P815" t="n">
        <v>101.8195</v>
      </c>
      <c r="Q815" t="n">
        <v/>
      </c>
      <c r="R815" t="n">
        <v>101.39</v>
      </c>
      <c r="S815" t="n">
        <v>100.5487</v>
      </c>
      <c r="T815" t="n">
        <v/>
      </c>
      <c r="U815" t="n">
        <v>102.1843</v>
      </c>
      <c r="V815" t="n">
        <v>102.2</v>
      </c>
      <c r="W815" t="n">
        <v>99.78616</v>
      </c>
      <c r="X815" t="n">
        <v>101.8783</v>
      </c>
      <c r="Y815" t="n">
        <v/>
      </c>
      <c r="Z815" t="n">
        <v/>
      </c>
      <c r="AA815" t="n">
        <v>100.6123</v>
      </c>
      <c r="AB815" t="n">
        <v>103.0982</v>
      </c>
      <c r="AC815" t="n">
        <v>100.4218</v>
      </c>
      <c r="AD815" t="n">
        <v>100.5957</v>
      </c>
      <c r="AE815" t="n">
        <v>100.6135</v>
      </c>
      <c r="AF815" t="n">
        <v>102.1997</v>
      </c>
      <c r="AG815" t="n">
        <v>103.2689</v>
      </c>
      <c r="AH815" t="n">
        <v>101.34</v>
      </c>
      <c r="AI815" t="n">
        <v>102.537</v>
      </c>
      <c r="AJ815" t="n">
        <v>103.6843</v>
      </c>
      <c r="AK815" t="n">
        <v>101.4105</v>
      </c>
      <c r="AL815" t="n">
        <v>104.1964</v>
      </c>
      <c r="AM815" t="n">
        <v>102.5184</v>
      </c>
      <c r="AN815" t="n">
        <v>102.3003</v>
      </c>
      <c r="AO815" t="n">
        <v>100.0652</v>
      </c>
      <c r="AP815" t="n">
        <v>101.5258</v>
      </c>
      <c r="AQ815" t="n">
        <v/>
      </c>
      <c r="AR815" t="n">
        <v/>
      </c>
      <c r="AS815" t="n">
        <v>100.8861</v>
      </c>
      <c r="AT815" t="n">
        <v>101.2617</v>
      </c>
      <c r="AU815" t="n">
        <v>101.246</v>
      </c>
      <c r="AV815" t="n">
        <v>112.0251</v>
      </c>
      <c r="AW815" t="n">
        <v>102.8779</v>
      </c>
      <c r="AX815" t="n">
        <v>106.8178</v>
      </c>
    </row>
    <row r="816">
      <c r="A816" s="92" t="n">
        <v>42675</v>
      </c>
      <c r="B816" t="n">
        <v>102.1085</v>
      </c>
      <c r="C816" t="n">
        <v>102.3374</v>
      </c>
      <c r="D816" t="n">
        <v/>
      </c>
      <c r="E816" t="n">
        <v>102.3499</v>
      </c>
      <c r="F816" t="n">
        <v>99.40348</v>
      </c>
      <c r="G816" t="n">
        <v>104.5837</v>
      </c>
      <c r="H816" t="n">
        <v/>
      </c>
      <c r="I816" t="n">
        <v>107.4411</v>
      </c>
      <c r="J816" t="n">
        <v>100.7376</v>
      </c>
      <c r="K816" t="n">
        <v>102</v>
      </c>
      <c r="L816" t="n">
        <v>101.116</v>
      </c>
      <c r="M816" t="n">
        <v>100.6246</v>
      </c>
      <c r="N816" t="n">
        <v>101.04</v>
      </c>
      <c r="O816" t="n">
        <v>102.266</v>
      </c>
      <c r="P816" t="n">
        <v>101.4222</v>
      </c>
      <c r="Q816" t="n">
        <v/>
      </c>
      <c r="R816" t="n">
        <v>101.32</v>
      </c>
      <c r="S816" t="n">
        <v>100.3958</v>
      </c>
      <c r="T816" t="n">
        <v/>
      </c>
      <c r="U816" t="n">
        <v>102.0712</v>
      </c>
      <c r="V816" t="n">
        <v>102.4</v>
      </c>
      <c r="W816" t="n">
        <v>98.29852</v>
      </c>
      <c r="X816" t="n">
        <v>102.0285</v>
      </c>
      <c r="Y816" t="n">
        <v/>
      </c>
      <c r="Z816" t="n">
        <v/>
      </c>
      <c r="AA816" t="n">
        <v>100.5216</v>
      </c>
      <c r="AB816" t="n">
        <v>103.2102</v>
      </c>
      <c r="AC816" t="n">
        <v>100.0169</v>
      </c>
      <c r="AD816" t="n">
        <v>100.3113</v>
      </c>
      <c r="AE816" t="n">
        <v>100.5246</v>
      </c>
      <c r="AF816" t="n">
        <v>102.1002</v>
      </c>
      <c r="AG816" t="n">
        <v>103.5231</v>
      </c>
      <c r="AH816" t="n">
        <v>101.46</v>
      </c>
      <c r="AI816" t="n">
        <v>102.232</v>
      </c>
      <c r="AJ816" t="n">
        <v>103.9002</v>
      </c>
      <c r="AK816" t="n">
        <v>100.9919</v>
      </c>
      <c r="AL816" t="n">
        <v>104.0884</v>
      </c>
      <c r="AM816" t="n">
        <v>102.4697</v>
      </c>
      <c r="AN816" t="n">
        <v>102.1971</v>
      </c>
      <c r="AO816" t="n">
        <v>100.0652</v>
      </c>
      <c r="AP816" t="n">
        <v>101.1989</v>
      </c>
      <c r="AQ816" t="n">
        <v/>
      </c>
      <c r="AR816" t="n">
        <v/>
      </c>
      <c r="AS816" t="n">
        <v>100.9897</v>
      </c>
      <c r="AT816" t="n">
        <v>101.4117</v>
      </c>
      <c r="AU816" t="n">
        <v>101.1824</v>
      </c>
      <c r="AV816" t="n">
        <v>112.9197</v>
      </c>
      <c r="AW816" t="n">
        <v>102.8816</v>
      </c>
      <c r="AX816" t="n">
        <v>106.8999</v>
      </c>
    </row>
    <row r="817">
      <c r="A817" s="92" t="n">
        <v>42705</v>
      </c>
      <c r="B817" t="n">
        <v>102.6086</v>
      </c>
      <c r="C817" t="n">
        <v>102.3374</v>
      </c>
      <c r="D817" t="n">
        <v/>
      </c>
      <c r="E817" t="n">
        <v>102.0167</v>
      </c>
      <c r="F817" t="n">
        <v>99.35874</v>
      </c>
      <c r="G817" t="n">
        <v>104.6922</v>
      </c>
      <c r="H817" t="n">
        <v/>
      </c>
      <c r="I817" t="n">
        <v>107.8171</v>
      </c>
      <c r="J817" t="n">
        <v>100.8472</v>
      </c>
      <c r="K817" t="n">
        <v>102.1</v>
      </c>
      <c r="L817" t="n">
        <v>101.6478</v>
      </c>
      <c r="M817" t="n">
        <v>100.3437</v>
      </c>
      <c r="N817" t="n">
        <v>101.47</v>
      </c>
      <c r="O817" t="n">
        <v>102.3879</v>
      </c>
      <c r="P817" t="n">
        <v>101.4222</v>
      </c>
      <c r="Q817" t="n">
        <v/>
      </c>
      <c r="R817" t="n">
        <v>101.45</v>
      </c>
      <c r="S817" t="n">
        <v>100.6585</v>
      </c>
      <c r="T817" t="n">
        <v/>
      </c>
      <c r="U817" t="n">
        <v>102.135</v>
      </c>
      <c r="V817" t="n">
        <v>102.8</v>
      </c>
      <c r="W817" t="n">
        <v>99.69961000000001</v>
      </c>
      <c r="X817" t="n">
        <v>102.1037</v>
      </c>
      <c r="Y817" t="n">
        <v/>
      </c>
      <c r="Z817" t="n">
        <v/>
      </c>
      <c r="AA817" t="n">
        <v>100.4319</v>
      </c>
      <c r="AB817" t="n">
        <v>103.4235</v>
      </c>
      <c r="AC817" t="n">
        <v>100.1181</v>
      </c>
      <c r="AD817" t="n">
        <v>100.6673</v>
      </c>
      <c r="AE817" t="n">
        <v>100.4398</v>
      </c>
      <c r="AF817" t="n">
        <v>102.2304</v>
      </c>
      <c r="AG817" t="n">
        <v>103.3402</v>
      </c>
      <c r="AH817" t="n">
        <v>101.43</v>
      </c>
      <c r="AI817" t="n">
        <v>102.3128</v>
      </c>
      <c r="AJ817" t="n">
        <v>104.3172</v>
      </c>
      <c r="AK817" t="n">
        <v>100.9722</v>
      </c>
      <c r="AL817" t="n">
        <v>104.1586</v>
      </c>
      <c r="AM817" t="n">
        <v>102.5939</v>
      </c>
      <c r="AN817" t="n">
        <v>102.5601</v>
      </c>
      <c r="AO817" t="n">
        <v>100.1521</v>
      </c>
      <c r="AP817" t="n">
        <v>101.0998</v>
      </c>
      <c r="AQ817" t="n">
        <v/>
      </c>
      <c r="AR817" t="n">
        <v/>
      </c>
      <c r="AS817" t="n">
        <v>100.9158</v>
      </c>
      <c r="AT817" t="n">
        <v>100.6817</v>
      </c>
      <c r="AU817" t="n">
        <v>101.6917</v>
      </c>
      <c r="AV817" t="n">
        <v>113.9819</v>
      </c>
      <c r="AW817" t="n">
        <v>102.8432</v>
      </c>
      <c r="AX817" t="n">
        <v>107.3878</v>
      </c>
    </row>
    <row r="818">
      <c r="A818" s="92" t="n">
        <v>42736</v>
      </c>
      <c r="B818" t="n">
        <v>101.9085</v>
      </c>
      <c r="C818" t="n">
        <v>102.7356</v>
      </c>
      <c r="D818" t="n">
        <v/>
      </c>
      <c r="E818" t="n">
        <v>102.5696</v>
      </c>
      <c r="F818" t="n">
        <v>99.12746</v>
      </c>
      <c r="G818" t="n">
        <v>105.2348</v>
      </c>
      <c r="H818" t="n">
        <v/>
      </c>
      <c r="I818" t="n">
        <v>108.7736</v>
      </c>
      <c r="J818" t="n">
        <v>101.2117</v>
      </c>
      <c r="K818" t="n">
        <v>102.7</v>
      </c>
      <c r="L818" t="n">
        <v>100.6846</v>
      </c>
      <c r="M818" t="n">
        <v>100.2749</v>
      </c>
      <c r="N818" t="n">
        <v>99.7</v>
      </c>
      <c r="O818" t="n">
        <v>100.4751</v>
      </c>
      <c r="P818" t="n">
        <v>101.3654</v>
      </c>
      <c r="Q818" t="n">
        <v/>
      </c>
      <c r="R818" t="n">
        <v>100.8</v>
      </c>
      <c r="S818" t="n">
        <v>99.82522</v>
      </c>
      <c r="T818" t="n">
        <v/>
      </c>
      <c r="U818" t="n">
        <v>102.1287</v>
      </c>
      <c r="V818" t="n">
        <v>102.1</v>
      </c>
      <c r="W818" t="n">
        <v>97.19034000000001</v>
      </c>
      <c r="X818" t="n">
        <v>102.1037</v>
      </c>
      <c r="Y818" t="n">
        <v/>
      </c>
      <c r="Z818" t="n">
        <v/>
      </c>
      <c r="AA818" t="n">
        <v>99.56774</v>
      </c>
      <c r="AB818" t="n">
        <v>102.441</v>
      </c>
      <c r="AC818" t="n">
        <v>99.51071</v>
      </c>
      <c r="AD818" t="n">
        <v>100.5359</v>
      </c>
      <c r="AE818" t="n">
        <v>99.96929</v>
      </c>
      <c r="AF818" t="n">
        <v>102.8598</v>
      </c>
      <c r="AG818" t="n">
        <v>102.9463</v>
      </c>
      <c r="AH818" t="n">
        <v>100.32</v>
      </c>
      <c r="AI818" t="n">
        <v>101.4483</v>
      </c>
      <c r="AJ818" t="n">
        <v>104.9278</v>
      </c>
      <c r="AK818" t="n">
        <v>100.4396</v>
      </c>
      <c r="AL818" t="n">
        <v>103.7297</v>
      </c>
      <c r="AM818" t="n">
        <v>102.5806</v>
      </c>
      <c r="AN818" t="n">
        <v>101.9688</v>
      </c>
      <c r="AO818" t="n">
        <v>99.89133</v>
      </c>
      <c r="AP818" t="n">
        <v>99.73249</v>
      </c>
      <c r="AQ818" t="n">
        <v/>
      </c>
      <c r="AR818" t="n">
        <v/>
      </c>
      <c r="AS818" t="n">
        <v>101.2442</v>
      </c>
      <c r="AT818" t="n">
        <v>99.03165</v>
      </c>
      <c r="AU818" t="n">
        <v>100.549</v>
      </c>
      <c r="AV818" t="n">
        <v>115.1747</v>
      </c>
      <c r="AW818" t="n">
        <v>103.2349</v>
      </c>
      <c r="AX818" t="n">
        <v>107.6376</v>
      </c>
    </row>
    <row r="819">
      <c r="A819" s="92" t="n">
        <v>42767</v>
      </c>
      <c r="B819" t="n">
        <v>102.2085</v>
      </c>
      <c r="C819" t="n">
        <v>102.9104</v>
      </c>
      <c r="D819" t="n">
        <v/>
      </c>
      <c r="E819" t="n">
        <v>103.0415</v>
      </c>
      <c r="F819" t="n">
        <v>99.55543</v>
      </c>
      <c r="G819" t="n">
        <v>105.4193</v>
      </c>
      <c r="H819" t="n">
        <v/>
      </c>
      <c r="I819" t="n">
        <v>110.1551</v>
      </c>
      <c r="J819" t="n">
        <v>101.5621</v>
      </c>
      <c r="K819" t="n">
        <v>103</v>
      </c>
      <c r="L819" t="n">
        <v>101.157</v>
      </c>
      <c r="M819" t="n">
        <v>101.089</v>
      </c>
      <c r="N819" t="n">
        <v>100.07</v>
      </c>
      <c r="O819" t="n">
        <v>100.4898</v>
      </c>
      <c r="P819" t="n">
        <v>102.4438</v>
      </c>
      <c r="Q819" t="n">
        <v/>
      </c>
      <c r="R819" t="n">
        <v>101.14</v>
      </c>
      <c r="S819" t="n">
        <v>99.92503000000001</v>
      </c>
      <c r="T819" t="n">
        <v/>
      </c>
      <c r="U819" t="n">
        <v>102.4918</v>
      </c>
      <c r="V819" t="n">
        <v>102.7</v>
      </c>
      <c r="W819" t="n">
        <v>96.72696999999999</v>
      </c>
      <c r="X819" t="n">
        <v>102.3291</v>
      </c>
      <c r="Y819" t="n">
        <v/>
      </c>
      <c r="Z819" t="n">
        <v/>
      </c>
      <c r="AA819" t="n">
        <v>100.4272</v>
      </c>
      <c r="AB819" t="n">
        <v>103.3143</v>
      </c>
      <c r="AC819" t="n">
        <v>99.30825</v>
      </c>
      <c r="AD819" t="n">
        <v>100.6614</v>
      </c>
      <c r="AE819" t="n">
        <v>99.92010000000001</v>
      </c>
      <c r="AF819" t="n">
        <v>103.1296</v>
      </c>
      <c r="AG819" t="n">
        <v>102.9531</v>
      </c>
      <c r="AH819" t="n">
        <v>101.94</v>
      </c>
      <c r="AI819" t="n">
        <v>101.4548</v>
      </c>
      <c r="AJ819" t="n">
        <v>105.6703</v>
      </c>
      <c r="AK819" t="n">
        <v>101.0799</v>
      </c>
      <c r="AL819" t="n">
        <v>103.9649</v>
      </c>
      <c r="AM819" t="n">
        <v>102.9544</v>
      </c>
      <c r="AN819" t="n">
        <v>102.3155</v>
      </c>
      <c r="AO819" t="n">
        <v>99.97826000000001</v>
      </c>
      <c r="AP819" t="n">
        <v>99.56406</v>
      </c>
      <c r="AQ819" t="n">
        <v/>
      </c>
      <c r="AR819" t="n">
        <v/>
      </c>
      <c r="AS819" t="n">
        <v>101.5896</v>
      </c>
      <c r="AT819" t="n">
        <v>100.1717</v>
      </c>
      <c r="AU819" t="n">
        <v>101.2997</v>
      </c>
      <c r="AV819" t="n">
        <v>115.9631</v>
      </c>
      <c r="AW819" t="n">
        <v>103.6725</v>
      </c>
      <c r="AX819" t="n">
        <v>108.9441</v>
      </c>
    </row>
    <row r="820">
      <c r="A820" s="92" t="n">
        <v>42795</v>
      </c>
      <c r="B820" t="n">
        <v>103.1086</v>
      </c>
      <c r="C820" t="n">
        <v>103.0367</v>
      </c>
      <c r="D820" t="n">
        <v/>
      </c>
      <c r="E820" t="n">
        <v>103.2956</v>
      </c>
      <c r="F820" t="n">
        <v>100.0384</v>
      </c>
      <c r="G820" t="n">
        <v>105.8642</v>
      </c>
      <c r="H820" t="n">
        <v/>
      </c>
      <c r="I820" t="n">
        <v>110.8254</v>
      </c>
      <c r="J820" t="n">
        <v>101.4764</v>
      </c>
      <c r="K820" t="n">
        <v>103.1</v>
      </c>
      <c r="L820" t="n">
        <v>101.7393</v>
      </c>
      <c r="M820" t="n">
        <v>101.4015</v>
      </c>
      <c r="N820" t="n">
        <v>101.5</v>
      </c>
      <c r="O820" t="n">
        <v>101.0174</v>
      </c>
      <c r="P820" t="n">
        <v>102.8978</v>
      </c>
      <c r="Q820" t="n">
        <v/>
      </c>
      <c r="R820" t="n">
        <v>101.37</v>
      </c>
      <c r="S820" t="n">
        <v>100.8534</v>
      </c>
      <c r="T820" t="n">
        <v/>
      </c>
      <c r="U820" t="n">
        <v>102.6844</v>
      </c>
      <c r="V820" t="n">
        <v>103</v>
      </c>
      <c r="W820" t="n">
        <v>99.53270999999999</v>
      </c>
      <c r="X820" t="n">
        <v>102.4042</v>
      </c>
      <c r="Y820" t="n">
        <v/>
      </c>
      <c r="Z820" t="n">
        <v/>
      </c>
      <c r="AA820" t="n">
        <v>101.1604</v>
      </c>
      <c r="AB820" t="n">
        <v>103.6673</v>
      </c>
      <c r="AC820" t="n">
        <v>99.71317999999999</v>
      </c>
      <c r="AD820" t="n">
        <v>100.9057</v>
      </c>
      <c r="AE820" t="n">
        <v>99.92988</v>
      </c>
      <c r="AF820" t="n">
        <v>103.1497</v>
      </c>
      <c r="AG820" t="n">
        <v>105.0917</v>
      </c>
      <c r="AH820" t="n">
        <v>102.04</v>
      </c>
      <c r="AI820" t="n">
        <v>103.0951</v>
      </c>
      <c r="AJ820" t="n">
        <v>106.1954</v>
      </c>
      <c r="AK820" t="n">
        <v>101.5503</v>
      </c>
      <c r="AL820" t="n">
        <v>104.4981</v>
      </c>
      <c r="AM820" t="n">
        <v>103.2449</v>
      </c>
      <c r="AN820" t="n">
        <v>102.921</v>
      </c>
      <c r="AO820" t="n">
        <v>100.1521</v>
      </c>
      <c r="AP820" t="n">
        <v>101.7933</v>
      </c>
      <c r="AQ820" t="n">
        <v/>
      </c>
      <c r="AR820" t="n">
        <v/>
      </c>
      <c r="AS820" t="n">
        <v>101.6406</v>
      </c>
      <c r="AT820" t="n">
        <v>100.8717</v>
      </c>
      <c r="AU820" t="n">
        <v>101.4505</v>
      </c>
      <c r="AV820" t="n">
        <v>117.2254</v>
      </c>
      <c r="AW820" t="n">
        <v>103.7332</v>
      </c>
      <c r="AX820" t="n">
        <v>109.568</v>
      </c>
    </row>
    <row r="821">
      <c r="A821" s="92" t="n">
        <v>42826</v>
      </c>
      <c r="B821" t="n">
        <v>103.3086</v>
      </c>
      <c r="C821" t="n">
        <v>103.4446</v>
      </c>
      <c r="D821" t="n">
        <v/>
      </c>
      <c r="E821" t="n">
        <v>103.3022</v>
      </c>
      <c r="F821" t="n">
        <v>100.3412</v>
      </c>
      <c r="G821" t="n">
        <v>106.0703</v>
      </c>
      <c r="H821" t="n">
        <v/>
      </c>
      <c r="I821" t="n">
        <v>111.4222</v>
      </c>
      <c r="J821" t="n">
        <v>101.7455</v>
      </c>
      <c r="K821" t="n">
        <v>103.3</v>
      </c>
      <c r="L821" t="n">
        <v>102.2064</v>
      </c>
      <c r="M821" t="n">
        <v>101.6787</v>
      </c>
      <c r="N821" t="n">
        <v>102.29</v>
      </c>
      <c r="O821" t="n">
        <v>102.4426</v>
      </c>
      <c r="P821" t="n">
        <v>103.2951</v>
      </c>
      <c r="Q821" t="n">
        <v/>
      </c>
      <c r="R821" t="n">
        <v>101.71</v>
      </c>
      <c r="S821" t="n">
        <v>101.0094</v>
      </c>
      <c r="T821" t="n">
        <v/>
      </c>
      <c r="U821" t="n">
        <v>102.9448</v>
      </c>
      <c r="V821" t="n">
        <v>103.6</v>
      </c>
      <c r="W821" t="n">
        <v>100.4368</v>
      </c>
      <c r="X821" t="n">
        <v>102.9301</v>
      </c>
      <c r="Y821" t="n">
        <v/>
      </c>
      <c r="Z821" t="n">
        <v/>
      </c>
      <c r="AA821" t="n">
        <v>101.7223</v>
      </c>
      <c r="AB821" t="n">
        <v>104.4029</v>
      </c>
      <c r="AC821" t="n">
        <v>100.0169</v>
      </c>
      <c r="AD821" t="n">
        <v>101.5221</v>
      </c>
      <c r="AE821" t="n">
        <v>100.3302</v>
      </c>
      <c r="AF821" t="n">
        <v>103.2502</v>
      </c>
      <c r="AG821" t="n">
        <v>106.4413</v>
      </c>
      <c r="AH821" t="n">
        <v>102.36</v>
      </c>
      <c r="AI821" t="n">
        <v>103.8503</v>
      </c>
      <c r="AJ821" t="n">
        <v>106.6354</v>
      </c>
      <c r="AK821" t="n">
        <v>102.1532</v>
      </c>
      <c r="AL821" t="n">
        <v>105.226</v>
      </c>
      <c r="AM821" t="n">
        <v>103.628</v>
      </c>
      <c r="AN821" t="n">
        <v>103.603</v>
      </c>
      <c r="AO821" t="n">
        <v>100.7607</v>
      </c>
      <c r="AP821" t="n">
        <v>102.8931</v>
      </c>
      <c r="AQ821" t="n">
        <v/>
      </c>
      <c r="AR821" t="n">
        <v/>
      </c>
      <c r="AS821" t="n">
        <v>101.7401</v>
      </c>
      <c r="AT821" t="n">
        <v>101.7117</v>
      </c>
      <c r="AU821" t="n">
        <v>102.2078</v>
      </c>
      <c r="AV821" t="n">
        <v>119.2189</v>
      </c>
      <c r="AW821" t="n">
        <v>103.8785</v>
      </c>
      <c r="AX821" t="n">
        <v>109.8298</v>
      </c>
    </row>
    <row r="822">
      <c r="A822" s="92" t="n">
        <v>42856</v>
      </c>
      <c r="B822" t="n">
        <v>103.4086</v>
      </c>
      <c r="C822" t="n">
        <v>103.4932</v>
      </c>
      <c r="D822" t="n">
        <v/>
      </c>
      <c r="E822" t="n">
        <v>103.6044</v>
      </c>
      <c r="F822" t="n">
        <v>100.4469</v>
      </c>
      <c r="G822" t="n">
        <v>106.4067</v>
      </c>
      <c r="H822" t="n">
        <v/>
      </c>
      <c r="I822" t="n">
        <v>111.692</v>
      </c>
      <c r="J822" t="n">
        <v>101.9961</v>
      </c>
      <c r="K822" t="n">
        <v>103.5</v>
      </c>
      <c r="L822" t="n">
        <v>102.3752</v>
      </c>
      <c r="M822" t="n">
        <v>101.6554</v>
      </c>
      <c r="N822" t="n">
        <v>102.25</v>
      </c>
      <c r="O822" t="n">
        <v>102.4436</v>
      </c>
      <c r="P822" t="n">
        <v>103.4086</v>
      </c>
      <c r="Q822" t="n">
        <v/>
      </c>
      <c r="R822" t="n">
        <v>101.66</v>
      </c>
      <c r="S822" t="n">
        <v>101.0856</v>
      </c>
      <c r="T822" t="n">
        <v/>
      </c>
      <c r="U822" t="n">
        <v>103.0406</v>
      </c>
      <c r="V822" t="n">
        <v>103.9</v>
      </c>
      <c r="W822" t="n">
        <v>99.77892</v>
      </c>
      <c r="X822" t="n">
        <v>103.1555</v>
      </c>
      <c r="Y822" t="n">
        <v/>
      </c>
      <c r="Z822" t="n">
        <v/>
      </c>
      <c r="AA822" t="n">
        <v>101.4999</v>
      </c>
      <c r="AB822" t="n">
        <v>104.6753</v>
      </c>
      <c r="AC822" t="n">
        <v>100.4218</v>
      </c>
      <c r="AD822" t="n">
        <v>101.2722</v>
      </c>
      <c r="AE822" t="n">
        <v>100.3367</v>
      </c>
      <c r="AF822" t="n">
        <v>103.4502</v>
      </c>
      <c r="AG822" t="n">
        <v>106.6773</v>
      </c>
      <c r="AH822" t="n">
        <v>102.57</v>
      </c>
      <c r="AI822" t="n">
        <v>103.7789</v>
      </c>
      <c r="AJ822" t="n">
        <v>107.0124</v>
      </c>
      <c r="AK822" t="n">
        <v>101.7972</v>
      </c>
      <c r="AL822" t="n">
        <v>104.9919</v>
      </c>
      <c r="AM822" t="n">
        <v>103.7573</v>
      </c>
      <c r="AN822" t="n">
        <v>103.7396</v>
      </c>
      <c r="AO822" t="n">
        <v>100.6738</v>
      </c>
      <c r="AP822" t="n">
        <v>102.6652</v>
      </c>
      <c r="AQ822" t="n">
        <v/>
      </c>
      <c r="AR822" t="n">
        <v/>
      </c>
      <c r="AS822" t="n">
        <v>101.8749</v>
      </c>
      <c r="AT822" t="n">
        <v>101.9817</v>
      </c>
      <c r="AU822" t="n">
        <v>102.3619</v>
      </c>
      <c r="AV822" t="n">
        <v>120.518</v>
      </c>
      <c r="AW822" t="n">
        <v>103.9582</v>
      </c>
      <c r="AX822" t="n">
        <v>109.9137</v>
      </c>
    </row>
    <row r="823">
      <c r="A823" s="92" t="n">
        <v>42887</v>
      </c>
      <c r="B823" t="n">
        <v>103.7086</v>
      </c>
      <c r="C823" t="n">
        <v>103.4543</v>
      </c>
      <c r="D823" t="n">
        <v/>
      </c>
      <c r="E823" t="n">
        <v>103.6436</v>
      </c>
      <c r="F823" t="n">
        <v>100.3401</v>
      </c>
      <c r="G823" t="n">
        <v>106.0161</v>
      </c>
      <c r="H823" t="n">
        <v/>
      </c>
      <c r="I823" t="n">
        <v>111.9944</v>
      </c>
      <c r="J823" t="n">
        <v>101.9907</v>
      </c>
      <c r="K823" t="n">
        <v>103.6</v>
      </c>
      <c r="L823" t="n">
        <v>102.8767</v>
      </c>
      <c r="M823" t="n">
        <v>101.5494</v>
      </c>
      <c r="N823" t="n">
        <v>102.57</v>
      </c>
      <c r="O823" t="n">
        <v>102.6738</v>
      </c>
      <c r="P823" t="n">
        <v>103.1816</v>
      </c>
      <c r="Q823" t="n">
        <v/>
      </c>
      <c r="R823" t="n">
        <v>101.85</v>
      </c>
      <c r="S823" t="n">
        <v>101.2749</v>
      </c>
      <c r="T823" t="n">
        <v/>
      </c>
      <c r="U823" t="n">
        <v>103.144</v>
      </c>
      <c r="V823" t="n">
        <v>104</v>
      </c>
      <c r="W823" t="n">
        <v>101.1655</v>
      </c>
      <c r="X823" t="n">
        <v>103.3659</v>
      </c>
      <c r="Y823" t="n">
        <v/>
      </c>
      <c r="Z823" t="n">
        <v/>
      </c>
      <c r="AA823" t="n">
        <v>101.8198</v>
      </c>
      <c r="AB823" t="n">
        <v>104.9853</v>
      </c>
      <c r="AC823" t="n">
        <v>99.91564</v>
      </c>
      <c r="AD823" t="n">
        <v>101.398</v>
      </c>
      <c r="AE823" t="n">
        <v>100.3097</v>
      </c>
      <c r="AF823" t="n">
        <v>103.3899</v>
      </c>
      <c r="AG823" t="n">
        <v>107.2024</v>
      </c>
      <c r="AH823" t="n">
        <v>102.74</v>
      </c>
      <c r="AI823" t="n">
        <v>104.0814</v>
      </c>
      <c r="AJ823" t="n">
        <v>107.306</v>
      </c>
      <c r="AK823" t="n">
        <v>101.4414</v>
      </c>
      <c r="AL823" t="n">
        <v>105.3588</v>
      </c>
      <c r="AM823" t="n">
        <v>103.8613</v>
      </c>
      <c r="AN823" t="n">
        <v>103.9363</v>
      </c>
      <c r="AO823" t="n">
        <v>100.6738</v>
      </c>
      <c r="AP823" t="n">
        <v>102.3779</v>
      </c>
      <c r="AQ823" t="n">
        <v/>
      </c>
      <c r="AR823" t="n">
        <v/>
      </c>
      <c r="AS823" t="n">
        <v>101.8938</v>
      </c>
      <c r="AT823" t="n">
        <v>102.3517</v>
      </c>
      <c r="AU823" t="n">
        <v>102.6602</v>
      </c>
      <c r="AV823" t="n">
        <v>120.6119</v>
      </c>
      <c r="AW823" t="n">
        <v>104.0321</v>
      </c>
      <c r="AX823" t="n">
        <v>110.3398</v>
      </c>
    </row>
    <row r="824">
      <c r="A824" s="92" t="n">
        <v>42917</v>
      </c>
      <c r="B824" t="n">
        <v>103.3086</v>
      </c>
      <c r="C824" t="n">
        <v>103.8719</v>
      </c>
      <c r="D824" t="n">
        <v/>
      </c>
      <c r="E824" t="n">
        <v>103.636</v>
      </c>
      <c r="F824" t="n">
        <v>99.88215</v>
      </c>
      <c r="G824" t="n">
        <v>106.2874</v>
      </c>
      <c r="H824" t="n">
        <v/>
      </c>
      <c r="I824" t="n">
        <v>112.0762</v>
      </c>
      <c r="J824" t="n">
        <v>102.0384</v>
      </c>
      <c r="K824" t="n">
        <v>104.1</v>
      </c>
      <c r="L824" t="n">
        <v>103.3754</v>
      </c>
      <c r="M824" t="n">
        <v>102.3601</v>
      </c>
      <c r="N824" t="n">
        <v>102.02</v>
      </c>
      <c r="O824" t="n">
        <v>101.7079</v>
      </c>
      <c r="P824" t="n">
        <v>103.9762</v>
      </c>
      <c r="Q824" t="n">
        <v/>
      </c>
      <c r="R824" t="n">
        <v>101.51</v>
      </c>
      <c r="S824" t="n">
        <v>100.9439</v>
      </c>
      <c r="T824" t="n">
        <v/>
      </c>
      <c r="U824" t="n">
        <v>103.1559</v>
      </c>
      <c r="V824" t="n">
        <v>103.9</v>
      </c>
      <c r="W824" t="n">
        <v>98.73756</v>
      </c>
      <c r="X824" t="n">
        <v>103.7115</v>
      </c>
      <c r="Y824" t="n">
        <v/>
      </c>
      <c r="Z824" t="n">
        <v/>
      </c>
      <c r="AA824" t="n">
        <v>101.8773</v>
      </c>
      <c r="AB824" t="n">
        <v>104.8874</v>
      </c>
      <c r="AC824" t="n">
        <v>100.0169</v>
      </c>
      <c r="AD824" t="n">
        <v>101.8303</v>
      </c>
      <c r="AE824" t="n">
        <v>100.1462</v>
      </c>
      <c r="AF824" t="n">
        <v>103.6596</v>
      </c>
      <c r="AG824" t="n">
        <v>106.7918</v>
      </c>
      <c r="AH824" t="n">
        <v>101.84</v>
      </c>
      <c r="AI824" t="n">
        <v>103.1989</v>
      </c>
      <c r="AJ824" t="n">
        <v>107.6013</v>
      </c>
      <c r="AK824" t="n">
        <v>102.3502</v>
      </c>
      <c r="AL824" t="n">
        <v>105.2351</v>
      </c>
      <c r="AM824" t="n">
        <v>103.8898</v>
      </c>
      <c r="AN824" t="n">
        <v>103.9624</v>
      </c>
      <c r="AO824" t="n">
        <v>100.5868</v>
      </c>
      <c r="AP824" t="n">
        <v>101.5258</v>
      </c>
      <c r="AQ824" t="n">
        <v/>
      </c>
      <c r="AR824" t="n">
        <v/>
      </c>
      <c r="AS824" t="n">
        <v>101.9725</v>
      </c>
      <c r="AT824" t="n">
        <v>101.4617</v>
      </c>
      <c r="AU824" t="n">
        <v>102.9484</v>
      </c>
      <c r="AV824" t="n">
        <v>121.1553</v>
      </c>
      <c r="AW824" t="n">
        <v>103.9999</v>
      </c>
      <c r="AX824" t="n">
        <v>110.8062</v>
      </c>
    </row>
    <row r="825">
      <c r="A825" s="92" t="n">
        <v>42948</v>
      </c>
      <c r="B825" t="n">
        <v>103.2086</v>
      </c>
      <c r="C825" t="n">
        <v>103.8525</v>
      </c>
      <c r="D825" t="n">
        <v/>
      </c>
      <c r="E825" t="n">
        <v>103.6585</v>
      </c>
      <c r="F825" t="n">
        <v>99.86517000000001</v>
      </c>
      <c r="G825" t="n">
        <v>106.2114</v>
      </c>
      <c r="H825" t="n">
        <v/>
      </c>
      <c r="I825" t="n">
        <v>112.1661</v>
      </c>
      <c r="J825" t="n">
        <v>102.0905</v>
      </c>
      <c r="K825" t="n">
        <v>104.1</v>
      </c>
      <c r="L825" t="n">
        <v>103.4675</v>
      </c>
      <c r="M825" t="n">
        <v>102.0716</v>
      </c>
      <c r="N825" t="n">
        <v>102.28</v>
      </c>
      <c r="O825" t="n">
        <v>101.8887</v>
      </c>
      <c r="P825" t="n">
        <v>104.4302</v>
      </c>
      <c r="Q825" t="n">
        <v/>
      </c>
      <c r="R825" t="n">
        <v>101.71</v>
      </c>
      <c r="S825" t="n">
        <v>101.4869</v>
      </c>
      <c r="T825" t="n">
        <v/>
      </c>
      <c r="U825" t="n">
        <v>103.4068</v>
      </c>
      <c r="V825" t="n">
        <v>104.5</v>
      </c>
      <c r="W825" t="n">
        <v>97.81307</v>
      </c>
      <c r="X825" t="n">
        <v>103.8618</v>
      </c>
      <c r="Y825" t="n">
        <v/>
      </c>
      <c r="Z825" t="n">
        <v/>
      </c>
      <c r="AA825" t="n">
        <v>102.2989</v>
      </c>
      <c r="AB825" t="n">
        <v>105.0173</v>
      </c>
      <c r="AC825" t="n">
        <v>100.1181</v>
      </c>
      <c r="AD825" t="n">
        <v>102.1572</v>
      </c>
      <c r="AE825" t="n">
        <v>100.3062</v>
      </c>
      <c r="AF825" t="n">
        <v>103.8098</v>
      </c>
      <c r="AG825" t="n">
        <v>106.6754</v>
      </c>
      <c r="AH825" t="n">
        <v>103.23</v>
      </c>
      <c r="AI825" t="n">
        <v>103.3678</v>
      </c>
      <c r="AJ825" t="n">
        <v>107.9019</v>
      </c>
      <c r="AK825" t="n">
        <v>102.4509</v>
      </c>
      <c r="AL825" t="n">
        <v>104.774</v>
      </c>
      <c r="AM825" t="n">
        <v>104.0994</v>
      </c>
      <c r="AN825" t="n">
        <v>104.2002</v>
      </c>
      <c r="AO825" t="n">
        <v>100.413</v>
      </c>
      <c r="AP825" t="n">
        <v>101.4168</v>
      </c>
      <c r="AQ825" t="n">
        <v/>
      </c>
      <c r="AR825" t="n">
        <v/>
      </c>
      <c r="AS825" t="n">
        <v>102.0363</v>
      </c>
      <c r="AT825" t="n">
        <v>101.6017</v>
      </c>
      <c r="AU825" t="n">
        <v>102.6602</v>
      </c>
      <c r="AV825" t="n">
        <v>121.7231</v>
      </c>
      <c r="AW825" t="n">
        <v>104.2162</v>
      </c>
      <c r="AX825" t="n">
        <v>110.9272</v>
      </c>
    </row>
    <row r="826">
      <c r="A826" s="92" t="n">
        <v>42979</v>
      </c>
      <c r="B826" t="n">
        <v>104.2087</v>
      </c>
      <c r="C826" t="n">
        <v>103.7457</v>
      </c>
      <c r="D826" t="n">
        <v/>
      </c>
      <c r="E826" t="n">
        <v>103.8998</v>
      </c>
      <c r="F826" t="n">
        <v>100.0817</v>
      </c>
      <c r="G826" t="n">
        <v>106.2114</v>
      </c>
      <c r="H826" t="n">
        <v/>
      </c>
      <c r="I826" t="n">
        <v>112.3133</v>
      </c>
      <c r="J826" t="n">
        <v>102.34</v>
      </c>
      <c r="K826" t="n">
        <v>103.9</v>
      </c>
      <c r="L826" t="n">
        <v>103.387</v>
      </c>
      <c r="M826" t="n">
        <v>102.0018</v>
      </c>
      <c r="N826" t="n">
        <v>102.68</v>
      </c>
      <c r="O826" t="n">
        <v>101.9097</v>
      </c>
      <c r="P826" t="n">
        <v>104.6005</v>
      </c>
      <c r="Q826" t="n">
        <v/>
      </c>
      <c r="R826" t="n">
        <v>101.93</v>
      </c>
      <c r="S826" t="n">
        <v>101.1937</v>
      </c>
      <c r="T826" t="n">
        <v/>
      </c>
      <c r="U826" t="n">
        <v>103.4706</v>
      </c>
      <c r="V826" t="n">
        <v>104.7</v>
      </c>
      <c r="W826" t="n">
        <v>100.4021</v>
      </c>
      <c r="X826" t="n">
        <v>103.7415</v>
      </c>
      <c r="Y826" t="n">
        <v/>
      </c>
      <c r="Z826" t="n">
        <v/>
      </c>
      <c r="AA826" t="n">
        <v>101.5259</v>
      </c>
      <c r="AB826" t="n">
        <v>105.4252</v>
      </c>
      <c r="AC826" t="n">
        <v>100.1181</v>
      </c>
      <c r="AD826" t="n">
        <v>101.5873</v>
      </c>
      <c r="AE826" t="n">
        <v>100.3804</v>
      </c>
      <c r="AF826" t="n">
        <v>103.6395</v>
      </c>
      <c r="AG826" t="n">
        <v>107.4825</v>
      </c>
      <c r="AH826" t="n">
        <v>102.94</v>
      </c>
      <c r="AI826" t="n">
        <v>103.6388</v>
      </c>
      <c r="AJ826" t="n">
        <v>108.1094</v>
      </c>
      <c r="AK826" t="n">
        <v>102.1401</v>
      </c>
      <c r="AL826" t="n">
        <v>105.4211</v>
      </c>
      <c r="AM826" t="n">
        <v>104.21</v>
      </c>
      <c r="AN826" t="n">
        <v>104.2712</v>
      </c>
      <c r="AO826" t="n">
        <v>100.4999</v>
      </c>
      <c r="AP826" t="n">
        <v>102.5463</v>
      </c>
      <c r="AQ826" t="n">
        <v/>
      </c>
      <c r="AR826" t="n">
        <v/>
      </c>
      <c r="AS826" t="n">
        <v>102.0981</v>
      </c>
      <c r="AT826" t="n">
        <v>101.6517</v>
      </c>
      <c r="AU826" t="n">
        <v>102.7473</v>
      </c>
      <c r="AV826" t="n">
        <v>122.6994</v>
      </c>
      <c r="AW826" t="n">
        <v>104.4147</v>
      </c>
      <c r="AX826" t="n">
        <v>111.3449</v>
      </c>
    </row>
    <row r="827">
      <c r="A827" s="92" t="n">
        <v>43009</v>
      </c>
      <c r="B827" t="n">
        <v>104.2087</v>
      </c>
      <c r="C827" t="n">
        <v>103.9108</v>
      </c>
      <c r="D827" t="n">
        <v/>
      </c>
      <c r="E827" t="n">
        <v>104.3037</v>
      </c>
      <c r="F827" t="n">
        <v>100.1196</v>
      </c>
      <c r="G827" t="n">
        <v>106.5695</v>
      </c>
      <c r="H827" t="n">
        <v/>
      </c>
      <c r="I827" t="n">
        <v>112.4032</v>
      </c>
      <c r="J827" t="n">
        <v>102.5939</v>
      </c>
      <c r="K827" t="n">
        <v>104.2</v>
      </c>
      <c r="L827" t="n">
        <v>103.0441</v>
      </c>
      <c r="M827" t="n">
        <v>102.0534</v>
      </c>
      <c r="N827" t="n">
        <v>102.51</v>
      </c>
      <c r="O827" t="n">
        <v>102.6181</v>
      </c>
      <c r="P827" t="n">
        <v>104.3167</v>
      </c>
      <c r="Q827" t="n">
        <v/>
      </c>
      <c r="R827" t="n">
        <v>101.91</v>
      </c>
      <c r="S827" t="n">
        <v>101.1388</v>
      </c>
      <c r="T827" t="n">
        <v/>
      </c>
      <c r="U827" t="n">
        <v>103.6026</v>
      </c>
      <c r="V827" t="n">
        <v>104.7</v>
      </c>
      <c r="W827" t="n">
        <v>100.7178</v>
      </c>
      <c r="X827" t="n">
        <v>103.982</v>
      </c>
      <c r="Y827" t="n">
        <v/>
      </c>
      <c r="Z827" t="n">
        <v/>
      </c>
      <c r="AA827" t="n">
        <v>101.2475</v>
      </c>
      <c r="AB827" t="n">
        <v>105.7048</v>
      </c>
      <c r="AC827" t="n">
        <v>100.3206</v>
      </c>
      <c r="AD827" t="n">
        <v>101.0125</v>
      </c>
      <c r="AE827" t="n">
        <v>100.5274</v>
      </c>
      <c r="AF827" t="n">
        <v>103.8299</v>
      </c>
      <c r="AG827" t="n">
        <v>107.7746</v>
      </c>
      <c r="AH827" t="n">
        <v>103</v>
      </c>
      <c r="AI827" t="n">
        <v>104.1815</v>
      </c>
      <c r="AJ827" t="n">
        <v>108.5489</v>
      </c>
      <c r="AK827" t="n">
        <v>102.3334</v>
      </c>
      <c r="AL827" t="n">
        <v>105.7421</v>
      </c>
      <c r="AM827" t="n">
        <v>104.4496</v>
      </c>
      <c r="AN827" t="n">
        <v>104.4409</v>
      </c>
      <c r="AO827" t="n">
        <v>100.7607</v>
      </c>
      <c r="AP827" t="n">
        <v>102.8832</v>
      </c>
      <c r="AQ827" t="n">
        <v/>
      </c>
      <c r="AR827" t="n">
        <v/>
      </c>
      <c r="AS827" t="n">
        <v>102.2352</v>
      </c>
      <c r="AT827" t="n">
        <v>101.6717</v>
      </c>
      <c r="AU827" t="n">
        <v>102.744</v>
      </c>
      <c r="AV827" t="n">
        <v>125.2894</v>
      </c>
      <c r="AW827" t="n">
        <v>104.7024</v>
      </c>
      <c r="AX827" t="n">
        <v>111.4634</v>
      </c>
    </row>
    <row r="828">
      <c r="A828" s="92" t="n">
        <v>43040</v>
      </c>
      <c r="B828" t="n">
        <v>104.2087</v>
      </c>
      <c r="C828" t="n">
        <v>103.6874</v>
      </c>
      <c r="D828" t="n">
        <v/>
      </c>
      <c r="E828" t="n">
        <v>104.1607</v>
      </c>
      <c r="F828" t="n">
        <v>99.98502000000001</v>
      </c>
      <c r="G828" t="n">
        <v>106.4393</v>
      </c>
      <c r="H828" t="n">
        <v/>
      </c>
      <c r="I828" t="n">
        <v>112.6403</v>
      </c>
      <c r="J828" t="n">
        <v>102.6752</v>
      </c>
      <c r="K828" t="n">
        <v>104.2</v>
      </c>
      <c r="L828" t="n">
        <v>102.3695</v>
      </c>
      <c r="M828" t="n">
        <v>101.6017</v>
      </c>
      <c r="N828" t="n">
        <v>101.97</v>
      </c>
      <c r="O828" t="n">
        <v>103.0458</v>
      </c>
      <c r="P828" t="n">
        <v>104.1465</v>
      </c>
      <c r="Q828" t="n">
        <v/>
      </c>
      <c r="R828" t="n">
        <v>101.91</v>
      </c>
      <c r="S828" t="n">
        <v>101.0898</v>
      </c>
      <c r="T828" t="n">
        <v/>
      </c>
      <c r="U828" t="n">
        <v>103.5011</v>
      </c>
      <c r="V828" t="n">
        <v>104.9</v>
      </c>
      <c r="W828" t="n">
        <v>99.28877</v>
      </c>
      <c r="X828" t="n">
        <v>103.982</v>
      </c>
      <c r="Y828" t="n">
        <v/>
      </c>
      <c r="Z828" t="n">
        <v/>
      </c>
      <c r="AA828" t="n">
        <v>100.8069</v>
      </c>
      <c r="AB828" t="n">
        <v>105.4538</v>
      </c>
      <c r="AC828" t="n">
        <v>100.2193</v>
      </c>
      <c r="AD828" t="n">
        <v>100.599</v>
      </c>
      <c r="AE828" t="n">
        <v>100.4904</v>
      </c>
      <c r="AF828" t="n">
        <v>103.4703</v>
      </c>
      <c r="AG828" t="n">
        <v>107.8063</v>
      </c>
      <c r="AH828" t="n">
        <v>102.46</v>
      </c>
      <c r="AI828" t="n">
        <v>103.9178</v>
      </c>
      <c r="AJ828" t="n">
        <v>108.8874</v>
      </c>
      <c r="AK828" t="n">
        <v>101.9644</v>
      </c>
      <c r="AL828" t="n">
        <v>105.4485</v>
      </c>
      <c r="AM828" t="n">
        <v>104.412</v>
      </c>
      <c r="AN828" t="n">
        <v>104.3744</v>
      </c>
      <c r="AO828" t="n">
        <v>100.8476</v>
      </c>
      <c r="AP828" t="n">
        <v>102.3184</v>
      </c>
      <c r="AQ828" t="n">
        <v/>
      </c>
      <c r="AR828" t="n">
        <v/>
      </c>
      <c r="AS828" t="n">
        <v>102.3465</v>
      </c>
      <c r="AT828" t="n">
        <v>101.9117</v>
      </c>
      <c r="AU828" t="n">
        <v>102.6937</v>
      </c>
      <c r="AV828" t="n">
        <v>126.6415</v>
      </c>
      <c r="AW828" t="n">
        <v>104.6422</v>
      </c>
      <c r="AX828" t="n">
        <v>111.4487</v>
      </c>
    </row>
    <row r="829">
      <c r="A829" s="92" t="n">
        <v>43070</v>
      </c>
      <c r="B829" t="n">
        <v>104.8087</v>
      </c>
      <c r="C829" t="n">
        <v>103.9108</v>
      </c>
      <c r="D829" t="n">
        <v/>
      </c>
      <c r="E829" t="n">
        <v>103.7372</v>
      </c>
      <c r="F829" t="n">
        <v>100.0173</v>
      </c>
      <c r="G829" t="n">
        <v>106.6563</v>
      </c>
      <c r="H829" t="n">
        <v/>
      </c>
      <c r="I829" t="n">
        <v>113.1471</v>
      </c>
      <c r="J829" t="n">
        <v>102.8564</v>
      </c>
      <c r="K829" t="n">
        <v>104.1</v>
      </c>
      <c r="L829" t="n">
        <v>102.9322</v>
      </c>
      <c r="M829" t="n">
        <v>101.4357</v>
      </c>
      <c r="N829" t="n">
        <v>102.4</v>
      </c>
      <c r="O829" t="n">
        <v>103.07</v>
      </c>
      <c r="P829" t="n">
        <v>103.7492</v>
      </c>
      <c r="Q829" t="n">
        <v/>
      </c>
      <c r="R829" t="n">
        <v>101.98</v>
      </c>
      <c r="S829" t="n">
        <v>101.4461</v>
      </c>
      <c r="T829" t="n">
        <v/>
      </c>
      <c r="U829" t="n">
        <v>103.6113</v>
      </c>
      <c r="V829" t="n">
        <v>105.2</v>
      </c>
      <c r="W829" t="n">
        <v>99.97971</v>
      </c>
      <c r="X829" t="n">
        <v>104.0571</v>
      </c>
      <c r="Y829" t="n">
        <v/>
      </c>
      <c r="Z829" t="n">
        <v/>
      </c>
      <c r="AA829" t="n">
        <v>100.7697</v>
      </c>
      <c r="AB829" t="n">
        <v>105.7186</v>
      </c>
      <c r="AC829" t="n">
        <v>100.4218</v>
      </c>
      <c r="AD829" t="n">
        <v>101.0803</v>
      </c>
      <c r="AE829" t="n">
        <v>100.4906</v>
      </c>
      <c r="AF829" t="n">
        <v>103.6395</v>
      </c>
      <c r="AG829" t="n">
        <v>107.3275</v>
      </c>
      <c r="AH829" t="n">
        <v>102.55</v>
      </c>
      <c r="AI829" t="n">
        <v>103.5284</v>
      </c>
      <c r="AJ829" t="n">
        <v>109.3131</v>
      </c>
      <c r="AK829" t="n">
        <v>101.9565</v>
      </c>
      <c r="AL829" t="n">
        <v>105.7945</v>
      </c>
      <c r="AM829" t="n">
        <v>104.5534</v>
      </c>
      <c r="AN829" t="n">
        <v>104.6985</v>
      </c>
      <c r="AO829" t="n">
        <v>100.9346</v>
      </c>
      <c r="AP829" t="n">
        <v>102.2986</v>
      </c>
      <c r="AQ829" t="n">
        <v/>
      </c>
      <c r="AR829" t="n">
        <v/>
      </c>
      <c r="AS829" t="n">
        <v>102.3375</v>
      </c>
      <c r="AT829" t="n">
        <v>101.5517</v>
      </c>
      <c r="AU829" t="n">
        <v>103.0657</v>
      </c>
      <c r="AV829" t="n">
        <v>127.193</v>
      </c>
      <c r="AW829" t="n">
        <v>104.6694</v>
      </c>
      <c r="AX829" t="n">
        <v>111.7603</v>
      </c>
    </row>
    <row r="830">
      <c r="A830" s="92" t="n">
        <v>43101</v>
      </c>
      <c r="B830" t="n">
        <v>103.9087</v>
      </c>
      <c r="C830" t="n">
        <v>104.173</v>
      </c>
      <c r="D830" t="n">
        <v/>
      </c>
      <c r="E830" t="n">
        <v>104.2608</v>
      </c>
      <c r="F830" t="n">
        <v>99.57928</v>
      </c>
      <c r="G830" t="n">
        <v>106.971</v>
      </c>
      <c r="H830" t="n">
        <v/>
      </c>
      <c r="I830" t="n">
        <v>113.7438</v>
      </c>
      <c r="J830" t="n">
        <v>103.2632</v>
      </c>
      <c r="K830" t="n">
        <v>104.9</v>
      </c>
      <c r="L830" t="n">
        <v>102.0128</v>
      </c>
      <c r="M830" t="n">
        <v>100.9462</v>
      </c>
      <c r="N830" t="n">
        <v>100.67</v>
      </c>
      <c r="O830" t="n">
        <v>101.2308</v>
      </c>
      <c r="P830" t="n">
        <v>103.5222</v>
      </c>
      <c r="Q830" t="n">
        <v/>
      </c>
      <c r="R830" t="n">
        <v>101.51</v>
      </c>
      <c r="S830" t="n">
        <v>100.7781</v>
      </c>
      <c r="T830" t="n">
        <v/>
      </c>
      <c r="U830" t="n">
        <v>103.6496</v>
      </c>
      <c r="V830" t="n">
        <v>104.5</v>
      </c>
      <c r="W830" t="n">
        <v>97.256</v>
      </c>
      <c r="X830" t="n">
        <v>103.9068</v>
      </c>
      <c r="Y830" t="n">
        <v/>
      </c>
      <c r="Z830" t="n">
        <v/>
      </c>
      <c r="AA830" t="n">
        <v>99.85513</v>
      </c>
      <c r="AB830" t="n">
        <v>105.3564</v>
      </c>
      <c r="AC830" t="n">
        <v>99.81441</v>
      </c>
      <c r="AD830" t="n">
        <v>100.9319</v>
      </c>
      <c r="AE830" t="n">
        <v>100.0669</v>
      </c>
      <c r="AF830" t="n">
        <v>103.8797</v>
      </c>
      <c r="AG830" t="n">
        <v>106.9112</v>
      </c>
      <c r="AH830" t="n">
        <v>101.18</v>
      </c>
      <c r="AI830" t="n">
        <v>103.1009</v>
      </c>
      <c r="AJ830" t="n">
        <v>109.5656</v>
      </c>
      <c r="AK830" t="n">
        <v>101.4644</v>
      </c>
      <c r="AL830" t="n">
        <v>104.9195</v>
      </c>
      <c r="AM830" t="n">
        <v>104.5172</v>
      </c>
      <c r="AN830" t="n">
        <v>104.074</v>
      </c>
      <c r="AO830" t="n">
        <v>100.8476</v>
      </c>
      <c r="AP830" t="n">
        <v>100.6737</v>
      </c>
      <c r="AQ830" t="n">
        <v/>
      </c>
      <c r="AR830" t="n">
        <v/>
      </c>
      <c r="AS830" t="n">
        <v>102.755</v>
      </c>
      <c r="AT830" t="n">
        <v>99.89166</v>
      </c>
      <c r="AU830" t="n">
        <v>101.7722</v>
      </c>
      <c r="AV830" t="n">
        <v>127.8752</v>
      </c>
      <c r="AW830" t="n">
        <v>105.1152</v>
      </c>
      <c r="AX830" t="n">
        <v>112.1328</v>
      </c>
    </row>
    <row r="831">
      <c r="A831" s="92" t="n">
        <v>43132</v>
      </c>
      <c r="B831" t="n">
        <v>104.3087</v>
      </c>
      <c r="C831" t="n">
        <v>104.3672</v>
      </c>
      <c r="D831" t="n">
        <v/>
      </c>
      <c r="E831" t="n">
        <v>105.097</v>
      </c>
      <c r="F831" t="n">
        <v>100.0754</v>
      </c>
      <c r="G831" t="n">
        <v>107.1554</v>
      </c>
      <c r="H831" t="n">
        <v/>
      </c>
      <c r="I831" t="n">
        <v>114.7739</v>
      </c>
      <c r="J831" t="n">
        <v>103.6701</v>
      </c>
      <c r="K831" t="n">
        <v>105</v>
      </c>
      <c r="L831" t="n">
        <v>102.4513</v>
      </c>
      <c r="M831" t="n">
        <v>101.862</v>
      </c>
      <c r="N831" t="n">
        <v>101.07</v>
      </c>
      <c r="O831" t="n">
        <v>101.5555</v>
      </c>
      <c r="P831" t="n">
        <v>104.6005</v>
      </c>
      <c r="Q831" t="n">
        <v/>
      </c>
      <c r="R831" t="n">
        <v>101.77</v>
      </c>
      <c r="S831" t="n">
        <v>100.7663</v>
      </c>
      <c r="T831" t="n">
        <v/>
      </c>
      <c r="U831" t="n">
        <v>104.043</v>
      </c>
      <c r="V831" t="n">
        <v>105</v>
      </c>
      <c r="W831" t="n">
        <v>97.21183000000001</v>
      </c>
      <c r="X831" t="n">
        <v>104.0571</v>
      </c>
      <c r="Y831" t="n">
        <v/>
      </c>
      <c r="Z831" t="n">
        <v/>
      </c>
      <c r="AA831" t="n">
        <v>101.0622</v>
      </c>
      <c r="AB831" t="n">
        <v>106.1258</v>
      </c>
      <c r="AC831" t="n">
        <v>99.71317999999999</v>
      </c>
      <c r="AD831" t="n">
        <v>101.0737</v>
      </c>
      <c r="AE831" t="n">
        <v>100.1521</v>
      </c>
      <c r="AF831" t="n">
        <v>104.3198</v>
      </c>
      <c r="AG831" t="n">
        <v>106.87</v>
      </c>
      <c r="AH831" t="n">
        <v>102.86</v>
      </c>
      <c r="AI831" t="n">
        <v>103.1658</v>
      </c>
      <c r="AJ831" t="n">
        <v>110.1028</v>
      </c>
      <c r="AK831" t="n">
        <v>101.9694</v>
      </c>
      <c r="AL831" t="n">
        <v>105.536</v>
      </c>
      <c r="AM831" t="n">
        <v>104.9071</v>
      </c>
      <c r="AN831" t="n">
        <v>104.3969</v>
      </c>
      <c r="AO831" t="n">
        <v>100.8476</v>
      </c>
      <c r="AP831" t="n">
        <v>100.1387</v>
      </c>
      <c r="AQ831" t="n">
        <v/>
      </c>
      <c r="AR831" t="n">
        <v/>
      </c>
      <c r="AS831" t="n">
        <v>103.2444</v>
      </c>
      <c r="AT831" t="n">
        <v>100.6717</v>
      </c>
      <c r="AU831" t="n">
        <v>102.5898</v>
      </c>
      <c r="AV831" t="n">
        <v>128.4675</v>
      </c>
      <c r="AW831" t="n">
        <v>105.5879</v>
      </c>
      <c r="AX831" t="n">
        <v>113.2508</v>
      </c>
    </row>
    <row r="832">
      <c r="A832" s="92" t="n">
        <v>43160</v>
      </c>
      <c r="B832" t="n">
        <v>105.1088</v>
      </c>
      <c r="C832" t="n">
        <v>104.4255</v>
      </c>
      <c r="D832" t="n">
        <v/>
      </c>
      <c r="E832" t="n">
        <v>105.4791</v>
      </c>
      <c r="F832" t="n">
        <v>100.5774</v>
      </c>
      <c r="G832" t="n">
        <v>107.5135</v>
      </c>
      <c r="H832" t="n">
        <v/>
      </c>
      <c r="I832" t="n">
        <v>115.109</v>
      </c>
      <c r="J832" t="n">
        <v>103.503</v>
      </c>
      <c r="K832" t="n">
        <v>105.1</v>
      </c>
      <c r="L832" t="n">
        <v>103.2604</v>
      </c>
      <c r="M832" t="n">
        <v>101.9553</v>
      </c>
      <c r="N832" t="n">
        <v>102.63</v>
      </c>
      <c r="O832" t="n">
        <v>102.1609</v>
      </c>
      <c r="P832" t="n">
        <v>104.6005</v>
      </c>
      <c r="Q832" t="n">
        <v/>
      </c>
      <c r="R832" t="n">
        <v>102.03</v>
      </c>
      <c r="S832" t="n">
        <v>102.09</v>
      </c>
      <c r="T832" t="n">
        <v/>
      </c>
      <c r="U832" t="n">
        <v>104.4587</v>
      </c>
      <c r="V832" t="n">
        <v>105.2</v>
      </c>
      <c r="W832" t="n">
        <v>99.53712</v>
      </c>
      <c r="X832" t="n">
        <v>104.2825</v>
      </c>
      <c r="Y832" t="n">
        <v/>
      </c>
      <c r="Z832" t="n">
        <v/>
      </c>
      <c r="AA832" t="n">
        <v>101.4204</v>
      </c>
      <c r="AB832" t="n">
        <v>106.8454</v>
      </c>
      <c r="AC832" t="n">
        <v>100.4218</v>
      </c>
      <c r="AD832" t="n">
        <v>101.5009</v>
      </c>
      <c r="AE832" t="n">
        <v>100.244</v>
      </c>
      <c r="AF832" t="n">
        <v>104.5303</v>
      </c>
      <c r="AG832" t="n">
        <v>107.7528</v>
      </c>
      <c r="AH832" t="n">
        <v>102.96</v>
      </c>
      <c r="AI832" t="n">
        <v>105.2713</v>
      </c>
      <c r="AJ832" t="n">
        <v>110.4657</v>
      </c>
      <c r="AK832" t="n">
        <v>102.3446</v>
      </c>
      <c r="AL832" t="n">
        <v>106.0251</v>
      </c>
      <c r="AM832" t="n">
        <v>105.3356</v>
      </c>
      <c r="AN832" t="n">
        <v>105.0521</v>
      </c>
      <c r="AO832" t="n">
        <v>100.8476</v>
      </c>
      <c r="AP832" t="n">
        <v>102.586</v>
      </c>
      <c r="AQ832" t="n">
        <v/>
      </c>
      <c r="AR832" t="n">
        <v/>
      </c>
      <c r="AS832" t="n">
        <v>103.4145</v>
      </c>
      <c r="AT832" t="n">
        <v>101.2317</v>
      </c>
      <c r="AU832" t="n">
        <v>102.7507</v>
      </c>
      <c r="AV832" t="n">
        <v>129.4235</v>
      </c>
      <c r="AW832" t="n">
        <v>105.9293</v>
      </c>
      <c r="AX832" t="n">
        <v>114.0189</v>
      </c>
    </row>
    <row r="833">
      <c r="A833" s="92" t="n">
        <v>43191</v>
      </c>
      <c r="B833" t="n">
        <v>105.2088</v>
      </c>
      <c r="C833" t="n">
        <v>104.5518</v>
      </c>
      <c r="D833" t="n">
        <v/>
      </c>
      <c r="E833" t="n">
        <v>105.4451</v>
      </c>
      <c r="F833" t="n">
        <v>100.7207</v>
      </c>
      <c r="G833" t="n">
        <v>107.7957</v>
      </c>
      <c r="H833" t="n">
        <v/>
      </c>
      <c r="I833" t="n">
        <v>115.3706</v>
      </c>
      <c r="J833" t="n">
        <v>103.618</v>
      </c>
      <c r="K833" t="n">
        <v>105.7</v>
      </c>
      <c r="L833" t="n">
        <v>103.2924</v>
      </c>
      <c r="M833" t="n">
        <v>102.3572</v>
      </c>
      <c r="N833" t="n">
        <v>103.04</v>
      </c>
      <c r="O833" t="n">
        <v>103.1414</v>
      </c>
      <c r="P833" t="n">
        <v>105.4518</v>
      </c>
      <c r="Q833" t="n">
        <v/>
      </c>
      <c r="R833" t="n">
        <v>102.3</v>
      </c>
      <c r="S833" t="n">
        <v>102.1993</v>
      </c>
      <c r="T833" t="n">
        <v/>
      </c>
      <c r="U833" t="n">
        <v>104.6349</v>
      </c>
      <c r="V833" t="n">
        <v>105.6</v>
      </c>
      <c r="W833" t="n">
        <v>100.7201</v>
      </c>
      <c r="X833" t="n">
        <v>104.8084</v>
      </c>
      <c r="Y833" t="n">
        <v/>
      </c>
      <c r="Z833" t="n">
        <v/>
      </c>
      <c r="AA833" t="n">
        <v>101.1955</v>
      </c>
      <c r="AB833" t="n">
        <v>106.8184</v>
      </c>
      <c r="AC833" t="n">
        <v>100.523</v>
      </c>
      <c r="AD833" t="n">
        <v>101.8411</v>
      </c>
      <c r="AE833" t="n">
        <v>100.4178</v>
      </c>
      <c r="AF833" t="n">
        <v>104.7302</v>
      </c>
      <c r="AG833" t="n">
        <v>108.4703</v>
      </c>
      <c r="AH833" t="n">
        <v>103.03</v>
      </c>
      <c r="AI833" t="n">
        <v>105.8107</v>
      </c>
      <c r="AJ833" t="n">
        <v>110.6105</v>
      </c>
      <c r="AK833" t="n">
        <v>102.9475</v>
      </c>
      <c r="AL833" t="n">
        <v>106.6164</v>
      </c>
      <c r="AM833" t="n">
        <v>105.6497</v>
      </c>
      <c r="AN833" t="n">
        <v>105.608</v>
      </c>
      <c r="AO833" t="n">
        <v>101.3693</v>
      </c>
      <c r="AP833" t="n">
        <v>103.0714</v>
      </c>
      <c r="AQ833" t="n">
        <v/>
      </c>
      <c r="AR833" t="n">
        <v/>
      </c>
      <c r="AS833" t="n">
        <v>104.0968</v>
      </c>
      <c r="AT833" t="n">
        <v>102.2417</v>
      </c>
      <c r="AU833" t="n">
        <v>103.2768</v>
      </c>
      <c r="AV833" t="n">
        <v>132.5649</v>
      </c>
      <c r="AW833" t="n">
        <v>106.1006</v>
      </c>
      <c r="AX833" t="n">
        <v>114.5566</v>
      </c>
    </row>
    <row r="834">
      <c r="A834" s="92" t="n">
        <v>43221</v>
      </c>
      <c r="B834" t="n">
        <v>105.2088</v>
      </c>
      <c r="C834" t="n">
        <v>104.7557</v>
      </c>
      <c r="D834" t="n">
        <v/>
      </c>
      <c r="E834" t="n">
        <v>105.4584</v>
      </c>
      <c r="F834" t="n">
        <v>100.8028</v>
      </c>
      <c r="G834" t="n">
        <v>108.1212</v>
      </c>
      <c r="H834" t="n">
        <v/>
      </c>
      <c r="I834" t="n">
        <v>115.6322</v>
      </c>
      <c r="J834" t="n">
        <v>103.542</v>
      </c>
      <c r="K834" t="n">
        <v>105.9</v>
      </c>
      <c r="L834" t="n">
        <v>103.9973</v>
      </c>
      <c r="M834" t="n">
        <v>102.4172</v>
      </c>
      <c r="N834" t="n">
        <v>103.51</v>
      </c>
      <c r="O834" t="n">
        <v>103.5839</v>
      </c>
      <c r="P834" t="n">
        <v>105.5654</v>
      </c>
      <c r="Q834" t="n">
        <v/>
      </c>
      <c r="R834" t="n">
        <v>102.24</v>
      </c>
      <c r="S834" t="n">
        <v>102.3689</v>
      </c>
      <c r="T834" t="n">
        <v/>
      </c>
      <c r="U834" t="n">
        <v>104.8408</v>
      </c>
      <c r="V834" t="n">
        <v>105.9</v>
      </c>
      <c r="W834" t="n">
        <v>99.92216000000001</v>
      </c>
      <c r="X834" t="n">
        <v>105.0338</v>
      </c>
      <c r="Y834" t="n">
        <v/>
      </c>
      <c r="Z834" t="n">
        <v/>
      </c>
      <c r="AA834" t="n">
        <v>101.6947</v>
      </c>
      <c r="AB834" t="n">
        <v>106.6372</v>
      </c>
      <c r="AC834" t="n">
        <v>100.928</v>
      </c>
      <c r="AD834" t="n">
        <v>101.9453</v>
      </c>
      <c r="AE834" t="n">
        <v>100.5471</v>
      </c>
      <c r="AF834" t="n">
        <v>104.8794</v>
      </c>
      <c r="AG834" t="n">
        <v>108.7866</v>
      </c>
      <c r="AH834" t="n">
        <v>103.16</v>
      </c>
      <c r="AI834" t="n">
        <v>105.9392</v>
      </c>
      <c r="AJ834" t="n">
        <v>110.8909</v>
      </c>
      <c r="AK834" t="n">
        <v>103.1037</v>
      </c>
      <c r="AL834" t="n">
        <v>106.792</v>
      </c>
      <c r="AM834" t="n">
        <v>105.8983</v>
      </c>
      <c r="AN834" t="n">
        <v>106.0199</v>
      </c>
      <c r="AO834" t="n">
        <v>101.2823</v>
      </c>
      <c r="AP834" t="n">
        <v>103.3191</v>
      </c>
      <c r="AQ834" t="n">
        <v/>
      </c>
      <c r="AR834" t="n">
        <v/>
      </c>
      <c r="AS834" t="n">
        <v>103.9292</v>
      </c>
      <c r="AT834" t="n">
        <v>103.1617</v>
      </c>
      <c r="AU834" t="n">
        <v>103.3907</v>
      </c>
      <c r="AV834" t="n">
        <v>134.7422</v>
      </c>
      <c r="AW834" t="n">
        <v>106.2839</v>
      </c>
      <c r="AX834" t="n">
        <v>114.738</v>
      </c>
    </row>
    <row r="835">
      <c r="A835" s="92" t="n">
        <v>43252</v>
      </c>
      <c r="B835" t="n">
        <v>105.3088</v>
      </c>
      <c r="C835" t="n">
        <v>104.6295</v>
      </c>
      <c r="D835" t="n">
        <v/>
      </c>
      <c r="E835" t="n">
        <v>105.6487</v>
      </c>
      <c r="F835" t="n">
        <v>100.7063</v>
      </c>
      <c r="G835" t="n">
        <v>107.991</v>
      </c>
      <c r="H835" t="n">
        <v/>
      </c>
      <c r="I835" t="n">
        <v>115.9347</v>
      </c>
      <c r="J835" t="n">
        <v>103.6386</v>
      </c>
      <c r="K835" t="n">
        <v>106</v>
      </c>
      <c r="L835" t="n">
        <v>104.0752</v>
      </c>
      <c r="M835" t="n">
        <v>102.2575</v>
      </c>
      <c r="N835" t="n">
        <v>103.56</v>
      </c>
      <c r="O835" t="n">
        <v>103.6711</v>
      </c>
      <c r="P835" t="n">
        <v>106.0762</v>
      </c>
      <c r="Q835" t="n">
        <v/>
      </c>
      <c r="R835" t="n">
        <v>102.44</v>
      </c>
      <c r="S835" t="n">
        <v>102.3291</v>
      </c>
      <c r="T835" t="n">
        <v/>
      </c>
      <c r="U835" t="n">
        <v>104.8976</v>
      </c>
      <c r="V835" t="n">
        <v>105.8</v>
      </c>
      <c r="W835" t="n">
        <v>101.2212</v>
      </c>
      <c r="X835" t="n">
        <v>105.3343</v>
      </c>
      <c r="Y835" t="n">
        <v/>
      </c>
      <c r="Z835" t="n">
        <v/>
      </c>
      <c r="AA835" t="n">
        <v>101.6168</v>
      </c>
      <c r="AB835" t="n">
        <v>107.2655</v>
      </c>
      <c r="AC835" t="n">
        <v>100.8267</v>
      </c>
      <c r="AD835" t="n">
        <v>102.1261</v>
      </c>
      <c r="AE835" t="n">
        <v>100.366</v>
      </c>
      <c r="AF835" t="n">
        <v>104.69</v>
      </c>
      <c r="AG835" t="n">
        <v>109.1817</v>
      </c>
      <c r="AH835" t="n">
        <v>103.24</v>
      </c>
      <c r="AI835" t="n">
        <v>106.4482</v>
      </c>
      <c r="AJ835" t="n">
        <v>111.1502</v>
      </c>
      <c r="AK835" t="n">
        <v>102.7242</v>
      </c>
      <c r="AL835" t="n">
        <v>107.1557</v>
      </c>
      <c r="AM835" t="n">
        <v>106.0218</v>
      </c>
      <c r="AN835" t="n">
        <v>106.2385</v>
      </c>
      <c r="AO835" t="n">
        <v>101.3693</v>
      </c>
      <c r="AP835" t="n">
        <v>103.3489</v>
      </c>
      <c r="AQ835" t="n">
        <v/>
      </c>
      <c r="AR835" t="n">
        <v/>
      </c>
      <c r="AS835" t="n">
        <v>103.9117</v>
      </c>
      <c r="AT835" t="n">
        <v>103.2817</v>
      </c>
      <c r="AU835" t="n">
        <v>103.6555</v>
      </c>
      <c r="AV835" t="n">
        <v>137.0217</v>
      </c>
      <c r="AW835" t="n">
        <v>106.378</v>
      </c>
      <c r="AX835" t="n">
        <v>114.7881</v>
      </c>
    </row>
    <row r="836">
      <c r="A836" s="92" t="n">
        <v>43282</v>
      </c>
      <c r="B836" t="n">
        <v>105.1088</v>
      </c>
      <c r="C836" t="n">
        <v>105.0665</v>
      </c>
      <c r="D836" t="n">
        <v/>
      </c>
      <c r="E836" t="n">
        <v>106.1747</v>
      </c>
      <c r="F836" t="n">
        <v>100.4066</v>
      </c>
      <c r="G836" t="n">
        <v>108.2731</v>
      </c>
      <c r="H836" t="n">
        <v/>
      </c>
      <c r="I836" t="n">
        <v>115.9592</v>
      </c>
      <c r="J836" t="n">
        <v>103.8219</v>
      </c>
      <c r="K836" t="n">
        <v>106.8</v>
      </c>
      <c r="L836" t="n">
        <v>104.6414</v>
      </c>
      <c r="M836" t="n">
        <v>103.3091</v>
      </c>
      <c r="N836" t="n">
        <v>103.18</v>
      </c>
      <c r="O836" t="n">
        <v>102.6349</v>
      </c>
      <c r="P836" t="n">
        <v>106.0762</v>
      </c>
      <c r="Q836" t="n">
        <v/>
      </c>
      <c r="R836" t="n">
        <v>102.39</v>
      </c>
      <c r="S836" t="n">
        <v>102.1396</v>
      </c>
      <c r="T836" t="n">
        <v/>
      </c>
      <c r="U836" t="n">
        <v>105.0019</v>
      </c>
      <c r="V836" t="n">
        <v>105.8</v>
      </c>
      <c r="W836" t="n">
        <v>98.37653</v>
      </c>
      <c r="X836" t="n">
        <v>105.7851</v>
      </c>
      <c r="Y836" t="n">
        <v/>
      </c>
      <c r="Z836" t="n">
        <v/>
      </c>
      <c r="AA836" t="n">
        <v>102.0505</v>
      </c>
      <c r="AB836" t="n">
        <v>107.3171</v>
      </c>
      <c r="AC836" t="n">
        <v>100.7255</v>
      </c>
      <c r="AD836" t="n">
        <v>102.3901</v>
      </c>
      <c r="AE836" t="n">
        <v>100.1777</v>
      </c>
      <c r="AF836" t="n">
        <v>104.6996</v>
      </c>
      <c r="AG836" t="n">
        <v>108.4147</v>
      </c>
      <c r="AH836" t="n">
        <v>102.29</v>
      </c>
      <c r="AI836" t="n">
        <v>105.4917</v>
      </c>
      <c r="AJ836" t="n">
        <v>111.433</v>
      </c>
      <c r="AK836" t="n">
        <v>104.0218</v>
      </c>
      <c r="AL836" t="n">
        <v>107.1487</v>
      </c>
      <c r="AM836" t="n">
        <v>106.1242</v>
      </c>
      <c r="AN836" t="n">
        <v>106.3552</v>
      </c>
      <c r="AO836" t="n">
        <v>101.2823</v>
      </c>
      <c r="AP836" t="n">
        <v>102.5265</v>
      </c>
      <c r="AQ836" t="n">
        <v/>
      </c>
      <c r="AR836" t="n">
        <v/>
      </c>
      <c r="AS836" t="n">
        <v>104.0911</v>
      </c>
      <c r="AT836" t="n">
        <v>102.2517</v>
      </c>
      <c r="AU836" t="n">
        <v>103.8264</v>
      </c>
      <c r="AV836" t="n">
        <v>138.2472</v>
      </c>
      <c r="AW836" t="n">
        <v>106.4482</v>
      </c>
      <c r="AX836" t="n">
        <v>115.4359</v>
      </c>
    </row>
    <row r="837">
      <c r="A837" s="92" t="n">
        <v>43313</v>
      </c>
      <c r="B837" t="n">
        <v>105.2088</v>
      </c>
      <c r="C837" t="n">
        <v>105.2413</v>
      </c>
      <c r="D837" t="n">
        <v/>
      </c>
      <c r="E837" t="n">
        <v>106.2241</v>
      </c>
      <c r="F837" t="n">
        <v>100.4591</v>
      </c>
      <c r="G837" t="n">
        <v>108.2623</v>
      </c>
      <c r="H837" t="n">
        <v/>
      </c>
      <c r="I837" t="n">
        <v>116.0328</v>
      </c>
      <c r="J837" t="n">
        <v>103.72</v>
      </c>
      <c r="K837" t="n">
        <v>106.9</v>
      </c>
      <c r="L837" t="n">
        <v>104.7022</v>
      </c>
      <c r="M837" t="n">
        <v>102.8877</v>
      </c>
      <c r="N837" t="n">
        <v>103.34</v>
      </c>
      <c r="O837" t="n">
        <v>102.6801</v>
      </c>
      <c r="P837" t="n">
        <v>106.9842</v>
      </c>
      <c r="Q837" t="n">
        <v/>
      </c>
      <c r="R837" t="n">
        <v>102.42</v>
      </c>
      <c r="S837" t="n">
        <v>102.7245</v>
      </c>
      <c r="T837" t="n">
        <v/>
      </c>
      <c r="U837" t="n">
        <v>105.1971</v>
      </c>
      <c r="V837" t="n">
        <v>106.5</v>
      </c>
      <c r="W837" t="n">
        <v>97.84056</v>
      </c>
      <c r="X837" t="n">
        <v>105.8603</v>
      </c>
      <c r="Y837" t="n">
        <v/>
      </c>
      <c r="Z837" t="n">
        <v/>
      </c>
      <c r="AA837" t="n">
        <v>102.2898</v>
      </c>
      <c r="AB837" t="n">
        <v>107.4751</v>
      </c>
      <c r="AC837" t="n">
        <v>100.928</v>
      </c>
      <c r="AD837" t="n">
        <v>102.9298</v>
      </c>
      <c r="AE837" t="n">
        <v>100.5951</v>
      </c>
      <c r="AF837" t="n">
        <v>104.8794</v>
      </c>
      <c r="AG837" t="n">
        <v>108.3204</v>
      </c>
      <c r="AH837" t="n">
        <v>104</v>
      </c>
      <c r="AI837" t="n">
        <v>105.7188</v>
      </c>
      <c r="AJ837" t="n">
        <v>111.6765</v>
      </c>
      <c r="AK837" t="n">
        <v>104.0365</v>
      </c>
      <c r="AL837" t="n">
        <v>106.8394</v>
      </c>
      <c r="AM837" t="n">
        <v>106.3713</v>
      </c>
      <c r="AN837" t="n">
        <v>106.8451</v>
      </c>
      <c r="AO837" t="n">
        <v>101.3693</v>
      </c>
      <c r="AP837" t="n">
        <v>102.0311</v>
      </c>
      <c r="AQ837" t="n">
        <v/>
      </c>
      <c r="AR837" t="n">
        <v/>
      </c>
      <c r="AS837" t="n">
        <v>104.4848</v>
      </c>
      <c r="AT837" t="n">
        <v>102.3417</v>
      </c>
      <c r="AU837" t="n">
        <v>103.4611</v>
      </c>
      <c r="AV837" t="n">
        <v>141.6419</v>
      </c>
      <c r="AW837" t="n">
        <v>106.508</v>
      </c>
      <c r="AX837" t="n">
        <v>115.3043</v>
      </c>
    </row>
    <row r="838">
      <c r="A838" s="92" t="n">
        <v>43344</v>
      </c>
      <c r="B838" t="n">
        <v>105.9088</v>
      </c>
      <c r="C838" t="n">
        <v>105.0471</v>
      </c>
      <c r="D838" t="n">
        <v/>
      </c>
      <c r="E838" t="n">
        <v>105.9353</v>
      </c>
      <c r="F838" t="n">
        <v>100.4145</v>
      </c>
      <c r="G838" t="n">
        <v>108.4793</v>
      </c>
      <c r="H838" t="n">
        <v/>
      </c>
      <c r="I838" t="n">
        <v>116.1309</v>
      </c>
      <c r="J838" t="n">
        <v>104.0129</v>
      </c>
      <c r="K838" t="n">
        <v>106.3</v>
      </c>
      <c r="L838" t="n">
        <v>104.5837</v>
      </c>
      <c r="M838" t="n">
        <v>102.3889</v>
      </c>
      <c r="N838" t="n">
        <v>103.66</v>
      </c>
      <c r="O838" t="n">
        <v>102.7274</v>
      </c>
      <c r="P838" t="n">
        <v>106.9842</v>
      </c>
      <c r="Q838" t="n">
        <v/>
      </c>
      <c r="R838" t="n">
        <v>102.52</v>
      </c>
      <c r="S838" t="n">
        <v>102.2176</v>
      </c>
      <c r="T838" t="n">
        <v/>
      </c>
      <c r="U838" t="n">
        <v>105.1869</v>
      </c>
      <c r="V838" t="n">
        <v>106.5</v>
      </c>
      <c r="W838" t="n">
        <v>100.5956</v>
      </c>
      <c r="X838" t="n">
        <v>106.0105</v>
      </c>
      <c r="Y838" t="n">
        <v/>
      </c>
      <c r="Z838" t="n">
        <v/>
      </c>
      <c r="AA838" t="n">
        <v>101.8027</v>
      </c>
      <c r="AB838" t="n">
        <v>107.5413</v>
      </c>
      <c r="AC838" t="n">
        <v>100.8267</v>
      </c>
      <c r="AD838" t="n">
        <v>102.2501</v>
      </c>
      <c r="AE838" t="n">
        <v>100.4616</v>
      </c>
      <c r="AF838" t="n">
        <v>104.8001</v>
      </c>
      <c r="AG838" t="n">
        <v>109.361</v>
      </c>
      <c r="AH838" t="n">
        <v>104.08</v>
      </c>
      <c r="AI838" t="n">
        <v>106.2889</v>
      </c>
      <c r="AJ838" t="n">
        <v>111.9948</v>
      </c>
      <c r="AK838" t="n">
        <v>103.5015</v>
      </c>
      <c r="AL838" t="n">
        <v>107.6317</v>
      </c>
      <c r="AM838" t="n">
        <v>106.637</v>
      </c>
      <c r="AN838" t="n">
        <v>107.3875</v>
      </c>
      <c r="AO838" t="n">
        <v>101.3693</v>
      </c>
      <c r="AP838" t="n">
        <v>103.438</v>
      </c>
      <c r="AQ838" t="n">
        <v/>
      </c>
      <c r="AR838" t="n">
        <v/>
      </c>
      <c r="AS838" t="n">
        <v>104.3013</v>
      </c>
      <c r="AT838" t="n">
        <v>102.5617</v>
      </c>
      <c r="AU838" t="n">
        <v>103.9403</v>
      </c>
      <c r="AV838" t="n">
        <v>150.3186</v>
      </c>
      <c r="AW838" t="n">
        <v>106.6802</v>
      </c>
      <c r="AX838" t="n">
        <v>115.9438</v>
      </c>
    </row>
    <row r="839">
      <c r="A839" s="92" t="n">
        <v>43374</v>
      </c>
      <c r="B839" t="n">
        <v>106.0088</v>
      </c>
      <c r="C839" t="n">
        <v>105.1928</v>
      </c>
      <c r="D839" t="n">
        <v/>
      </c>
      <c r="E839" t="n">
        <v>106.5532</v>
      </c>
      <c r="F839" t="n">
        <v>100.4693</v>
      </c>
      <c r="G839" t="n">
        <v>108.8482</v>
      </c>
      <c r="H839" t="n">
        <v/>
      </c>
      <c r="I839" t="n">
        <v>116.229</v>
      </c>
      <c r="J839" t="n">
        <v>104.5857</v>
      </c>
      <c r="K839" t="n">
        <v>106.8</v>
      </c>
      <c r="L839" t="n">
        <v>104.7265</v>
      </c>
      <c r="M839" t="n">
        <v>102.6618</v>
      </c>
      <c r="N839" t="n">
        <v>103.72</v>
      </c>
      <c r="O839" t="n">
        <v>103.647</v>
      </c>
      <c r="P839" t="n">
        <v>107.4383</v>
      </c>
      <c r="Q839" t="n">
        <v/>
      </c>
      <c r="R839" t="n">
        <v>102.65</v>
      </c>
      <c r="S839" t="n">
        <v>102.1941</v>
      </c>
      <c r="T839" t="n">
        <v/>
      </c>
      <c r="U839" t="n">
        <v>105.3853</v>
      </c>
      <c r="V839" t="n">
        <v>106.6</v>
      </c>
      <c r="W839" t="n">
        <v>101.0343</v>
      </c>
      <c r="X839" t="n">
        <v>106.5364</v>
      </c>
      <c r="Y839" t="n">
        <v/>
      </c>
      <c r="Z839" t="n">
        <v/>
      </c>
      <c r="AA839" t="n">
        <v>101.5521</v>
      </c>
      <c r="AB839" t="n">
        <v>108.1212</v>
      </c>
      <c r="AC839" t="n">
        <v>101.1304</v>
      </c>
      <c r="AD839" t="n">
        <v>101.8008</v>
      </c>
      <c r="AE839" t="n">
        <v>100.7234</v>
      </c>
      <c r="AF839" t="n">
        <v>104.8794</v>
      </c>
      <c r="AG839" t="n">
        <v>109.9274</v>
      </c>
      <c r="AH839" t="n">
        <v>103.98</v>
      </c>
      <c r="AI839" t="n">
        <v>106.6657</v>
      </c>
      <c r="AJ839" t="n">
        <v>112.3326</v>
      </c>
      <c r="AK839" t="n">
        <v>103.9538</v>
      </c>
      <c r="AL839" t="n">
        <v>107.722</v>
      </c>
      <c r="AM839" t="n">
        <v>106.935</v>
      </c>
      <c r="AN839" t="n">
        <v>107.7529</v>
      </c>
      <c r="AO839" t="n">
        <v>101.6301</v>
      </c>
      <c r="AP839" t="n">
        <v>103.3489</v>
      </c>
      <c r="AQ839" t="n">
        <v/>
      </c>
      <c r="AR839" t="n">
        <v/>
      </c>
      <c r="AS839" t="n">
        <v>104.4164</v>
      </c>
      <c r="AT839" t="n">
        <v>102.7417</v>
      </c>
      <c r="AU839" t="n">
        <v>103.9336</v>
      </c>
      <c r="AV839" t="n">
        <v>153.6561</v>
      </c>
      <c r="AW839" t="n">
        <v>106.9419</v>
      </c>
      <c r="AX839" t="n">
        <v>116.1012</v>
      </c>
    </row>
    <row r="840">
      <c r="A840" s="92" t="n">
        <v>43405</v>
      </c>
      <c r="B840" t="n">
        <v>106.2088</v>
      </c>
      <c r="C840" t="n">
        <v>105.3385</v>
      </c>
      <c r="D840" t="n">
        <v/>
      </c>
      <c r="E840" t="n">
        <v>106.2276</v>
      </c>
      <c r="F840" t="n">
        <v>100.2109</v>
      </c>
      <c r="G840" t="n">
        <v>108.8157</v>
      </c>
      <c r="H840" t="n">
        <v/>
      </c>
      <c r="I840" t="n">
        <v>116.3516</v>
      </c>
      <c r="J840" t="n">
        <v>104.9784</v>
      </c>
      <c r="K840" t="n">
        <v>106.9</v>
      </c>
      <c r="L840" t="n">
        <v>103.6342</v>
      </c>
      <c r="M840" t="n">
        <v>102.3612</v>
      </c>
      <c r="N840" t="n">
        <v>102.92</v>
      </c>
      <c r="O840" t="n">
        <v>104.0064</v>
      </c>
      <c r="P840" t="n">
        <v>106.4734</v>
      </c>
      <c r="Q840" t="n">
        <v/>
      </c>
      <c r="R840" t="n">
        <v>102.67</v>
      </c>
      <c r="S840" t="n">
        <v>102.039</v>
      </c>
      <c r="T840" t="n">
        <v/>
      </c>
      <c r="U840" t="n">
        <v>105.2536</v>
      </c>
      <c r="V840" t="n">
        <v>106.8</v>
      </c>
      <c r="W840" t="n">
        <v>99.49075000000001</v>
      </c>
      <c r="X840" t="n">
        <v>106.5364</v>
      </c>
      <c r="Y840" t="n">
        <v/>
      </c>
      <c r="Z840" t="n">
        <v/>
      </c>
      <c r="AA840" t="n">
        <v>101.0205</v>
      </c>
      <c r="AB840" t="n">
        <v>108.4682</v>
      </c>
      <c r="AC840" t="n">
        <v>101.0292</v>
      </c>
      <c r="AD840" t="n">
        <v>101.439</v>
      </c>
      <c r="AE840" t="n">
        <v>100.7304</v>
      </c>
      <c r="AF840" t="n">
        <v>104.7503</v>
      </c>
      <c r="AG840" t="n">
        <v>110.0201</v>
      </c>
      <c r="AH840" t="n">
        <v>103.97</v>
      </c>
      <c r="AI840" t="n">
        <v>106.5297</v>
      </c>
      <c r="AJ840" t="n">
        <v>112.5625</v>
      </c>
      <c r="AK840" t="n">
        <v>103.6624</v>
      </c>
      <c r="AL840" t="n">
        <v>107.7666</v>
      </c>
      <c r="AM840" t="n">
        <v>106.7652</v>
      </c>
      <c r="AN840" t="n">
        <v>107.3004</v>
      </c>
      <c r="AO840" t="n">
        <v>101.5431</v>
      </c>
      <c r="AP840" t="n">
        <v>102.8237</v>
      </c>
      <c r="AQ840" t="n">
        <v/>
      </c>
      <c r="AR840" t="n">
        <v/>
      </c>
      <c r="AS840" t="n">
        <v>104.7139</v>
      </c>
      <c r="AT840" t="n">
        <v>102.9617</v>
      </c>
      <c r="AU840" t="n">
        <v>103.8029</v>
      </c>
      <c r="AV840" t="n">
        <v>150.9273</v>
      </c>
      <c r="AW840" t="n">
        <v>106.9592</v>
      </c>
      <c r="AX840" t="n">
        <v>116.1912</v>
      </c>
    </row>
    <row r="841">
      <c r="A841" s="92" t="n">
        <v>43435</v>
      </c>
      <c r="B841" t="n">
        <v>106.6089</v>
      </c>
      <c r="C841" t="n">
        <v>105.5716</v>
      </c>
      <c r="D841" t="n">
        <v/>
      </c>
      <c r="E841" t="n">
        <v>106.2492</v>
      </c>
      <c r="F841" t="n">
        <v>100.2887</v>
      </c>
      <c r="G841" t="n">
        <v>109.1195</v>
      </c>
      <c r="H841" t="n">
        <v/>
      </c>
      <c r="I841" t="n">
        <v>116.6541</v>
      </c>
      <c r="J841" t="n">
        <v>105.395</v>
      </c>
      <c r="K841" t="n">
        <v>106.8</v>
      </c>
      <c r="L841" t="n">
        <v>104.1579</v>
      </c>
      <c r="M841" t="n">
        <v>102.2413</v>
      </c>
      <c r="N841" t="n">
        <v>103.35</v>
      </c>
      <c r="O841" t="n">
        <v>104.0758</v>
      </c>
      <c r="P841" t="n">
        <v>106.6437</v>
      </c>
      <c r="Q841" t="n">
        <v/>
      </c>
      <c r="R841" t="n">
        <v>102.85</v>
      </c>
      <c r="S841" t="n">
        <v>102.2076</v>
      </c>
      <c r="T841" t="n">
        <v/>
      </c>
      <c r="U841" t="n">
        <v>105.3387</v>
      </c>
      <c r="V841" t="n">
        <v>107.1</v>
      </c>
      <c r="W841" t="n">
        <v>100.6194</v>
      </c>
      <c r="X841" t="n">
        <v>106.7618</v>
      </c>
      <c r="Y841" t="n">
        <v/>
      </c>
      <c r="Z841" t="n">
        <v/>
      </c>
      <c r="AA841" t="n">
        <v>101.2801</v>
      </c>
      <c r="AB841" t="n">
        <v>109.449</v>
      </c>
      <c r="AC841" t="n">
        <v>100.928</v>
      </c>
      <c r="AD841" t="n">
        <v>101.5925</v>
      </c>
      <c r="AE841" t="n">
        <v>100.655</v>
      </c>
      <c r="AF841" t="n">
        <v>104.7302</v>
      </c>
      <c r="AG841" t="n">
        <v>109.6338</v>
      </c>
      <c r="AH841" t="n">
        <v>104.08</v>
      </c>
      <c r="AI841" t="n">
        <v>106.1649</v>
      </c>
      <c r="AJ841" t="n">
        <v>113.0635</v>
      </c>
      <c r="AK841" t="n">
        <v>103.7209</v>
      </c>
      <c r="AL841" t="n">
        <v>108.1496</v>
      </c>
      <c r="AM841" t="n">
        <v>106.8586</v>
      </c>
      <c r="AN841" t="n">
        <v>107.4916</v>
      </c>
      <c r="AO841" t="n">
        <v>101.5431</v>
      </c>
      <c r="AP841" t="n">
        <v>102.8733</v>
      </c>
      <c r="AQ841" t="n">
        <v/>
      </c>
      <c r="AR841" t="n">
        <v/>
      </c>
      <c r="AS841" t="n">
        <v>104.5172</v>
      </c>
      <c r="AT841" t="n">
        <v>102.7917</v>
      </c>
      <c r="AU841" t="n">
        <v>104.3994</v>
      </c>
      <c r="AV841" t="n">
        <v>150.3636</v>
      </c>
      <c r="AW841" t="n">
        <v>106.9501</v>
      </c>
      <c r="AX841" t="n">
        <v>116.6232</v>
      </c>
    </row>
    <row r="842">
      <c r="A842" s="92" t="n">
        <v>43466</v>
      </c>
      <c r="B842" t="n">
        <v>105.8088</v>
      </c>
      <c r="C842" t="n">
        <v>105.6881</v>
      </c>
      <c r="D842" t="n">
        <v/>
      </c>
      <c r="E842" t="n">
        <v>106.4064</v>
      </c>
      <c r="F842" t="n">
        <v>100.0926</v>
      </c>
      <c r="G842" t="n">
        <v>109.5644</v>
      </c>
      <c r="H842" t="n">
        <v/>
      </c>
      <c r="I842" t="n">
        <v>117.2367</v>
      </c>
      <c r="J842" t="n">
        <v>105.9082</v>
      </c>
      <c r="K842" t="n">
        <v>107.8</v>
      </c>
      <c r="L842" t="n">
        <v>103.3587</v>
      </c>
      <c r="M842" t="n">
        <v>102.2906</v>
      </c>
      <c r="N842" t="n">
        <v>101.8</v>
      </c>
      <c r="O842" t="n">
        <v>102.1325</v>
      </c>
      <c r="P842" t="n">
        <v>106.1329</v>
      </c>
      <c r="Q842" t="n">
        <v/>
      </c>
      <c r="R842" t="n">
        <v>102.34</v>
      </c>
      <c r="S842" t="n">
        <v>101.6466</v>
      </c>
      <c r="T842" t="n">
        <v/>
      </c>
      <c r="U842" t="n">
        <v>105.3854</v>
      </c>
      <c r="V842" t="n">
        <v>106.4</v>
      </c>
      <c r="W842" t="n">
        <v>97.53752</v>
      </c>
      <c r="X842" t="n">
        <v>107.1375</v>
      </c>
      <c r="Y842" t="n">
        <v/>
      </c>
      <c r="Z842" t="n">
        <v/>
      </c>
      <c r="AA842" t="n">
        <v>100.7472</v>
      </c>
      <c r="AB842" t="n">
        <v>108.7288</v>
      </c>
      <c r="AC842" t="n">
        <v>100.6243</v>
      </c>
      <c r="AD842" t="n">
        <v>101.519</v>
      </c>
      <c r="AE842" t="n">
        <v>100.3913</v>
      </c>
      <c r="AF842" t="n">
        <v>104.9704</v>
      </c>
      <c r="AG842" t="n">
        <v>109.2375</v>
      </c>
      <c r="AH842" t="n">
        <v>102.75</v>
      </c>
      <c r="AI842" t="n">
        <v>106.3265</v>
      </c>
      <c r="AJ842" t="n">
        <v>113.3191</v>
      </c>
      <c r="AK842" t="n">
        <v>103.0377</v>
      </c>
      <c r="AL842" t="n">
        <v>107.3203</v>
      </c>
      <c r="AM842" t="n">
        <v>106.8109</v>
      </c>
      <c r="AN842" t="n">
        <v>106.8589</v>
      </c>
      <c r="AO842" t="n">
        <v>101.5431</v>
      </c>
      <c r="AP842" t="n">
        <v>101.4565</v>
      </c>
      <c r="AQ842" t="n">
        <v/>
      </c>
      <c r="AR842" t="n">
        <v/>
      </c>
      <c r="AS842" t="n">
        <v>104.8067</v>
      </c>
      <c r="AT842" t="n">
        <v>101.2017</v>
      </c>
      <c r="AU842" t="n">
        <v>102.9651</v>
      </c>
      <c r="AV842" t="n">
        <v>150.3677</v>
      </c>
      <c r="AW842" t="n">
        <v>107.3791</v>
      </c>
      <c r="AX842" t="n">
        <v>116.9441</v>
      </c>
    </row>
    <row r="843">
      <c r="A843" s="92" t="n">
        <v>43497</v>
      </c>
      <c r="B843" t="n">
        <v>105.9088</v>
      </c>
      <c r="C843" t="n">
        <v>106.0572</v>
      </c>
      <c r="D843" t="n">
        <v/>
      </c>
      <c r="E843" t="n">
        <v>107.0864</v>
      </c>
      <c r="F843" t="n">
        <v>100.4553</v>
      </c>
      <c r="G843" t="n">
        <v>109.8465</v>
      </c>
      <c r="H843" t="n">
        <v/>
      </c>
      <c r="I843" t="n">
        <v>118.0387</v>
      </c>
      <c r="J843" t="n">
        <v>106.5797</v>
      </c>
      <c r="K843" t="n">
        <v>107.9</v>
      </c>
      <c r="L843" t="n">
        <v>103.7647</v>
      </c>
      <c r="M843" t="n">
        <v>102.7381</v>
      </c>
      <c r="N843" t="n">
        <v>102.07</v>
      </c>
      <c r="O843" t="n">
        <v>102.2986</v>
      </c>
      <c r="P843" t="n">
        <v>106.3032</v>
      </c>
      <c r="Q843" t="n">
        <v/>
      </c>
      <c r="R843" t="n">
        <v>102.71</v>
      </c>
      <c r="S843" t="n">
        <v>101.5565</v>
      </c>
      <c r="T843" t="n">
        <v/>
      </c>
      <c r="U843" t="n">
        <v>105.7327</v>
      </c>
      <c r="V843" t="n">
        <v>106.9</v>
      </c>
      <c r="W843" t="n">
        <v>97.44889000000001</v>
      </c>
      <c r="X843" t="n">
        <v>107.438</v>
      </c>
      <c r="Y843" t="n">
        <v/>
      </c>
      <c r="Z843" t="n">
        <v/>
      </c>
      <c r="AA843" t="n">
        <v>101.7179</v>
      </c>
      <c r="AB843" t="n">
        <v>109.0357</v>
      </c>
      <c r="AC843" t="n">
        <v>100.6243</v>
      </c>
      <c r="AD843" t="n">
        <v>101.5219</v>
      </c>
      <c r="AE843" t="n">
        <v>100.5261</v>
      </c>
      <c r="AF843" t="n">
        <v>105.4697</v>
      </c>
      <c r="AG843" t="n">
        <v>109.306</v>
      </c>
      <c r="AH843" t="n">
        <v>104.68</v>
      </c>
      <c r="AI843" t="n">
        <v>106.4292</v>
      </c>
      <c r="AJ843" t="n">
        <v>113.7963</v>
      </c>
      <c r="AK843" t="n">
        <v>103.8991</v>
      </c>
      <c r="AL843" t="n">
        <v>108.2082</v>
      </c>
      <c r="AM843" t="n">
        <v>107.143</v>
      </c>
      <c r="AN843" t="n">
        <v>107.0875</v>
      </c>
      <c r="AO843" t="n">
        <v>101.717</v>
      </c>
      <c r="AP843" t="n">
        <v>101.1097</v>
      </c>
      <c r="AQ843" t="n">
        <v/>
      </c>
      <c r="AR843" t="n">
        <v/>
      </c>
      <c r="AS843" t="n">
        <v>105.0063</v>
      </c>
      <c r="AT843" t="n">
        <v>102.0717</v>
      </c>
      <c r="AU843" t="n">
        <v>103.7694</v>
      </c>
      <c r="AV843" t="n">
        <v>149.9469</v>
      </c>
      <c r="AW843" t="n">
        <v>107.7886</v>
      </c>
      <c r="AX843" t="n">
        <v>118.1988</v>
      </c>
    </row>
    <row r="844">
      <c r="A844" s="92" t="n">
        <v>43525</v>
      </c>
      <c r="B844" t="n">
        <v>106.8089</v>
      </c>
      <c r="C844" t="n">
        <v>106.2514</v>
      </c>
      <c r="D844" t="n">
        <v/>
      </c>
      <c r="E844" t="n">
        <v>107.4421</v>
      </c>
      <c r="F844" t="n">
        <v>101.0728</v>
      </c>
      <c r="G844" t="n">
        <v>110.324</v>
      </c>
      <c r="H844" t="n">
        <v/>
      </c>
      <c r="I844" t="n">
        <v>118.3489</v>
      </c>
      <c r="J844" t="n">
        <v>106.3714</v>
      </c>
      <c r="K844" t="n">
        <v>108</v>
      </c>
      <c r="L844" t="n">
        <v>104.2457</v>
      </c>
      <c r="M844" t="n">
        <v>102.9454</v>
      </c>
      <c r="N844" t="n">
        <v>103.42</v>
      </c>
      <c r="O844" t="n">
        <v>102.9207</v>
      </c>
      <c r="P844" t="n">
        <v>106.7005</v>
      </c>
      <c r="Q844" t="n">
        <v/>
      </c>
      <c r="R844" t="n">
        <v>102.76</v>
      </c>
      <c r="S844" t="n">
        <v>102.5536</v>
      </c>
      <c r="T844" t="n">
        <v/>
      </c>
      <c r="U844" t="n">
        <v>106.0533</v>
      </c>
      <c r="V844" t="n">
        <v>107</v>
      </c>
      <c r="W844" t="n">
        <v>99.99311</v>
      </c>
      <c r="X844" t="n">
        <v>107.8888</v>
      </c>
      <c r="Y844" t="n">
        <v/>
      </c>
      <c r="Z844" t="n">
        <v/>
      </c>
      <c r="AA844" t="n">
        <v>102.483</v>
      </c>
      <c r="AB844" t="n">
        <v>109.6646</v>
      </c>
      <c r="AC844" t="n">
        <v>101.1304</v>
      </c>
      <c r="AD844" t="n">
        <v>101.9395</v>
      </c>
      <c r="AE844" t="n">
        <v>100.5681</v>
      </c>
      <c r="AF844" t="n">
        <v>105.31</v>
      </c>
      <c r="AG844" t="n">
        <v>110.3935</v>
      </c>
      <c r="AH844" t="n">
        <v>104.84</v>
      </c>
      <c r="AI844" t="n">
        <v>107.8005</v>
      </c>
      <c r="AJ844" t="n">
        <v>114.1687</v>
      </c>
      <c r="AK844" t="n">
        <v>104.3725</v>
      </c>
      <c r="AL844" t="n">
        <v>108.7559</v>
      </c>
      <c r="AM844" t="n">
        <v>107.4953</v>
      </c>
      <c r="AN844" t="n">
        <v>107.6374</v>
      </c>
      <c r="AO844" t="n">
        <v>102.1517</v>
      </c>
      <c r="AP844" t="n">
        <v>103.2597</v>
      </c>
      <c r="AQ844" t="n">
        <v/>
      </c>
      <c r="AR844" t="n">
        <v/>
      </c>
      <c r="AS844" t="n">
        <v>105.4978</v>
      </c>
      <c r="AT844" t="n">
        <v>102.9017</v>
      </c>
      <c r="AU844" t="n">
        <v>104.004</v>
      </c>
      <c r="AV844" t="n">
        <v>150.384</v>
      </c>
      <c r="AW844" t="n">
        <v>108.0866</v>
      </c>
      <c r="AX844" t="n">
        <v>119.0466</v>
      </c>
    </row>
    <row r="845">
      <c r="A845" s="92" t="n">
        <v>43556</v>
      </c>
      <c r="B845" t="n">
        <v>106.8089</v>
      </c>
      <c r="C845" t="n">
        <v>106.5331</v>
      </c>
      <c r="D845" t="n">
        <v/>
      </c>
      <c r="E845" t="n">
        <v>107.5812</v>
      </c>
      <c r="F845" t="n">
        <v>101.2313</v>
      </c>
      <c r="G845" t="n">
        <v>110.4217</v>
      </c>
      <c r="H845" t="n">
        <v/>
      </c>
      <c r="I845" t="n">
        <v>118.775</v>
      </c>
      <c r="J845" t="n">
        <v>106.6415</v>
      </c>
      <c r="K845" t="n">
        <v>108.1</v>
      </c>
      <c r="L845" t="n">
        <v>105.2389</v>
      </c>
      <c r="M845" t="n">
        <v>103.2262</v>
      </c>
      <c r="N845" t="n">
        <v>104.37</v>
      </c>
      <c r="O845" t="n">
        <v>104.2639</v>
      </c>
      <c r="P845" t="n">
        <v>108.0626</v>
      </c>
      <c r="Q845" t="n">
        <v/>
      </c>
      <c r="R845" t="n">
        <v>103.23</v>
      </c>
      <c r="S845" t="n">
        <v>102.8962</v>
      </c>
      <c r="T845" t="n">
        <v/>
      </c>
      <c r="U845" t="n">
        <v>106.4086</v>
      </c>
      <c r="V845" t="n">
        <v>107.5</v>
      </c>
      <c r="W845" t="n">
        <v>101.2283</v>
      </c>
      <c r="X845" t="n">
        <v>108.4899</v>
      </c>
      <c r="Y845" t="n">
        <v/>
      </c>
      <c r="Z845" t="n">
        <v/>
      </c>
      <c r="AA845" t="n">
        <v>102.776</v>
      </c>
      <c r="AB845" t="n">
        <v>110.076</v>
      </c>
      <c r="AC845" t="n">
        <v>101.4341</v>
      </c>
      <c r="AD845" t="n">
        <v>102.6108</v>
      </c>
      <c r="AE845" t="n">
        <v>100.9621</v>
      </c>
      <c r="AF845" t="n">
        <v>105.4697</v>
      </c>
      <c r="AG845" t="n">
        <v>111.1963</v>
      </c>
      <c r="AH845" t="n">
        <v>105.01</v>
      </c>
      <c r="AI845" t="n">
        <v>108.864</v>
      </c>
      <c r="AJ845" t="n">
        <v>114.6823</v>
      </c>
      <c r="AK845" t="n">
        <v>105.0206</v>
      </c>
      <c r="AL845" t="n">
        <v>109.4243</v>
      </c>
      <c r="AM845" t="n">
        <v>107.967</v>
      </c>
      <c r="AN845" t="n">
        <v>108.4764</v>
      </c>
      <c r="AO845" t="n">
        <v>103.195</v>
      </c>
      <c r="AP845" t="n">
        <v>103.9235</v>
      </c>
      <c r="AQ845" t="n">
        <v/>
      </c>
      <c r="AR845" t="n">
        <v/>
      </c>
      <c r="AS845" t="n">
        <v>105.6767</v>
      </c>
      <c r="AT845" t="n">
        <v>103.9817</v>
      </c>
      <c r="AU845" t="n">
        <v>104.8853</v>
      </c>
      <c r="AV845" t="n">
        <v>153.2517</v>
      </c>
      <c r="AW845" t="n">
        <v>108.2914</v>
      </c>
      <c r="AX845" t="n">
        <v>119.2691</v>
      </c>
    </row>
    <row r="846">
      <c r="A846" s="92" t="n">
        <v>43586</v>
      </c>
      <c r="B846" t="n">
        <v>106.9089</v>
      </c>
      <c r="C846" t="n">
        <v>106.4942</v>
      </c>
      <c r="D846" t="n">
        <v/>
      </c>
      <c r="E846" t="n">
        <v>108.0047</v>
      </c>
      <c r="F846" t="n">
        <v>101.4175</v>
      </c>
      <c r="G846" t="n">
        <v>110.8123</v>
      </c>
      <c r="H846" t="n">
        <v/>
      </c>
      <c r="I846" t="n">
        <v>119.0968</v>
      </c>
      <c r="J846" t="n">
        <v>106.3302</v>
      </c>
      <c r="K846" t="n">
        <v>108.4</v>
      </c>
      <c r="L846" t="n">
        <v>105.2148</v>
      </c>
      <c r="M846" t="n">
        <v>103.068</v>
      </c>
      <c r="N846" t="n">
        <v>104.32</v>
      </c>
      <c r="O846" t="n">
        <v>104.4215</v>
      </c>
      <c r="P846" t="n">
        <v>108.0058</v>
      </c>
      <c r="Q846" t="n">
        <v/>
      </c>
      <c r="R846" t="n">
        <v>103.16</v>
      </c>
      <c r="S846" t="n">
        <v>102.8306</v>
      </c>
      <c r="T846" t="n">
        <v/>
      </c>
      <c r="U846" t="n">
        <v>106.468</v>
      </c>
      <c r="V846" t="n">
        <v>107.7</v>
      </c>
      <c r="W846" t="n">
        <v>100.154</v>
      </c>
      <c r="X846" t="n">
        <v>108.8655</v>
      </c>
      <c r="Y846" t="n">
        <v/>
      </c>
      <c r="Z846" t="n">
        <v/>
      </c>
      <c r="AA846" t="n">
        <v>102.4556</v>
      </c>
      <c r="AB846" t="n">
        <v>110.1243</v>
      </c>
      <c r="AC846" t="n">
        <v>101.9403</v>
      </c>
      <c r="AD846" t="n">
        <v>102.3762</v>
      </c>
      <c r="AE846" t="n">
        <v>100.8741</v>
      </c>
      <c r="AF846" t="n">
        <v>105.4803</v>
      </c>
      <c r="AG846" t="n">
        <v>111.3583</v>
      </c>
      <c r="AH846" t="n">
        <v>105.15</v>
      </c>
      <c r="AI846" t="n">
        <v>108.5296</v>
      </c>
      <c r="AJ846" t="n">
        <v>114.8107</v>
      </c>
      <c r="AK846" t="n">
        <v>104.7716</v>
      </c>
      <c r="AL846" t="n">
        <v>109.2313</v>
      </c>
      <c r="AM846" t="n">
        <v>108.081</v>
      </c>
      <c r="AN846" t="n">
        <v>108.6197</v>
      </c>
      <c r="AO846" t="n">
        <v>102.8472</v>
      </c>
      <c r="AP846" t="n">
        <v>103.8046</v>
      </c>
      <c r="AQ846" t="n">
        <v/>
      </c>
      <c r="AR846" t="n">
        <v/>
      </c>
      <c r="AS846" t="n">
        <v>105.8915</v>
      </c>
      <c r="AT846" t="n">
        <v>104.4417</v>
      </c>
      <c r="AU846" t="n">
        <v>105.2171</v>
      </c>
      <c r="AV846" t="n">
        <v>156.0582</v>
      </c>
      <c r="AW846" t="n">
        <v>108.3979</v>
      </c>
      <c r="AX846" t="n">
        <v>119.3316</v>
      </c>
    </row>
    <row r="847">
      <c r="A847" s="92" t="n">
        <v>43617</v>
      </c>
      <c r="B847" t="n">
        <v>107.2089</v>
      </c>
      <c r="C847" t="n">
        <v>106.6593</v>
      </c>
      <c r="D847" t="n">
        <v/>
      </c>
      <c r="E847" t="n">
        <v>108.1153</v>
      </c>
      <c r="F847" t="n">
        <v>101.4551</v>
      </c>
      <c r="G847" t="n">
        <v>110.8015</v>
      </c>
      <c r="H847" t="n">
        <v/>
      </c>
      <c r="I847" t="n">
        <v>119.3892</v>
      </c>
      <c r="J847" t="n">
        <v>106.4647</v>
      </c>
      <c r="K847" t="n">
        <v>108.6</v>
      </c>
      <c r="L847" t="n">
        <v>105.7349</v>
      </c>
      <c r="M847" t="n">
        <v>102.8933</v>
      </c>
      <c r="N847" t="n">
        <v>104.72</v>
      </c>
      <c r="O847" t="n">
        <v>104.6622</v>
      </c>
      <c r="P847" t="n">
        <v>108.6302</v>
      </c>
      <c r="Q847" t="n">
        <v/>
      </c>
      <c r="R847" t="n">
        <v>103.27</v>
      </c>
      <c r="S847" t="n">
        <v>103.1524</v>
      </c>
      <c r="T847" t="n">
        <v/>
      </c>
      <c r="U847" t="n">
        <v>106.6699</v>
      </c>
      <c r="V847" t="n">
        <v>107.7</v>
      </c>
      <c r="W847" t="n">
        <v>101.5749</v>
      </c>
      <c r="X847" t="n">
        <v>109.0158</v>
      </c>
      <c r="Y847" t="n">
        <v/>
      </c>
      <c r="Z847" t="n">
        <v/>
      </c>
      <c r="AA847" t="n">
        <v>102.8338</v>
      </c>
      <c r="AB847" t="n">
        <v>110.6425</v>
      </c>
      <c r="AC847" t="n">
        <v>101.7378</v>
      </c>
      <c r="AD847" t="n">
        <v>102.6564</v>
      </c>
      <c r="AE847" t="n">
        <v>100.6137</v>
      </c>
      <c r="AF847" t="n">
        <v>105.4094</v>
      </c>
      <c r="AG847" t="n">
        <v>111.7566</v>
      </c>
      <c r="AH847" t="n">
        <v>105.32</v>
      </c>
      <c r="AI847" t="n">
        <v>109.2599</v>
      </c>
      <c r="AJ847" t="n">
        <v>115.12</v>
      </c>
      <c r="AK847" t="n">
        <v>104.7008</v>
      </c>
      <c r="AL847" t="n">
        <v>109.5773</v>
      </c>
      <c r="AM847" t="n">
        <v>108.3064</v>
      </c>
      <c r="AN847" t="n">
        <v>108.9686</v>
      </c>
      <c r="AO847" t="n">
        <v>103.2819</v>
      </c>
      <c r="AP847" t="n">
        <v>103.983</v>
      </c>
      <c r="AQ847" t="n">
        <v/>
      </c>
      <c r="AR847" t="n">
        <v/>
      </c>
      <c r="AS847" t="n">
        <v>106.0763</v>
      </c>
      <c r="AT847" t="n">
        <v>105.0318</v>
      </c>
      <c r="AU847" t="n">
        <v>105.5287</v>
      </c>
      <c r="AV847" t="n">
        <v>157.3041</v>
      </c>
      <c r="AW847" t="n">
        <v>108.6402</v>
      </c>
      <c r="AX847" t="n">
        <v>119.7368</v>
      </c>
    </row>
    <row r="848">
      <c r="A848" s="92" t="n">
        <v>43647</v>
      </c>
      <c r="B848" t="n">
        <v>106.7089</v>
      </c>
      <c r="C848" t="n">
        <v>106.9313</v>
      </c>
      <c r="D848" t="n">
        <v/>
      </c>
      <c r="E848" t="n">
        <v>108.5125</v>
      </c>
      <c r="F848" t="n">
        <v>100.85</v>
      </c>
      <c r="G848" t="n">
        <v>111.127</v>
      </c>
      <c r="H848" t="n">
        <v/>
      </c>
      <c r="I848" t="n">
        <v>119.5233</v>
      </c>
      <c r="J848" t="n">
        <v>107.0907</v>
      </c>
      <c r="K848" t="n">
        <v>109.3</v>
      </c>
      <c r="L848" t="n">
        <v>106.3401</v>
      </c>
      <c r="M848" t="n">
        <v>103.6263</v>
      </c>
      <c r="N848" t="n">
        <v>104.08</v>
      </c>
      <c r="O848" t="n">
        <v>103.607</v>
      </c>
      <c r="P848" t="n">
        <v>108.1761</v>
      </c>
      <c r="Q848" t="n">
        <v/>
      </c>
      <c r="R848" t="n">
        <v>103.08</v>
      </c>
      <c r="S848" t="n">
        <v>102.9051</v>
      </c>
      <c r="T848" t="n">
        <v/>
      </c>
      <c r="U848" t="n">
        <v>106.8402</v>
      </c>
      <c r="V848" t="n">
        <v>107.8</v>
      </c>
      <c r="W848" t="n">
        <v>99.29715</v>
      </c>
      <c r="X848" t="n">
        <v>109.3914</v>
      </c>
      <c r="Y848" t="n">
        <v/>
      </c>
      <c r="Z848" t="n">
        <v/>
      </c>
      <c r="AA848" t="n">
        <v>102.7598</v>
      </c>
      <c r="AB848" t="n">
        <v>110.2645</v>
      </c>
      <c r="AC848" t="n">
        <v>101.4341</v>
      </c>
      <c r="AD848" t="n">
        <v>102.945</v>
      </c>
      <c r="AE848" t="n">
        <v>100.6645</v>
      </c>
      <c r="AF848" t="n">
        <v>105.62</v>
      </c>
      <c r="AG848" t="n">
        <v>111.3235</v>
      </c>
      <c r="AH848" t="n">
        <v>104.37</v>
      </c>
      <c r="AI848" t="n">
        <v>108.5671</v>
      </c>
      <c r="AJ848" t="n">
        <v>115.4346</v>
      </c>
      <c r="AK848" t="n">
        <v>105.9864</v>
      </c>
      <c r="AL848" t="n">
        <v>109.6991</v>
      </c>
      <c r="AM848" t="n">
        <v>108.4973</v>
      </c>
      <c r="AN848" t="n">
        <v>109.1742</v>
      </c>
      <c r="AO848" t="n">
        <v>103.3688</v>
      </c>
      <c r="AP848" t="n">
        <v>102.3977</v>
      </c>
      <c r="AQ848" t="n">
        <v/>
      </c>
      <c r="AR848" t="n">
        <v/>
      </c>
      <c r="AS848" t="n">
        <v>106.2813</v>
      </c>
      <c r="AT848" t="n">
        <v>104.2317</v>
      </c>
      <c r="AU848" t="n">
        <v>105.3545</v>
      </c>
      <c r="AV848" t="n">
        <v>160.3067</v>
      </c>
      <c r="AW848" t="n">
        <v>108.8007</v>
      </c>
      <c r="AX848" t="n">
        <v>120.1374</v>
      </c>
    </row>
    <row r="849">
      <c r="A849" s="92" t="n">
        <v>43678</v>
      </c>
      <c r="B849" t="n">
        <v>106.8089</v>
      </c>
      <c r="C849" t="n">
        <v>106.9604</v>
      </c>
      <c r="D849" t="n">
        <v/>
      </c>
      <c r="E849" t="n">
        <v>108.6502</v>
      </c>
      <c r="F849" t="n">
        <v>100.8586</v>
      </c>
      <c r="G849" t="n">
        <v>111.2029</v>
      </c>
      <c r="H849" t="n">
        <v/>
      </c>
      <c r="I849" t="n">
        <v>119.6954</v>
      </c>
      <c r="J849" t="n">
        <v>107.0071</v>
      </c>
      <c r="K849" t="n">
        <v>109.6</v>
      </c>
      <c r="L849" t="n">
        <v>106.1948</v>
      </c>
      <c r="M849" t="n">
        <v>103.3445</v>
      </c>
      <c r="N849" t="n">
        <v>104.32</v>
      </c>
      <c r="O849" t="n">
        <v>103.7279</v>
      </c>
      <c r="P849" t="n">
        <v>109.1977</v>
      </c>
      <c r="Q849" t="n">
        <v/>
      </c>
      <c r="R849" t="n">
        <v>103.43</v>
      </c>
      <c r="S849" t="n">
        <v>103.4227</v>
      </c>
      <c r="T849" t="n">
        <v/>
      </c>
      <c r="U849" t="n">
        <v>107.0918</v>
      </c>
      <c r="V849" t="n">
        <v>108.1</v>
      </c>
      <c r="W849" t="n">
        <v>98.55125</v>
      </c>
      <c r="X849" t="n">
        <v>109.4666</v>
      </c>
      <c r="Y849" t="n">
        <v/>
      </c>
      <c r="Z849" t="n">
        <v/>
      </c>
      <c r="AA849" t="n">
        <v>103.355</v>
      </c>
      <c r="AB849" t="n">
        <v>110.8027</v>
      </c>
      <c r="AC849" t="n">
        <v>101.6366</v>
      </c>
      <c r="AD849" t="n">
        <v>103.4774</v>
      </c>
      <c r="AE849" t="n">
        <v>100.9329</v>
      </c>
      <c r="AF849" t="n">
        <v>105.7596</v>
      </c>
      <c r="AG849" t="n">
        <v>111.3054</v>
      </c>
      <c r="AH849" t="n">
        <v>105.91</v>
      </c>
      <c r="AI849" t="n">
        <v>108.7109</v>
      </c>
      <c r="AJ849" t="n">
        <v>115.7135</v>
      </c>
      <c r="AK849" t="n">
        <v>106.5616</v>
      </c>
      <c r="AL849" t="n">
        <v>109.1598</v>
      </c>
      <c r="AM849" t="n">
        <v>108.766</v>
      </c>
      <c r="AN849" t="n">
        <v>109.5034</v>
      </c>
      <c r="AO849" t="n">
        <v>103.5427</v>
      </c>
      <c r="AP849" t="n">
        <v>102.259</v>
      </c>
      <c r="AQ849" t="n">
        <v/>
      </c>
      <c r="AR849" t="n">
        <v/>
      </c>
      <c r="AS849" t="n">
        <v>106.6941</v>
      </c>
      <c r="AT849" t="n">
        <v>104.7117</v>
      </c>
      <c r="AU849" t="n">
        <v>104.9691</v>
      </c>
      <c r="AV849" t="n">
        <v>162.7618</v>
      </c>
      <c r="AW849" t="n">
        <v>109.0497</v>
      </c>
      <c r="AX849" t="n">
        <v>120.3377</v>
      </c>
    </row>
    <row r="850">
      <c r="A850" s="92" t="n">
        <v>43709</v>
      </c>
      <c r="B850" t="n">
        <v>107.509</v>
      </c>
      <c r="C850" t="n">
        <v>106.6593</v>
      </c>
      <c r="D850" t="n">
        <v/>
      </c>
      <c r="E850" t="n">
        <v>108.2234</v>
      </c>
      <c r="F850" t="n">
        <v>100.7959</v>
      </c>
      <c r="G850" t="n">
        <v>111.2681</v>
      </c>
      <c r="H850" t="n">
        <v/>
      </c>
      <c r="I850" t="n">
        <v>119.8927</v>
      </c>
      <c r="J850" t="n">
        <v>107.3565</v>
      </c>
      <c r="K850" t="n">
        <v>109</v>
      </c>
      <c r="L850" t="n">
        <v>106.208</v>
      </c>
      <c r="M850" t="n">
        <v>103.1579</v>
      </c>
      <c r="N850" t="n">
        <v>104.71</v>
      </c>
      <c r="O850" t="n">
        <v>103.833</v>
      </c>
      <c r="P850" t="n">
        <v>109.368</v>
      </c>
      <c r="Q850" t="n">
        <v/>
      </c>
      <c r="R850" t="n">
        <v>103.55</v>
      </c>
      <c r="S850" t="n">
        <v>103.0386</v>
      </c>
      <c r="T850" t="n">
        <v/>
      </c>
      <c r="U850" t="n">
        <v>107.0967</v>
      </c>
      <c r="V850" t="n">
        <v>108.3</v>
      </c>
      <c r="W850" t="n">
        <v>101.3062</v>
      </c>
      <c r="X850" t="n">
        <v>109.692</v>
      </c>
      <c r="Y850" t="n">
        <v/>
      </c>
      <c r="Z850" t="n">
        <v/>
      </c>
      <c r="AA850" t="n">
        <v>103.2237</v>
      </c>
      <c r="AB850" t="n">
        <v>111.0067</v>
      </c>
      <c r="AC850" t="n">
        <v>101.4341</v>
      </c>
      <c r="AD850" t="n">
        <v>102.8181</v>
      </c>
      <c r="AE850" t="n">
        <v>100.8396</v>
      </c>
      <c r="AF850" t="n">
        <v>105.2994</v>
      </c>
      <c r="AG850" t="n">
        <v>112.6506</v>
      </c>
      <c r="AH850" t="n">
        <v>105.71</v>
      </c>
      <c r="AI850" t="n">
        <v>109.2402</v>
      </c>
      <c r="AJ850" t="n">
        <v>116.0318</v>
      </c>
      <c r="AK850" t="n">
        <v>105.7896</v>
      </c>
      <c r="AL850" t="n">
        <v>110.003</v>
      </c>
      <c r="AM850" t="n">
        <v>108.846</v>
      </c>
      <c r="AN850" t="n">
        <v>109.6107</v>
      </c>
      <c r="AO850" t="n">
        <v>103.7166</v>
      </c>
      <c r="AP850" t="n">
        <v>103.6362</v>
      </c>
      <c r="AQ850" t="n">
        <v/>
      </c>
      <c r="AR850" t="n">
        <v/>
      </c>
      <c r="AS850" t="n">
        <v>106.7556</v>
      </c>
      <c r="AT850" t="n">
        <v>104.7417</v>
      </c>
      <c r="AU850" t="n">
        <v>105.6091</v>
      </c>
      <c r="AV850" t="n">
        <v>164.6082</v>
      </c>
      <c r="AW850" t="n">
        <v>109.1954</v>
      </c>
      <c r="AX850" t="n">
        <v>120.6301</v>
      </c>
    </row>
    <row r="851">
      <c r="A851" s="92" t="n">
        <v>43739</v>
      </c>
      <c r="B851" t="n">
        <v>107.709</v>
      </c>
      <c r="C851" t="n">
        <v>107.0187</v>
      </c>
      <c r="D851" t="n">
        <v/>
      </c>
      <c r="E851" t="n">
        <v>108.6713</v>
      </c>
      <c r="F851" t="n">
        <v>100.6741</v>
      </c>
      <c r="G851" t="n">
        <v>111.9191</v>
      </c>
      <c r="H851" t="n">
        <v/>
      </c>
      <c r="I851" t="n">
        <v>120.0108</v>
      </c>
      <c r="J851" t="n">
        <v>107.4237</v>
      </c>
      <c r="K851" t="n">
        <v>109.5</v>
      </c>
      <c r="L851" t="n">
        <v>106.3892</v>
      </c>
      <c r="M851" t="n">
        <v>103.5465</v>
      </c>
      <c r="N851" t="n">
        <v>104.83</v>
      </c>
      <c r="O851" t="n">
        <v>104.741</v>
      </c>
      <c r="P851" t="n">
        <v>109.595</v>
      </c>
      <c r="Q851" t="n">
        <v/>
      </c>
      <c r="R851" t="n">
        <v>103.61</v>
      </c>
      <c r="S851" t="n">
        <v>103.0819</v>
      </c>
      <c r="T851" t="n">
        <v/>
      </c>
      <c r="U851" t="n">
        <v>107.2915</v>
      </c>
      <c r="V851" t="n">
        <v>108.4</v>
      </c>
      <c r="W851" t="n">
        <v>101.3914</v>
      </c>
      <c r="X851" t="n">
        <v>110.1428</v>
      </c>
      <c r="Y851" t="n">
        <v/>
      </c>
      <c r="Z851" t="n">
        <v/>
      </c>
      <c r="AA851" t="n">
        <v>102.7261</v>
      </c>
      <c r="AB851" t="n">
        <v>111.4575</v>
      </c>
      <c r="AC851" t="n">
        <v>101.6366</v>
      </c>
      <c r="AD851" t="n">
        <v>102.4834</v>
      </c>
      <c r="AE851" t="n">
        <v>101.2192</v>
      </c>
      <c r="AF851" t="n">
        <v>105.5396</v>
      </c>
      <c r="AG851" t="n">
        <v>113.0779</v>
      </c>
      <c r="AH851" t="n">
        <v>105.72</v>
      </c>
      <c r="AI851" t="n">
        <v>109.4603</v>
      </c>
      <c r="AJ851" t="n">
        <v>116.3168</v>
      </c>
      <c r="AK851" t="n">
        <v>106.3714</v>
      </c>
      <c r="AL851" t="n">
        <v>110.2319</v>
      </c>
      <c r="AM851" t="n">
        <v>109.116</v>
      </c>
      <c r="AN851" t="n">
        <v>109.9268</v>
      </c>
      <c r="AO851" t="n">
        <v>104.0643</v>
      </c>
      <c r="AP851" t="n">
        <v>103.6659</v>
      </c>
      <c r="AQ851" t="n">
        <v/>
      </c>
      <c r="AR851" t="n">
        <v/>
      </c>
      <c r="AS851" t="n">
        <v>106.7736</v>
      </c>
      <c r="AT851" t="n">
        <v>104.6317</v>
      </c>
      <c r="AU851" t="n">
        <v>105.646</v>
      </c>
      <c r="AV851" t="n">
        <v>167.1982</v>
      </c>
      <c r="AW851" t="n">
        <v>109.4171</v>
      </c>
      <c r="AX851" t="n">
        <v>120.6149</v>
      </c>
    </row>
    <row r="852">
      <c r="A852" s="92" t="n">
        <v>43770</v>
      </c>
      <c r="B852" t="n">
        <v>108.009</v>
      </c>
      <c r="C852" t="n">
        <v>107.0575</v>
      </c>
      <c r="D852" t="n">
        <v/>
      </c>
      <c r="E852" t="n">
        <v>108.3521</v>
      </c>
      <c r="F852" t="n">
        <v>100.6248</v>
      </c>
      <c r="G852" t="n">
        <v>111.7455</v>
      </c>
      <c r="H852" t="n">
        <v/>
      </c>
      <c r="I852" t="n">
        <v>120.1948</v>
      </c>
      <c r="J852" t="n">
        <v>107.4086</v>
      </c>
      <c r="K852" t="n">
        <v>109.5</v>
      </c>
      <c r="L852" t="n">
        <v>105.3333</v>
      </c>
      <c r="M852" t="n">
        <v>103.2269</v>
      </c>
      <c r="N852" t="n">
        <v>104.27</v>
      </c>
      <c r="O852" t="n">
        <v>105.1183</v>
      </c>
      <c r="P852" t="n">
        <v>108.9139</v>
      </c>
      <c r="Q852" t="n">
        <v/>
      </c>
      <c r="R852" t="n">
        <v>103.43</v>
      </c>
      <c r="S852" t="n">
        <v>103.0974</v>
      </c>
      <c r="T852" t="n">
        <v/>
      </c>
      <c r="U852" t="n">
        <v>107.1975</v>
      </c>
      <c r="V852" t="n">
        <v>108.6</v>
      </c>
      <c r="W852" t="n">
        <v>100.4469</v>
      </c>
      <c r="X852" t="n">
        <v>110.2179</v>
      </c>
      <c r="Y852" t="n">
        <v/>
      </c>
      <c r="Z852" t="n">
        <v/>
      </c>
      <c r="AA852" t="n">
        <v>102.682</v>
      </c>
      <c r="AB852" t="n">
        <v>111.5514</v>
      </c>
      <c r="AC852" t="n">
        <v>101.3329</v>
      </c>
      <c r="AD852" t="n">
        <v>102.1182</v>
      </c>
      <c r="AE852" t="n">
        <v>101.3779</v>
      </c>
      <c r="AF852" t="n">
        <v>105.2994</v>
      </c>
      <c r="AG852" t="n">
        <v>112.7937</v>
      </c>
      <c r="AH852" t="n">
        <v>105.76</v>
      </c>
      <c r="AI852" t="n">
        <v>109.192</v>
      </c>
      <c r="AJ852" t="n">
        <v>116.5688</v>
      </c>
      <c r="AK852" t="n">
        <v>105.8149</v>
      </c>
      <c r="AL852" t="n">
        <v>110.2831</v>
      </c>
      <c r="AM852" t="n">
        <v>109.0618</v>
      </c>
      <c r="AN852" t="n">
        <v>109.7512</v>
      </c>
      <c r="AO852" t="n">
        <v>104.0643</v>
      </c>
      <c r="AP852" t="n">
        <v>103.4479</v>
      </c>
      <c r="AQ852" t="n">
        <v/>
      </c>
      <c r="AR852" t="n">
        <v/>
      </c>
      <c r="AS852" t="n">
        <v>106.921</v>
      </c>
      <c r="AT852" t="n">
        <v>104.7917</v>
      </c>
      <c r="AU852" t="n">
        <v>105.5187</v>
      </c>
      <c r="AV852" t="n">
        <v>167.8518</v>
      </c>
      <c r="AW852" t="n">
        <v>109.4373</v>
      </c>
      <c r="AX852" t="n">
        <v>120.7126</v>
      </c>
    </row>
    <row r="853">
      <c r="A853" s="92" t="n">
        <v>43800</v>
      </c>
      <c r="B853" t="n">
        <v>108.8091</v>
      </c>
      <c r="C853" t="n">
        <v>107.2712</v>
      </c>
      <c r="D853" t="n">
        <v/>
      </c>
      <c r="E853" t="n">
        <v>108.219</v>
      </c>
      <c r="F853" t="n">
        <v>100.6617</v>
      </c>
      <c r="G853" t="n">
        <v>111.8866</v>
      </c>
      <c r="H853" t="n">
        <v/>
      </c>
      <c r="I853" t="n">
        <v>120.6238</v>
      </c>
      <c r="J853" t="n">
        <v>107.3814</v>
      </c>
      <c r="K853" t="n">
        <v>109.5</v>
      </c>
      <c r="L853" t="n">
        <v>105.9159</v>
      </c>
      <c r="M853" t="n">
        <v>103.0149</v>
      </c>
      <c r="N853" t="n">
        <v>104.69</v>
      </c>
      <c r="O853" t="n">
        <v>105.1982</v>
      </c>
      <c r="P853" t="n">
        <v>108.2896</v>
      </c>
      <c r="Q853" t="n">
        <v/>
      </c>
      <c r="R853" t="n">
        <v>103.4</v>
      </c>
      <c r="S853" t="n">
        <v>103.4781</v>
      </c>
      <c r="T853" t="n">
        <v/>
      </c>
      <c r="U853" t="n">
        <v>107.2441</v>
      </c>
      <c r="V853" t="n">
        <v>108.6</v>
      </c>
      <c r="W853" t="n">
        <v>101.2637</v>
      </c>
      <c r="X853" t="n">
        <v>110.3681</v>
      </c>
      <c r="Y853" t="n">
        <v/>
      </c>
      <c r="Z853" t="n">
        <v/>
      </c>
      <c r="AA853" t="n">
        <v>102.8919</v>
      </c>
      <c r="AB853" t="n">
        <v>111.8196</v>
      </c>
      <c r="AC853" t="n">
        <v>101.4341</v>
      </c>
      <c r="AD853" t="n">
        <v>102.3511</v>
      </c>
      <c r="AE853" t="n">
        <v>101.4219</v>
      </c>
      <c r="AF853" t="n">
        <v>105.3904</v>
      </c>
      <c r="AG853" t="n">
        <v>113.216</v>
      </c>
      <c r="AH853" t="n">
        <v>105.89</v>
      </c>
      <c r="AI853" t="n">
        <v>108.5649</v>
      </c>
      <c r="AJ853" t="n">
        <v>117.0413</v>
      </c>
      <c r="AK853" t="n">
        <v>105.9373</v>
      </c>
      <c r="AL853" t="n">
        <v>110.4247</v>
      </c>
      <c r="AM853" t="n">
        <v>109.1594</v>
      </c>
      <c r="AN853" t="n">
        <v>110.0302</v>
      </c>
      <c r="AO853" t="n">
        <v>104.6729</v>
      </c>
      <c r="AP853" t="n">
        <v>103.2498</v>
      </c>
      <c r="AQ853" t="n">
        <v/>
      </c>
      <c r="AR853" t="n">
        <v/>
      </c>
      <c r="AS853" t="n">
        <v>106.7739</v>
      </c>
      <c r="AT853" t="n">
        <v>104.4317</v>
      </c>
      <c r="AU853" t="n">
        <v>106.1855</v>
      </c>
      <c r="AV853" t="n">
        <v>167.9948</v>
      </c>
      <c r="AW853" t="n">
        <v>109.3659</v>
      </c>
      <c r="AX853" t="n">
        <v>121.0049</v>
      </c>
    </row>
    <row r="854">
      <c r="A854" s="92" t="n">
        <v>43831</v>
      </c>
      <c r="B854" t="n">
        <v>107.909</v>
      </c>
      <c r="C854" t="n">
        <v>107.951</v>
      </c>
      <c r="D854" t="n">
        <v/>
      </c>
      <c r="E854" t="n">
        <v>108.3699</v>
      </c>
      <c r="F854" t="n">
        <v>100.4197</v>
      </c>
      <c r="G854" t="n">
        <v>112.3315</v>
      </c>
      <c r="H854" t="n">
        <v/>
      </c>
      <c r="I854" t="n">
        <v>121.1943</v>
      </c>
      <c r="J854" t="n">
        <v>107.9901</v>
      </c>
      <c r="K854" t="n">
        <v>111</v>
      </c>
      <c r="L854" t="n">
        <v>104.8538</v>
      </c>
      <c r="M854" t="n">
        <v>103.038</v>
      </c>
      <c r="N854" t="n">
        <v>102.91</v>
      </c>
      <c r="O854" t="n">
        <v>103.1845</v>
      </c>
      <c r="P854" t="n">
        <v>107.6653</v>
      </c>
      <c r="Q854" t="n">
        <v/>
      </c>
      <c r="R854" t="n">
        <v>102.89</v>
      </c>
      <c r="S854" t="n">
        <v>102.7826</v>
      </c>
      <c r="T854" t="n">
        <v/>
      </c>
      <c r="U854" t="n">
        <v>107.3041</v>
      </c>
      <c r="V854" t="n">
        <v>108.2</v>
      </c>
      <c r="W854" t="n">
        <v>98.14882</v>
      </c>
      <c r="X854" t="n">
        <v>110.8941</v>
      </c>
      <c r="Y854" t="n">
        <v/>
      </c>
      <c r="Z854" t="n">
        <v/>
      </c>
      <c r="AA854" t="n">
        <v>101.9376</v>
      </c>
      <c r="AB854" t="n">
        <v>110.4356</v>
      </c>
      <c r="AC854" t="n">
        <v>101.1304</v>
      </c>
      <c r="AD854" t="n">
        <v>102.3069</v>
      </c>
      <c r="AE854" t="n">
        <v>101.1005</v>
      </c>
      <c r="AF854" t="n">
        <v>105.6231</v>
      </c>
      <c r="AG854" t="n">
        <v>112.7384</v>
      </c>
      <c r="AH854" t="n">
        <v>104.47</v>
      </c>
      <c r="AI854" t="n">
        <v>108.3463</v>
      </c>
      <c r="AJ854" t="n">
        <v>117.368</v>
      </c>
      <c r="AK854" t="n">
        <v>105.2603</v>
      </c>
      <c r="AL854" t="n">
        <v>110.4554</v>
      </c>
      <c r="AM854" t="n">
        <v>109.1492</v>
      </c>
      <c r="AN854" t="n">
        <v>109.4309</v>
      </c>
      <c r="AO854" t="n">
        <v>104.7598</v>
      </c>
      <c r="AP854" t="n">
        <v>101.8825</v>
      </c>
      <c r="AQ854" t="n">
        <v/>
      </c>
      <c r="AR854" t="n">
        <v/>
      </c>
      <c r="AS854" t="n">
        <v>107.3657</v>
      </c>
      <c r="AT854" t="n">
        <v>102.6617</v>
      </c>
      <c r="AU854" t="n">
        <v>104.6373</v>
      </c>
      <c r="AV854" t="n">
        <v>168.6402</v>
      </c>
      <c r="AW854" t="n">
        <v>109.8072</v>
      </c>
      <c r="AX854" t="n">
        <v>121.1343</v>
      </c>
    </row>
    <row r="855">
      <c r="A855" s="92" t="n">
        <v>43862</v>
      </c>
      <c r="B855" t="n">
        <v>108.2363</v>
      </c>
      <c r="C855" t="n">
        <v>107.9122</v>
      </c>
      <c r="D855" t="n">
        <v/>
      </c>
      <c r="E855" t="n">
        <v>109.1645</v>
      </c>
      <c r="F855" t="n">
        <v>100.7028</v>
      </c>
      <c r="G855" t="n">
        <v>112.8089</v>
      </c>
      <c r="H855" t="n">
        <v/>
      </c>
      <c r="I855" t="n">
        <v>121.9194</v>
      </c>
      <c r="J855" t="n">
        <v>108.2374</v>
      </c>
      <c r="K855" t="n">
        <v>111.4</v>
      </c>
      <c r="L855" t="n">
        <v>105.3582</v>
      </c>
      <c r="M855" t="n">
        <v>103.9223</v>
      </c>
      <c r="N855" t="n">
        <v>103.31</v>
      </c>
      <c r="O855" t="n">
        <v>103.4221</v>
      </c>
      <c r="P855" t="n">
        <v>108.2329</v>
      </c>
      <c r="Q855" t="n">
        <v/>
      </c>
      <c r="R855" t="n">
        <v>103.34</v>
      </c>
      <c r="S855" t="n">
        <v>102.9947</v>
      </c>
      <c r="T855" t="n">
        <v/>
      </c>
      <c r="U855" t="n">
        <v>107.704</v>
      </c>
      <c r="V855" t="n">
        <v>108.6</v>
      </c>
      <c r="W855" t="n">
        <v>97.70939</v>
      </c>
      <c r="X855" t="n">
        <v>111.2697</v>
      </c>
      <c r="Y855" t="n">
        <v/>
      </c>
      <c r="Z855" t="n">
        <v/>
      </c>
      <c r="AA855" t="n">
        <v>102.8392</v>
      </c>
      <c r="AB855" t="n">
        <v>111.798</v>
      </c>
      <c r="AC855" t="n">
        <v>101.0292</v>
      </c>
      <c r="AD855" t="n">
        <v>102.2578</v>
      </c>
      <c r="AE855" t="n">
        <v>101.098</v>
      </c>
      <c r="AF855" t="n">
        <v>105.8665</v>
      </c>
      <c r="AG855" t="n">
        <v>112.9095</v>
      </c>
      <c r="AH855" t="n">
        <v>106.37</v>
      </c>
      <c r="AI855" t="n">
        <v>108.5642</v>
      </c>
      <c r="AJ855" t="n">
        <v>117.7694</v>
      </c>
      <c r="AK855" t="n">
        <v>106.0388</v>
      </c>
      <c r="AL855" t="n">
        <v>110.5379</v>
      </c>
      <c r="AM855" t="n">
        <v>109.5188</v>
      </c>
      <c r="AN855" t="n">
        <v>109.7209</v>
      </c>
      <c r="AO855" t="n">
        <v>105.3684</v>
      </c>
      <c r="AP855" t="n">
        <v>101.2088</v>
      </c>
      <c r="AQ855" t="n">
        <v/>
      </c>
      <c r="AR855" t="n">
        <v/>
      </c>
      <c r="AS855" t="n">
        <v>107.6242</v>
      </c>
      <c r="AT855" t="n">
        <v>103.7817</v>
      </c>
      <c r="AU855" t="n">
        <v>105.3746</v>
      </c>
      <c r="AV855" t="n">
        <v>168.3869</v>
      </c>
      <c r="AW855" t="n">
        <v>110.3289</v>
      </c>
      <c r="AX855" t="n">
        <v>122.6509</v>
      </c>
    </row>
    <row r="856">
      <c r="A856" s="92" t="n">
        <v>43891</v>
      </c>
      <c r="B856" t="n">
        <v>108.891</v>
      </c>
      <c r="C856" t="n">
        <v>107.8442</v>
      </c>
      <c r="D856" t="n">
        <v/>
      </c>
      <c r="E856" t="n">
        <v>109.3087</v>
      </c>
      <c r="F856" t="n">
        <v>100.9043</v>
      </c>
      <c r="G856" t="n">
        <v>113.1019</v>
      </c>
      <c r="H856" t="n">
        <v/>
      </c>
      <c r="I856" t="n">
        <v>122.2731</v>
      </c>
      <c r="J856" t="n">
        <v>108.2873</v>
      </c>
      <c r="K856" t="n">
        <v>111.4</v>
      </c>
      <c r="L856" t="n">
        <v>105.8021</v>
      </c>
      <c r="M856" t="n">
        <v>103.8233</v>
      </c>
      <c r="N856" t="n">
        <v>104.49</v>
      </c>
      <c r="O856" t="n">
        <v>103.9717</v>
      </c>
      <c r="P856" t="n">
        <v>108.1761</v>
      </c>
      <c r="Q856" t="n">
        <v/>
      </c>
      <c r="R856" t="n">
        <v>103.51</v>
      </c>
      <c r="S856" t="n">
        <v>103.5013</v>
      </c>
      <c r="T856" t="n">
        <v/>
      </c>
      <c r="U856" t="n">
        <v>107.845</v>
      </c>
      <c r="V856" t="n">
        <v>108.8</v>
      </c>
      <c r="W856" t="n">
        <v>101.031</v>
      </c>
      <c r="X856" t="n">
        <v>111.7956</v>
      </c>
      <c r="Y856" t="n">
        <v/>
      </c>
      <c r="Z856" t="n">
        <v/>
      </c>
      <c r="AA856" t="n">
        <v>103.5613</v>
      </c>
      <c r="AB856" t="n">
        <v>112.1408</v>
      </c>
      <c r="AC856" t="n">
        <v>101.5353</v>
      </c>
      <c r="AD856" t="n">
        <v>102.5227</v>
      </c>
      <c r="AE856" t="n">
        <v>101.2212</v>
      </c>
      <c r="AF856" t="n">
        <v>105.5279</v>
      </c>
      <c r="AG856" t="n">
        <v>113.7396</v>
      </c>
      <c r="AH856" t="n">
        <v>105.93</v>
      </c>
      <c r="AI856" t="n">
        <v>109.7495</v>
      </c>
      <c r="AJ856" t="n">
        <v>118.0692</v>
      </c>
      <c r="AK856" t="n">
        <v>106.4974</v>
      </c>
      <c r="AL856" t="n">
        <v>110.9664</v>
      </c>
      <c r="AM856" t="n">
        <v>109.7396</v>
      </c>
      <c r="AN856" t="n">
        <v>110.2211</v>
      </c>
      <c r="AO856" t="n">
        <v>105.89</v>
      </c>
      <c r="AP856" t="n">
        <v>103.2993</v>
      </c>
      <c r="AQ856" t="n">
        <v/>
      </c>
      <c r="AR856" t="n">
        <v/>
      </c>
      <c r="AS856" t="n">
        <v>107.8541</v>
      </c>
      <c r="AT856" t="n">
        <v>104.2517</v>
      </c>
      <c r="AU856" t="n">
        <v>105.4516</v>
      </c>
      <c r="AV856" t="n">
        <v>169.6125</v>
      </c>
      <c r="AW856" t="n">
        <v>110.3471</v>
      </c>
      <c r="AX856" t="n">
        <v>123.2915</v>
      </c>
    </row>
    <row r="857">
      <c r="A857" s="92" t="n">
        <v>43922</v>
      </c>
      <c r="B857" t="n">
        <v>109.0001</v>
      </c>
      <c r="C857" t="n">
        <v>108.0482</v>
      </c>
      <c r="D857" t="n">
        <v/>
      </c>
      <c r="E857" t="n">
        <v>108.9961</v>
      </c>
      <c r="F857" t="n">
        <v>100.5614</v>
      </c>
      <c r="G857" t="n">
        <v>112.9934</v>
      </c>
      <c r="H857" t="n">
        <v/>
      </c>
      <c r="I857" t="n">
        <v>122.0879</v>
      </c>
      <c r="J857" t="n">
        <v>108.13</v>
      </c>
      <c r="K857" t="n">
        <v>111.3</v>
      </c>
      <c r="L857" t="n">
        <v>106.5758</v>
      </c>
      <c r="M857" t="n">
        <v>104.1113</v>
      </c>
      <c r="N857" t="n">
        <v>105.26</v>
      </c>
      <c r="O857" t="n">
        <v>105.2486</v>
      </c>
      <c r="P857" t="n">
        <v>107.6653</v>
      </c>
      <c r="Q857" t="n">
        <v/>
      </c>
      <c r="R857" t="n">
        <v>103.42</v>
      </c>
      <c r="S857" t="n">
        <v>103.4849</v>
      </c>
      <c r="T857" t="n">
        <v/>
      </c>
      <c r="U857" t="n">
        <v>107.6472</v>
      </c>
      <c r="V857" t="n">
        <v>109</v>
      </c>
      <c r="W857" t="n">
        <v>101.1674</v>
      </c>
      <c r="X857" t="n">
        <v>112.021</v>
      </c>
      <c r="Y857" t="n">
        <v/>
      </c>
      <c r="Z857" t="n">
        <v/>
      </c>
      <c r="AA857" t="n">
        <v>103.4981</v>
      </c>
      <c r="AB857" t="n">
        <v>112.7851</v>
      </c>
      <c r="AC857" t="n">
        <v>101.4341</v>
      </c>
      <c r="AD857" t="n">
        <v>103.159</v>
      </c>
      <c r="AE857" t="n">
        <v>101.1062</v>
      </c>
      <c r="AF857" t="n">
        <v>105.5702</v>
      </c>
      <c r="AG857" t="n">
        <v>114.5339</v>
      </c>
      <c r="AH857" t="n">
        <v>106.4</v>
      </c>
      <c r="AI857" t="n">
        <v>110.312</v>
      </c>
      <c r="AJ857" t="n">
        <v>118.2328</v>
      </c>
      <c r="AK857" t="n">
        <v>107.3016</v>
      </c>
      <c r="AL857" t="n">
        <v>111.906</v>
      </c>
      <c r="AM857" t="n">
        <v>109.6839</v>
      </c>
      <c r="AN857" t="n">
        <v>110.7874</v>
      </c>
      <c r="AO857" t="n">
        <v>106.7594</v>
      </c>
      <c r="AP857" t="n">
        <v>103.7452</v>
      </c>
      <c r="AQ857" t="n">
        <v/>
      </c>
      <c r="AR857" t="n">
        <v/>
      </c>
      <c r="AS857" t="n">
        <v>108.0526</v>
      </c>
      <c r="AT857" t="n">
        <v>104.2717</v>
      </c>
      <c r="AU857" t="n">
        <v>105.4349</v>
      </c>
      <c r="AV857" t="n">
        <v>171.6468</v>
      </c>
      <c r="AW857" t="n">
        <v>109.8422</v>
      </c>
      <c r="AX857" t="n">
        <v>123.1157</v>
      </c>
    </row>
    <row r="858">
      <c r="A858" s="92" t="n">
        <v>43952</v>
      </c>
      <c r="B858" t="n">
        <v>108.5636</v>
      </c>
      <c r="C858" t="n">
        <v>108.0482</v>
      </c>
      <c r="D858" t="n">
        <v/>
      </c>
      <c r="E858" t="n">
        <v>108.8493</v>
      </c>
      <c r="F858" t="n">
        <v>100.6166</v>
      </c>
      <c r="G858" t="n">
        <v>113.1019</v>
      </c>
      <c r="H858" t="n">
        <v/>
      </c>
      <c r="I858" t="n">
        <v>121.8159</v>
      </c>
      <c r="J858" t="n">
        <v>108.1257</v>
      </c>
      <c r="K858" t="n">
        <v>112</v>
      </c>
      <c r="L858" t="n">
        <v>106.605</v>
      </c>
      <c r="M858" t="n">
        <v>103.9493</v>
      </c>
      <c r="N858" t="n">
        <v>105.26</v>
      </c>
      <c r="O858" t="n">
        <v>105.3453</v>
      </c>
      <c r="P858" t="n">
        <v>107.6653</v>
      </c>
      <c r="Q858" t="n">
        <v/>
      </c>
      <c r="R858" t="n">
        <v>103.58</v>
      </c>
      <c r="S858" t="n">
        <v>103.7757</v>
      </c>
      <c r="T858" t="n">
        <v/>
      </c>
      <c r="U858" t="n">
        <v>107.609</v>
      </c>
      <c r="V858" t="n">
        <v>109.1</v>
      </c>
      <c r="W858" t="n">
        <v>100.5031</v>
      </c>
      <c r="X858" t="n">
        <v>112.0962</v>
      </c>
      <c r="Y858" t="n">
        <v/>
      </c>
      <c r="Z858" t="n">
        <v/>
      </c>
      <c r="AA858" t="n">
        <v>103.0978</v>
      </c>
      <c r="AB858" t="n">
        <v>113.3687</v>
      </c>
      <c r="AC858" t="n">
        <v>101.2317</v>
      </c>
      <c r="AD858" t="n">
        <v>103.0849</v>
      </c>
      <c r="AE858" t="n">
        <v>101.1224</v>
      </c>
      <c r="AF858" t="n">
        <v>105.7183</v>
      </c>
      <c r="AG858" t="n">
        <v>114.6618</v>
      </c>
      <c r="AH858" t="n">
        <v>106.41</v>
      </c>
      <c r="AI858" t="n">
        <v>109.5726</v>
      </c>
      <c r="AJ858" t="n">
        <v>118.3616</v>
      </c>
      <c r="AK858" t="n">
        <v>107.1193</v>
      </c>
      <c r="AL858" t="n">
        <v>112.1648</v>
      </c>
      <c r="AM858" t="n">
        <v>109.7157</v>
      </c>
      <c r="AN858" t="n">
        <v>110.9852</v>
      </c>
      <c r="AO858" t="n">
        <v>106.6725</v>
      </c>
      <c r="AP858" t="n">
        <v>103.339</v>
      </c>
      <c r="AQ858" t="n">
        <v/>
      </c>
      <c r="AR858" t="n">
        <v/>
      </c>
      <c r="AS858" t="n">
        <v>108.1418</v>
      </c>
      <c r="AT858" t="n">
        <v>105.0117</v>
      </c>
      <c r="AU858" t="n">
        <v>106.0347</v>
      </c>
      <c r="AV858" t="n">
        <v>174.4002</v>
      </c>
      <c r="AW858" t="n">
        <v>109.7225</v>
      </c>
      <c r="AX858" t="n">
        <v>123.0433</v>
      </c>
    </row>
    <row r="859">
      <c r="A859" s="92" t="n">
        <v>43983</v>
      </c>
      <c r="B859" t="n">
        <v>109.0001</v>
      </c>
      <c r="C859" t="n">
        <v>108.1453</v>
      </c>
      <c r="D859" t="n">
        <v/>
      </c>
      <c r="E859" t="n">
        <v>109.3422</v>
      </c>
      <c r="F859" t="n">
        <v>100.485</v>
      </c>
      <c r="G859" t="n">
        <v>113.0042</v>
      </c>
      <c r="H859" t="n">
        <v/>
      </c>
      <c r="I859" t="n">
        <v>121.4898</v>
      </c>
      <c r="J859" t="n">
        <v>108.0996</v>
      </c>
      <c r="K859" t="n">
        <v>112.9</v>
      </c>
      <c r="L859" t="n">
        <v>107.1881</v>
      </c>
      <c r="M859" t="n">
        <v>103.8534</v>
      </c>
      <c r="N859" t="n">
        <v>105.59</v>
      </c>
      <c r="O859" t="n">
        <v>105.5272</v>
      </c>
      <c r="P859" t="n">
        <v>108.1761</v>
      </c>
      <c r="Q859" t="n">
        <v/>
      </c>
      <c r="R859" t="n">
        <v>103.55</v>
      </c>
      <c r="S859" t="n">
        <v>103.9042</v>
      </c>
      <c r="T859" t="n">
        <v/>
      </c>
      <c r="U859" t="n">
        <v>107.8127</v>
      </c>
      <c r="V859" t="n">
        <v>109.3</v>
      </c>
      <c r="W859" t="n">
        <v>100.2321</v>
      </c>
      <c r="X859" t="n">
        <v>112.2464</v>
      </c>
      <c r="Y859" t="n">
        <v/>
      </c>
      <c r="Z859" t="n">
        <v/>
      </c>
      <c r="AA859" t="n">
        <v>103.4404</v>
      </c>
      <c r="AB859" t="n">
        <v>113.7628</v>
      </c>
      <c r="AC859" t="n">
        <v>101.1304</v>
      </c>
      <c r="AD859" t="n">
        <v>103.3159</v>
      </c>
      <c r="AE859" t="n">
        <v>100.9075</v>
      </c>
      <c r="AF859" t="n">
        <v>105.8136</v>
      </c>
      <c r="AG859" t="n">
        <v>115.499</v>
      </c>
      <c r="AH859" t="n">
        <v>106.64</v>
      </c>
      <c r="AI859" t="n">
        <v>109.8864</v>
      </c>
      <c r="AJ859" t="n">
        <v>118.6834</v>
      </c>
      <c r="AK859" t="n">
        <v>107.369</v>
      </c>
      <c r="AL859" t="n">
        <v>112.7701</v>
      </c>
      <c r="AM859" t="n">
        <v>109.9888</v>
      </c>
      <c r="AN859" t="n">
        <v>111.4813</v>
      </c>
      <c r="AO859" t="n">
        <v>107.4549</v>
      </c>
      <c r="AP859" t="n">
        <v>104.2009</v>
      </c>
      <c r="AQ859" t="n">
        <v/>
      </c>
      <c r="AR859" t="n">
        <v/>
      </c>
      <c r="AS859" t="n">
        <v>108.3279</v>
      </c>
      <c r="AT859" t="n">
        <v>105.6518</v>
      </c>
      <c r="AU859" t="n">
        <v>106.6748</v>
      </c>
      <c r="AV859" t="n">
        <v>177.7377</v>
      </c>
      <c r="AW859" t="n">
        <v>109.9302</v>
      </c>
      <c r="AX859" t="n">
        <v>123.2144</v>
      </c>
    </row>
    <row r="860">
      <c r="A860" s="92" t="n">
        <v>44013</v>
      </c>
      <c r="B860" t="n">
        <v>109.1092</v>
      </c>
      <c r="C860" t="n">
        <v>108.3201</v>
      </c>
      <c r="D860" t="n">
        <v/>
      </c>
      <c r="E860" t="n">
        <v>109.1333</v>
      </c>
      <c r="F860" t="n">
        <v>100.3321</v>
      </c>
      <c r="G860" t="n">
        <v>113.1236</v>
      </c>
      <c r="H860" t="n">
        <v/>
      </c>
      <c r="I860" t="n">
        <v>121.701</v>
      </c>
      <c r="J860" t="n">
        <v>108.1864</v>
      </c>
      <c r="K860" t="n">
        <v>113.8</v>
      </c>
      <c r="L860" t="n">
        <v>107.0141</v>
      </c>
      <c r="M860" t="n">
        <v>104.621</v>
      </c>
      <c r="N860" t="n">
        <v>105.31</v>
      </c>
      <c r="O860" t="n">
        <v>103.9959</v>
      </c>
      <c r="P860" t="n">
        <v>108.1761</v>
      </c>
      <c r="Q860" t="n">
        <v/>
      </c>
      <c r="R860" t="n">
        <v>103.9</v>
      </c>
      <c r="S860" t="n">
        <v>104.5294</v>
      </c>
      <c r="T860" t="n">
        <v/>
      </c>
      <c r="U860" t="n">
        <v>108.1829</v>
      </c>
      <c r="V860" t="n">
        <v>109.7</v>
      </c>
      <c r="W860" t="n">
        <v>98.08656000000001</v>
      </c>
      <c r="X860" t="n">
        <v>113.4485</v>
      </c>
      <c r="Y860" t="n">
        <v/>
      </c>
      <c r="Z860" t="n">
        <v/>
      </c>
      <c r="AA860" t="n">
        <v>103.0317</v>
      </c>
      <c r="AB860" t="n">
        <v>113.7561</v>
      </c>
      <c r="AC860" t="n">
        <v>101.2317</v>
      </c>
      <c r="AD860" t="n">
        <v>103.309</v>
      </c>
      <c r="AE860" t="n">
        <v>100.932</v>
      </c>
      <c r="AF860" t="n">
        <v>105.9722</v>
      </c>
      <c r="AG860" t="n">
        <v>115.59</v>
      </c>
      <c r="AH860" t="n">
        <v>105.94</v>
      </c>
      <c r="AI860" t="n">
        <v>110.0369</v>
      </c>
      <c r="AJ860" t="n">
        <v>119.098</v>
      </c>
      <c r="AK860" t="n">
        <v>108.8586</v>
      </c>
      <c r="AL860" t="n">
        <v>113.1067</v>
      </c>
      <c r="AM860" t="n">
        <v>110.3253</v>
      </c>
      <c r="AN860" t="n">
        <v>111.601</v>
      </c>
      <c r="AO860" t="n">
        <v>107.6288</v>
      </c>
      <c r="AP860" t="n">
        <v>102.477</v>
      </c>
      <c r="AQ860" t="n">
        <v/>
      </c>
      <c r="AR860" t="n">
        <v/>
      </c>
      <c r="AS860" t="n">
        <v>108.5426</v>
      </c>
      <c r="AT860" t="n">
        <v>105.3918</v>
      </c>
      <c r="AU860" t="n">
        <v>106.9998</v>
      </c>
      <c r="AV860" t="n">
        <v>179.4738</v>
      </c>
      <c r="AW860" t="n">
        <v>110.5085</v>
      </c>
      <c r="AX860" t="n">
        <v>124.2163</v>
      </c>
    </row>
    <row r="861">
      <c r="A861" s="92" t="n">
        <v>44044</v>
      </c>
      <c r="B861" t="n">
        <v>108.891</v>
      </c>
      <c r="C861" t="n">
        <v>108.3687</v>
      </c>
      <c r="D861" t="n">
        <v/>
      </c>
      <c r="E861" t="n">
        <v>109.1719</v>
      </c>
      <c r="F861" t="n">
        <v>100.4513</v>
      </c>
      <c r="G861" t="n">
        <v>113.3732</v>
      </c>
      <c r="H861" t="n">
        <v/>
      </c>
      <c r="I861" t="n">
        <v>121.7952</v>
      </c>
      <c r="J861" t="n">
        <v>107.977</v>
      </c>
      <c r="K861" t="n">
        <v>113.9</v>
      </c>
      <c r="L861" t="n">
        <v>106.9753</v>
      </c>
      <c r="M861" t="n">
        <v>104.2532</v>
      </c>
      <c r="N861" t="n">
        <v>104.71</v>
      </c>
      <c r="O861" t="n">
        <v>103.9791</v>
      </c>
      <c r="P861" t="n">
        <v>108.5734</v>
      </c>
      <c r="Q861" t="n">
        <v/>
      </c>
      <c r="R861" t="n">
        <v>103.9</v>
      </c>
      <c r="S861" t="n">
        <v>104.3264</v>
      </c>
      <c r="T861" t="n">
        <v/>
      </c>
      <c r="U861" t="n">
        <v>108.3813</v>
      </c>
      <c r="V861" t="n">
        <v>109.2</v>
      </c>
      <c r="W861" t="n">
        <v>97.21232999999999</v>
      </c>
      <c r="X861" t="n">
        <v>113.5988</v>
      </c>
      <c r="Y861" t="n">
        <v/>
      </c>
      <c r="Z861" t="n">
        <v/>
      </c>
      <c r="AA861" t="n">
        <v>102.9451</v>
      </c>
      <c r="AB861" t="n">
        <v>114.2861</v>
      </c>
      <c r="AC861" t="n">
        <v>101.2317</v>
      </c>
      <c r="AD861" t="n">
        <v>103.7605</v>
      </c>
      <c r="AE861" t="n">
        <v>100.7413</v>
      </c>
      <c r="AF861" t="n">
        <v>106.1732</v>
      </c>
      <c r="AG861" t="n">
        <v>115.3228</v>
      </c>
      <c r="AH861" t="n">
        <v>107.08</v>
      </c>
      <c r="AI861" t="n">
        <v>109.9307</v>
      </c>
      <c r="AJ861" t="n">
        <v>119.4563</v>
      </c>
      <c r="AK861" t="n">
        <v>108.225</v>
      </c>
      <c r="AL861" t="n">
        <v>112.7269</v>
      </c>
      <c r="AM861" t="n">
        <v>110.5138</v>
      </c>
      <c r="AN861" t="n">
        <v>111.6083</v>
      </c>
      <c r="AO861" t="n">
        <v>107.6288</v>
      </c>
      <c r="AP861" t="n">
        <v>102.1797</v>
      </c>
      <c r="AQ861" t="n">
        <v/>
      </c>
      <c r="AR861" t="n">
        <v/>
      </c>
      <c r="AS861" t="n">
        <v>108.6948</v>
      </c>
      <c r="AT861" t="n">
        <v>105.2318</v>
      </c>
      <c r="AU861" t="n">
        <v>106.4134</v>
      </c>
      <c r="AV861" t="n">
        <v>181.5695</v>
      </c>
      <c r="AW861" t="n">
        <v>110.9432</v>
      </c>
      <c r="AX861" t="n">
        <v>124.2565</v>
      </c>
    </row>
    <row r="862">
      <c r="A862" s="92" t="n">
        <v>44075</v>
      </c>
      <c r="B862" t="n">
        <v>109.5456</v>
      </c>
      <c r="C862" t="n">
        <v>108.2618</v>
      </c>
      <c r="D862" t="n">
        <v/>
      </c>
      <c r="E862" t="n">
        <v>109.2162</v>
      </c>
      <c r="F862" t="n">
        <v>100.4163</v>
      </c>
      <c r="G862" t="n">
        <v>113.7638</v>
      </c>
      <c r="H862" t="n">
        <v/>
      </c>
      <c r="I862" t="n">
        <v>122.1912</v>
      </c>
      <c r="J862" t="n">
        <v>108.3719</v>
      </c>
      <c r="K862" t="n">
        <v>113.4</v>
      </c>
      <c r="L862" t="n">
        <v>106.8588</v>
      </c>
      <c r="M862" t="n">
        <v>104.2843</v>
      </c>
      <c r="N862" t="n">
        <v>104.93</v>
      </c>
      <c r="O862" t="n">
        <v>104.1231</v>
      </c>
      <c r="P862" t="n">
        <v>109.0842</v>
      </c>
      <c r="Q862" t="n">
        <v/>
      </c>
      <c r="R862" t="n">
        <v>103.88</v>
      </c>
      <c r="S862" t="n">
        <v>103.8028</v>
      </c>
      <c r="T862" t="n">
        <v/>
      </c>
      <c r="U862" t="n">
        <v>108.4025</v>
      </c>
      <c r="V862" t="n">
        <v>109.8</v>
      </c>
      <c r="W862" t="n">
        <v>99.82462</v>
      </c>
      <c r="X862" t="n">
        <v>113.148</v>
      </c>
      <c r="Y862" t="n">
        <v/>
      </c>
      <c r="Z862" t="n">
        <v/>
      </c>
      <c r="AA862" t="n">
        <v>102.6046</v>
      </c>
      <c r="AB862" t="n">
        <v>114.8207</v>
      </c>
      <c r="AC862" t="n">
        <v>101.0292</v>
      </c>
      <c r="AD862" t="n">
        <v>102.9249</v>
      </c>
      <c r="AE862" t="n">
        <v>100.7458</v>
      </c>
      <c r="AF862" t="n">
        <v>105.9617</v>
      </c>
      <c r="AG862" t="n">
        <v>115.8537</v>
      </c>
      <c r="AH862" t="n">
        <v>107.08</v>
      </c>
      <c r="AI862" t="n">
        <v>110.3434</v>
      </c>
      <c r="AJ862" t="n">
        <v>119.7943</v>
      </c>
      <c r="AK862" t="n">
        <v>107.9526</v>
      </c>
      <c r="AL862" t="n">
        <v>113.1031</v>
      </c>
      <c r="AM862" t="n">
        <v>110.6234</v>
      </c>
      <c r="AN862" t="n">
        <v>111.7264</v>
      </c>
      <c r="AO862" t="n">
        <v>108.0635</v>
      </c>
      <c r="AP862" t="n">
        <v>103.4479</v>
      </c>
      <c r="AQ862" t="n">
        <v/>
      </c>
      <c r="AR862" t="n">
        <v/>
      </c>
      <c r="AS862" t="n">
        <v>108.9633</v>
      </c>
      <c r="AT862" t="n">
        <v>104.8717</v>
      </c>
      <c r="AU862" t="n">
        <v>106.6614</v>
      </c>
      <c r="AV862" t="n">
        <v>183.6815</v>
      </c>
      <c r="AW862" t="n">
        <v>111.0662</v>
      </c>
      <c r="AX862" t="n">
        <v>124.5087</v>
      </c>
    </row>
    <row r="863">
      <c r="A863" s="92" t="n">
        <v>44105</v>
      </c>
      <c r="B863" t="n">
        <v>109.7638</v>
      </c>
      <c r="C863" t="n">
        <v>108.4464</v>
      </c>
      <c r="D863" t="n">
        <v/>
      </c>
      <c r="E863" t="n">
        <v>109.7403</v>
      </c>
      <c r="F863" t="n">
        <v>100.5267</v>
      </c>
      <c r="G863" t="n">
        <v>114.5885</v>
      </c>
      <c r="H863" t="n">
        <v/>
      </c>
      <c r="I863" t="n">
        <v>122.234</v>
      </c>
      <c r="J863" t="n">
        <v>108.488</v>
      </c>
      <c r="K863" t="n">
        <v>113.8</v>
      </c>
      <c r="L863" t="n">
        <v>106.9139</v>
      </c>
      <c r="M863" t="n">
        <v>104.4245</v>
      </c>
      <c r="N863" t="n">
        <v>105.07</v>
      </c>
      <c r="O863" t="n">
        <v>104.8482</v>
      </c>
      <c r="P863" t="n">
        <v>108.5166</v>
      </c>
      <c r="Q863" t="n">
        <v/>
      </c>
      <c r="R863" t="n">
        <v>104</v>
      </c>
      <c r="S863" t="n">
        <v>103.6846</v>
      </c>
      <c r="T863" t="n">
        <v/>
      </c>
      <c r="U863" t="n">
        <v>108.5038</v>
      </c>
      <c r="V863" t="n">
        <v>110</v>
      </c>
      <c r="W863" t="n">
        <v>100.1051</v>
      </c>
      <c r="X863" t="n">
        <v>113.5237</v>
      </c>
      <c r="Y863" t="n">
        <v/>
      </c>
      <c r="Z863" t="n">
        <v/>
      </c>
      <c r="AA863" t="n">
        <v>101.7507</v>
      </c>
      <c r="AB863" t="n">
        <v>115.2328</v>
      </c>
      <c r="AC863" t="n">
        <v>101.3329</v>
      </c>
      <c r="AD863" t="n">
        <v>102.819</v>
      </c>
      <c r="AE863" t="n">
        <v>100.8118</v>
      </c>
      <c r="AF863" t="n">
        <v>105.2634</v>
      </c>
      <c r="AG863" t="n">
        <v>116.1539</v>
      </c>
      <c r="AH863" t="n">
        <v>107.08</v>
      </c>
      <c r="AI863" t="n">
        <v>110.5843</v>
      </c>
      <c r="AJ863" t="n">
        <v>120.0447</v>
      </c>
      <c r="AK863" t="n">
        <v>108.6997</v>
      </c>
      <c r="AL863" t="n">
        <v>113.3564</v>
      </c>
      <c r="AM863" t="n">
        <v>110.8081</v>
      </c>
      <c r="AN863" t="n">
        <v>112.0556</v>
      </c>
      <c r="AO863" t="n">
        <v>108.4112</v>
      </c>
      <c r="AP863" t="n">
        <v>103.5668</v>
      </c>
      <c r="AQ863" t="n">
        <v/>
      </c>
      <c r="AR863" t="n">
        <v/>
      </c>
      <c r="AS863" t="n">
        <v>108.978</v>
      </c>
      <c r="AT863" t="n">
        <v>105.5218</v>
      </c>
      <c r="AU863" t="n">
        <v>106.7787</v>
      </c>
      <c r="AV863" t="n">
        <v>186.9536</v>
      </c>
      <c r="AW863" t="n">
        <v>111.1793</v>
      </c>
      <c r="AX863" t="n">
        <v>124.8852</v>
      </c>
    </row>
    <row r="864">
      <c r="A864" s="92" t="n">
        <v>44136</v>
      </c>
      <c r="B864" t="n">
        <v>109.9821</v>
      </c>
      <c r="C864" t="n">
        <v>108.4852</v>
      </c>
      <c r="D864" t="n">
        <v/>
      </c>
      <c r="E864" t="n">
        <v>109.8812</v>
      </c>
      <c r="F864" t="n">
        <v>100.3739</v>
      </c>
      <c r="G864" t="n">
        <v>114.3715</v>
      </c>
      <c r="H864" t="n">
        <v/>
      </c>
      <c r="I864" t="n">
        <v>121.9874</v>
      </c>
      <c r="J864" t="n">
        <v>108.3795</v>
      </c>
      <c r="K864" t="n">
        <v>113.8</v>
      </c>
      <c r="L864" t="n">
        <v>105.8658</v>
      </c>
      <c r="M864" t="n">
        <v>104.4524</v>
      </c>
      <c r="N864" t="n">
        <v>104.53</v>
      </c>
      <c r="O864" t="n">
        <v>105.1972</v>
      </c>
      <c r="P864" t="n">
        <v>108.6869</v>
      </c>
      <c r="Q864" t="n">
        <v/>
      </c>
      <c r="R864" t="n">
        <v>104.07</v>
      </c>
      <c r="S864" t="n">
        <v>103.7921</v>
      </c>
      <c r="T864" t="n">
        <v/>
      </c>
      <c r="U864" t="n">
        <v>108.4326</v>
      </c>
      <c r="V864" t="n">
        <v>109.9</v>
      </c>
      <c r="W864" t="n">
        <v>98.72110000000001</v>
      </c>
      <c r="X864" t="n">
        <v>113.4485</v>
      </c>
      <c r="Y864" t="n">
        <v/>
      </c>
      <c r="Z864" t="n">
        <v/>
      </c>
      <c r="AA864" t="n">
        <v>102.1087</v>
      </c>
      <c r="AB864" t="n">
        <v>115.364</v>
      </c>
      <c r="AC864" t="n">
        <v>101.2317</v>
      </c>
      <c r="AD864" t="n">
        <v>102.5703</v>
      </c>
      <c r="AE864" t="n">
        <v>100.8984</v>
      </c>
      <c r="AF864" t="n">
        <v>105.9617</v>
      </c>
      <c r="AG864" t="n">
        <v>115.8803</v>
      </c>
      <c r="AH864" t="n">
        <v>106.85</v>
      </c>
      <c r="AI864" t="n">
        <v>110.0021</v>
      </c>
      <c r="AJ864" t="n">
        <v>119.8692</v>
      </c>
      <c r="AK864" t="n">
        <v>107.7505</v>
      </c>
      <c r="AL864" t="n">
        <v>112.952</v>
      </c>
      <c r="AM864" t="n">
        <v>110.8238</v>
      </c>
      <c r="AN864" t="n">
        <v>112</v>
      </c>
      <c r="AO864" t="n">
        <v>108.5851</v>
      </c>
      <c r="AP864" t="n">
        <v>103.2597</v>
      </c>
      <c r="AQ864" t="n">
        <v/>
      </c>
      <c r="AR864" t="n">
        <v/>
      </c>
      <c r="AS864" t="n">
        <v>109.0886</v>
      </c>
      <c r="AT864" t="n">
        <v>104.8217</v>
      </c>
      <c r="AU864" t="n">
        <v>106.7519</v>
      </c>
      <c r="AV864" t="n">
        <v>190.4178</v>
      </c>
      <c r="AW864" t="n">
        <v>111.2392</v>
      </c>
      <c r="AX864" t="n">
        <v>124.863</v>
      </c>
    </row>
    <row r="865">
      <c r="A865" s="92" t="n">
        <v>44166</v>
      </c>
      <c r="B865" t="n">
        <v>110.5276</v>
      </c>
      <c r="C865" t="n">
        <v>108.6795</v>
      </c>
      <c r="D865" t="n">
        <v/>
      </c>
      <c r="E865" t="n">
        <v>109.4658</v>
      </c>
      <c r="F865" t="n">
        <v>100.2671</v>
      </c>
      <c r="G865" t="n">
        <v>114.7838</v>
      </c>
      <c r="H865" t="n">
        <v/>
      </c>
      <c r="I865" t="n">
        <v>122.2943</v>
      </c>
      <c r="J865" t="n">
        <v>108.488</v>
      </c>
      <c r="K865" t="n">
        <v>113.9</v>
      </c>
      <c r="L865" t="n">
        <v>106.3288</v>
      </c>
      <c r="M865" t="n">
        <v>104.1714</v>
      </c>
      <c r="N865" t="n">
        <v>104.93</v>
      </c>
      <c r="O865" t="n">
        <v>105.1677</v>
      </c>
      <c r="P865" t="n">
        <v>108.6869</v>
      </c>
      <c r="Q865" t="n">
        <v/>
      </c>
      <c r="R865" t="n">
        <v>104.17</v>
      </c>
      <c r="S865" t="n">
        <v>104.0003</v>
      </c>
      <c r="T865" t="n">
        <v/>
      </c>
      <c r="U865" t="n">
        <v>108.4514</v>
      </c>
      <c r="V865" t="n">
        <v>110.2</v>
      </c>
      <c r="W865" t="n">
        <v>99.35717</v>
      </c>
      <c r="X865" t="n">
        <v>113.8993</v>
      </c>
      <c r="Y865" t="n">
        <v/>
      </c>
      <c r="Z865" t="n">
        <v/>
      </c>
      <c r="AA865" t="n">
        <v>102.6695</v>
      </c>
      <c r="AB865" t="n">
        <v>115.6829</v>
      </c>
      <c r="AC865" t="n">
        <v>101.1304</v>
      </c>
      <c r="AD865" t="n">
        <v>102.8343</v>
      </c>
      <c r="AE865" t="n">
        <v>100.8715</v>
      </c>
      <c r="AF865" t="n">
        <v>106.0675</v>
      </c>
      <c r="AG865" t="n">
        <v>115.599</v>
      </c>
      <c r="AH865" t="n">
        <v>107.13</v>
      </c>
      <c r="AI865" t="n">
        <v>109.4859</v>
      </c>
      <c r="AJ865" t="n">
        <v>120.5241</v>
      </c>
      <c r="AK865" t="n">
        <v>108.0215</v>
      </c>
      <c r="AL865" t="n">
        <v>113.2476</v>
      </c>
      <c r="AM865" t="n">
        <v>110.9187</v>
      </c>
      <c r="AN865" t="n">
        <v>112.3141</v>
      </c>
      <c r="AO865" t="n">
        <v>108.5851</v>
      </c>
      <c r="AP865" t="n">
        <v>103.1012</v>
      </c>
      <c r="AQ865" t="n">
        <v/>
      </c>
      <c r="AR865" t="n">
        <v/>
      </c>
      <c r="AS865" t="n">
        <v>109.015</v>
      </c>
      <c r="AT865" t="n">
        <v>104.2817</v>
      </c>
      <c r="AU865" t="n">
        <v>107.4321</v>
      </c>
      <c r="AV865" t="n">
        <v>191.8353</v>
      </c>
      <c r="AW865" t="n">
        <v>111.1372</v>
      </c>
      <c r="AX865" t="n">
        <v>125.0238</v>
      </c>
    </row>
    <row r="866">
      <c r="A866" s="92" t="n">
        <v>44197</v>
      </c>
      <c r="B866" t="n">
        <v>109.6547</v>
      </c>
      <c r="C866" t="n">
        <v>108.9126</v>
      </c>
      <c r="D866" t="n">
        <v/>
      </c>
      <c r="E866" t="n">
        <v>109.9556</v>
      </c>
      <c r="F866" t="n">
        <v>100.1759</v>
      </c>
      <c r="G866" t="n">
        <v>115.3047</v>
      </c>
      <c r="H866" t="n">
        <v/>
      </c>
      <c r="I866" t="n">
        <v>122.5448</v>
      </c>
      <c r="J866" t="n">
        <v>108.6193</v>
      </c>
      <c r="K866" t="n">
        <v>115.2</v>
      </c>
      <c r="L866" t="n">
        <v>106.2384</v>
      </c>
      <c r="M866" t="n">
        <v>104.2635</v>
      </c>
      <c r="N866" t="n">
        <v>104.36</v>
      </c>
      <c r="O866" t="n">
        <v>103.6217</v>
      </c>
      <c r="P866" t="n">
        <v>108.5166</v>
      </c>
      <c r="Q866" t="n">
        <v/>
      </c>
      <c r="R866" t="n">
        <v>104.24</v>
      </c>
      <c r="S866" t="n">
        <v>103.9606</v>
      </c>
      <c r="T866" t="n">
        <v/>
      </c>
      <c r="U866" t="n">
        <v>108.6134</v>
      </c>
      <c r="V866" t="n">
        <v>109.8</v>
      </c>
      <c r="W866" t="n">
        <v>96.94311999999999</v>
      </c>
      <c r="X866" t="n">
        <v>114.5755</v>
      </c>
      <c r="Y866" t="n">
        <v/>
      </c>
      <c r="Z866" t="n">
        <v/>
      </c>
      <c r="AA866" t="n">
        <v>102.7402</v>
      </c>
      <c r="AB866" t="n">
        <v>115.2208</v>
      </c>
      <c r="AC866" t="n">
        <v>101.0705</v>
      </c>
      <c r="AD866" t="n">
        <v>103.2442</v>
      </c>
      <c r="AE866" t="n">
        <v>101.1014</v>
      </c>
      <c r="AF866" t="n">
        <v>106.3848</v>
      </c>
      <c r="AG866" t="n">
        <v>115.4124</v>
      </c>
      <c r="AH866" t="n">
        <v>107.36</v>
      </c>
      <c r="AI866" t="n">
        <v>109.5156</v>
      </c>
      <c r="AJ866" t="n">
        <v>120.9191</v>
      </c>
      <c r="AK866" t="n">
        <v>107.6607</v>
      </c>
      <c r="AL866" t="n">
        <v>112.8295</v>
      </c>
      <c r="AM866" t="n">
        <v>111.062</v>
      </c>
      <c r="AN866" t="n">
        <v>112.2403</v>
      </c>
      <c r="AO866" t="n">
        <v>108.9328</v>
      </c>
      <c r="AP866" t="n">
        <v>102.4472</v>
      </c>
      <c r="AQ866" t="n">
        <v/>
      </c>
      <c r="AR866" t="n">
        <v/>
      </c>
      <c r="AS866" t="n">
        <v>109.8665</v>
      </c>
      <c r="AT866" t="n">
        <v>103.2717</v>
      </c>
      <c r="AU866" t="n">
        <v>106.4167</v>
      </c>
      <c r="AV866" t="n">
        <v>194.2782</v>
      </c>
      <c r="AW866" t="n">
        <v>111.3556</v>
      </c>
      <c r="AX866" t="n">
        <v>125.1642</v>
      </c>
    </row>
    <row r="867">
      <c r="A867" s="92" t="n">
        <v>44228</v>
      </c>
      <c r="B867" t="n">
        <v>109.5456</v>
      </c>
      <c r="C867" t="n">
        <v>109.0874</v>
      </c>
      <c r="D867" t="n">
        <v/>
      </c>
      <c r="E867" t="n">
        <v>110.181</v>
      </c>
      <c r="F867" t="n">
        <v>100.2671</v>
      </c>
      <c r="G867" t="n">
        <v>115.5217</v>
      </c>
      <c r="H867" t="n">
        <v/>
      </c>
      <c r="I867" t="n">
        <v>123.3871</v>
      </c>
      <c r="J867" t="n">
        <v>108.6225</v>
      </c>
      <c r="K867" t="n">
        <v>115.4</v>
      </c>
      <c r="L867" t="n">
        <v>106.8131</v>
      </c>
      <c r="M867" t="n">
        <v>104.6949</v>
      </c>
      <c r="N867" t="n">
        <v>104.46</v>
      </c>
      <c r="O867" t="n">
        <v>103.5671</v>
      </c>
      <c r="P867" t="n">
        <v>108.9707</v>
      </c>
      <c r="Q867" t="n">
        <v/>
      </c>
      <c r="R867" t="n">
        <v>104.43</v>
      </c>
      <c r="S867" t="n">
        <v>103.7528</v>
      </c>
      <c r="T867" t="n">
        <v/>
      </c>
      <c r="U867" t="n">
        <v>108.8932</v>
      </c>
      <c r="V867" t="n">
        <v>109.9</v>
      </c>
      <c r="W867" t="n">
        <v>96.82136</v>
      </c>
      <c r="X867" t="n">
        <v>115.0263</v>
      </c>
      <c r="Y867" t="n">
        <v/>
      </c>
      <c r="Z867" t="n">
        <v/>
      </c>
      <c r="AA867" t="n">
        <v>103.0433</v>
      </c>
      <c r="AB867" t="n">
        <v>116.1408</v>
      </c>
      <c r="AC867" t="n">
        <v>101.2652</v>
      </c>
      <c r="AD867" t="n">
        <v>103.3221</v>
      </c>
      <c r="AE867" t="n">
        <v>101.2078</v>
      </c>
      <c r="AF867" t="n">
        <v>106.5329</v>
      </c>
      <c r="AG867" t="n">
        <v>115.3325</v>
      </c>
      <c r="AH867" t="n">
        <v>106.15</v>
      </c>
      <c r="AI867" t="n">
        <v>109.3841</v>
      </c>
      <c r="AJ867" t="n">
        <v>121.3719</v>
      </c>
      <c r="AK867" t="n">
        <v>108.4349</v>
      </c>
      <c r="AL867" t="n">
        <v>113.0889</v>
      </c>
      <c r="AM867" t="n">
        <v>111.337</v>
      </c>
      <c r="AN867" t="n">
        <v>112.4454</v>
      </c>
      <c r="AO867" t="n">
        <v>109.3675</v>
      </c>
      <c r="AP867" t="n">
        <v>101.8825</v>
      </c>
      <c r="AQ867" t="n">
        <v/>
      </c>
      <c r="AR867" t="n">
        <v/>
      </c>
      <c r="AS867" t="n">
        <v>109.9427</v>
      </c>
      <c r="AT867" t="n">
        <v>103.3317</v>
      </c>
      <c r="AU867" t="n">
        <v>106.6781</v>
      </c>
      <c r="AV867" t="n">
        <v>194.94</v>
      </c>
      <c r="AW867" t="n">
        <v>111.744</v>
      </c>
      <c r="AX867" t="n">
        <v>125.8478</v>
      </c>
    </row>
    <row r="868">
      <c r="A868" s="92" t="n">
        <v>44256</v>
      </c>
      <c r="B868" t="n">
        <v>110.7458</v>
      </c>
      <c r="C868" t="n">
        <v>109.0194</v>
      </c>
      <c r="D868" t="n">
        <v/>
      </c>
      <c r="E868" t="n">
        <v>110.4529</v>
      </c>
      <c r="F868" t="n">
        <v>100.5419</v>
      </c>
      <c r="G868" t="n">
        <v>116.0534</v>
      </c>
      <c r="H868" t="n">
        <v/>
      </c>
      <c r="I868" t="n">
        <v>123.7116</v>
      </c>
      <c r="J868" t="n">
        <v>108.7625</v>
      </c>
      <c r="K868" t="n">
        <v>115.4</v>
      </c>
      <c r="L868" t="n">
        <v>107.1078</v>
      </c>
      <c r="M868" t="n">
        <v>104.823</v>
      </c>
      <c r="N868" t="n">
        <v>105.47</v>
      </c>
      <c r="O868" t="n">
        <v>104.0821</v>
      </c>
      <c r="P868" t="n">
        <v>108.8572</v>
      </c>
      <c r="Q868" t="n">
        <v/>
      </c>
      <c r="R868" t="n">
        <v>104.52</v>
      </c>
      <c r="S868" t="n">
        <v>104.3172</v>
      </c>
      <c r="T868" t="n">
        <v/>
      </c>
      <c r="U868" t="n">
        <v>109.2461</v>
      </c>
      <c r="V868" t="n">
        <v>110.2</v>
      </c>
      <c r="W868" t="n">
        <v>98.29047</v>
      </c>
      <c r="X868" t="n">
        <v>115.402</v>
      </c>
      <c r="Y868" t="n">
        <v/>
      </c>
      <c r="Z868" t="n">
        <v/>
      </c>
      <c r="AA868" t="n">
        <v>103.5529</v>
      </c>
      <c r="AB868" t="n">
        <v>116.664</v>
      </c>
      <c r="AC868" t="n">
        <v>101.8149</v>
      </c>
      <c r="AD868" t="n">
        <v>103.4844</v>
      </c>
      <c r="AE868" t="n">
        <v>101.2716</v>
      </c>
      <c r="AF868" t="n">
        <v>106.6599</v>
      </c>
      <c r="AG868" t="n">
        <v>116.1498</v>
      </c>
      <c r="AH868" t="n">
        <v>107.6</v>
      </c>
      <c r="AI868" t="n">
        <v>110.5174</v>
      </c>
      <c r="AJ868" t="n">
        <v>121.9517</v>
      </c>
      <c r="AK868" t="n">
        <v>108.7561</v>
      </c>
      <c r="AL868" t="n">
        <v>113.4389</v>
      </c>
      <c r="AM868" t="n">
        <v>111.7517</v>
      </c>
      <c r="AN868" t="n">
        <v>112.9724</v>
      </c>
      <c r="AO868" t="n">
        <v>110.15</v>
      </c>
      <c r="AP868" t="n">
        <v>103.4479</v>
      </c>
      <c r="AQ868" t="n">
        <v/>
      </c>
      <c r="AR868" t="n">
        <v/>
      </c>
      <c r="AS868" t="n">
        <v>110.6483</v>
      </c>
      <c r="AT868" t="n">
        <v>103.4017</v>
      </c>
      <c r="AU868" t="n">
        <v>106.9261</v>
      </c>
      <c r="AV868" t="n">
        <v>197.293</v>
      </c>
      <c r="AW868" t="n">
        <v>112.1638</v>
      </c>
      <c r="AX868" t="n">
        <v>126.4178</v>
      </c>
    </row>
    <row r="869">
      <c r="A869" s="92" t="n">
        <v>44287</v>
      </c>
      <c r="B869" t="n">
        <v>110.7458</v>
      </c>
      <c r="C869" t="n">
        <v>109.2331</v>
      </c>
      <c r="D869" t="n">
        <v/>
      </c>
      <c r="E869" t="n">
        <v>111.0164</v>
      </c>
      <c r="F869" t="n">
        <v>100.7534</v>
      </c>
      <c r="G869" t="n">
        <v>116.2162</v>
      </c>
      <c r="H869" t="n">
        <v/>
      </c>
      <c r="I869" t="n">
        <v>123.9684</v>
      </c>
      <c r="J869" t="n">
        <v>108.8601</v>
      </c>
      <c r="K869" t="n">
        <v>115.9</v>
      </c>
      <c r="L869" t="n">
        <v>107.837</v>
      </c>
      <c r="M869" t="n">
        <v>105.1515</v>
      </c>
      <c r="N869" t="n">
        <v>106.04</v>
      </c>
      <c r="O869" t="n">
        <v>105.1688</v>
      </c>
      <c r="P869" t="n">
        <v>108.9139</v>
      </c>
      <c r="Q869" t="n">
        <v/>
      </c>
      <c r="R869" t="n">
        <v>104.97</v>
      </c>
      <c r="S869" t="n">
        <v>104.377</v>
      </c>
      <c r="T869" t="n">
        <v/>
      </c>
      <c r="U869" t="n">
        <v>109.7529</v>
      </c>
      <c r="V869" t="n">
        <v>110.6</v>
      </c>
      <c r="W869" t="n">
        <v>99.66322</v>
      </c>
      <c r="X869" t="n">
        <v>116.4538</v>
      </c>
      <c r="Y869" t="n">
        <v/>
      </c>
      <c r="Z869" t="n">
        <v/>
      </c>
      <c r="AA869" t="n">
        <v>104.2139</v>
      </c>
      <c r="AB869" t="n">
        <v>117.4912</v>
      </c>
      <c r="AC869" t="n">
        <v>101.9799</v>
      </c>
      <c r="AD869" t="n">
        <v>103.615</v>
      </c>
      <c r="AE869" t="n">
        <v>99.99635000000001</v>
      </c>
      <c r="AF869" t="n">
        <v>106.8609</v>
      </c>
      <c r="AG869" t="n">
        <v>117.461</v>
      </c>
      <c r="AH869" t="n">
        <v>107.72</v>
      </c>
      <c r="AI869" t="n">
        <v>111.3996</v>
      </c>
      <c r="AJ869" t="n">
        <v>122.3005</v>
      </c>
      <c r="AK869" t="n">
        <v>109.3186</v>
      </c>
      <c r="AL869" t="n">
        <v>114.0303</v>
      </c>
      <c r="AM869" t="n">
        <v>112.3081</v>
      </c>
      <c r="AN869" t="n">
        <v>113.6081</v>
      </c>
      <c r="AO869" t="n">
        <v>110.6716</v>
      </c>
      <c r="AP869" t="n">
        <v>103.8343</v>
      </c>
      <c r="AQ869" t="n">
        <v/>
      </c>
      <c r="AR869" t="n">
        <v/>
      </c>
      <c r="AS869" t="n">
        <v>110.8009</v>
      </c>
      <c r="AT869" t="n">
        <v>104.6317</v>
      </c>
      <c r="AU869" t="n">
        <v>107.3484</v>
      </c>
      <c r="AV869" t="n">
        <v>200.7244</v>
      </c>
      <c r="AW869" t="n">
        <v>113.0947</v>
      </c>
      <c r="AX869" t="n">
        <v>126.8427</v>
      </c>
    </row>
    <row r="870">
      <c r="A870" s="92" t="n">
        <v>44317</v>
      </c>
      <c r="B870" t="n">
        <v>110.8549</v>
      </c>
      <c r="C870" t="n">
        <v>109.4079</v>
      </c>
      <c r="D870" t="n">
        <v/>
      </c>
      <c r="E870" t="n">
        <v>111.3571</v>
      </c>
      <c r="F870" t="n">
        <v>100.964</v>
      </c>
      <c r="G870" t="n">
        <v>116.6068</v>
      </c>
      <c r="H870" t="n">
        <v/>
      </c>
      <c r="I870" t="n">
        <v>124.1108</v>
      </c>
      <c r="J870" t="n">
        <v>108.6442</v>
      </c>
      <c r="K870" t="n">
        <v>116.4</v>
      </c>
      <c r="L870" t="n">
        <v>108.4221</v>
      </c>
      <c r="M870" t="n">
        <v>105.3152</v>
      </c>
      <c r="N870" t="n">
        <v>106.26</v>
      </c>
      <c r="O870" t="n">
        <v>105.4998</v>
      </c>
      <c r="P870" t="n">
        <v>110.2761</v>
      </c>
      <c r="Q870" t="n">
        <v/>
      </c>
      <c r="R870" t="n">
        <v>105.17</v>
      </c>
      <c r="S870" t="n">
        <v>104.6302</v>
      </c>
      <c r="T870" t="n">
        <v/>
      </c>
      <c r="U870" t="n">
        <v>110.336</v>
      </c>
      <c r="V870" t="n">
        <v>111.3</v>
      </c>
      <c r="W870" t="n">
        <v>98.82013999999999</v>
      </c>
      <c r="X870" t="n">
        <v>116.9046</v>
      </c>
      <c r="Y870" t="n">
        <v/>
      </c>
      <c r="Z870" t="n">
        <v/>
      </c>
      <c r="AA870" t="n">
        <v>104.2364</v>
      </c>
      <c r="AB870" t="n">
        <v>118.1601</v>
      </c>
      <c r="AC870" t="n">
        <v>102.3655</v>
      </c>
      <c r="AD870" t="n">
        <v>103.4447</v>
      </c>
      <c r="AE870" t="n">
        <v>100.1078</v>
      </c>
      <c r="AF870" t="n">
        <v>106.9773</v>
      </c>
      <c r="AG870" t="n">
        <v>118.4166</v>
      </c>
      <c r="AH870" t="n">
        <v>107.89</v>
      </c>
      <c r="AI870" t="n">
        <v>111.6072</v>
      </c>
      <c r="AJ870" t="n">
        <v>122.7786</v>
      </c>
      <c r="AK870" t="n">
        <v>109.2437</v>
      </c>
      <c r="AL870" t="n">
        <v>113.7276</v>
      </c>
      <c r="AM870" t="n">
        <v>112.828</v>
      </c>
      <c r="AN870" t="n">
        <v>114.0136</v>
      </c>
      <c r="AO870" t="n">
        <v>111.0193</v>
      </c>
      <c r="AP870" t="n">
        <v>103.9929</v>
      </c>
      <c r="AQ870" t="n">
        <v/>
      </c>
      <c r="AR870" t="n">
        <v/>
      </c>
      <c r="AS870" t="n">
        <v>111.6292</v>
      </c>
      <c r="AT870" t="n">
        <v>105.7418</v>
      </c>
      <c r="AU870" t="n">
        <v>107.4355</v>
      </c>
      <c r="AV870" t="n">
        <v>202.7384</v>
      </c>
      <c r="AW870" t="n">
        <v>113.8894</v>
      </c>
      <c r="AX870" t="n">
        <v>126.8409</v>
      </c>
    </row>
    <row r="871">
      <c r="A871" s="92" t="n">
        <v>44348</v>
      </c>
      <c r="B871" t="n">
        <v>111.6187</v>
      </c>
      <c r="C871" t="n">
        <v>109.5924</v>
      </c>
      <c r="D871" t="n">
        <v/>
      </c>
      <c r="E871" t="n">
        <v>111.7396</v>
      </c>
      <c r="F871" t="n">
        <v>100.9669</v>
      </c>
      <c r="G871" t="n">
        <v>116.5309</v>
      </c>
      <c r="H871" t="n">
        <v/>
      </c>
      <c r="I871" t="n">
        <v>124.3075</v>
      </c>
      <c r="J871" t="n">
        <v>108.8135</v>
      </c>
      <c r="K871" t="n">
        <v>117.2</v>
      </c>
      <c r="L871" t="n">
        <v>108.8219</v>
      </c>
      <c r="M871" t="n">
        <v>105.2837</v>
      </c>
      <c r="N871" t="n">
        <v>106.53</v>
      </c>
      <c r="O871" t="n">
        <v>105.606</v>
      </c>
      <c r="P871" t="n">
        <v>111.0139</v>
      </c>
      <c r="Q871" t="n">
        <v/>
      </c>
      <c r="R871" t="n">
        <v>105.23</v>
      </c>
      <c r="S871" t="n">
        <v>104.8494</v>
      </c>
      <c r="T871" t="n">
        <v/>
      </c>
      <c r="U871" t="n">
        <v>110.979</v>
      </c>
      <c r="V871" t="n">
        <v>111.8</v>
      </c>
      <c r="W871" t="n">
        <v>99.76011</v>
      </c>
      <c r="X871" t="n">
        <v>117.9564</v>
      </c>
      <c r="Y871" t="n">
        <v/>
      </c>
      <c r="Z871" t="n">
        <v/>
      </c>
      <c r="AA871" t="n">
        <v>104.3783</v>
      </c>
      <c r="AB871" t="n">
        <v>118.6</v>
      </c>
      <c r="AC871" t="n">
        <v>102.4183</v>
      </c>
      <c r="AD871" t="n">
        <v>103.6368</v>
      </c>
      <c r="AE871" t="n">
        <v>99.89941</v>
      </c>
      <c r="AF871" t="n">
        <v>106.9984</v>
      </c>
      <c r="AG871" t="n">
        <v>119.2562</v>
      </c>
      <c r="AH871" t="n">
        <v>108.02</v>
      </c>
      <c r="AI871" t="n">
        <v>112.1053</v>
      </c>
      <c r="AJ871" t="n">
        <v>123.3471</v>
      </c>
      <c r="AK871" t="n">
        <v>109.3334</v>
      </c>
      <c r="AL871" t="n">
        <v>114.2874</v>
      </c>
      <c r="AM871" t="n">
        <v>113.4432</v>
      </c>
      <c r="AN871" t="n">
        <v>114.5458</v>
      </c>
      <c r="AO871" t="n">
        <v>111.0193</v>
      </c>
      <c r="AP871" t="n">
        <v>103.9334</v>
      </c>
      <c r="AQ871" t="n">
        <v/>
      </c>
      <c r="AR871" t="n">
        <v/>
      </c>
      <c r="AS871" t="n">
        <v>112.2899</v>
      </c>
      <c r="AT871" t="n">
        <v>106.4918</v>
      </c>
      <c r="AU871" t="n">
        <v>107.536</v>
      </c>
      <c r="AV871" t="n">
        <v>207.33</v>
      </c>
      <c r="AW871" t="n">
        <v>114.8491</v>
      </c>
      <c r="AX871" t="n">
        <v>127.3885</v>
      </c>
    </row>
    <row r="872">
      <c r="A872" s="92" t="n">
        <v>44378</v>
      </c>
      <c r="B872" t="n">
        <v>111.6187</v>
      </c>
      <c r="C872" t="n">
        <v>110.146</v>
      </c>
      <c r="D872" t="n">
        <v/>
      </c>
      <c r="E872" t="n">
        <v>112.3064</v>
      </c>
      <c r="F872" t="n">
        <v>100.7136</v>
      </c>
      <c r="G872" t="n">
        <v>117.2037</v>
      </c>
      <c r="H872" t="n">
        <v/>
      </c>
      <c r="I872" t="n">
        <v>124.6642</v>
      </c>
      <c r="J872" t="n">
        <v>108.7039</v>
      </c>
      <c r="K872" t="n">
        <v>118.5</v>
      </c>
      <c r="L872" t="n">
        <v>109.8445</v>
      </c>
      <c r="M872" t="n">
        <v>105.5494</v>
      </c>
      <c r="N872" t="n">
        <v>106.06</v>
      </c>
      <c r="O872" t="n">
        <v>104.4184</v>
      </c>
      <c r="P872" t="n">
        <v>111.4112</v>
      </c>
      <c r="Q872" t="n">
        <v/>
      </c>
      <c r="R872" t="n">
        <v>105.49</v>
      </c>
      <c r="S872" t="n">
        <v>104.6594</v>
      </c>
      <c r="T872" t="n">
        <v/>
      </c>
      <c r="U872" t="n">
        <v>111.3414</v>
      </c>
      <c r="V872" t="n">
        <v>111.8</v>
      </c>
      <c r="W872" t="n">
        <v>97.58584999999999</v>
      </c>
      <c r="X872" t="n">
        <v>118.4072</v>
      </c>
      <c r="Y872" t="n">
        <v/>
      </c>
      <c r="Z872" t="n">
        <v/>
      </c>
      <c r="AA872" t="n">
        <v>104.5268</v>
      </c>
      <c r="AB872" t="n">
        <v>118.7529</v>
      </c>
      <c r="AC872" t="n">
        <v>102.7718</v>
      </c>
      <c r="AD872" t="n">
        <v>103.9568</v>
      </c>
      <c r="AE872" t="n">
        <v>100.4102</v>
      </c>
      <c r="AF872" t="n">
        <v>107.3264</v>
      </c>
      <c r="AG872" t="n">
        <v>119.0209</v>
      </c>
      <c r="AH872" t="n">
        <v>107.26</v>
      </c>
      <c r="AI872" t="n">
        <v>111.8924</v>
      </c>
      <c r="AJ872" t="n">
        <v>123.7721</v>
      </c>
      <c r="AK872" t="n">
        <v>109.5887</v>
      </c>
      <c r="AL872" t="n">
        <v>114.5122</v>
      </c>
      <c r="AM872" t="n">
        <v>113.7639</v>
      </c>
      <c r="AN872" t="n">
        <v>114.7463</v>
      </c>
      <c r="AO872" t="n">
        <v>111.454</v>
      </c>
      <c r="AP872" t="n">
        <v>103.3489</v>
      </c>
      <c r="AQ872" t="n">
        <v/>
      </c>
      <c r="AR872" t="n">
        <v/>
      </c>
      <c r="AS872" t="n">
        <v>112.7824</v>
      </c>
      <c r="AT872" t="n">
        <v>106.8018</v>
      </c>
      <c r="AU872" t="n">
        <v>107.3115</v>
      </c>
      <c r="AV872" t="n">
        <v>208.4697</v>
      </c>
      <c r="AW872" t="n">
        <v>115.2322</v>
      </c>
      <c r="AX872" t="n">
        <v>127.9645</v>
      </c>
    </row>
    <row r="873">
      <c r="A873" s="92" t="n">
        <v>44409</v>
      </c>
      <c r="B873" t="n">
        <v>111.6187</v>
      </c>
      <c r="C873" t="n">
        <v>110.3985</v>
      </c>
      <c r="D873" t="n">
        <v/>
      </c>
      <c r="E873" t="n">
        <v>112.512</v>
      </c>
      <c r="F873" t="n">
        <v>100.9795</v>
      </c>
      <c r="G873" t="n">
        <v>117.6377</v>
      </c>
      <c r="H873" t="n">
        <v/>
      </c>
      <c r="I873" t="n">
        <v>125.0424</v>
      </c>
      <c r="J873" t="n">
        <v>108.6356</v>
      </c>
      <c r="K873" t="n">
        <v>119.6</v>
      </c>
      <c r="L873" t="n">
        <v>109.7794</v>
      </c>
      <c r="M873" t="n">
        <v>105.3532</v>
      </c>
      <c r="N873" t="n">
        <v>106.35</v>
      </c>
      <c r="O873" t="n">
        <v>104.5203</v>
      </c>
      <c r="P873" t="n">
        <v>112.3193</v>
      </c>
      <c r="Q873" t="n">
        <v/>
      </c>
      <c r="R873" t="n">
        <v>105.68</v>
      </c>
      <c r="S873" t="n">
        <v>105.2722</v>
      </c>
      <c r="T873" t="n">
        <v/>
      </c>
      <c r="U873" t="n">
        <v>111.5139</v>
      </c>
      <c r="V873" t="n">
        <v>112.4</v>
      </c>
      <c r="W873" t="n">
        <v>96.89339</v>
      </c>
      <c r="X873" t="n">
        <v>118.6326</v>
      </c>
      <c r="Y873" t="n">
        <v/>
      </c>
      <c r="Z873" t="n">
        <v/>
      </c>
      <c r="AA873" t="n">
        <v>105.049</v>
      </c>
      <c r="AB873" t="n">
        <v>119.3511</v>
      </c>
      <c r="AC873" t="n">
        <v>103.1111</v>
      </c>
      <c r="AD873" t="n">
        <v>104.2621</v>
      </c>
      <c r="AE873" t="n">
        <v>100.2909</v>
      </c>
      <c r="AF873" t="n">
        <v>107.5909</v>
      </c>
      <c r="AG873" t="n">
        <v>119.2484</v>
      </c>
      <c r="AH873" t="n">
        <v>108.52</v>
      </c>
      <c r="AI873" t="n">
        <v>112.1696</v>
      </c>
      <c r="AJ873" t="n">
        <v>124.172</v>
      </c>
      <c r="AK873" t="n">
        <v>110.0141</v>
      </c>
      <c r="AL873" t="n">
        <v>113.8939</v>
      </c>
      <c r="AM873" t="n">
        <v>113.9597</v>
      </c>
      <c r="AN873" t="n">
        <v>115.039</v>
      </c>
      <c r="AO873" t="n">
        <v>111.7148</v>
      </c>
      <c r="AP873" t="n">
        <v>103.121</v>
      </c>
      <c r="AQ873" t="n">
        <v/>
      </c>
      <c r="AR873" t="n">
        <v/>
      </c>
      <c r="AS873" t="n">
        <v>113.4256</v>
      </c>
      <c r="AT873" t="n">
        <v>106.8718</v>
      </c>
      <c r="AU873" t="n">
        <v>107.6667</v>
      </c>
      <c r="AV873" t="n">
        <v>209.1765</v>
      </c>
      <c r="AW873" t="n">
        <v>115.3812</v>
      </c>
      <c r="AX873" t="n">
        <v>128.2977</v>
      </c>
    </row>
    <row r="874">
      <c r="A874" s="92" t="n">
        <v>44440</v>
      </c>
      <c r="B874" t="n">
        <v>112.1643</v>
      </c>
      <c r="C874" t="n">
        <v>110.2917</v>
      </c>
      <c r="D874" t="n">
        <v/>
      </c>
      <c r="E874" t="n">
        <v>112.7462</v>
      </c>
      <c r="F874" t="n">
        <v>101.0567</v>
      </c>
      <c r="G874" t="n">
        <v>118.7445</v>
      </c>
      <c r="H874" t="n">
        <v/>
      </c>
      <c r="I874" t="n">
        <v>125.3644</v>
      </c>
      <c r="J874" t="n">
        <v>109.4221</v>
      </c>
      <c r="K874" t="n">
        <v>120.1</v>
      </c>
      <c r="L874" t="n">
        <v>109.6747</v>
      </c>
      <c r="M874" t="n">
        <v>105.6138</v>
      </c>
      <c r="N874" t="n">
        <v>106.9</v>
      </c>
      <c r="O874" t="n">
        <v>104.9313</v>
      </c>
      <c r="P874" t="n">
        <v>112.8301</v>
      </c>
      <c r="Q874" t="n">
        <v/>
      </c>
      <c r="R874" t="n">
        <v>106.04</v>
      </c>
      <c r="S874" t="n">
        <v>104.9806</v>
      </c>
      <c r="T874" t="n">
        <v/>
      </c>
      <c r="U874" t="n">
        <v>111.5807</v>
      </c>
      <c r="V874" t="n">
        <v>112.8</v>
      </c>
      <c r="W874" t="n">
        <v>99.92708</v>
      </c>
      <c r="X874" t="n">
        <v>118.7829</v>
      </c>
      <c r="Y874" t="n">
        <v/>
      </c>
      <c r="Z874" t="n">
        <v/>
      </c>
      <c r="AA874" t="n">
        <v>105.5968</v>
      </c>
      <c r="AB874" t="n">
        <v>119.8773</v>
      </c>
      <c r="AC874" t="n">
        <v>103.1484</v>
      </c>
      <c r="AD874" t="n">
        <v>103.9464</v>
      </c>
      <c r="AE874" t="n">
        <v>100.1942</v>
      </c>
      <c r="AF874" t="n">
        <v>107.4639</v>
      </c>
      <c r="AG874" t="n">
        <v>120.4184</v>
      </c>
      <c r="AH874" t="n">
        <v>108.65</v>
      </c>
      <c r="AI874" t="n">
        <v>112.8862</v>
      </c>
      <c r="AJ874" t="n">
        <v>124.6026</v>
      </c>
      <c r="AK874" t="n">
        <v>109.8259</v>
      </c>
      <c r="AL874" t="n">
        <v>114.5734</v>
      </c>
      <c r="AM874" t="n">
        <v>114.168</v>
      </c>
      <c r="AN874" t="n">
        <v>115.3736</v>
      </c>
      <c r="AO874" t="n">
        <v>112.4973</v>
      </c>
      <c r="AP874" t="n">
        <v>104.3297</v>
      </c>
      <c r="AQ874" t="n">
        <v/>
      </c>
      <c r="AR874" t="n">
        <v/>
      </c>
      <c r="AS874" t="n">
        <v>114.6889</v>
      </c>
      <c r="AT874" t="n">
        <v>106.4518</v>
      </c>
      <c r="AU874" t="n">
        <v>107.9784</v>
      </c>
      <c r="AV874" t="n">
        <v>212.4037</v>
      </c>
      <c r="AW874" t="n">
        <v>115.5369</v>
      </c>
      <c r="AX874" t="n">
        <v>128.5798</v>
      </c>
    </row>
    <row r="875">
      <c r="A875" s="92" t="n">
        <v>44470</v>
      </c>
      <c r="B875" t="n">
        <v>112.3825</v>
      </c>
      <c r="C875" t="n">
        <v>110.8356</v>
      </c>
      <c r="D875" t="n">
        <v/>
      </c>
      <c r="E875" t="n">
        <v>113.2625</v>
      </c>
      <c r="F875" t="n">
        <v>101.289</v>
      </c>
      <c r="G875" t="n">
        <v>120.383</v>
      </c>
      <c r="H875" t="n">
        <v/>
      </c>
      <c r="I875" t="n">
        <v>125.0743</v>
      </c>
      <c r="J875" t="n">
        <v>110.0101</v>
      </c>
      <c r="K875" t="n">
        <v>121.4</v>
      </c>
      <c r="L875" t="n">
        <v>109.7851</v>
      </c>
      <c r="M875" t="n">
        <v>106.0546</v>
      </c>
      <c r="N875" t="n">
        <v>107.22</v>
      </c>
      <c r="O875" t="n">
        <v>106.1104</v>
      </c>
      <c r="P875" t="n">
        <v>113.5679</v>
      </c>
      <c r="Q875" t="n">
        <v/>
      </c>
      <c r="R875" t="n">
        <v>106.41</v>
      </c>
      <c r="S875" t="n">
        <v>105.0276</v>
      </c>
      <c r="T875" t="n">
        <v/>
      </c>
      <c r="U875" t="n">
        <v>112.0326</v>
      </c>
      <c r="V875" t="n">
        <v>113.4</v>
      </c>
      <c r="W875" t="n">
        <v>100.3005</v>
      </c>
      <c r="X875" t="n">
        <v>119.6844</v>
      </c>
      <c r="Y875" t="n">
        <v/>
      </c>
      <c r="Z875" t="n">
        <v/>
      </c>
      <c r="AA875" t="n">
        <v>105.7067</v>
      </c>
      <c r="AB875" t="n">
        <v>120.507</v>
      </c>
      <c r="AC875" t="n">
        <v>103.1626</v>
      </c>
      <c r="AD875" t="n">
        <v>103.8667</v>
      </c>
      <c r="AE875" t="n">
        <v>99.92796</v>
      </c>
      <c r="AF875" t="n">
        <v>107.7284</v>
      </c>
      <c r="AG875" t="n">
        <v>121.7037</v>
      </c>
      <c r="AH875" t="n">
        <v>109.09</v>
      </c>
      <c r="AI875" t="n">
        <v>113.402</v>
      </c>
      <c r="AJ875" t="n">
        <v>125.1307</v>
      </c>
      <c r="AK875" t="n">
        <v>110.6594</v>
      </c>
      <c r="AL875" t="n">
        <v>114.8428</v>
      </c>
      <c r="AM875" t="n">
        <v>114.7487</v>
      </c>
      <c r="AN875" t="n">
        <v>115.9778</v>
      </c>
      <c r="AO875" t="n">
        <v>113.2797</v>
      </c>
      <c r="AP875" t="n">
        <v>104.6765</v>
      </c>
      <c r="AQ875" t="n">
        <v/>
      </c>
      <c r="AR875" t="n">
        <v/>
      </c>
      <c r="AS875" t="n">
        <v>115.4209</v>
      </c>
      <c r="AT875" t="n">
        <v>107.0718</v>
      </c>
      <c r="AU875" t="n">
        <v>108.4475</v>
      </c>
      <c r="AV875" t="n">
        <v>216.8278</v>
      </c>
      <c r="AW875" t="n">
        <v>116.2523</v>
      </c>
      <c r="AX875" t="n">
        <v>128.8649</v>
      </c>
    </row>
    <row r="876">
      <c r="A876" s="92" t="n">
        <v>44501</v>
      </c>
      <c r="B876" t="n">
        <v>112.928</v>
      </c>
      <c r="C876" t="n">
        <v>110.9521</v>
      </c>
      <c r="D876" t="n">
        <v/>
      </c>
      <c r="E876" t="n">
        <v>113.3053</v>
      </c>
      <c r="F876" t="n">
        <v>101.3135</v>
      </c>
      <c r="G876" t="n">
        <v>121.0124</v>
      </c>
      <c r="H876" t="n">
        <v/>
      </c>
      <c r="I876" t="n">
        <v>125.3627</v>
      </c>
      <c r="J876" t="n">
        <v>110.6263</v>
      </c>
      <c r="K876" t="n">
        <v>121.9</v>
      </c>
      <c r="L876" t="n">
        <v>109.1573</v>
      </c>
      <c r="M876" t="n">
        <v>105.9925</v>
      </c>
      <c r="N876" t="n">
        <v>107.26</v>
      </c>
      <c r="O876" t="n">
        <v>106.7536</v>
      </c>
      <c r="P876" t="n">
        <v>114.249</v>
      </c>
      <c r="Q876" t="n">
        <v/>
      </c>
      <c r="R876" t="n">
        <v>106.66</v>
      </c>
      <c r="S876" t="n">
        <v>105.2232</v>
      </c>
      <c r="T876" t="n">
        <v/>
      </c>
      <c r="U876" t="n">
        <v>112.284</v>
      </c>
      <c r="V876" t="n">
        <v>113.9</v>
      </c>
      <c r="W876" t="n">
        <v>99.3232</v>
      </c>
      <c r="X876" t="n">
        <v>120.2104</v>
      </c>
      <c r="Y876" t="n">
        <v/>
      </c>
      <c r="Z876" t="n">
        <v/>
      </c>
      <c r="AA876" t="n">
        <v>106.0453</v>
      </c>
      <c r="AB876" t="n">
        <v>120.8846</v>
      </c>
      <c r="AC876" t="n">
        <v>103.0867</v>
      </c>
      <c r="AD876" t="n">
        <v>103.7881</v>
      </c>
      <c r="AE876" t="n">
        <v>99.96823999999999</v>
      </c>
      <c r="AF876" t="n">
        <v>107.9717</v>
      </c>
      <c r="AG876" t="n">
        <v>121.9753</v>
      </c>
      <c r="AH876" t="n">
        <v>109.44</v>
      </c>
      <c r="AI876" t="n">
        <v>113.384</v>
      </c>
      <c r="AJ876" t="n">
        <v>125.5004</v>
      </c>
      <c r="AK876" t="n">
        <v>110.413</v>
      </c>
      <c r="AL876" t="n">
        <v>114.9833</v>
      </c>
      <c r="AM876" t="n">
        <v>115.1107</v>
      </c>
      <c r="AN876" t="n">
        <v>116.36</v>
      </c>
      <c r="AO876" t="n">
        <v>113.7144</v>
      </c>
      <c r="AP876" t="n">
        <v>105.0134</v>
      </c>
      <c r="AQ876" t="n">
        <v/>
      </c>
      <c r="AR876" t="n">
        <v/>
      </c>
      <c r="AS876" t="n">
        <v>116.0498</v>
      </c>
      <c r="AT876" t="n">
        <v>107.8118</v>
      </c>
      <c r="AU876" t="n">
        <v>108.5179</v>
      </c>
      <c r="AV876" t="n">
        <v>222.7634</v>
      </c>
      <c r="AW876" t="n">
        <v>116.7216</v>
      </c>
      <c r="AX876" t="n">
        <v>128.894</v>
      </c>
    </row>
    <row r="877">
      <c r="A877" s="92" t="n">
        <v>44531</v>
      </c>
      <c r="B877" t="n">
        <v>113.6918</v>
      </c>
      <c r="C877" t="n">
        <v>111.5737</v>
      </c>
      <c r="D877" t="n">
        <v/>
      </c>
      <c r="E877" t="n">
        <v>113.2237</v>
      </c>
      <c r="F877" t="n">
        <v>101.3474</v>
      </c>
      <c r="G877" t="n">
        <v>122.1518</v>
      </c>
      <c r="H877" t="n">
        <v/>
      </c>
      <c r="I877" t="n">
        <v>125.7759</v>
      </c>
      <c r="J877" t="n">
        <v>110.5222</v>
      </c>
      <c r="K877" t="n">
        <v>123.1</v>
      </c>
      <c r="L877" t="n">
        <v>110.0461</v>
      </c>
      <c r="M877" t="n">
        <v>105.7932</v>
      </c>
      <c r="N877" t="n">
        <v>107.68</v>
      </c>
      <c r="O877" t="n">
        <v>106.8882</v>
      </c>
      <c r="P877" t="n">
        <v>114.5327</v>
      </c>
      <c r="Q877" t="n">
        <v/>
      </c>
      <c r="R877" t="n">
        <v>106.84</v>
      </c>
      <c r="S877" t="n">
        <v>105.4303</v>
      </c>
      <c r="T877" t="n">
        <v/>
      </c>
      <c r="U877" t="n">
        <v>112.6885</v>
      </c>
      <c r="V877" t="n">
        <v>114.4</v>
      </c>
      <c r="W877" t="n">
        <v>100.3264</v>
      </c>
      <c r="X877" t="n">
        <v>120.8114</v>
      </c>
      <c r="Y877" t="n">
        <v/>
      </c>
      <c r="Z877" t="n">
        <v/>
      </c>
      <c r="AA877" t="n">
        <v>106.6418</v>
      </c>
      <c r="AB877" t="n">
        <v>121.4653</v>
      </c>
      <c r="AC877" t="n">
        <v>103.6075</v>
      </c>
      <c r="AD877" t="n">
        <v>104.1355</v>
      </c>
      <c r="AE877" t="n">
        <v>99.8904</v>
      </c>
      <c r="AF877" t="n">
        <v>108.4478</v>
      </c>
      <c r="AG877" t="n">
        <v>122.3599</v>
      </c>
      <c r="AH877" t="n">
        <v>109.7</v>
      </c>
      <c r="AI877" t="n">
        <v>113.2636</v>
      </c>
      <c r="AJ877" t="n">
        <v>126.4442</v>
      </c>
      <c r="AK877" t="n">
        <v>110.5644</v>
      </c>
      <c r="AL877" t="n">
        <v>115.4466</v>
      </c>
      <c r="AM877" t="n">
        <v>116.0594</v>
      </c>
      <c r="AN877" t="n">
        <v>118.3137</v>
      </c>
      <c r="AO877" t="n">
        <v>114.1491</v>
      </c>
      <c r="AP877" t="n">
        <v>104.9737</v>
      </c>
      <c r="AQ877" t="n">
        <v/>
      </c>
      <c r="AR877" t="n">
        <v/>
      </c>
      <c r="AS877" t="n">
        <v>116.1252</v>
      </c>
      <c r="AT877" t="n">
        <v>107.4718</v>
      </c>
      <c r="AU877" t="n">
        <v>108.9234</v>
      </c>
      <c r="AV877" t="n">
        <v>251.4407</v>
      </c>
      <c r="AW877" t="n">
        <v>117.198</v>
      </c>
      <c r="AX877" t="n">
        <v>129.4033</v>
      </c>
    </row>
    <row r="878">
      <c r="A878" s="92" t="n">
        <v>44562</v>
      </c>
      <c r="B878" t="n">
        <v>113.3644</v>
      </c>
      <c r="C878" t="n">
        <v>112.205</v>
      </c>
      <c r="D878" t="n">
        <v/>
      </c>
      <c r="E878" t="n">
        <v>113.9234</v>
      </c>
      <c r="F878" t="n">
        <v>101.288</v>
      </c>
      <c r="G878" t="n">
        <v>123.519</v>
      </c>
      <c r="H878" t="n">
        <v/>
      </c>
      <c r="I878" t="n">
        <v>127.2446</v>
      </c>
      <c r="J878" t="n">
        <v>110.6578</v>
      </c>
      <c r="K878" t="n">
        <v>125.7</v>
      </c>
      <c r="L878" t="n">
        <v>109.2597</v>
      </c>
      <c r="M878" t="n">
        <v>105.9992</v>
      </c>
      <c r="N878" t="n">
        <v>106.73</v>
      </c>
      <c r="O878" t="n">
        <v>105.7006</v>
      </c>
      <c r="P878" t="n">
        <v>114.5327</v>
      </c>
      <c r="Q878" t="n">
        <v/>
      </c>
      <c r="R878" t="n">
        <v>107.01</v>
      </c>
      <c r="S878" t="n">
        <v>105.307</v>
      </c>
      <c r="T878" t="n">
        <v/>
      </c>
      <c r="U878" t="n">
        <v>113.1066</v>
      </c>
      <c r="V878" t="n">
        <v>114.2</v>
      </c>
      <c r="W878" t="n">
        <v>98.10992</v>
      </c>
      <c r="X878" t="n">
        <v>121.8633</v>
      </c>
      <c r="Y878" t="n">
        <v/>
      </c>
      <c r="Z878" t="n">
        <v/>
      </c>
      <c r="AA878" t="n">
        <v>106.0759</v>
      </c>
      <c r="AB878" t="n">
        <v>121.7366</v>
      </c>
      <c r="AC878" t="n">
        <v>103.6494</v>
      </c>
      <c r="AD878" t="n">
        <v>104.6298</v>
      </c>
      <c r="AE878" t="n">
        <v>99.62421999999999</v>
      </c>
      <c r="AF878" t="n">
        <v>109.1354</v>
      </c>
      <c r="AG878" t="n">
        <v>123.7222</v>
      </c>
      <c r="AH878" t="n">
        <v>108.79</v>
      </c>
      <c r="AI878" t="n">
        <v>113.8026</v>
      </c>
      <c r="AJ878" t="n">
        <v>127.0452</v>
      </c>
      <c r="AK878" t="n">
        <v>110.2739</v>
      </c>
      <c r="AL878" t="n">
        <v>115.0449</v>
      </c>
      <c r="AM878" t="n">
        <v>116.7743</v>
      </c>
      <c r="AN878" t="n">
        <v>119.0116</v>
      </c>
      <c r="AO878" t="n">
        <v>115.2793</v>
      </c>
      <c r="AP878" t="n">
        <v>104.9539</v>
      </c>
      <c r="AQ878" t="n">
        <v/>
      </c>
      <c r="AR878" t="n">
        <v/>
      </c>
      <c r="AS878" t="n">
        <v>117.2914</v>
      </c>
      <c r="AT878" t="n">
        <v>107.2318</v>
      </c>
      <c r="AU878" t="n">
        <v>108.91</v>
      </c>
      <c r="AV878" t="n">
        <v>271.4861</v>
      </c>
      <c r="AW878" t="n">
        <v>118.0599</v>
      </c>
      <c r="AX878" t="n">
        <v>129.7178</v>
      </c>
    </row>
    <row r="879">
      <c r="A879" s="92" t="n">
        <v>44593</v>
      </c>
      <c r="B879" t="n">
        <v>114.0191</v>
      </c>
      <c r="C879" t="n">
        <v>112.4964</v>
      </c>
      <c r="D879" t="n">
        <v/>
      </c>
      <c r="E879" t="n">
        <v>114.6972</v>
      </c>
      <c r="F879" t="n">
        <v>101.8629</v>
      </c>
      <c r="G879" t="n">
        <v>123.1827</v>
      </c>
      <c r="H879" t="n">
        <v/>
      </c>
      <c r="I879" t="n">
        <v>128.8315</v>
      </c>
      <c r="J879" t="n">
        <v/>
      </c>
      <c r="K879" t="n">
        <v>126.7</v>
      </c>
      <c r="L879" t="n">
        <v>109.8975</v>
      </c>
      <c r="M879" t="n">
        <v>107.251</v>
      </c>
      <c r="N879" t="n">
        <v>107.3</v>
      </c>
      <c r="O879" t="n">
        <v>106.0779</v>
      </c>
      <c r="P879" t="n">
        <v>115.6111</v>
      </c>
      <c r="Q879" t="n">
        <v/>
      </c>
      <c r="R879" t="n">
        <v>107.17</v>
      </c>
      <c r="S879" t="n">
        <v>105.8062</v>
      </c>
      <c r="T879" t="n">
        <v/>
      </c>
      <c r="U879" t="n">
        <v>113.7727</v>
      </c>
      <c r="V879" t="n">
        <v>114.9</v>
      </c>
      <c r="W879" t="n">
        <v>97.95552000000001</v>
      </c>
      <c r="X879" t="n">
        <v>122.84</v>
      </c>
      <c r="Y879" t="n">
        <v/>
      </c>
      <c r="Z879" t="n">
        <v/>
      </c>
      <c r="AA879" t="n">
        <v>106.8723</v>
      </c>
      <c r="AB879" t="n">
        <v>123.1721</v>
      </c>
      <c r="AC879" t="n">
        <v>103.9706</v>
      </c>
      <c r="AD879" t="n">
        <v>104.7805</v>
      </c>
      <c r="AE879" t="n">
        <v>99.73193999999999</v>
      </c>
      <c r="AF879" t="n">
        <v>109.5903</v>
      </c>
      <c r="AG879" t="n">
        <v>124.873</v>
      </c>
      <c r="AH879" t="n">
        <v>110.89</v>
      </c>
      <c r="AI879" t="n">
        <v>114.2452</v>
      </c>
      <c r="AJ879" t="n">
        <v>127.9132</v>
      </c>
      <c r="AK879" t="n">
        <v>111.1429</v>
      </c>
      <c r="AL879" t="n">
        <v>115.824</v>
      </c>
      <c r="AM879" t="n">
        <v>117.5672</v>
      </c>
      <c r="AN879" t="n">
        <v>119.9844</v>
      </c>
      <c r="AO879" t="n">
        <v>116.4095</v>
      </c>
      <c r="AP879" t="n">
        <v>105.1224</v>
      </c>
      <c r="AQ879" t="n">
        <v/>
      </c>
      <c r="AR879" t="n">
        <v/>
      </c>
      <c r="AS879" t="n">
        <v>117.9925</v>
      </c>
      <c r="AT879" t="n">
        <v>108.2118</v>
      </c>
      <c r="AU879" t="n">
        <v>109.9186</v>
      </c>
      <c r="AV879" t="n">
        <v>280.9104</v>
      </c>
      <c r="AW879" t="n">
        <v>118.9115</v>
      </c>
      <c r="AX879" t="n">
        <v>130.2225</v>
      </c>
    </row>
    <row r="880">
      <c r="A880" s="92" t="n">
        <v>44621</v>
      </c>
      <c r="B880" t="n">
        <v>115.2193</v>
      </c>
      <c r="C880" t="n">
        <v>112.9237</v>
      </c>
      <c r="D880" t="n">
        <v/>
      </c>
      <c r="E880" t="n">
        <v>115.8344</v>
      </c>
      <c r="F880" t="n">
        <v>102.0928</v>
      </c>
      <c r="G880" t="n">
        <v>124.6367</v>
      </c>
      <c r="H880" t="n">
        <v/>
      </c>
      <c r="I880" t="n">
        <v>129.6031</v>
      </c>
      <c r="J880" t="n">
        <v/>
      </c>
      <c r="K880" t="n">
        <v>127.8</v>
      </c>
      <c r="L880" t="n">
        <v>110.6981</v>
      </c>
      <c r="M880" t="n">
        <v>107.6658</v>
      </c>
      <c r="N880" t="n">
        <v>108.59</v>
      </c>
      <c r="O880" t="n">
        <v>106.8924</v>
      </c>
      <c r="P880" t="n">
        <v>116.9732</v>
      </c>
      <c r="Q880" t="n">
        <v/>
      </c>
      <c r="R880" t="n">
        <v>107.78</v>
      </c>
      <c r="S880" t="n">
        <v>106.4264</v>
      </c>
      <c r="T880" t="n">
        <v/>
      </c>
      <c r="U880" t="n">
        <v>114.3269</v>
      </c>
      <c r="V880" t="n">
        <v>115.8</v>
      </c>
      <c r="W880" t="n">
        <v>100.004</v>
      </c>
      <c r="X880" t="n">
        <v>123.7415</v>
      </c>
      <c r="Y880" t="n">
        <v/>
      </c>
      <c r="Z880" t="n">
        <v/>
      </c>
      <c r="AA880" t="n">
        <v>107.5166</v>
      </c>
      <c r="AB880" t="n">
        <v>124.0872</v>
      </c>
      <c r="AC880" t="n">
        <v>104.5664</v>
      </c>
      <c r="AD880" t="n">
        <v>105.1593</v>
      </c>
      <c r="AE880" t="n">
        <v>99.93179000000001</v>
      </c>
      <c r="AF880" t="n">
        <v>109.7279</v>
      </c>
      <c r="AG880" t="n">
        <v>126.3852</v>
      </c>
      <c r="AH880" t="n">
        <v>111.34</v>
      </c>
      <c r="AI880" t="n">
        <v>116.2091</v>
      </c>
      <c r="AJ880" t="n">
        <v>128.623</v>
      </c>
      <c r="AK880" t="n">
        <v>111.6029</v>
      </c>
      <c r="AL880" t="n">
        <v>116.3514</v>
      </c>
      <c r="AM880" t="n">
        <v>118.344</v>
      </c>
      <c r="AN880" t="n">
        <v>121.2825</v>
      </c>
      <c r="AO880" t="n">
        <v>117.5397</v>
      </c>
      <c r="AP880" t="n">
        <v>107.4012</v>
      </c>
      <c r="AQ880" t="n">
        <v/>
      </c>
      <c r="AR880" t="n">
        <v/>
      </c>
      <c r="AS880" t="n">
        <v>119.8575</v>
      </c>
      <c r="AT880" t="n">
        <v>108.0318</v>
      </c>
      <c r="AU880" t="n">
        <v>110.7396</v>
      </c>
      <c r="AV880" t="n">
        <v>293.2801</v>
      </c>
      <c r="AW880" t="n">
        <v>119.4259</v>
      </c>
      <c r="AX880" t="n">
        <v>131.3542</v>
      </c>
    </row>
    <row r="881">
      <c r="A881" s="92" t="n">
        <v>44652</v>
      </c>
      <c r="B881" t="n">
        <v>115.4375</v>
      </c>
      <c r="C881" t="n">
        <v>113.3607</v>
      </c>
      <c r="D881" t="n">
        <v/>
      </c>
      <c r="E881" t="n">
        <v>116.5287</v>
      </c>
      <c r="F881" t="n">
        <v>102.3658</v>
      </c>
      <c r="G881" t="n">
        <v>125.9063</v>
      </c>
      <c r="H881" t="n">
        <v/>
      </c>
      <c r="I881" t="n">
        <v>130.7106</v>
      </c>
      <c r="J881" t="n">
        <v/>
      </c>
      <c r="K881" t="n">
        <v>129.4</v>
      </c>
      <c r="L881" t="n">
        <v>111.9172</v>
      </c>
      <c r="M881" t="n">
        <v>108.5769</v>
      </c>
      <c r="N881" t="n">
        <v>109.73</v>
      </c>
      <c r="O881" t="n">
        <v>108.6244</v>
      </c>
      <c r="P881" t="n">
        <v>119.1867</v>
      </c>
      <c r="Q881" t="n">
        <v/>
      </c>
      <c r="R881" t="n">
        <v>108.46</v>
      </c>
      <c r="S881" t="n">
        <v>107.0884</v>
      </c>
      <c r="T881" t="n">
        <v/>
      </c>
      <c r="U881" t="n">
        <v>114.9972</v>
      </c>
      <c r="V881" t="n">
        <v>116.6</v>
      </c>
      <c r="W881" t="n">
        <v>101.4073</v>
      </c>
      <c r="X881" t="n">
        <v>125.3193</v>
      </c>
      <c r="Y881" t="n">
        <v/>
      </c>
      <c r="Z881" t="n">
        <v/>
      </c>
      <c r="AA881" t="n">
        <v>108.8698</v>
      </c>
      <c r="AB881" t="n">
        <v>125.6603</v>
      </c>
      <c r="AC881" t="n">
        <v>105.2522</v>
      </c>
      <c r="AD881" t="n">
        <v>105.6519</v>
      </c>
      <c r="AE881" t="n">
        <v>100.3321</v>
      </c>
      <c r="AF881" t="n">
        <v>110.1405</v>
      </c>
      <c r="AG881" t="n">
        <v>128.1334</v>
      </c>
      <c r="AH881" t="n">
        <v>112.16</v>
      </c>
      <c r="AI881" t="n">
        <v>117.9183</v>
      </c>
      <c r="AJ881" t="n">
        <v>129.3655</v>
      </c>
      <c r="AK881" t="n">
        <v>113.1071</v>
      </c>
      <c r="AL881" t="n">
        <v>117.3604</v>
      </c>
      <c r="AM881" t="n">
        <v>119.3371</v>
      </c>
      <c r="AN881" t="n">
        <v>122.8707</v>
      </c>
      <c r="AO881" t="n">
        <v>119.1045</v>
      </c>
      <c r="AP881" t="n">
        <v>108.9864</v>
      </c>
      <c r="AQ881" t="n">
        <v/>
      </c>
      <c r="AR881" t="n">
        <v/>
      </c>
      <c r="AS881" t="n">
        <v>121.2988</v>
      </c>
      <c r="AT881" t="n">
        <v>110.3018</v>
      </c>
      <c r="AU881" t="n">
        <v>111.7014</v>
      </c>
      <c r="AV881" t="n">
        <v>307.1938</v>
      </c>
      <c r="AW881" t="n">
        <v>120.062</v>
      </c>
      <c r="AX881" t="n">
        <v>131.9884</v>
      </c>
    </row>
    <row r="882">
      <c r="A882" s="92" t="n">
        <v>44682</v>
      </c>
      <c r="B882" t="n">
        <v>116.4195</v>
      </c>
      <c r="C882" t="n">
        <v>113.8172</v>
      </c>
      <c r="D882" t="n">
        <v/>
      </c>
      <c r="E882" t="n">
        <v>117.1325</v>
      </c>
      <c r="F882" t="n">
        <v>102.7779</v>
      </c>
      <c r="G882" t="n">
        <v>127.1216</v>
      </c>
      <c r="H882" t="n">
        <v/>
      </c>
      <c r="I882" t="n">
        <v>131.535</v>
      </c>
      <c r="J882" t="n">
        <v/>
      </c>
      <c r="K882" t="n">
        <v>131.2</v>
      </c>
      <c r="L882" t="n">
        <v>112.4853</v>
      </c>
      <c r="M882" t="n">
        <v>109.3394</v>
      </c>
      <c r="N882" t="n">
        <v>110.25</v>
      </c>
      <c r="O882" t="n">
        <v>109.1782</v>
      </c>
      <c r="P882" t="n">
        <v>119.7542</v>
      </c>
      <c r="Q882" t="n">
        <v/>
      </c>
      <c r="R882" t="n">
        <v>109.45</v>
      </c>
      <c r="S882" t="n">
        <v>107.5651</v>
      </c>
      <c r="T882" t="n">
        <v/>
      </c>
      <c r="U882" t="n">
        <v>115.57</v>
      </c>
      <c r="V882" t="n">
        <v>117.1</v>
      </c>
      <c r="W882" t="n">
        <v>101.2374</v>
      </c>
      <c r="X882" t="n">
        <v>126.8219</v>
      </c>
      <c r="Y882" t="n">
        <v/>
      </c>
      <c r="Z882" t="n">
        <v/>
      </c>
      <c r="AA882" t="n">
        <v>109.1398</v>
      </c>
      <c r="AB882" t="n">
        <v>126.4981</v>
      </c>
      <c r="AC882" t="n">
        <v>105.7976</v>
      </c>
      <c r="AD882" t="n">
        <v>106.0748</v>
      </c>
      <c r="AE882" t="n">
        <v/>
      </c>
      <c r="AF882" t="n">
        <v>110.6589</v>
      </c>
      <c r="AG882" t="n">
        <v>129.8461</v>
      </c>
      <c r="AH882" t="n">
        <v>112.67</v>
      </c>
      <c r="AI882" t="n">
        <v>119.0826</v>
      </c>
      <c r="AJ882" t="n">
        <v>129.8405</v>
      </c>
      <c r="AK882" t="n">
        <v>113.2032</v>
      </c>
      <c r="AL882" t="n">
        <v>117.8015</v>
      </c>
      <c r="AM882" t="n">
        <v>120.0923</v>
      </c>
      <c r="AN882" t="n">
        <v>123.9443</v>
      </c>
      <c r="AO882" t="n">
        <v>120.3217</v>
      </c>
      <c r="AP882" t="n">
        <v>109.7791</v>
      </c>
      <c r="AQ882" t="n">
        <v/>
      </c>
      <c r="AR882" t="n">
        <v/>
      </c>
      <c r="AS882" t="n">
        <v>122.6182</v>
      </c>
      <c r="AT882" t="n">
        <v>111.5519</v>
      </c>
      <c r="AU882" t="n">
        <v>112.6162</v>
      </c>
      <c r="AV882" t="n">
        <v>318.6892</v>
      </c>
      <c r="AW882" t="n">
        <v>120.7473</v>
      </c>
      <c r="AX882" t="n">
        <v>132.34</v>
      </c>
    </row>
    <row r="883">
      <c r="A883" s="92" t="n">
        <v>44713</v>
      </c>
      <c r="B883" t="n">
        <v>117.4015</v>
      </c>
      <c r="C883" t="n">
        <v>114.4097</v>
      </c>
      <c r="D883" t="n">
        <v/>
      </c>
      <c r="E883" t="n">
        <v>117.6047</v>
      </c>
      <c r="F883" t="n">
        <v>102.9322</v>
      </c>
      <c r="G883" t="n">
        <v>128.0982</v>
      </c>
      <c r="H883" t="n">
        <v/>
      </c>
      <c r="I883" t="n">
        <v>132.0377</v>
      </c>
      <c r="J883" t="n">
        <v/>
      </c>
      <c r="K883" t="n">
        <v>132.9</v>
      </c>
      <c r="L883" t="n">
        <v>112.3127</v>
      </c>
      <c r="M883" t="n">
        <v>109.56</v>
      </c>
      <c r="N883" t="n">
        <v>110.5</v>
      </c>
      <c r="O883" t="n">
        <v>109.791</v>
      </c>
      <c r="P883" t="n">
        <v>121.6839</v>
      </c>
      <c r="Q883" t="n">
        <v/>
      </c>
      <c r="R883" t="n">
        <v>109.47</v>
      </c>
      <c r="S883" t="n">
        <v>107.722</v>
      </c>
      <c r="T883" t="n">
        <v/>
      </c>
      <c r="U883" t="n">
        <v>116.1442</v>
      </c>
      <c r="V883" t="n">
        <v>117.6</v>
      </c>
      <c r="W883" t="n">
        <v>103.2401</v>
      </c>
      <c r="X883" t="n">
        <v>128.3997</v>
      </c>
      <c r="Y883" t="n">
        <v/>
      </c>
      <c r="Z883" t="n">
        <v/>
      </c>
      <c r="AA883" t="n">
        <v>109.7702</v>
      </c>
      <c r="AB883" t="n">
        <v>127.9368</v>
      </c>
      <c r="AC883" t="n">
        <v>106.1259</v>
      </c>
      <c r="AD883" t="n">
        <v>106.7421</v>
      </c>
      <c r="AE883" t="n">
        <v/>
      </c>
      <c r="AF883" t="n">
        <v>111.1243</v>
      </c>
      <c r="AG883" t="n">
        <v>131.0841</v>
      </c>
      <c r="AH883" t="n">
        <v>112.93</v>
      </c>
      <c r="AI883" t="n">
        <v>120.0125</v>
      </c>
      <c r="AJ883" t="n">
        <v>130.6396</v>
      </c>
      <c r="AK883" t="n">
        <v>113.338</v>
      </c>
      <c r="AL883" t="n">
        <v>118.2911</v>
      </c>
      <c r="AM883" t="n">
        <v>120.8323</v>
      </c>
      <c r="AN883" t="n">
        <v>124.8058</v>
      </c>
      <c r="AO883" t="n">
        <v>121.0172</v>
      </c>
      <c r="AP883" t="n">
        <v>110.1556</v>
      </c>
      <c r="AQ883" t="n">
        <v/>
      </c>
      <c r="AR883" t="n">
        <v/>
      </c>
      <c r="AS883" t="n">
        <v>123.5461</v>
      </c>
      <c r="AT883" t="n">
        <v>112.8919</v>
      </c>
      <c r="AU883" t="n">
        <v>113.4406</v>
      </c>
      <c r="AV883" t="n">
        <v>329.3268</v>
      </c>
      <c r="AW883" t="n">
        <v>121.6447</v>
      </c>
      <c r="AX883" t="n">
        <v>132.9412</v>
      </c>
    </row>
    <row r="884">
      <c r="A884" s="92" t="n">
        <v>44743</v>
      </c>
      <c r="B884" t="n">
        <v>117.947</v>
      </c>
      <c r="C884" t="n">
        <v>115.4392</v>
      </c>
      <c r="D884" t="n">
        <v/>
      </c>
      <c r="E884" t="n">
        <v>118.4004</v>
      </c>
      <c r="F884" t="n">
        <v>102.7738</v>
      </c>
      <c r="G884" t="n">
        <v>129.3027</v>
      </c>
      <c r="H884" t="n">
        <v/>
      </c>
      <c r="I884" t="n">
        <v>132.8013</v>
      </c>
      <c r="J884" t="n">
        <v/>
      </c>
      <c r="K884" t="n">
        <v>134.5</v>
      </c>
      <c r="L884" t="n">
        <v>113.2773</v>
      </c>
      <c r="M884" t="n">
        <v>110.4399</v>
      </c>
      <c r="N884" t="n">
        <v>110.33</v>
      </c>
      <c r="O884" t="n">
        <v>109.1162</v>
      </c>
      <c r="P884" t="n">
        <v>123.532</v>
      </c>
      <c r="Q884" t="n">
        <v/>
      </c>
      <c r="R884" t="n">
        <v>110.02</v>
      </c>
      <c r="S884" t="n">
        <v>108.1504</v>
      </c>
      <c r="T884" t="n">
        <v/>
      </c>
      <c r="U884" t="n">
        <v>116.6306</v>
      </c>
      <c r="V884" t="n">
        <v>117.9</v>
      </c>
      <c r="W884" t="n">
        <v>101.0333</v>
      </c>
      <c r="X884" t="n">
        <v>130.879</v>
      </c>
      <c r="Y884" t="n">
        <v/>
      </c>
      <c r="Z884" t="n">
        <v/>
      </c>
      <c r="AA884" t="n">
        <v>110.3916</v>
      </c>
      <c r="AB884" t="n">
        <v>129.6393</v>
      </c>
      <c r="AC884" t="n">
        <v>107.2325</v>
      </c>
      <c r="AD884" t="n">
        <v>107.3325</v>
      </c>
      <c r="AE884" t="n">
        <v/>
      </c>
      <c r="AF884" t="n">
        <v>111.5369</v>
      </c>
      <c r="AG884" t="n">
        <v>131.7476</v>
      </c>
      <c r="AH884" t="n">
        <v>111.87</v>
      </c>
      <c r="AI884" t="n">
        <v>120.4549</v>
      </c>
      <c r="AJ884" t="n">
        <v>131.3086</v>
      </c>
      <c r="AK884" t="n">
        <v>114.7691</v>
      </c>
      <c r="AL884" t="n">
        <v>118.8267</v>
      </c>
      <c r="AM884" t="n">
        <v>121.5147</v>
      </c>
      <c r="AN884" t="n">
        <v>125.8018</v>
      </c>
      <c r="AO884" t="n">
        <v>121.7127</v>
      </c>
      <c r="AP884" t="n">
        <v>109.789</v>
      </c>
      <c r="AQ884" t="n">
        <v/>
      </c>
      <c r="AR884" t="n">
        <v/>
      </c>
      <c r="AS884" t="n">
        <v>124.5542</v>
      </c>
      <c r="AT884" t="n">
        <v>113.3319</v>
      </c>
      <c r="AU884" t="n">
        <v>113.7187</v>
      </c>
      <c r="AV884" t="n">
        <v>341.4063</v>
      </c>
      <c r="AW884" t="n">
        <v>122.0435</v>
      </c>
      <c r="AX884" t="n">
        <v>134.1073</v>
      </c>
    </row>
    <row r="885">
      <c r="A885" s="92" t="n">
        <v>44774</v>
      </c>
      <c r="B885" t="n">
        <v>118.2744</v>
      </c>
      <c r="C885" t="n">
        <v>115.9053</v>
      </c>
      <c r="D885" t="n">
        <v/>
      </c>
      <c r="E885" t="n">
        <v>118.5921</v>
      </c>
      <c r="F885" t="n">
        <v>102.9797</v>
      </c>
      <c r="G885" t="n">
        <v>130.4421</v>
      </c>
      <c r="H885" t="n">
        <v/>
      </c>
      <c r="I885" t="n">
        <v>133.7409</v>
      </c>
      <c r="J885" t="n">
        <v/>
      </c>
      <c r="K885" t="n">
        <v>135.6</v>
      </c>
      <c r="L885" t="n">
        <v>113.4684</v>
      </c>
      <c r="M885" t="n">
        <v>110.505</v>
      </c>
      <c r="N885" t="n">
        <v>110.92</v>
      </c>
      <c r="O885" t="n">
        <v>109.4242</v>
      </c>
      <c r="P885" t="n">
        <v>124.919</v>
      </c>
      <c r="Q885" t="n">
        <v/>
      </c>
      <c r="R885" t="n">
        <v>110.46</v>
      </c>
      <c r="S885" t="n">
        <v>108.9784</v>
      </c>
      <c r="T885" t="n">
        <v/>
      </c>
      <c r="U885" t="n">
        <v>117.1743</v>
      </c>
      <c r="V885" t="n">
        <v>118.7</v>
      </c>
      <c r="W885" t="n">
        <v>100.8646</v>
      </c>
      <c r="X885" t="n">
        <v>132.6822</v>
      </c>
      <c r="Y885" t="n">
        <v/>
      </c>
      <c r="Z885" t="n">
        <v/>
      </c>
      <c r="AA885" t="n">
        <v>110.9439</v>
      </c>
      <c r="AB885" t="n">
        <v>130.2481</v>
      </c>
      <c r="AC885" t="n">
        <v>107.6866</v>
      </c>
      <c r="AD885" t="n">
        <v>107.8918</v>
      </c>
      <c r="AE885" t="n">
        <v/>
      </c>
      <c r="AF885" t="n">
        <v>111.886</v>
      </c>
      <c r="AG885" t="n">
        <v>132.2635</v>
      </c>
      <c r="AH885" t="n">
        <v>113.66</v>
      </c>
      <c r="AI885" t="n">
        <v>120.8543</v>
      </c>
      <c r="AJ885" t="n">
        <v>132.0564</v>
      </c>
      <c r="AK885" t="n">
        <v>115.3915</v>
      </c>
      <c r="AL885" t="n">
        <v>118.4463</v>
      </c>
      <c r="AM885" t="n">
        <v>122.1966</v>
      </c>
      <c r="AN885" t="n">
        <v>126.7565</v>
      </c>
      <c r="AO885" t="n">
        <v>122.669</v>
      </c>
      <c r="AP885" t="n">
        <v>109.8187</v>
      </c>
      <c r="AQ885" t="n">
        <v/>
      </c>
      <c r="AR885" t="n">
        <v/>
      </c>
      <c r="AS885" t="n">
        <v>125.6666</v>
      </c>
      <c r="AT885" t="n">
        <v>113.6119</v>
      </c>
      <c r="AU885" t="n">
        <v>114.7676</v>
      </c>
      <c r="AV885" t="n">
        <v>351.2514</v>
      </c>
      <c r="AW885" t="n">
        <v>122.6759</v>
      </c>
      <c r="AX885" t="n">
        <v>134.4668</v>
      </c>
    </row>
    <row r="886">
      <c r="A886" s="92" t="n">
        <v>44805</v>
      </c>
      <c r="B886" t="n">
        <v/>
      </c>
      <c r="C886" t="n">
        <v/>
      </c>
      <c r="D886" t="n">
        <v/>
      </c>
      <c r="E886" t="n">
        <v/>
      </c>
      <c r="F886" t="n">
        <v/>
      </c>
      <c r="G886" t="n">
        <v/>
      </c>
      <c r="H886" t="n">
        <v/>
      </c>
      <c r="I886" t="n">
        <v/>
      </c>
      <c r="J886" t="n">
        <v/>
      </c>
      <c r="K886" t="n">
        <v/>
      </c>
      <c r="L886" t="n">
        <v/>
      </c>
      <c r="M886" t="n">
        <v/>
      </c>
      <c r="N886" t="n">
        <v/>
      </c>
      <c r="O886" t="n">
        <v/>
      </c>
      <c r="P886" t="n">
        <v/>
      </c>
      <c r="Q886" t="n">
        <v/>
      </c>
      <c r="R886" t="n">
        <v/>
      </c>
      <c r="S886" t="n">
        <v/>
      </c>
      <c r="T886" t="n">
        <v/>
      </c>
      <c r="U886" t="n">
        <v/>
      </c>
      <c r="V886" t="n">
        <v/>
      </c>
      <c r="W886" t="n">
        <v/>
      </c>
      <c r="X886" t="n">
        <v/>
      </c>
      <c r="Y886" t="n">
        <v/>
      </c>
      <c r="Z886" t="n">
        <v/>
      </c>
      <c r="AA886" t="n">
        <v/>
      </c>
      <c r="AB886" t="n">
        <v>130.4387</v>
      </c>
      <c r="AC886" t="n">
        <v/>
      </c>
      <c r="AD886" t="n">
        <v/>
      </c>
      <c r="AE886" t="n">
        <v/>
      </c>
      <c r="AF886" t="n">
        <v/>
      </c>
      <c r="AG886" t="n">
        <v/>
      </c>
      <c r="AH886" t="n">
        <v/>
      </c>
      <c r="AI886" t="n">
        <v/>
      </c>
      <c r="AJ886" t="n">
        <v/>
      </c>
      <c r="AK886" t="n">
        <v/>
      </c>
      <c r="AL886" t="n">
        <v/>
      </c>
      <c r="AM886" t="n">
        <v/>
      </c>
      <c r="AN886" t="n">
        <v/>
      </c>
      <c r="AO886" t="n">
        <v/>
      </c>
      <c r="AP886" t="n">
        <v/>
      </c>
      <c r="AQ886" t="n">
        <v/>
      </c>
      <c r="AR886" t="n">
        <v/>
      </c>
      <c r="AS886" t="n">
        <v/>
      </c>
      <c r="AT886" t="n">
        <v/>
      </c>
      <c r="AU886" t="n">
        <v/>
      </c>
      <c r="AV886" t="n">
        <v/>
      </c>
      <c r="AW886" t="n">
        <v/>
      </c>
      <c r="AX886" t="n">
        <v/>
      </c>
    </row>
    <row r="887">
      <c r="A887" s="92" t="n">
        <v>44835</v>
      </c>
      <c r="B887" t="n">
        <v/>
      </c>
      <c r="C887" t="n">
        <v/>
      </c>
      <c r="D887" t="n">
        <v/>
      </c>
      <c r="E887" t="n">
        <v/>
      </c>
      <c r="F887" t="n">
        <v/>
      </c>
      <c r="G887" t="n">
        <v/>
      </c>
      <c r="H887" t="n">
        <v/>
      </c>
      <c r="I887" t="n">
        <v/>
      </c>
      <c r="J887" t="n">
        <v/>
      </c>
      <c r="K887" t="n">
        <v/>
      </c>
      <c r="L887" t="n">
        <v/>
      </c>
      <c r="M887" t="n">
        <v/>
      </c>
      <c r="N887" t="n">
        <v/>
      </c>
      <c r="O887" t="n">
        <v/>
      </c>
      <c r="P887" t="n">
        <v/>
      </c>
      <c r="Q887" t="n">
        <v/>
      </c>
      <c r="R887" t="n">
        <v/>
      </c>
      <c r="S887" t="n">
        <v/>
      </c>
      <c r="T887" t="n">
        <v/>
      </c>
      <c r="U887" t="n">
        <v/>
      </c>
      <c r="V887" t="n">
        <v/>
      </c>
      <c r="W887" t="n">
        <v/>
      </c>
      <c r="X887" t="n">
        <v/>
      </c>
      <c r="Y887" t="n">
        <v/>
      </c>
      <c r="Z887" t="n">
        <v/>
      </c>
      <c r="AA887" t="n">
        <v/>
      </c>
      <c r="AB887" t="n">
        <v/>
      </c>
      <c r="AC887" t="n">
        <v/>
      </c>
      <c r="AD887" t="n">
        <v/>
      </c>
      <c r="AE887" t="n">
        <v/>
      </c>
      <c r="AF887" t="n">
        <v/>
      </c>
      <c r="AG887" t="n">
        <v/>
      </c>
      <c r="AH887" t="n">
        <v/>
      </c>
      <c r="AI887" t="n">
        <v/>
      </c>
      <c r="AJ887" t="n">
        <v/>
      </c>
      <c r="AK887" t="n">
        <v/>
      </c>
      <c r="AL887" t="n">
        <v/>
      </c>
      <c r="AM887" t="n">
        <v/>
      </c>
      <c r="AN887" t="n">
        <v/>
      </c>
      <c r="AO887" t="n">
        <v/>
      </c>
      <c r="AP887" t="n">
        <v/>
      </c>
      <c r="AQ887" t="n">
        <v/>
      </c>
      <c r="AR887" t="n">
        <v/>
      </c>
      <c r="AS887" t="n">
        <v/>
      </c>
      <c r="AT887" t="n">
        <v/>
      </c>
      <c r="AU887" t="n">
        <v/>
      </c>
      <c r="AV887" t="n">
        <v/>
      </c>
      <c r="AW887" t="n">
        <v/>
      </c>
      <c r="AX887" t="n">
        <v/>
      </c>
    </row>
    <row r="888">
      <c r="A888" s="92" t="n">
        <v>44866</v>
      </c>
      <c r="B888" t="n">
        <v/>
      </c>
      <c r="C888" t="n">
        <v/>
      </c>
      <c r="D888" t="n">
        <v/>
      </c>
      <c r="E888" t="n">
        <v/>
      </c>
      <c r="F888" t="n">
        <v/>
      </c>
      <c r="G888" t="n">
        <v/>
      </c>
      <c r="H888" t="n">
        <v/>
      </c>
      <c r="I888" t="n">
        <v/>
      </c>
      <c r="J888" t="n">
        <v/>
      </c>
      <c r="K888" t="n">
        <v/>
      </c>
      <c r="L888" t="n">
        <v/>
      </c>
      <c r="M888" t="n">
        <v/>
      </c>
      <c r="N888" t="n">
        <v/>
      </c>
      <c r="O888" t="n">
        <v/>
      </c>
      <c r="P888" t="n">
        <v/>
      </c>
      <c r="Q888" t="n">
        <v/>
      </c>
      <c r="R888" t="n">
        <v/>
      </c>
      <c r="S888" t="n">
        <v/>
      </c>
      <c r="T888" t="n">
        <v/>
      </c>
      <c r="U888" t="n">
        <v/>
      </c>
      <c r="V888" t="n">
        <v/>
      </c>
      <c r="W888" t="n">
        <v/>
      </c>
      <c r="X888" t="n">
        <v/>
      </c>
      <c r="Y888" t="n">
        <v/>
      </c>
      <c r="Z888" t="n">
        <v/>
      </c>
      <c r="AA888" t="n">
        <v/>
      </c>
      <c r="AB888" t="n">
        <v/>
      </c>
      <c r="AC888" t="n">
        <v/>
      </c>
      <c r="AD888" t="n">
        <v/>
      </c>
      <c r="AE888" t="n">
        <v/>
      </c>
      <c r="AF888" t="n">
        <v/>
      </c>
      <c r="AG888" t="n">
        <v/>
      </c>
      <c r="AH888" t="n">
        <v/>
      </c>
      <c r="AI888" t="n">
        <v/>
      </c>
      <c r="AJ888" t="n">
        <v/>
      </c>
      <c r="AK888" t="n">
        <v/>
      </c>
      <c r="AL888" t="n">
        <v/>
      </c>
      <c r="AM888" t="n">
        <v/>
      </c>
      <c r="AN888" t="n">
        <v/>
      </c>
      <c r="AO888" t="n">
        <v/>
      </c>
      <c r="AP888" t="n">
        <v/>
      </c>
      <c r="AQ888" t="n">
        <v/>
      </c>
      <c r="AR888" t="n">
        <v/>
      </c>
      <c r="AS888" t="n">
        <v/>
      </c>
      <c r="AT888" t="n">
        <v/>
      </c>
      <c r="AU888" t="n">
        <v/>
      </c>
      <c r="AV888" t="n">
        <v/>
      </c>
      <c r="AW888" t="n">
        <v/>
      </c>
      <c r="AX888" t="n">
        <v/>
      </c>
    </row>
    <row r="889">
      <c r="A889" s="92" t="n">
        <v>44896</v>
      </c>
      <c r="B889" t="n">
        <v/>
      </c>
      <c r="C889" t="n">
        <v/>
      </c>
      <c r="D889" t="n">
        <v/>
      </c>
      <c r="E889" t="n">
        <v/>
      </c>
      <c r="F889" t="n">
        <v/>
      </c>
      <c r="G889" t="n">
        <v/>
      </c>
      <c r="H889" t="n">
        <v/>
      </c>
      <c r="I889" t="n">
        <v/>
      </c>
      <c r="J889" t="n">
        <v/>
      </c>
      <c r="K889" t="n">
        <v/>
      </c>
      <c r="L889" t="n">
        <v/>
      </c>
      <c r="M889" t="n">
        <v/>
      </c>
      <c r="N889" t="n">
        <v/>
      </c>
      <c r="O889" t="n">
        <v/>
      </c>
      <c r="P889" t="n">
        <v/>
      </c>
      <c r="Q889" t="n">
        <v/>
      </c>
      <c r="R889" t="n">
        <v/>
      </c>
      <c r="S889" t="n">
        <v/>
      </c>
      <c r="T889" t="n">
        <v/>
      </c>
      <c r="U889" t="n">
        <v/>
      </c>
      <c r="V889" t="n">
        <v/>
      </c>
      <c r="W889" t="n">
        <v/>
      </c>
      <c r="X889" t="n">
        <v/>
      </c>
      <c r="Y889" t="n">
        <v/>
      </c>
      <c r="Z889" t="n">
        <v/>
      </c>
      <c r="AA889" t="n">
        <v/>
      </c>
      <c r="AB889" t="n">
        <v/>
      </c>
      <c r="AC889" t="n">
        <v/>
      </c>
      <c r="AD889" t="n">
        <v/>
      </c>
      <c r="AE889" t="n">
        <v/>
      </c>
      <c r="AF889" t="n">
        <v/>
      </c>
      <c r="AG889" t="n">
        <v/>
      </c>
      <c r="AH889" t="n">
        <v/>
      </c>
      <c r="AI889" t="n">
        <v/>
      </c>
      <c r="AJ889" t="n">
        <v/>
      </c>
      <c r="AK889" t="n">
        <v/>
      </c>
      <c r="AL889" t="n">
        <v/>
      </c>
      <c r="AM889" t="n">
        <v/>
      </c>
      <c r="AN889" t="n">
        <v/>
      </c>
      <c r="AO889" t="n">
        <v/>
      </c>
      <c r="AP889" t="n">
        <v/>
      </c>
      <c r="AQ889" t="n">
        <v/>
      </c>
      <c r="AR889" t="n">
        <v/>
      </c>
      <c r="AS889" t="n">
        <v/>
      </c>
      <c r="AT889" t="n">
        <v/>
      </c>
      <c r="AU889" t="n">
        <v/>
      </c>
      <c r="AV889" t="n">
        <v/>
      </c>
      <c r="AW889" t="n">
        <v/>
      </c>
      <c r="AX889" t="n">
        <v/>
      </c>
    </row>
    <row r="890">
      <c r="A890" s="92" t="n">
        <v>44927</v>
      </c>
      <c r="B890" t="n">
        <v/>
      </c>
      <c r="C890" t="n">
        <v/>
      </c>
      <c r="D890" t="n">
        <v/>
      </c>
      <c r="E890" t="n">
        <v/>
      </c>
      <c r="F890" t="n">
        <v/>
      </c>
      <c r="G890" t="n">
        <v/>
      </c>
      <c r="H890" t="n">
        <v/>
      </c>
      <c r="I890" t="n">
        <v/>
      </c>
      <c r="J890" t="n">
        <v/>
      </c>
      <c r="K890" t="n">
        <v/>
      </c>
      <c r="L890" t="n">
        <v/>
      </c>
      <c r="M890" t="n">
        <v/>
      </c>
      <c r="N890" t="n">
        <v/>
      </c>
      <c r="O890" t="n">
        <v/>
      </c>
      <c r="P890" t="n">
        <v/>
      </c>
      <c r="Q890" t="n">
        <v/>
      </c>
      <c r="R890" t="n">
        <v/>
      </c>
      <c r="S890" t="n">
        <v/>
      </c>
      <c r="T890" t="n">
        <v/>
      </c>
      <c r="U890" t="n">
        <v/>
      </c>
      <c r="V890" t="n">
        <v/>
      </c>
      <c r="W890" t="n">
        <v/>
      </c>
      <c r="X890" t="n">
        <v/>
      </c>
      <c r="Y890" t="n">
        <v/>
      </c>
      <c r="Z890" t="n">
        <v/>
      </c>
      <c r="AA890" t="n">
        <v/>
      </c>
      <c r="AB890" t="n">
        <v/>
      </c>
      <c r="AC890" t="n">
        <v/>
      </c>
      <c r="AD890" t="n">
        <v/>
      </c>
      <c r="AE890" t="n">
        <v/>
      </c>
      <c r="AF890" t="n">
        <v/>
      </c>
      <c r="AG890" t="n">
        <v/>
      </c>
      <c r="AH890" t="n">
        <v/>
      </c>
      <c r="AI890" t="n">
        <v/>
      </c>
      <c r="AJ890" t="n">
        <v/>
      </c>
      <c r="AK890" t="n">
        <v/>
      </c>
      <c r="AL890" t="n">
        <v/>
      </c>
      <c r="AM890" t="n">
        <v/>
      </c>
      <c r="AN890" t="n">
        <v/>
      </c>
      <c r="AO890" t="n">
        <v/>
      </c>
      <c r="AP890" t="n">
        <v/>
      </c>
      <c r="AQ890" t="n">
        <v/>
      </c>
      <c r="AR890" t="n">
        <v/>
      </c>
      <c r="AS890" t="n">
        <v/>
      </c>
      <c r="AT890" t="n">
        <v/>
      </c>
      <c r="AU890" t="n">
        <v/>
      </c>
      <c r="AV890" t="n">
        <v/>
      </c>
      <c r="AW890" t="n">
        <v/>
      </c>
      <c r="AX890" t="n">
        <v/>
      </c>
    </row>
  </sheetData>
  <pageMargins left="0.7" right="0.7" top="0.75" bottom="0.75" header="0.3" footer="0.3"/>
</worksheet>
</file>

<file path=xl/worksheets/sheet4.xml><?xml version="1.0" encoding="utf-8"?>
<worksheet xmlns="http://schemas.openxmlformats.org/spreadsheetml/2006/main">
  <sheetPr codeName="Sheet10">
    <tabColor rgb="FF00B050"/>
    <outlinePr summaryBelow="1" summaryRight="1"/>
    <pageSetUpPr/>
  </sheetPr>
  <dimension ref="B1:AF149"/>
  <sheetViews>
    <sheetView zoomScale="150" zoomScaleNormal="150" workbookViewId="0">
      <pane xSplit="1" ySplit="9" topLeftCell="B137" activePane="bottomRight" state="frozen"/>
      <selection activeCell="M12" sqref="M12"/>
      <selection pane="topRight" activeCell="M12" sqref="M12"/>
      <selection pane="bottomLeft" activeCell="M12" sqref="M12"/>
      <selection pane="bottomRight" activeCell="K151" sqref="K151"/>
    </sheetView>
  </sheetViews>
  <sheetFormatPr baseColWidth="10" defaultColWidth="8.83203125" defaultRowHeight="15"/>
  <cols>
    <col width="9.1640625" customWidth="1" style="78" min="1" max="1"/>
    <col width="13.6640625" customWidth="1" style="70" min="2" max="2"/>
    <col width="9.1640625" customWidth="1" style="70" min="3" max="3"/>
    <col width="7" customWidth="1" style="70" min="4" max="4"/>
    <col width="7.33203125" customWidth="1" style="70" min="5" max="5"/>
    <col width="7" customWidth="1" style="70" min="6" max="6"/>
    <col width="7.33203125" customWidth="1" style="70" min="7" max="9"/>
    <col width="7.1640625" customWidth="1" style="70" min="10" max="12"/>
    <col width="7.33203125" customWidth="1" style="70" min="13" max="13"/>
    <col hidden="1" width="7" customWidth="1" style="70" min="14" max="14"/>
    <col width="6.83203125" customWidth="1" style="70" min="15" max="15"/>
    <col width="6.1640625" customWidth="1" style="70" min="16" max="16"/>
    <col hidden="1" width="7.6640625" customWidth="1" style="70" min="17" max="17"/>
    <col width="6.6640625" customWidth="1" style="70" min="18" max="18"/>
    <col width="7.33203125" customWidth="1" style="70" min="19" max="19"/>
    <col width="7" customWidth="1" style="70" min="20" max="20"/>
    <col width="7.33203125" customWidth="1" style="70" min="21" max="21"/>
    <col hidden="1" width="7.1640625" customWidth="1" style="70" min="22" max="22"/>
    <col width="7" customWidth="1" style="70" min="23" max="23"/>
    <col width="6.1640625" customWidth="1" style="70" min="24" max="24"/>
    <col width="7" customWidth="1" style="70" min="25" max="25"/>
    <col hidden="1" width="6.33203125" customWidth="1" style="70" min="26" max="27"/>
    <col width="6.1640625" customWidth="1" style="70" min="28" max="28"/>
    <col width="15.33203125" customWidth="1" style="78" min="29" max="30"/>
    <col width="10.6640625" bestFit="1" customWidth="1" style="78" min="31" max="31"/>
    <col width="9.1640625" customWidth="1" style="78" min="32"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c r="AE1" s="27" t="inlineStr">
        <is>
          <t>modify max/min/avg</t>
        </is>
      </c>
    </row>
    <row r="2" ht="16" customFormat="1" customHeight="1" s="78" thickBot="1">
      <c r="AD2" s="78" t="inlineStr">
        <is>
          <t>Last month</t>
        </is>
      </c>
      <c r="AE2" s="28" t="n">
        <v>44713</v>
      </c>
    </row>
    <row r="3" ht="75.75" customHeight="1" s="70">
      <c r="B3" s="53" t="n"/>
      <c r="C3" s="54" t="inlineStr">
        <is>
          <t>US</t>
        </is>
      </c>
      <c r="D3" s="55" t="inlineStr">
        <is>
          <t xml:space="preserve">China </t>
        </is>
      </c>
      <c r="E3" s="56" t="inlineStr">
        <is>
          <t>Eurozone</t>
        </is>
      </c>
      <c r="F3" s="57" t="inlineStr">
        <is>
          <t xml:space="preserve">Japan </t>
        </is>
      </c>
      <c r="G3" s="58" t="inlineStr">
        <is>
          <t>Germany</t>
        </is>
      </c>
      <c r="H3" s="58" t="inlineStr">
        <is>
          <t>France</t>
        </is>
      </c>
      <c r="I3" s="58" t="inlineStr">
        <is>
          <t>UK</t>
        </is>
      </c>
      <c r="J3" s="58" t="inlineStr">
        <is>
          <t xml:space="preserve">Italy </t>
        </is>
      </c>
      <c r="K3" s="58" t="inlineStr">
        <is>
          <t>Spain</t>
        </is>
      </c>
      <c r="L3" s="58" t="inlineStr">
        <is>
          <t>Sweden</t>
        </is>
      </c>
      <c r="M3" s="58" t="inlineStr">
        <is>
          <t>Mexico</t>
        </is>
      </c>
      <c r="N3" s="58" t="inlineStr">
        <is>
          <t>Russia</t>
        </is>
      </c>
      <c r="O3" s="58" t="inlineStr">
        <is>
          <t>India</t>
        </is>
      </c>
      <c r="P3" s="58" t="inlineStr">
        <is>
          <t>Canada</t>
        </is>
      </c>
      <c r="Q3" s="58" t="inlineStr">
        <is>
          <t>Australia</t>
        </is>
      </c>
      <c r="R3" s="59" t="inlineStr">
        <is>
          <t>Switzerland</t>
        </is>
      </c>
      <c r="S3" s="58" t="inlineStr">
        <is>
          <t xml:space="preserve">S Korea </t>
        </is>
      </c>
      <c r="T3" s="58" t="inlineStr">
        <is>
          <t>Brazil</t>
        </is>
      </c>
      <c r="U3" s="58" t="inlineStr">
        <is>
          <t>Greece</t>
        </is>
      </c>
      <c r="V3" s="58" t="inlineStr">
        <is>
          <t>Ireland</t>
        </is>
      </c>
      <c r="W3" s="58" t="inlineStr">
        <is>
          <t>Turkey</t>
        </is>
      </c>
      <c r="X3" s="58" t="inlineStr">
        <is>
          <t xml:space="preserve">Czech </t>
        </is>
      </c>
      <c r="Y3" s="60" t="inlineStr">
        <is>
          <t>Poland</t>
        </is>
      </c>
      <c r="Z3" s="48" t="inlineStr">
        <is>
          <t>Argentina</t>
        </is>
      </c>
      <c r="AA3" s="8" t="inlineStr">
        <is>
          <t>New Zealand</t>
        </is>
      </c>
      <c r="AB3" s="71" t="n"/>
    </row>
    <row r="4">
      <c r="B4" s="61" t="inlineStr">
        <is>
          <t>max 1y</t>
        </is>
      </c>
      <c r="C4" s="22">
        <f>MAX(OFFSET(C$59,COUNT(C$59:C$250),0,-13,1))</f>
        <v/>
      </c>
      <c r="D4" s="22">
        <f>MAX(OFFSET(D$59,COUNT(D$59:D$250),0,-13,1))</f>
        <v/>
      </c>
      <c r="E4" s="22">
        <f>MAX(OFFSET(E$59,COUNT(E$59:E$250),0,-13,1))</f>
        <v/>
      </c>
      <c r="F4" s="22">
        <f>MAX(OFFSET(F$59,COUNT(F$59:F$250),0,-13,1))</f>
        <v/>
      </c>
      <c r="G4" s="22">
        <f>MAX(OFFSET(G$59,COUNT(G$59:G$250),0,-13,1))</f>
        <v/>
      </c>
      <c r="H4" s="22">
        <f>MAX(OFFSET(H$59,COUNT(H$59:H$250),0,-13,1))</f>
        <v/>
      </c>
      <c r="I4" s="22">
        <f>MAX(OFFSET(I$59,COUNT(I$59:I$250),0,-13,1))</f>
        <v/>
      </c>
      <c r="J4" s="22">
        <f>MAX(OFFSET(J$59,COUNT(J$59:J$250),0,-13,1))</f>
        <v/>
      </c>
      <c r="K4" s="22">
        <f>MAX(OFFSET(K$59,COUNT(K$59:K$250),0,-13,1))</f>
        <v/>
      </c>
      <c r="L4" s="22">
        <f>MAX(OFFSET(L$59,COUNT(L$59:L$250),0,-13,1))</f>
        <v/>
      </c>
      <c r="M4" s="22">
        <f>MAX(OFFSET(M$59,COUNT(M$59:M$250),0,-13,1))</f>
        <v/>
      </c>
      <c r="N4" s="22">
        <f>MAX(OFFSET(N$59,COUNT(N$59:N$250),0,-13,1))</f>
        <v/>
      </c>
      <c r="O4" s="22">
        <f>MAX(OFFSET(O$59,COUNT(O$59:O$250),0,-13,1))</f>
        <v/>
      </c>
      <c r="P4" s="22">
        <f>MAX(OFFSET(P$59,COUNT(P$59:P$250),0,-13,1))</f>
        <v/>
      </c>
      <c r="Q4" s="22">
        <f>MAX(OFFSET(Q$59,COUNT(Q$59:Q$250),0,-13,1))</f>
        <v/>
      </c>
      <c r="R4" s="22">
        <f>MAX(OFFSET(R$59,COUNT(R$59:R$250),0,-13,1))</f>
        <v/>
      </c>
      <c r="S4" s="22">
        <f>MAX(OFFSET(S$59,COUNT(S$59:S$250),0,-13,1))</f>
        <v/>
      </c>
      <c r="T4" s="22">
        <f>MAX(OFFSET(T$59,COUNT(T$59:T$250),0,-13,1))</f>
        <v/>
      </c>
      <c r="U4" s="22">
        <f>MAX(OFFSET(U$59,COUNT(U$59:U$250),0,-13,1))</f>
        <v/>
      </c>
      <c r="V4" s="22">
        <f>MAX(OFFSET(V$59,COUNT(V$59:V$250),0,-13,1))</f>
        <v/>
      </c>
      <c r="W4" s="22">
        <f>MAX(OFFSET(W$59,COUNT(W$59:W$250),0,-13,1))</f>
        <v/>
      </c>
      <c r="X4" s="22">
        <f>MAX(OFFSET(X$59,COUNT(X$59:X$250),0,-13,1))</f>
        <v/>
      </c>
      <c r="Y4" s="62">
        <f>MAX(OFFSET(Y$59,COUNT(Y$59:Y$250),0,-13,1))</f>
        <v/>
      </c>
      <c r="Z4" s="49">
        <f>MAX(Z94:Z106)</f>
        <v/>
      </c>
      <c r="AA4" s="22">
        <f>MAX(AA94:AA106)</f>
        <v/>
      </c>
      <c r="AB4" s="72" t="n"/>
    </row>
    <row r="5">
      <c r="B5" s="61" t="inlineStr">
        <is>
          <t>min 1y</t>
        </is>
      </c>
      <c r="C5" s="22">
        <f>MIN(OFFSET(C$59,COUNT(C$59:C$250),0,-13,1))</f>
        <v/>
      </c>
      <c r="D5" s="22">
        <f>MIN(OFFSET(D$59,COUNT(D$59:D$250),0,-13,1))</f>
        <v/>
      </c>
      <c r="E5" s="22">
        <f>MIN(OFFSET(E$59,COUNT(E$59:E$250),0,-13,1))</f>
        <v/>
      </c>
      <c r="F5" s="22">
        <f>MIN(OFFSET(F$59,COUNT(F$59:F$250),0,-13,1))</f>
        <v/>
      </c>
      <c r="G5" s="22">
        <f>MIN(OFFSET(G$59,COUNT(G$59:G$250),0,-13,1))</f>
        <v/>
      </c>
      <c r="H5" s="22">
        <f>MIN(OFFSET(H$59,COUNT(H$59:H$250),0,-13,1))</f>
        <v/>
      </c>
      <c r="I5" s="22">
        <f>MIN(OFFSET(I$59,COUNT(I$59:I$250),0,-13,1))</f>
        <v/>
      </c>
      <c r="J5" s="22">
        <f>MIN(OFFSET(J$59,COUNT(J$59:J$250),0,-13,1))</f>
        <v/>
      </c>
      <c r="K5" s="22">
        <f>MIN(OFFSET(K$59,COUNT(K$59:K$250),0,-13,1))</f>
        <v/>
      </c>
      <c r="L5" s="22">
        <f>MIN(OFFSET(L$59,COUNT(L$59:L$250),0,-13,1))</f>
        <v/>
      </c>
      <c r="M5" s="22">
        <f>MIN(OFFSET(M$59,COUNT(M$59:M$250),0,-13,1))</f>
        <v/>
      </c>
      <c r="N5" s="22">
        <f>MIN(OFFSET(N$59,COUNT(N$59:N$250),0,-13,1))</f>
        <v/>
      </c>
      <c r="O5" s="22">
        <f>MIN(OFFSET(O$59,COUNT(O$59:O$250),0,-13,1))</f>
        <v/>
      </c>
      <c r="P5" s="22">
        <f>MIN(OFFSET(P$59,COUNT(P$59:P$250),0,-13,1))</f>
        <v/>
      </c>
      <c r="Q5" s="22">
        <f>MIN(OFFSET(Q$59,COUNT(Q$59:Q$250),0,-13,1))</f>
        <v/>
      </c>
      <c r="R5" s="22">
        <f>MIN(OFFSET(R$59,COUNT(R$59:R$250),0,-13,1))</f>
        <v/>
      </c>
      <c r="S5" s="22">
        <f>MIN(OFFSET(S$59,COUNT(S$59:S$250),0,-13,1))</f>
        <v/>
      </c>
      <c r="T5" s="22">
        <f>MIN(OFFSET(T$59,COUNT(T$59:T$250),0,-13,1))</f>
        <v/>
      </c>
      <c r="U5" s="22">
        <f>MIN(OFFSET(U$59,COUNT(U$59:U$250),0,-13,1))</f>
        <v/>
      </c>
      <c r="V5" s="22">
        <f>MIN(OFFSET(V$59,COUNT(V$59:V$250),0,-13,1))</f>
        <v/>
      </c>
      <c r="W5" s="22">
        <f>MIN(OFFSET(W$59,COUNT(W$59:W$250),0,-13,1))</f>
        <v/>
      </c>
      <c r="X5" s="22">
        <f>MIN(OFFSET(X$59,COUNT(X$59:X$250),0,-13,1))</f>
        <v/>
      </c>
      <c r="Y5" s="62">
        <f>MIN(OFFSET(Y$59,COUNT(Y$59:Y$250),0,-13,1))</f>
        <v/>
      </c>
      <c r="Z5" s="49">
        <f>MIN(Z94:Z106)</f>
        <v/>
      </c>
      <c r="AA5" s="22">
        <f>MIN(AA94:AA106)</f>
        <v/>
      </c>
      <c r="AB5" s="72" t="n"/>
    </row>
    <row r="6">
      <c r="B6" s="61" t="inlineStr">
        <is>
          <t>1y avg</t>
        </is>
      </c>
      <c r="C6" s="22">
        <f>AVERAGE(OFFSET(C$59,COUNT(C$59:C$250),0,-13,1))</f>
        <v/>
      </c>
      <c r="D6" s="22">
        <f>AVERAGE(OFFSET(D$59,COUNT(D$59:D$250),0,-13,1))</f>
        <v/>
      </c>
      <c r="E6" s="22">
        <f>AVERAGE(OFFSET(E$59,COUNT(E$59:E$250),0,-13,1))</f>
        <v/>
      </c>
      <c r="F6" s="22">
        <f>AVERAGE(OFFSET(F$59,COUNT(F$59:F$250),0,-13,1))</f>
        <v/>
      </c>
      <c r="G6" s="22">
        <f>AVERAGE(OFFSET(G$59,COUNT(G$59:G$250),0,-13,1))</f>
        <v/>
      </c>
      <c r="H6" s="22">
        <f>AVERAGE(OFFSET(H$59,COUNT(H$59:H$250),0,-13,1))</f>
        <v/>
      </c>
      <c r="I6" s="22">
        <f>AVERAGE(OFFSET(I$59,COUNT(I$59:I$250),0,-13,1))</f>
        <v/>
      </c>
      <c r="J6" s="22">
        <f>AVERAGE(OFFSET(J$59,COUNT(J$59:J$250),0,-13,1))</f>
        <v/>
      </c>
      <c r="K6" s="22">
        <f>AVERAGE(OFFSET(K$59,COUNT(K$59:K$250),0,-13,1))</f>
        <v/>
      </c>
      <c r="L6" s="22">
        <f>AVERAGE(OFFSET(L$59,COUNT(L$59:L$250),0,-13,1))</f>
        <v/>
      </c>
      <c r="M6" s="22">
        <f>AVERAGE(OFFSET(M$59,COUNT(M$59:M$250),0,-13,1))</f>
        <v/>
      </c>
      <c r="N6" s="22">
        <f>AVERAGE(OFFSET(N$59,COUNT(N$59:N$250),0,-13,1))</f>
        <v/>
      </c>
      <c r="O6" s="22">
        <f>AVERAGE(OFFSET(O$59,COUNT(O$59:O$250),0,-13,1))</f>
        <v/>
      </c>
      <c r="P6" s="22">
        <f>AVERAGE(OFFSET(P$59,COUNT(P$59:P$250),0,-13,1))</f>
        <v/>
      </c>
      <c r="Q6" s="22">
        <f>AVERAGE(OFFSET(Q$59,COUNT(Q$59:Q$250),0,-13,1))</f>
        <v/>
      </c>
      <c r="R6" s="22">
        <f>AVERAGE(OFFSET(R$59,COUNT(R$59:R$250),0,-13,1))</f>
        <v/>
      </c>
      <c r="S6" s="22">
        <f>AVERAGE(OFFSET(S$59,COUNT(S$59:S$250),0,-13,1))</f>
        <v/>
      </c>
      <c r="T6" s="22">
        <f>AVERAGE(OFFSET(T$59,COUNT(T$59:T$250),0,-13,1))</f>
        <v/>
      </c>
      <c r="U6" s="22">
        <f>AVERAGE(OFFSET(U$59,COUNT(U$59:U$250),0,-13,1))</f>
        <v/>
      </c>
      <c r="V6" s="22">
        <f>AVERAGE(OFFSET(V$59,COUNT(V$59:V$250),0,-13,1))</f>
        <v/>
      </c>
      <c r="W6" s="22">
        <f>AVERAGE(OFFSET(W$59,COUNT(W$59:W$250),0,-13,1))</f>
        <v/>
      </c>
      <c r="X6" s="22">
        <f>AVERAGE(OFFSET(X$59,COUNT(X$59:X$250),0,-13,1))</f>
        <v/>
      </c>
      <c r="Y6" s="62">
        <f>AVERAGE(OFFSET(Y$59,COUNT(Y$59:Y$250),0,-13,1))</f>
        <v/>
      </c>
      <c r="Z6" s="49">
        <f>AVERAGE(Z94:Z106)</f>
        <v/>
      </c>
      <c r="AA6" s="22">
        <f>AVERAGE(AA94:AA106)</f>
        <v/>
      </c>
      <c r="AB6" s="72" t="n"/>
    </row>
    <row r="7" ht="16" customHeight="1" s="70" thickBot="1">
      <c r="B7" s="63" t="inlineStr">
        <is>
          <t>Last vs 12m avg</t>
        </is>
      </c>
      <c r="C7" s="64">
        <f>IF((VLOOKUP($AE$2,$B:$Y,MATCH(C3,$B$3:$Y$3,),))&gt;C6,"above","below")</f>
        <v/>
      </c>
      <c r="D7" s="64">
        <f>IF((VLOOKUP($AE$2,$B:$Y,MATCH(D3,$B$3:$Y$3,),))&gt;D6,"above","below")</f>
        <v/>
      </c>
      <c r="E7" s="64">
        <f>IF((VLOOKUP($AE$2,$B:$Y,MATCH(E3,$B$3:$Y$3,),))&gt;E6,"above","below")</f>
        <v/>
      </c>
      <c r="F7" s="64">
        <f>IF((VLOOKUP($AE$2,$B:$Y,MATCH(F3,$B$3:$Y$3,),))&gt;F6,"above","below")</f>
        <v/>
      </c>
      <c r="G7" s="64">
        <f>IF((VLOOKUP($AE$2,$B:$Y,MATCH(G3,$B$3:$Y$3,),))&gt;G6,"above","below")</f>
        <v/>
      </c>
      <c r="H7" s="64">
        <f>IF((VLOOKUP($AE$2,$B:$Y,MATCH(H3,$B$3:$Y$3,),))&gt;H6,"above","below")</f>
        <v/>
      </c>
      <c r="I7" s="64">
        <f>IF((VLOOKUP($AE$2,$B:$Y,MATCH(I3,$B$3:$Y$3,),))&gt;I6,"above","below")</f>
        <v/>
      </c>
      <c r="J7" s="64">
        <f>IF((VLOOKUP($AE$2,$B:$Y,MATCH(J3,$B$3:$Y$3,),))&gt;J6,"above","below")</f>
        <v/>
      </c>
      <c r="K7" s="64">
        <f>IF((VLOOKUP($AE$2,$B:$Y,MATCH(K3,$B$3:$Y$3,),))&gt;K6,"above","below")</f>
        <v/>
      </c>
      <c r="L7" s="64">
        <f>IF((VLOOKUP($AE$2,$B:$Y,MATCH(L3,$B$3:$Y$3,),))&gt;L6,"above","below")</f>
        <v/>
      </c>
      <c r="M7" s="64">
        <f>IF((VLOOKUP($AE$2,$B:$Y,MATCH(M3,$B$3:$Y$3,),))&gt;M6,"above","below")</f>
        <v/>
      </c>
      <c r="N7" s="64">
        <f>IF((VLOOKUP($AE$2,$B:$Y,MATCH(N3,$B$3:$Y$3,),))&gt;N6,"above","below")</f>
        <v/>
      </c>
      <c r="O7" s="64">
        <f>IF((VLOOKUP($AE$2,$B:$Y,MATCH(O3,$B$3:$Y$3,),))&gt;O6,"above","below")</f>
        <v/>
      </c>
      <c r="P7" s="64">
        <f>IF((VLOOKUP($AE$2,$B:$Y,MATCH(P3,$B$3:$Y$3,),))&gt;P6,"above","below")</f>
        <v/>
      </c>
      <c r="Q7" s="64">
        <f>IF((VLOOKUP($AE$2,$B:$Y,MATCH(Q3,$B$3:$Y$3,),))&gt;Q6,"above","below")</f>
        <v/>
      </c>
      <c r="R7" s="64">
        <f>IF((VLOOKUP($AE$2,$B:$Y,MATCH(R3,$B$3:$Y$3,),))&gt;R6,"above","below")</f>
        <v/>
      </c>
      <c r="S7" s="64">
        <f>IF((VLOOKUP($AE$2,$B:$Y,MATCH(S3,$B$3:$Y$3,),))&gt;S6,"above","below")</f>
        <v/>
      </c>
      <c r="T7" s="64">
        <f>IF((VLOOKUP($AE$2,$B:$Y,MATCH(T3,$B$3:$Y$3,),))&gt;T6,"above","below")</f>
        <v/>
      </c>
      <c r="U7" s="64">
        <f>IF((VLOOKUP($AE$2,$B:$Y,MATCH(U3,$B$3:$Y$3,),))&gt;U6,"above","below")</f>
        <v/>
      </c>
      <c r="V7" s="64">
        <f>IF((VLOOKUP($AE$2,$B:$Y,MATCH(V3,$B$3:$Y$3,),))&gt;V6,"above","below")</f>
        <v/>
      </c>
      <c r="W7" s="64">
        <f>IF((VLOOKUP($AE$2,$B:$Y,MATCH(W3,$B$3:$Y$3,),))&gt;W6,"above","below")</f>
        <v/>
      </c>
      <c r="X7" s="64">
        <f>IF((VLOOKUP($AE$2,$B:$Y,MATCH(X3,$B$3:$Y$3,),))&gt;X6,"above","below")</f>
        <v/>
      </c>
      <c r="Y7" s="65">
        <f>IF((VLOOKUP($AE$2,$B:$Y,MATCH(Y3,$B$3:$Y$3,),))&gt;Y6,"above","below")</f>
        <v/>
      </c>
      <c r="Z7" s="50">
        <f>IF((VLOOKUP($AE$2,$B:$Z,MATCH(Z3,$B$3:$Z$3,),))&gt;Z6,"above","below")</f>
        <v/>
      </c>
      <c r="AA7" s="11">
        <f>IF((VLOOKUP($AE$2,$B:$AA,MATCH(AA3,$B$3:$AA$3,),))&gt;AA6,"above","below")</f>
        <v/>
      </c>
      <c r="AB7" s="72" t="n"/>
    </row>
    <row r="8" hidden="1" s="70">
      <c r="B8" s="51" t="inlineStr">
        <is>
          <t>Y/Y</t>
        </is>
      </c>
      <c r="C8" s="52">
        <f>VLOOKUP($AE$2,$B:$Y,MATCH(C3,$B$3:$Y$3,),)-VLOOKUP($AE$4,$B:$Y,MATCH(C3,$B$3:$Y$3,),)</f>
        <v/>
      </c>
      <c r="D8" s="52">
        <f>VLOOKUP($AE$2,$B:$Y,MATCH(D3,$B$3:$Y$3,),)-VLOOKUP($AE$4,$B:$Y,MATCH(D3,$B$3:$Y$3,),)</f>
        <v/>
      </c>
      <c r="E8" s="52">
        <f>VLOOKUP($AE$2,$B:$Y,MATCH(E3,$B$3:$Y$3,),)-VLOOKUP($AE$4,$B:$Y,MATCH(E3,$B$3:$Y$3,),)</f>
        <v/>
      </c>
      <c r="F8" s="52">
        <f>VLOOKUP($AE$2,$B:$Y,MATCH(F3,$B$3:$Y$3,),)-VLOOKUP($AE$4,$B:$Y,MATCH(F3,$B$3:$Y$3,),)</f>
        <v/>
      </c>
      <c r="G8" s="52">
        <f>VLOOKUP($AE$2,$B:$Y,MATCH(G3,$B$3:$Y$3,),)-VLOOKUP($AE$4,$B:$Y,MATCH(G3,$B$3:$Y$3,),)</f>
        <v/>
      </c>
      <c r="H8" s="52">
        <f>VLOOKUP($AE$2,$B:$Y,MATCH(H3,$B$3:$Y$3,),)-VLOOKUP($AE$4,$B:$Y,MATCH(H3,$B$3:$Y$3,),)</f>
        <v/>
      </c>
      <c r="I8" s="52">
        <f>VLOOKUP($AE$2,$B:$Y,MATCH(I3,$B$3:$Y$3,),)-VLOOKUP($AE$4,$B:$Y,MATCH(I3,$B$3:$Y$3,),)</f>
        <v/>
      </c>
      <c r="J8" s="52">
        <f>VLOOKUP($AE$2,$B:$Y,MATCH(J3,$B$3:$Y$3,),)-VLOOKUP($AE$4,$B:$Y,MATCH(J3,$B$3:$Y$3,),)</f>
        <v/>
      </c>
      <c r="K8" s="52">
        <f>VLOOKUP($AE$2,$B:$Y,MATCH(K3,$B$3:$Y$3,),)-VLOOKUP($AE$4,$B:$Y,MATCH(K3,$B$3:$Y$3,),)</f>
        <v/>
      </c>
      <c r="L8" s="52">
        <f>VLOOKUP($AE$2,$B:$Y,MATCH(L3,$B$3:$Y$3,),)-VLOOKUP($AE$4,$B:$Y,MATCH(L3,$B$3:$Y$3,),)</f>
        <v/>
      </c>
      <c r="M8" s="52">
        <f>VLOOKUP($AE$2,$B:$Y,MATCH(M3,$B$3:$Y$3,),)-VLOOKUP($AE$4,$B:$Y,MATCH(M3,$B$3:$Y$3,),)</f>
        <v/>
      </c>
      <c r="N8" s="52">
        <f>VLOOKUP($AE$2,$B:$Y,MATCH(N3,$B$3:$Y$3,),)-VLOOKUP($AE$4,$B:$Y,MATCH(N3,$B$3:$Y$3,),)</f>
        <v/>
      </c>
      <c r="O8" s="52">
        <f>VLOOKUP($AE$2,$B:$Y,MATCH(O3,$B$3:$Y$3,),)-VLOOKUP($AE$4,$B:$Y,MATCH(O3,$B$3:$Y$3,),)</f>
        <v/>
      </c>
      <c r="P8" s="52">
        <f>VLOOKUP($AE$2,$B:$Y,MATCH(P3,$B$3:$Y$3,),)-VLOOKUP($AE$4,$B:$Y,MATCH(P3,$B$3:$Y$3,),)</f>
        <v/>
      </c>
      <c r="Q8" s="52">
        <f>VLOOKUP($AE$2,$B:$Y,MATCH(Q3,$B$3:$Y$3,),)-VLOOKUP($AE$4,$B:$Y,MATCH(Q3,$B$3:$Y$3,),)</f>
        <v/>
      </c>
      <c r="R8" s="52">
        <f>VLOOKUP($AE$2,$B:$Y,MATCH(R3,$B$3:$Y$3,),)-VLOOKUP($AE$4,$B:$Y,MATCH(R3,$B$3:$Y$3,),)</f>
        <v/>
      </c>
      <c r="S8" s="52">
        <f>VLOOKUP($AE$2,$B:$Y,MATCH(S3,$B$3:$Y$3,),)-VLOOKUP($AE$4,$B:$Y,MATCH(S3,$B$3:$Y$3,),)</f>
        <v/>
      </c>
      <c r="T8" s="52">
        <f>VLOOKUP($AE$2,$B:$Y,MATCH(T3,$B$3:$Y$3,),)-VLOOKUP($AE$4,$B:$Y,MATCH(T3,$B$3:$Y$3,),)</f>
        <v/>
      </c>
      <c r="U8" s="52">
        <f>VLOOKUP($AE$2,$B:$Y,MATCH(U3,$B$3:$Y$3,),)-VLOOKUP($AE$4,$B:$Y,MATCH(U3,$B$3:$Y$3,),)</f>
        <v/>
      </c>
      <c r="V8" s="52">
        <f>VLOOKUP($AE$2,$B:$Y,MATCH(V3,$B$3:$Y$3,),)-VLOOKUP($AE$4,$B:$Y,MATCH(V3,$B$3:$Y$3,),)</f>
        <v/>
      </c>
      <c r="W8" s="52">
        <f>VLOOKUP($AE$2,$B:$Y,MATCH(W3,$B$3:$Y$3,),)-VLOOKUP($AE$4,$B:$Y,MATCH(W3,$B$3:$Y$3,),)</f>
        <v/>
      </c>
      <c r="X8" s="52">
        <f>VLOOKUP($AE$2,$B:$Y,MATCH(X3,$B$3:$Y$3,),)-VLOOKUP($AE$4,$B:$Y,MATCH(X3,$B$3:$Y$3,),)</f>
        <v/>
      </c>
      <c r="Y8" s="52">
        <f>VLOOKUP($AE$2,$B:$Y,MATCH(Y3,$B$3:$Y$3,),)-VLOOKUP($AE$4,$B:$Y,MATCH(Y3,$B$3:$Y$3,),)</f>
        <v/>
      </c>
      <c r="Z8" s="11">
        <f>VLOOKUP($AE$2,$B:$Z,MATCH(Z3,$B$3:$Z$3,),)-VLOOKUP($AE$4,$B:$Z,MATCH(Z3,$B$3:$Z$3,),)</f>
        <v/>
      </c>
      <c r="AA8" s="11">
        <f>VLOOKUP($AE$2,$B:$AA,MATCH(AA3,$B$3:$AA$3,),)-VLOOKUP($AE$4,$B:$AA,MATCH(AA3,$B$3:$AA$3,),)</f>
        <v/>
      </c>
      <c r="AB8" s="12" t="n"/>
    </row>
    <row r="9" hidden="1" s="70">
      <c r="B9" s="3" t="inlineStr">
        <is>
          <t>M/M</t>
        </is>
      </c>
      <c r="C9" s="23">
        <f>VLOOKUP($AE$2,$B:$Y,MATCH(C3,$B$3:$Y$3,),)-VLOOKUP($AE$3,$B:$Y,MATCH(C3,$B$3:$Y$3,),)</f>
        <v/>
      </c>
      <c r="D9" s="23">
        <f>VLOOKUP($AE$2,$B:$Y,MATCH(D3,$B$3:$Y$3,),)-VLOOKUP($AE$3,$B:$Y,MATCH(D3,$B$3:$Y$3,),)</f>
        <v/>
      </c>
      <c r="E9" s="23">
        <f>VLOOKUP($AE$2,$B:$Y,MATCH(E3,$B$3:$Y$3,),)-VLOOKUP($AE$3,$B:$Y,MATCH(E3,$B$3:$Y$3,),)</f>
        <v/>
      </c>
      <c r="F9" s="23">
        <f>VLOOKUP($AE$2,$B:$Y,MATCH(F3,$B$3:$Y$3,),)-VLOOKUP($AE$3,$B:$Y,MATCH(F3,$B$3:$Y$3,),)</f>
        <v/>
      </c>
      <c r="G9" s="23">
        <f>VLOOKUP($AE$2,$B:$Y,MATCH(G3,$B$3:$Y$3,),)-VLOOKUP($AE$3,$B:$Y,MATCH(G3,$B$3:$Y$3,),)</f>
        <v/>
      </c>
      <c r="H9" s="23">
        <f>VLOOKUP($AE$2,$B:$Y,MATCH(H3,$B$3:$Y$3,),)-VLOOKUP($AE$3,$B:$Y,MATCH(H3,$B$3:$Y$3,),)</f>
        <v/>
      </c>
      <c r="I9" s="23">
        <f>VLOOKUP($AE$2,$B:$Y,MATCH(I3,$B$3:$Y$3,),)-VLOOKUP($AE$3,$B:$Y,MATCH(I3,$B$3:$Y$3,),)</f>
        <v/>
      </c>
      <c r="J9" s="23">
        <f>VLOOKUP($AE$2,$B:$Y,MATCH(J3,$B$3:$Y$3,),)-VLOOKUP($AE$3,$B:$Y,MATCH(J3,$B$3:$Y$3,),)</f>
        <v/>
      </c>
      <c r="K9" s="23">
        <f>VLOOKUP($AE$2,$B:$Y,MATCH(K3,$B$3:$Y$3,),)-VLOOKUP($AE$3,$B:$Y,MATCH(K3,$B$3:$Y$3,),)</f>
        <v/>
      </c>
      <c r="L9" s="23">
        <f>VLOOKUP($AE$2,$B:$Y,MATCH(L3,$B$3:$Y$3,),)-VLOOKUP($AE$3,$B:$Y,MATCH(L3,$B$3:$Y$3,),)</f>
        <v/>
      </c>
      <c r="M9" s="23">
        <f>VLOOKUP($AE$2,$B:$Y,MATCH(M3,$B$3:$Y$3,),)-VLOOKUP($AE$3,$B:$Y,MATCH(M3,$B$3:$Y$3,),)</f>
        <v/>
      </c>
      <c r="N9" s="23">
        <f>VLOOKUP($AE$2,$B:$Y,MATCH(N3,$B$3:$Y$3,),)-VLOOKUP($AE$3,$B:$Y,MATCH(N3,$B$3:$Y$3,),)</f>
        <v/>
      </c>
      <c r="O9" s="23">
        <f>VLOOKUP($AE$2,$B:$Y,MATCH(O3,$B$3:$Y$3,),)-VLOOKUP($AE$3,$B:$Y,MATCH(O3,$B$3:$Y$3,),)</f>
        <v/>
      </c>
      <c r="P9" s="23">
        <f>VLOOKUP($AE$2,$B:$Y,MATCH(P3,$B$3:$Y$3,),)-VLOOKUP($AE$3,$B:$Y,MATCH(P3,$B$3:$Y$3,),)</f>
        <v/>
      </c>
      <c r="Q9" s="23">
        <f>VLOOKUP($AE$2,$B:$Y,MATCH(Q3,$B$3:$Y$3,),)-VLOOKUP($AE$3,$B:$Y,MATCH(Q3,$B$3:$Y$3,),)</f>
        <v/>
      </c>
      <c r="R9" s="23">
        <f>VLOOKUP($AE$2,$B:$Y,MATCH(R3,$B$3:$Y$3,),)-VLOOKUP($AE$3,$B:$Y,MATCH(R3,$B$3:$Y$3,),)</f>
        <v/>
      </c>
      <c r="S9" s="23">
        <f>VLOOKUP($AE$2,$B:$Y,MATCH(S3,$B$3:$Y$3,),)-VLOOKUP($AE$3,$B:$Y,MATCH(S3,$B$3:$Y$3,),)</f>
        <v/>
      </c>
      <c r="T9" s="23">
        <f>VLOOKUP($AE$2,$B:$Y,MATCH(T3,$B$3:$Y$3,),)-VLOOKUP($AE$3,$B:$Y,MATCH(T3,$B$3:$Y$3,),)</f>
        <v/>
      </c>
      <c r="U9" s="23">
        <f>VLOOKUP($AE$2,$B:$Y,MATCH(U3,$B$3:$Y$3,),)-VLOOKUP($AE$3,$B:$Y,MATCH(U3,$B$3:$Y$3,),)</f>
        <v/>
      </c>
      <c r="V9" s="23">
        <f>VLOOKUP($AE$2,$B:$Y,MATCH(V3,$B$3:$Y$3,),)-VLOOKUP($AE$3,$B:$Y,MATCH(V3,$B$3:$Y$3,),)</f>
        <v/>
      </c>
      <c r="W9" s="23">
        <f>VLOOKUP($AE$2,$B:$Y,MATCH(W3,$B$3:$Y$3,),)-VLOOKUP($AE$3,$B:$Y,MATCH(W3,$B$3:$Y$3,),)</f>
        <v/>
      </c>
      <c r="X9" s="23">
        <f>VLOOKUP($AE$2,$B:$Y,MATCH(X3,$B$3:$Y$3,),)-VLOOKUP($AE$3,$B:$Y,MATCH(X3,$B$3:$Y$3,),)</f>
        <v/>
      </c>
      <c r="Y9" s="23">
        <f>VLOOKUP($AE$2,$B:$Y,MATCH(Y3,$B$3:$Y$3,),)-VLOOKUP($AE$3,$B:$Y,MATCH(Y3,$B$3:$Y$3,),)</f>
        <v/>
      </c>
      <c r="Z9" s="11">
        <f>VLOOKUP($AE$2,$B:$Z,MATCH(Z3,$B$3:$Z$3,),)-VLOOKUP($AE$3,$B:$Z,MATCH(Z3,$B$3:$Z$3,),)</f>
        <v/>
      </c>
      <c r="AA9" s="11">
        <f>VLOOKUP($AE$2,$B:$AA,MATCH(AA3,$B$3:$AA$3,),)-VLOOKUP($AE$3,$B:$AA,MATCH(AA3,$B$3:$AA$3,),)</f>
        <v/>
      </c>
      <c r="AB9" s="12" t="n"/>
    </row>
    <row r="10">
      <c r="B10" s="21" t="n"/>
      <c r="C10" s="23" t="n"/>
      <c r="D10" s="23" t="n"/>
      <c r="E10" s="23" t="n"/>
      <c r="F10" s="23" t="n"/>
      <c r="G10" s="23" t="n"/>
      <c r="H10" s="23" t="n"/>
      <c r="I10" s="23" t="n"/>
      <c r="J10" s="23" t="n"/>
      <c r="K10" s="23" t="n"/>
      <c r="L10" s="23" t="n"/>
      <c r="M10" s="23" t="n"/>
      <c r="N10" s="23" t="n"/>
      <c r="O10" s="23" t="n"/>
      <c r="P10" s="23" t="n"/>
      <c r="Q10" s="23" t="n"/>
      <c r="R10" s="24" t="n"/>
      <c r="S10" s="23" t="n"/>
      <c r="T10" s="23" t="n"/>
      <c r="U10" s="23" t="n"/>
      <c r="V10" s="23" t="n"/>
      <c r="W10" s="23" t="n"/>
      <c r="X10" s="23" t="n"/>
      <c r="Y10" s="23" t="n"/>
      <c r="Z10" s="13" t="n"/>
      <c r="AA10" s="13" t="n"/>
      <c r="AB10" s="14" t="n"/>
    </row>
    <row r="11" hidden="1" s="70">
      <c r="B11" s="15" t="n">
        <v>42064</v>
      </c>
      <c r="C11" s="25" t="n">
        <v>55.3</v>
      </c>
      <c r="D11" s="25" t="n">
        <v>50.1</v>
      </c>
      <c r="E11" s="25" t="n">
        <v>52.2</v>
      </c>
      <c r="F11" s="25" t="n">
        <v>50.3</v>
      </c>
      <c r="G11" s="25" t="n">
        <v>52.8</v>
      </c>
      <c r="H11" s="25" t="n">
        <v>48.8</v>
      </c>
      <c r="I11" s="25" t="n">
        <v>54.4</v>
      </c>
      <c r="J11" s="25" t="n">
        <v>53.3</v>
      </c>
      <c r="K11" s="25" t="n">
        <v>54.3</v>
      </c>
      <c r="L11" s="25" t="n">
        <v>0.09999999999999432</v>
      </c>
      <c r="M11" s="25" t="n">
        <v>53.8</v>
      </c>
      <c r="N11" s="25" t="n">
        <v>48.1</v>
      </c>
      <c r="O11" s="25" t="n">
        <v>52.1</v>
      </c>
      <c r="P11" s="25" t="n">
        <v>48.9</v>
      </c>
      <c r="Q11" s="25" t="n">
        <v>46.3</v>
      </c>
      <c r="R11" s="25" t="n">
        <v>46.4</v>
      </c>
      <c r="S11" s="25" t="n">
        <v>49.2</v>
      </c>
      <c r="T11" s="25" t="n">
        <v>51</v>
      </c>
      <c r="U11" s="25" t="n">
        <v>48.9</v>
      </c>
      <c r="V11" s="25" t="n">
        <v>56.8</v>
      </c>
      <c r="W11" s="25" t="n">
        <v>48</v>
      </c>
      <c r="X11" s="25" t="n">
        <v>56.1</v>
      </c>
      <c r="Y11" s="25" t="n">
        <v>54.8</v>
      </c>
      <c r="Z11" s="16" t="n">
        <v>-0.3000000000000043</v>
      </c>
      <c r="AA11" s="16" t="e">
        <v>#REF!</v>
      </c>
      <c r="AB11" s="17" t="n"/>
    </row>
    <row r="12" hidden="1" s="70">
      <c r="B12" s="15" t="n">
        <v>42095</v>
      </c>
      <c r="C12" s="25" t="n">
        <v>54.1</v>
      </c>
      <c r="D12" s="25" t="n">
        <v>50.1</v>
      </c>
      <c r="E12" s="25" t="n">
        <v>52</v>
      </c>
      <c r="F12" s="25" t="n">
        <v>49.9</v>
      </c>
      <c r="G12" s="25" t="n">
        <v>52.1</v>
      </c>
      <c r="H12" s="25" t="n">
        <v>48</v>
      </c>
      <c r="I12" s="25" t="n">
        <v>51.9</v>
      </c>
      <c r="J12" s="25" t="n">
        <v>53.8</v>
      </c>
      <c r="K12" s="25" t="n">
        <v>54.2</v>
      </c>
      <c r="L12" s="25" t="n">
        <v>-0.09999999999999432</v>
      </c>
      <c r="M12" s="25" t="n">
        <v>53.8</v>
      </c>
      <c r="N12" s="25" t="n">
        <v>48.9</v>
      </c>
      <c r="O12" s="25" t="n">
        <v>51.3</v>
      </c>
      <c r="P12" s="25" t="n">
        <v>49</v>
      </c>
      <c r="Q12" s="25" t="n">
        <v>48</v>
      </c>
      <c r="R12" s="25" t="n">
        <v>46.7</v>
      </c>
      <c r="S12" s="25" t="n">
        <v>48.8</v>
      </c>
      <c r="T12" s="25" t="n">
        <v>49.2</v>
      </c>
      <c r="U12" s="25" t="n">
        <v>46.5</v>
      </c>
      <c r="V12" s="25" t="n">
        <v>55.8</v>
      </c>
      <c r="W12" s="25" t="n">
        <v>48.5</v>
      </c>
      <c r="X12" s="25" t="n">
        <v>54.7</v>
      </c>
      <c r="Y12" s="25" t="n">
        <v>54</v>
      </c>
      <c r="Z12" s="16" t="n">
        <v>-0.7999999999999972</v>
      </c>
      <c r="AA12" s="16" t="e">
        <v>#REF!</v>
      </c>
      <c r="AB12" s="17" t="n"/>
    </row>
    <row r="13" hidden="1" s="70">
      <c r="B13" s="15" t="n">
        <v>42125</v>
      </c>
      <c r="C13" s="25" t="n">
        <v>53.8</v>
      </c>
      <c r="D13" s="25" t="n">
        <v>50.2</v>
      </c>
      <c r="E13" s="25" t="n">
        <v>52.2</v>
      </c>
      <c r="F13" s="25" t="n">
        <v>50.9</v>
      </c>
      <c r="G13" s="25" t="n">
        <v>51.1</v>
      </c>
      <c r="H13" s="25" t="n">
        <v>49.4</v>
      </c>
      <c r="I13" s="25" t="n">
        <v>52.2</v>
      </c>
      <c r="J13" s="25" t="n">
        <v>54.8</v>
      </c>
      <c r="K13" s="25" t="n">
        <v>55.8</v>
      </c>
      <c r="L13" s="25" t="n">
        <v>1.599999999999994</v>
      </c>
      <c r="M13" s="25" t="n">
        <v>53.3</v>
      </c>
      <c r="N13" s="25" t="n">
        <v>47.6</v>
      </c>
      <c r="O13" s="25" t="n">
        <v>52.6</v>
      </c>
      <c r="P13" s="25" t="n">
        <v>49.8</v>
      </c>
      <c r="Q13" s="25" t="n">
        <v>52.29</v>
      </c>
      <c r="R13" s="25" t="n">
        <v>47.1</v>
      </c>
      <c r="S13" s="25" t="n">
        <v>47.8</v>
      </c>
      <c r="T13" s="25" t="n">
        <v>49.3</v>
      </c>
      <c r="U13" s="25" t="n">
        <v>48</v>
      </c>
      <c r="V13" s="25" t="n">
        <v>57.1</v>
      </c>
      <c r="W13" s="25" t="n">
        <v>50.2</v>
      </c>
      <c r="X13" s="25" t="n">
        <v>55.5</v>
      </c>
      <c r="Y13" s="25" t="n">
        <v>52.4</v>
      </c>
      <c r="Z13" s="16" t="n">
        <v>-1.600000000000001</v>
      </c>
      <c r="AA13" s="16" t="e">
        <v>#REF!</v>
      </c>
      <c r="AB13" s="17" t="n"/>
    </row>
    <row r="14" hidden="1" s="70">
      <c r="B14" s="15" t="n">
        <v>42156</v>
      </c>
      <c r="C14" s="25" t="n">
        <v>53.6</v>
      </c>
      <c r="D14" s="25" t="n">
        <v>50.2</v>
      </c>
      <c r="E14" s="25" t="n">
        <v>52.5</v>
      </c>
      <c r="F14" s="25" t="n">
        <v>50.1</v>
      </c>
      <c r="G14" s="25" t="n">
        <v>51.9</v>
      </c>
      <c r="H14" s="25" t="n">
        <v>50.7</v>
      </c>
      <c r="I14" s="25" t="n">
        <v>51.9</v>
      </c>
      <c r="J14" s="25" t="n">
        <v>54.1</v>
      </c>
      <c r="K14" s="25" t="n">
        <v>54.5</v>
      </c>
      <c r="L14" s="25" t="n">
        <v>-1.299999999999997</v>
      </c>
      <c r="M14" s="25" t="n">
        <v>52</v>
      </c>
      <c r="N14" s="25" t="n">
        <v>48.7</v>
      </c>
      <c r="O14" s="25" t="n">
        <v>51.3</v>
      </c>
      <c r="P14" s="25" t="n">
        <v>51.3</v>
      </c>
      <c r="Q14" s="25" t="n">
        <v>44.2</v>
      </c>
      <c r="R14" s="25" t="n">
        <v>47.8</v>
      </c>
      <c r="S14" s="25" t="n">
        <v>46.1</v>
      </c>
      <c r="T14" s="25" t="n">
        <v>46.3</v>
      </c>
      <c r="U14" s="25" t="n">
        <v>46.9</v>
      </c>
      <c r="V14" s="25" t="n">
        <v>54.6</v>
      </c>
      <c r="W14" s="25" t="n">
        <v>49</v>
      </c>
      <c r="X14" s="25" t="n">
        <v>56.9</v>
      </c>
      <c r="Y14" s="25" t="n">
        <v>54.3</v>
      </c>
      <c r="Z14" s="16" t="n">
        <v>1.899999999999999</v>
      </c>
      <c r="AA14" s="16" t="e">
        <v>#REF!</v>
      </c>
      <c r="AB14" s="17" t="n"/>
    </row>
    <row r="15" hidden="1" s="70">
      <c r="B15" s="15" t="n">
        <v>42186</v>
      </c>
      <c r="C15" s="25" t="n">
        <v>53.8</v>
      </c>
      <c r="D15" s="25" t="n">
        <v>50</v>
      </c>
      <c r="E15" s="25" t="n">
        <v>52.4</v>
      </c>
      <c r="F15" s="25" t="n">
        <v>51.2</v>
      </c>
      <c r="G15" s="25" t="n">
        <v>51.8</v>
      </c>
      <c r="H15" s="25" t="n">
        <v>49.6</v>
      </c>
      <c r="I15" s="25" t="n">
        <v>52.5</v>
      </c>
      <c r="J15" s="25" t="n">
        <v>55.3</v>
      </c>
      <c r="K15" s="25" t="n">
        <v>53.6</v>
      </c>
      <c r="L15" s="25" t="n">
        <v>-0.8999999999999986</v>
      </c>
      <c r="M15" s="25" t="n">
        <v>52.9</v>
      </c>
      <c r="N15" s="25" t="n">
        <v>48.3</v>
      </c>
      <c r="O15" s="25" t="n">
        <v>52.7</v>
      </c>
      <c r="P15" s="25" t="n">
        <v>50.8</v>
      </c>
      <c r="Q15" s="25" t="n">
        <v>50.4</v>
      </c>
      <c r="R15" s="25" t="n">
        <v>47.3</v>
      </c>
      <c r="S15" s="25" t="n">
        <v>47.6</v>
      </c>
      <c r="T15" s="25" t="n">
        <v>47.1</v>
      </c>
      <c r="U15" s="25" t="n">
        <v>30.2</v>
      </c>
      <c r="V15" s="25" t="n">
        <v>56.7</v>
      </c>
      <c r="W15" s="25" t="n">
        <v>50.1</v>
      </c>
      <c r="X15" s="25" t="n">
        <v>57.5</v>
      </c>
      <c r="Y15" s="25" t="n">
        <v>54.5</v>
      </c>
      <c r="Z15" s="16" t="n">
        <v>0.2000000000000028</v>
      </c>
      <c r="AA15" s="16" t="e">
        <v>#REF!</v>
      </c>
      <c r="AB15" s="17" t="n"/>
    </row>
    <row r="16" hidden="1" s="70">
      <c r="B16" s="15" t="n">
        <v>42217</v>
      </c>
      <c r="C16" s="25" t="n">
        <v>53</v>
      </c>
      <c r="D16" s="25" t="n">
        <v>47.3</v>
      </c>
      <c r="E16" s="25" t="n">
        <v>52.3</v>
      </c>
      <c r="F16" s="25" t="n">
        <v>51.7</v>
      </c>
      <c r="G16" s="25" t="n">
        <v>53.3</v>
      </c>
      <c r="H16" s="25" t="n">
        <v>48.3</v>
      </c>
      <c r="I16" s="25" t="n">
        <v>51.6</v>
      </c>
      <c r="J16" s="25" t="n">
        <v>53.8</v>
      </c>
      <c r="K16" s="25" t="n">
        <v>53.2</v>
      </c>
      <c r="L16" s="25" t="n">
        <v>-0.3999999999999986</v>
      </c>
      <c r="M16" s="25" t="n">
        <v>52.4</v>
      </c>
      <c r="N16" s="25" t="n">
        <v>47.9</v>
      </c>
      <c r="O16" s="25" t="n">
        <v>52.3</v>
      </c>
      <c r="P16" s="25" t="n">
        <v>49.4</v>
      </c>
      <c r="Q16" s="25" t="n">
        <v>51.7</v>
      </c>
      <c r="R16" s="25" t="n">
        <v>48.4</v>
      </c>
      <c r="S16" s="25" t="n">
        <v>47.9</v>
      </c>
      <c r="T16" s="25" t="n">
        <v>46.1</v>
      </c>
      <c r="U16" s="25" t="n">
        <v>39.1</v>
      </c>
      <c r="V16" s="25" t="n">
        <v>53.6</v>
      </c>
      <c r="W16" s="25" t="n">
        <v>49.3</v>
      </c>
      <c r="X16" s="25" t="n">
        <v>56.6</v>
      </c>
      <c r="Y16" s="25" t="n">
        <v>51.1</v>
      </c>
      <c r="Z16" s="16" t="n">
        <v>-3.399999999999999</v>
      </c>
      <c r="AA16" s="16" t="e">
        <v>#REF!</v>
      </c>
      <c r="AB16" s="17" t="n"/>
    </row>
    <row r="17" hidden="1" s="70">
      <c r="B17" s="15" t="n">
        <v>42248</v>
      </c>
      <c r="C17" s="25" t="n">
        <v>53.1</v>
      </c>
      <c r="D17" s="25" t="n">
        <v>47.2</v>
      </c>
      <c r="E17" s="25" t="n">
        <v>52</v>
      </c>
      <c r="F17" s="25" t="n">
        <v>51</v>
      </c>
      <c r="G17" s="25" t="n">
        <v>52.3</v>
      </c>
      <c r="H17" s="25" t="n">
        <v>50.6</v>
      </c>
      <c r="I17" s="25" t="n">
        <v>51.6</v>
      </c>
      <c r="J17" s="25" t="n">
        <v>52.7</v>
      </c>
      <c r="K17" s="25" t="n">
        <v>51.7</v>
      </c>
      <c r="L17" s="25" t="n">
        <v>-1.5</v>
      </c>
      <c r="M17" s="25" t="n">
        <v>52.1</v>
      </c>
      <c r="N17" s="25" t="n">
        <v>49.1</v>
      </c>
      <c r="O17" s="25" t="n">
        <v>51.2</v>
      </c>
      <c r="P17" s="25" t="n">
        <v>48.6</v>
      </c>
      <c r="Q17" s="25" t="n">
        <v>52.1</v>
      </c>
      <c r="R17" s="25" t="n">
        <v>47.4</v>
      </c>
      <c r="S17" s="25" t="n">
        <v>49.2</v>
      </c>
      <c r="T17" s="25" t="n">
        <v>46.9</v>
      </c>
      <c r="U17" s="25" t="n">
        <v>43.3</v>
      </c>
      <c r="V17" s="25" t="n">
        <v>53.8</v>
      </c>
      <c r="W17" s="25" t="n">
        <v>48.8</v>
      </c>
      <c r="X17" s="25" t="n">
        <v>55.5</v>
      </c>
      <c r="Y17" s="25" t="n">
        <v>50.9</v>
      </c>
      <c r="Z17" s="16" t="n">
        <v>-0.2000000000000028</v>
      </c>
      <c r="AA17" s="16" t="e">
        <v>#REF!</v>
      </c>
      <c r="AB17" s="17" t="n"/>
    </row>
    <row r="18" hidden="1" s="70">
      <c r="B18" s="15" t="n">
        <v>42278</v>
      </c>
      <c r="C18" s="25" t="n">
        <v>54.1</v>
      </c>
      <c r="D18" s="25" t="n">
        <v>48.3</v>
      </c>
      <c r="E18" s="25" t="n">
        <v>52.3</v>
      </c>
      <c r="F18" s="25" t="n">
        <v>52.4</v>
      </c>
      <c r="G18" s="25" t="n">
        <v>52.1</v>
      </c>
      <c r="H18" s="25" t="n">
        <v>50.6</v>
      </c>
      <c r="I18" s="25" t="n">
        <v>54.3</v>
      </c>
      <c r="J18" s="25" t="n">
        <v>54.1</v>
      </c>
      <c r="K18" s="25" t="n">
        <v>51.3</v>
      </c>
      <c r="L18" s="25" t="n">
        <v>-0.4000000000000057</v>
      </c>
      <c r="M18" s="25" t="n">
        <v>53</v>
      </c>
      <c r="N18" s="25" t="n">
        <v>50.2</v>
      </c>
      <c r="O18" s="25" t="n">
        <v>50.7</v>
      </c>
      <c r="P18" s="25" t="n">
        <v>48</v>
      </c>
      <c r="Q18" s="25" t="n">
        <v>50.2</v>
      </c>
      <c r="R18" s="25" t="n">
        <v>47.8</v>
      </c>
      <c r="S18" s="25" t="n">
        <v>49.1</v>
      </c>
      <c r="T18" s="25" t="n">
        <v>47.8</v>
      </c>
      <c r="U18" s="25" t="n">
        <v>47.3</v>
      </c>
      <c r="V18" s="25" t="n">
        <v>53.6</v>
      </c>
      <c r="W18" s="25" t="n">
        <v>49.5</v>
      </c>
      <c r="X18" s="25" t="n">
        <v>54</v>
      </c>
      <c r="Y18" s="25" t="n">
        <v>52.2</v>
      </c>
      <c r="Z18" s="16" t="n">
        <v>1.300000000000004</v>
      </c>
      <c r="AA18" s="16" t="e">
        <v>#REF!</v>
      </c>
      <c r="AB18" s="17" t="n"/>
    </row>
    <row r="19" hidden="1" s="70">
      <c r="B19" s="15" t="n">
        <v>42309</v>
      </c>
      <c r="C19" s="25" t="n">
        <v>52.8</v>
      </c>
      <c r="D19" s="25" t="n">
        <v>48.6</v>
      </c>
      <c r="E19" s="25" t="n">
        <v>52.8</v>
      </c>
      <c r="F19" s="25" t="n">
        <v>52.6</v>
      </c>
      <c r="G19" s="25" t="n">
        <v>52.9</v>
      </c>
      <c r="H19" s="25" t="n">
        <v>50.6</v>
      </c>
      <c r="I19" s="25" t="n">
        <v>52.3</v>
      </c>
      <c r="J19" s="25" t="n">
        <v>54.9</v>
      </c>
      <c r="K19" s="25" t="n">
        <v>53.1</v>
      </c>
      <c r="L19" s="25" t="n">
        <v>1.800000000000004</v>
      </c>
      <c r="M19" s="25" t="n">
        <v>53</v>
      </c>
      <c r="N19" s="25" t="n">
        <v>50.1</v>
      </c>
      <c r="O19" s="25" t="n">
        <v>50.3</v>
      </c>
      <c r="P19" s="25" t="n">
        <v>48.6</v>
      </c>
      <c r="Q19" s="25" t="n">
        <v>52.5</v>
      </c>
      <c r="R19" s="25" t="n">
        <v>46.9</v>
      </c>
      <c r="S19" s="25" t="n">
        <v>49.1</v>
      </c>
      <c r="T19" s="25" t="n">
        <v>49.5</v>
      </c>
      <c r="U19" s="25" t="n">
        <v>48.1</v>
      </c>
      <c r="V19" s="25" t="n">
        <v>53.3</v>
      </c>
      <c r="W19" s="25" t="n">
        <v>50.9</v>
      </c>
      <c r="X19" s="25" t="n">
        <v>54.2</v>
      </c>
      <c r="Y19" s="25" t="n">
        <v>52.1</v>
      </c>
      <c r="Z19" s="16" t="n">
        <v>-0.1000000000000014</v>
      </c>
      <c r="AA19" s="16" t="e">
        <v>#REF!</v>
      </c>
      <c r="AB19" s="17" t="n"/>
    </row>
    <row r="20" hidden="1" s="70">
      <c r="B20" s="15" t="n">
        <v>42339</v>
      </c>
      <c r="C20" s="25" t="n">
        <v>51.2</v>
      </c>
      <c r="D20" s="25" t="n">
        <v>48.2</v>
      </c>
      <c r="E20" s="25" t="n">
        <v>53.2</v>
      </c>
      <c r="F20" s="25" t="n">
        <v>52.6</v>
      </c>
      <c r="G20" s="25" t="n">
        <v>53.2</v>
      </c>
      <c r="H20" s="25" t="n">
        <v>51.4</v>
      </c>
      <c r="I20" s="25" t="n">
        <v>51</v>
      </c>
      <c r="J20" s="25" t="n">
        <v>55.6</v>
      </c>
      <c r="K20" s="25" t="n">
        <v>53</v>
      </c>
      <c r="L20" s="25" t="n">
        <v>-0.1000000000000014</v>
      </c>
      <c r="M20" s="25" t="n">
        <v>52.4</v>
      </c>
      <c r="N20" s="25" t="n">
        <v>48.7</v>
      </c>
      <c r="O20" s="25" t="n">
        <v>49.1</v>
      </c>
      <c r="P20" s="25" t="n">
        <v>47.5</v>
      </c>
      <c r="Q20" s="25" t="n">
        <v>51.9</v>
      </c>
      <c r="R20" s="25" t="n">
        <v>47.8</v>
      </c>
      <c r="S20" s="25" t="n">
        <v>50.7</v>
      </c>
      <c r="T20" s="25" t="n">
        <v>51.7</v>
      </c>
      <c r="U20" s="25" t="n">
        <v>50.2</v>
      </c>
      <c r="V20" s="25" t="n">
        <v>54.2</v>
      </c>
      <c r="W20" s="25" t="n">
        <v>52.2</v>
      </c>
      <c r="X20" s="25" t="n">
        <v>55.6</v>
      </c>
      <c r="Y20" s="25" t="n">
        <v>52.1</v>
      </c>
      <c r="Z20" s="16" t="n">
        <v>0</v>
      </c>
      <c r="AA20" s="16" t="e">
        <v>#REF!</v>
      </c>
      <c r="AB20" s="17" t="n"/>
    </row>
    <row r="21" hidden="1" s="70">
      <c r="B21" s="15" t="n">
        <v>42370</v>
      </c>
      <c r="C21" s="25" t="n">
        <v>52.4</v>
      </c>
      <c r="D21" s="25" t="n">
        <v>48.4</v>
      </c>
      <c r="E21" s="25" t="n">
        <v>52.3</v>
      </c>
      <c r="F21" s="25" t="n">
        <v>52.3</v>
      </c>
      <c r="G21" s="25" t="n">
        <v>52.3</v>
      </c>
      <c r="H21" s="25" t="n">
        <v>50</v>
      </c>
      <c r="I21" s="25" t="n">
        <v>52.2</v>
      </c>
      <c r="J21" s="25" t="n">
        <v>53.2</v>
      </c>
      <c r="K21" s="25" t="n">
        <v>55.4</v>
      </c>
      <c r="L21" s="25" t="n">
        <v>2.399999999999999</v>
      </c>
      <c r="M21" s="25" t="n">
        <v>52.2</v>
      </c>
      <c r="N21" s="25" t="n">
        <v>49.8</v>
      </c>
      <c r="O21" s="25" t="n">
        <v>51.1</v>
      </c>
      <c r="P21" s="25" t="n">
        <v>49.3</v>
      </c>
      <c r="Q21" s="25" t="n">
        <v>51.5</v>
      </c>
      <c r="R21" s="25" t="n">
        <v>48.9</v>
      </c>
      <c r="S21" s="25" t="n">
        <v>49.5</v>
      </c>
      <c r="T21" s="25" t="n">
        <v>50.6</v>
      </c>
      <c r="U21" s="25" t="n">
        <v>50</v>
      </c>
      <c r="V21" s="25" t="n">
        <v>54.3</v>
      </c>
      <c r="W21" s="25" t="n">
        <v>50.9</v>
      </c>
      <c r="X21" s="25" t="n">
        <v>56.9</v>
      </c>
      <c r="Y21" s="25" t="n">
        <v>50.9</v>
      </c>
      <c r="Z21" s="16" t="n">
        <v>-1.200000000000003</v>
      </c>
      <c r="AA21" s="16" t="e">
        <v>#REF!</v>
      </c>
      <c r="AB21" s="17" t="n"/>
    </row>
    <row r="22" hidden="1" s="70">
      <c r="B22" s="15" t="n">
        <v>42401</v>
      </c>
      <c r="C22" s="25" t="n">
        <v>51.3</v>
      </c>
      <c r="D22" s="25" t="n">
        <v>48</v>
      </c>
      <c r="E22" s="25" t="n">
        <v>51.2</v>
      </c>
      <c r="F22" s="25" t="n">
        <v>50.1</v>
      </c>
      <c r="G22" s="25" t="n">
        <v>50.5</v>
      </c>
      <c r="H22" s="25" t="n">
        <v>50.2</v>
      </c>
      <c r="I22" s="25" t="n">
        <v>50.8</v>
      </c>
      <c r="J22" s="25" t="n">
        <v>52.2</v>
      </c>
      <c r="K22" s="25" t="n">
        <v>54.1</v>
      </c>
      <c r="L22" s="25" t="n">
        <v>-1.299999999999997</v>
      </c>
      <c r="M22" s="25" t="n">
        <v>53.1</v>
      </c>
      <c r="N22" s="25" t="n">
        <v>49.3</v>
      </c>
      <c r="O22" s="25" t="n">
        <v>51.1</v>
      </c>
      <c r="P22" s="25" t="n">
        <v>49.4</v>
      </c>
      <c r="Q22" s="25" t="n">
        <v>53.5</v>
      </c>
      <c r="R22" s="25" t="n">
        <v>48.7</v>
      </c>
      <c r="S22" s="25" t="n">
        <v>48.7</v>
      </c>
      <c r="T22" s="25" t="n">
        <v>49.4</v>
      </c>
      <c r="U22" s="25" t="n">
        <v>48.4</v>
      </c>
      <c r="V22" s="25" t="n">
        <v>52.9</v>
      </c>
      <c r="W22" s="25" t="n">
        <v>50.3</v>
      </c>
      <c r="X22" s="25" t="n">
        <v>55.5</v>
      </c>
      <c r="Y22" s="25" t="n">
        <v>52.8</v>
      </c>
      <c r="Z22" s="16" t="n">
        <v>1.899999999999999</v>
      </c>
      <c r="AA22" s="16" t="e">
        <v>#REF!</v>
      </c>
      <c r="AB22" s="17" t="n"/>
    </row>
    <row r="23" hidden="1" s="70">
      <c r="B23" s="15" t="n">
        <v>42430</v>
      </c>
      <c r="C23" s="25" t="n">
        <v>51.5</v>
      </c>
      <c r="D23" s="25" t="n">
        <v>49.7</v>
      </c>
      <c r="E23" s="25" t="n">
        <v>51.6</v>
      </c>
      <c r="F23" s="25" t="n">
        <v>49.1</v>
      </c>
      <c r="G23" s="25" t="n">
        <v>50.7</v>
      </c>
      <c r="H23" s="25" t="n">
        <v>49.6</v>
      </c>
      <c r="I23" s="25" t="n">
        <v>51.1</v>
      </c>
      <c r="J23" s="25" t="n">
        <v>53.5</v>
      </c>
      <c r="K23" s="25" t="n">
        <v>53.4</v>
      </c>
      <c r="L23" s="25" t="n">
        <v>-0.7000000000000028</v>
      </c>
      <c r="M23" s="25" t="n">
        <v>53.2</v>
      </c>
      <c r="N23" s="25" t="n">
        <v>48.3</v>
      </c>
      <c r="O23" s="25" t="n">
        <v>52.4</v>
      </c>
      <c r="P23" s="25" t="n">
        <v>51.5</v>
      </c>
      <c r="Q23" s="25" t="n">
        <v>58.1</v>
      </c>
      <c r="R23" s="25" t="n">
        <v>50.6</v>
      </c>
      <c r="S23" s="25" t="n">
        <v>49.5</v>
      </c>
      <c r="T23" s="25" t="n">
        <v>51.1</v>
      </c>
      <c r="U23" s="25" t="n">
        <v>49</v>
      </c>
      <c r="V23" s="25" t="n">
        <v>54.9</v>
      </c>
      <c r="W23" s="25" t="n">
        <v>49.2</v>
      </c>
      <c r="X23" s="25" t="n">
        <v>54.3</v>
      </c>
      <c r="Y23" s="25" t="n">
        <v>53.8</v>
      </c>
      <c r="Z23" s="16" t="n">
        <v>1</v>
      </c>
      <c r="AA23" s="16" t="e">
        <v>#REF!</v>
      </c>
      <c r="AB23" s="17" t="n"/>
    </row>
    <row r="24" hidden="1" s="70">
      <c r="B24" s="15" t="inlineStr">
        <is>
          <t>2000-Q1</t>
        </is>
      </c>
      <c r="C24" s="25" t="n">
        <v>4.199578</v>
      </c>
      <c r="D24" s="25" t="n">
        <v>8.699999999999999</v>
      </c>
      <c r="E24" s="25" t="n">
        <v>4.232413</v>
      </c>
      <c r="F24" s="25" t="n">
        <v>2.880961</v>
      </c>
      <c r="G24" s="25" t="n">
        <v>3.399621</v>
      </c>
      <c r="H24" s="25" t="n">
        <v>4.406022</v>
      </c>
      <c r="I24" s="25" t="n">
        <v>4.119367</v>
      </c>
      <c r="J24" s="25" t="n">
        <v>3.878595</v>
      </c>
      <c r="K24" s="25" t="n">
        <v>5.586227</v>
      </c>
      <c r="L24" s="25" t="n">
        <v>3.90496</v>
      </c>
      <c r="M24" s="25" t="n">
        <v>4.325999</v>
      </c>
      <c r="N24" s="25" t="n">
        <v>0</v>
      </c>
      <c r="O24" s="25" t="n">
        <v>2.880961</v>
      </c>
      <c r="P24" s="25" t="n">
        <v>5.51763</v>
      </c>
      <c r="Q24" s="25" t="n">
        <v>3.645085</v>
      </c>
      <c r="R24" s="25" t="n">
        <v>4.232413</v>
      </c>
      <c r="S24" s="25" t="n">
        <v>12.261298</v>
      </c>
      <c r="T24" s="25" t="n">
        <v>4.099811</v>
      </c>
      <c r="U24" s="25" t="n">
        <v>3.411017</v>
      </c>
      <c r="V24" s="25" t="n">
        <v>9.496997</v>
      </c>
      <c r="W24" s="25" t="n">
        <v>2.466625</v>
      </c>
      <c r="X24" s="25" t="n">
        <v>3.998125</v>
      </c>
      <c r="Y24" s="25" t="n">
        <v>6.24833</v>
      </c>
      <c r="Z24" s="18" t="n">
        <v>-0.106447</v>
      </c>
      <c r="AA24" s="18" t="e">
        <v>#N/A</v>
      </c>
      <c r="AB24" s="19" t="n"/>
    </row>
    <row r="25" hidden="1" s="70">
      <c r="B25" s="15" t="inlineStr">
        <is>
          <t>2000-Q2</t>
        </is>
      </c>
      <c r="C25" s="25" t="n">
        <v>5.297738</v>
      </c>
      <c r="D25" s="25" t="n">
        <v>9.1</v>
      </c>
      <c r="E25" s="25" t="n">
        <v>4.491453</v>
      </c>
      <c r="F25" s="25" t="n">
        <v>2.725358</v>
      </c>
      <c r="G25" s="25" t="n">
        <v>4.250585</v>
      </c>
      <c r="H25" s="25" t="n">
        <v>4.523234</v>
      </c>
      <c r="I25" s="25" t="n">
        <v>4.690964</v>
      </c>
      <c r="J25" s="25" t="n">
        <v>4.180185</v>
      </c>
      <c r="K25" s="25" t="n">
        <v>5.294479</v>
      </c>
      <c r="L25" s="25" t="n">
        <v>5.851924</v>
      </c>
      <c r="M25" s="25" t="n">
        <v>5.398932</v>
      </c>
      <c r="N25" s="25" t="n">
        <v>0</v>
      </c>
      <c r="O25" s="25" t="n">
        <v>2.725358</v>
      </c>
      <c r="P25" s="25" t="n">
        <v>5.883164</v>
      </c>
      <c r="Q25" s="25" t="n">
        <v>4.211826</v>
      </c>
      <c r="R25" s="25" t="n">
        <v>4.491453</v>
      </c>
      <c r="S25" s="25" t="n">
        <v>9.068597</v>
      </c>
      <c r="T25" s="25" t="n">
        <v>3.958393</v>
      </c>
      <c r="U25" s="25" t="n">
        <v>3.319386</v>
      </c>
      <c r="V25" s="25" t="n">
        <v>11.227613</v>
      </c>
      <c r="W25" s="25" t="n">
        <v>6.742773</v>
      </c>
      <c r="X25" s="25" t="n">
        <v>4.724439</v>
      </c>
      <c r="Y25" s="25" t="n">
        <v>5.047274</v>
      </c>
      <c r="Z25" s="18" t="n">
        <v>-0.590391</v>
      </c>
      <c r="AA25" s="18" t="e">
        <v>#N/A</v>
      </c>
      <c r="AB25" s="19" t="n"/>
    </row>
    <row r="26" hidden="1" s="70">
      <c r="B26" s="15" t="inlineStr">
        <is>
          <t>2000-Q3</t>
        </is>
      </c>
      <c r="C26" s="25" t="n">
        <v>4.07533</v>
      </c>
      <c r="D26" s="25" t="n">
        <v>8.800000000000001</v>
      </c>
      <c r="E26" s="25" t="n">
        <v>3.883931</v>
      </c>
      <c r="F26" s="25" t="n">
        <v>2.22814</v>
      </c>
      <c r="G26" s="25" t="n">
        <v>3.043905</v>
      </c>
      <c r="H26" s="25" t="n">
        <v>3.955496</v>
      </c>
      <c r="I26" s="25" t="n">
        <v>3.143977</v>
      </c>
      <c r="J26" s="25" t="n">
        <v>3.866433</v>
      </c>
      <c r="K26" s="25" t="n">
        <v>5.180883</v>
      </c>
      <c r="L26" s="25" t="n">
        <v>5.722277</v>
      </c>
      <c r="M26" s="25" t="n">
        <v>5.368747</v>
      </c>
      <c r="N26" s="25" t="n">
        <v>0</v>
      </c>
      <c r="O26" s="25" t="n">
        <v>2.22814</v>
      </c>
      <c r="P26" s="25" t="n">
        <v>5.316958</v>
      </c>
      <c r="Q26" s="25" t="n">
        <v>3.22491</v>
      </c>
      <c r="R26" s="25" t="n">
        <v>3.883931</v>
      </c>
      <c r="S26" s="25" t="n">
        <v>9.320938999999999</v>
      </c>
      <c r="T26" s="25" t="n">
        <v>4.817299</v>
      </c>
      <c r="U26" s="25" t="n">
        <v>4.786658</v>
      </c>
      <c r="V26" s="25" t="n">
        <v>9.310140000000001</v>
      </c>
      <c r="W26" s="25" t="n">
        <v>8.819801</v>
      </c>
      <c r="X26" s="25" t="n">
        <v>5.050589</v>
      </c>
      <c r="Y26" s="25" t="n">
        <v>3.247936</v>
      </c>
      <c r="Z26" s="18" t="n">
        <v>-0.557525</v>
      </c>
      <c r="AA26" s="18" t="e">
        <v>#N/A</v>
      </c>
      <c r="AB26" s="19" t="n"/>
    </row>
    <row r="27" hidden="1" s="70">
      <c r="B27" s="15" t="inlineStr">
        <is>
          <t>2000-Q4</t>
        </is>
      </c>
      <c r="C27" s="25" t="n">
        <v>2.973483</v>
      </c>
      <c r="D27" s="25" t="n">
        <v>7.5</v>
      </c>
      <c r="E27" s="25" t="n">
        <v>3.376736</v>
      </c>
      <c r="F27" s="25" t="n">
        <v>3.169027</v>
      </c>
      <c r="G27" s="25" t="n">
        <v>1.906413</v>
      </c>
      <c r="H27" s="25" t="n">
        <v>3.390469</v>
      </c>
      <c r="I27" s="25" t="n">
        <v>1.914482</v>
      </c>
      <c r="J27" s="25" t="n">
        <v>4.027652</v>
      </c>
      <c r="K27" s="25" t="n">
        <v>5.104909</v>
      </c>
      <c r="L27" s="25" t="n">
        <v>4.108692</v>
      </c>
      <c r="M27" s="25" t="n">
        <v>3.588419</v>
      </c>
      <c r="N27" s="25" t="n">
        <v>0</v>
      </c>
      <c r="O27" s="25" t="n">
        <v>3.169027</v>
      </c>
      <c r="P27" s="25" t="n">
        <v>4.032494</v>
      </c>
      <c r="Q27" s="25" t="n">
        <v>1.123658</v>
      </c>
      <c r="R27" s="25" t="n">
        <v>3.376736</v>
      </c>
      <c r="S27" s="25" t="n">
        <v>5.381693</v>
      </c>
      <c r="T27" s="25" t="n">
        <v>4.651924</v>
      </c>
      <c r="U27" s="25" t="n">
        <v>4.58267</v>
      </c>
      <c r="V27" s="25" t="n">
        <v>7.956294</v>
      </c>
      <c r="W27" s="25" t="n">
        <v>8.210084999999999</v>
      </c>
      <c r="X27" s="25" t="n">
        <v>4.599431</v>
      </c>
      <c r="Y27" s="25" t="n">
        <v>4.263352</v>
      </c>
      <c r="Z27" s="18" t="n">
        <v>-1.893524</v>
      </c>
      <c r="AA27" s="18" t="e">
        <v>#N/A</v>
      </c>
      <c r="AB27" s="19" t="n"/>
    </row>
    <row r="28" hidden="1" s="70">
      <c r="B28" s="15" t="inlineStr">
        <is>
          <t>2001-Q1</t>
        </is>
      </c>
      <c r="C28" s="25" t="n">
        <v>2.30971</v>
      </c>
      <c r="D28" s="25" t="n">
        <v>9.5</v>
      </c>
      <c r="E28" s="25" t="n">
        <v>3.126182</v>
      </c>
      <c r="F28" s="25" t="n">
        <v>1.79137</v>
      </c>
      <c r="G28" s="25" t="n">
        <v>2.503228</v>
      </c>
      <c r="H28" s="25" t="n">
        <v>2.984667</v>
      </c>
      <c r="I28" s="25" t="n">
        <v>2.396088</v>
      </c>
      <c r="J28" s="25" t="n">
        <v>3.208826</v>
      </c>
      <c r="K28" s="25" t="n">
        <v>4.487838</v>
      </c>
      <c r="L28" s="25" t="n">
        <v>3.097054</v>
      </c>
      <c r="M28" s="25" t="n">
        <v>1.855425</v>
      </c>
      <c r="N28" s="25" t="n">
        <v>0</v>
      </c>
      <c r="O28" s="25" t="n">
        <v>1.79137</v>
      </c>
      <c r="P28" s="25" t="n">
        <v>2.934044</v>
      </c>
      <c r="Q28" s="25" t="n">
        <v>1.735637</v>
      </c>
      <c r="R28" s="25" t="n">
        <v>3.126182</v>
      </c>
      <c r="S28" s="25" t="n">
        <v>4.965892</v>
      </c>
      <c r="T28" s="25" t="n">
        <v>3.248958</v>
      </c>
      <c r="U28" s="25" t="n">
        <v>5.555856</v>
      </c>
      <c r="V28" s="25" t="n">
        <v>7.802249</v>
      </c>
      <c r="W28" s="25" t="n">
        <v>2.372659</v>
      </c>
      <c r="X28" s="25" t="n">
        <v>4.152867</v>
      </c>
      <c r="Y28" s="25" t="n">
        <v>3.187399</v>
      </c>
      <c r="Z28" s="18" t="n">
        <v>-1.397726</v>
      </c>
      <c r="AA28" s="18" t="e">
        <v>#N/A</v>
      </c>
      <c r="AB28" s="19" t="n"/>
    </row>
    <row r="29" hidden="1" s="70">
      <c r="B29" s="15" t="inlineStr">
        <is>
          <t>2001-Q2</t>
        </is>
      </c>
      <c r="C29" s="25" t="n">
        <v>1.057242</v>
      </c>
      <c r="D29" s="25" t="n">
        <v>8.6</v>
      </c>
      <c r="E29" s="25" t="n">
        <v>2.32221</v>
      </c>
      <c r="F29" s="25" t="n">
        <v>1.103819</v>
      </c>
      <c r="G29" s="25" t="n">
        <v>1.618475</v>
      </c>
      <c r="H29" s="25" t="n">
        <v>2.143407</v>
      </c>
      <c r="I29" s="25" t="n">
        <v>2.574742</v>
      </c>
      <c r="J29" s="25" t="n">
        <v>2.238588</v>
      </c>
      <c r="K29" s="25" t="n">
        <v>4.041508</v>
      </c>
      <c r="L29" s="25" t="n">
        <v>1.34107</v>
      </c>
      <c r="M29" s="25" t="n">
        <v>-0.37564</v>
      </c>
      <c r="N29" s="25" t="n">
        <v>0</v>
      </c>
      <c r="O29" s="25" t="n">
        <v>1.103819</v>
      </c>
      <c r="P29" s="25" t="n">
        <v>2.000524</v>
      </c>
      <c r="Q29" s="25" t="n">
        <v>1.665561</v>
      </c>
      <c r="R29" s="25" t="n">
        <v>2.32221</v>
      </c>
      <c r="S29" s="25" t="n">
        <v>5.001116</v>
      </c>
      <c r="T29" s="25" t="n">
        <v>2.330326</v>
      </c>
      <c r="U29" s="25" t="n">
        <v>4.274588</v>
      </c>
      <c r="V29" s="25" t="n">
        <v>6.252063</v>
      </c>
      <c r="W29" s="25" t="n">
        <v>-7.560093</v>
      </c>
      <c r="X29" s="25" t="n">
        <v>3.157443</v>
      </c>
      <c r="Y29" s="25" t="n">
        <v>1.5302</v>
      </c>
      <c r="Z29" s="18" t="n">
        <v>-0.6169790000000001</v>
      </c>
      <c r="AA29" s="18" t="e">
        <v>#N/A</v>
      </c>
      <c r="AB29" s="19" t="n"/>
    </row>
    <row r="30" hidden="1" s="70">
      <c r="B30" s="15" t="inlineStr">
        <is>
          <t>2001-Q3</t>
        </is>
      </c>
      <c r="C30" s="25" t="n">
        <v>0.503588</v>
      </c>
      <c r="D30" s="25" t="n">
        <v>8</v>
      </c>
      <c r="E30" s="25" t="n">
        <v>1.881855</v>
      </c>
      <c r="F30" s="25" t="n">
        <v>-0.007262</v>
      </c>
      <c r="G30" s="25" t="n">
        <v>1.453297</v>
      </c>
      <c r="H30" s="25" t="n">
        <v>1.865902</v>
      </c>
      <c r="I30" s="25" t="n">
        <v>3.049754</v>
      </c>
      <c r="J30" s="25" t="n">
        <v>1.263874</v>
      </c>
      <c r="K30" s="25" t="n">
        <v>3.948617</v>
      </c>
      <c r="L30" s="25" t="n">
        <v>1.085282</v>
      </c>
      <c r="M30" s="25" t="n">
        <v>-1.122989</v>
      </c>
      <c r="N30" s="25" t="n">
        <v>0</v>
      </c>
      <c r="O30" s="25" t="n">
        <v>-0.007262</v>
      </c>
      <c r="P30" s="25" t="n">
        <v>0.908196</v>
      </c>
      <c r="Q30" s="25" t="n">
        <v>2.678058</v>
      </c>
      <c r="R30" s="25" t="n">
        <v>1.881855</v>
      </c>
      <c r="S30" s="25" t="n">
        <v>3.606364</v>
      </c>
      <c r="T30" s="25" t="n">
        <v>0.539625</v>
      </c>
      <c r="U30" s="25" t="n">
        <v>4.060324</v>
      </c>
      <c r="V30" s="25" t="n">
        <v>3.470267</v>
      </c>
      <c r="W30" s="25" t="n">
        <v>-7.600652</v>
      </c>
      <c r="X30" s="25" t="n">
        <v>2.207512</v>
      </c>
      <c r="Y30" s="25" t="n">
        <v>1.928006</v>
      </c>
      <c r="Z30" s="18" t="n">
        <v>-4.991747</v>
      </c>
      <c r="AA30" s="18" t="e">
        <v>#N/A</v>
      </c>
      <c r="AB30" s="19" t="n"/>
    </row>
    <row r="31" hidden="1" s="70">
      <c r="B31" s="15" t="inlineStr">
        <is>
          <t>2001-Q4</t>
        </is>
      </c>
      <c r="C31" s="25" t="n">
        <v>0.153486</v>
      </c>
      <c r="D31" s="25" t="n">
        <v>7.5</v>
      </c>
      <c r="E31" s="25" t="n">
        <v>1.279281</v>
      </c>
      <c r="F31" s="25" t="n">
        <v>-1.272391</v>
      </c>
      <c r="G31" s="25" t="n">
        <v>1.671763</v>
      </c>
      <c r="H31" s="25" t="n">
        <v>1.077492</v>
      </c>
      <c r="I31" s="25" t="n">
        <v>3.336968</v>
      </c>
      <c r="J31" s="25" t="n">
        <v>-0.280768</v>
      </c>
      <c r="K31" s="25" t="n">
        <v>3.542888</v>
      </c>
      <c r="L31" s="25" t="n">
        <v>1.411245</v>
      </c>
      <c r="M31" s="25" t="n">
        <v>-0.923668</v>
      </c>
      <c r="N31" s="25" t="n">
        <v>0</v>
      </c>
      <c r="O31" s="25" t="n">
        <v>-1.272391</v>
      </c>
      <c r="P31" s="25" t="n">
        <v>1.341273</v>
      </c>
      <c r="Q31" s="25" t="n">
        <v>4.319398</v>
      </c>
      <c r="R31" s="25" t="n">
        <v>1.279281</v>
      </c>
      <c r="S31" s="25" t="n">
        <v>5.8523</v>
      </c>
      <c r="T31" s="25" t="n">
        <v>-0.528189</v>
      </c>
      <c r="U31" s="25" t="n">
        <v>2.920961</v>
      </c>
      <c r="V31" s="25" t="n">
        <v>3.885103</v>
      </c>
      <c r="W31" s="25" t="n">
        <v>-10.722705</v>
      </c>
      <c r="X31" s="25" t="n">
        <v>2.110475</v>
      </c>
      <c r="Y31" s="25" t="n">
        <v>-0.869256</v>
      </c>
      <c r="Z31" s="18" t="n">
        <v>-10.676443</v>
      </c>
      <c r="AA31" s="18" t="e">
        <v>#N/A</v>
      </c>
      <c r="AB31" s="19" t="n"/>
    </row>
    <row r="32" hidden="1" s="70">
      <c r="B32" s="15" t="inlineStr">
        <is>
          <t>2002-Q1</t>
        </is>
      </c>
      <c r="C32" s="25" t="n">
        <v>1.318279</v>
      </c>
      <c r="D32" s="25" t="n">
        <v>8.9</v>
      </c>
      <c r="E32" s="25" t="n">
        <v>0.565511</v>
      </c>
      <c r="F32" s="25" t="n">
        <v>-1.63435</v>
      </c>
      <c r="G32" s="25" t="n">
        <v>-0.85282</v>
      </c>
      <c r="H32" s="25" t="n">
        <v>0.797874</v>
      </c>
      <c r="I32" s="25" t="n">
        <v>2.474604</v>
      </c>
      <c r="J32" s="25" t="n">
        <v>-0.690393</v>
      </c>
      <c r="K32" s="25" t="n">
        <v>3.103051</v>
      </c>
      <c r="L32" s="25" t="n">
        <v>1.637605</v>
      </c>
      <c r="M32" s="25" t="n">
        <v>-1.670546</v>
      </c>
      <c r="N32" s="25" t="n">
        <v>0</v>
      </c>
      <c r="O32" s="25" t="n">
        <v>-1.63435</v>
      </c>
      <c r="P32" s="25" t="n">
        <v>2.314619</v>
      </c>
      <c r="Q32" s="25" t="n">
        <v>4.033643</v>
      </c>
      <c r="R32" s="25" t="n">
        <v>0.565511</v>
      </c>
      <c r="S32" s="25" t="n">
        <v>7.203016</v>
      </c>
      <c r="T32" s="25" t="n">
        <v>0.409245</v>
      </c>
      <c r="U32" s="25" t="n">
        <v>2.384786</v>
      </c>
      <c r="V32" s="25" t="n">
        <v>5.58157</v>
      </c>
      <c r="W32" s="25" t="n">
        <v>-1.272068</v>
      </c>
      <c r="X32" s="25" t="n">
        <v>1.413881</v>
      </c>
      <c r="Y32" s="25" t="n">
        <v>0.841591</v>
      </c>
      <c r="Z32" s="18" t="n">
        <v>-15.219744</v>
      </c>
      <c r="AA32" s="18" t="e">
        <v>#N/A</v>
      </c>
      <c r="AB32" s="19" t="n"/>
    </row>
    <row r="33" hidden="1" s="70">
      <c r="B33" s="15" t="inlineStr">
        <is>
          <t>2002-Q2</t>
        </is>
      </c>
      <c r="C33" s="25" t="n">
        <v>1.339611</v>
      </c>
      <c r="D33" s="25" t="n">
        <v>8.800000000000001</v>
      </c>
      <c r="E33" s="25" t="n">
        <v>0.93382</v>
      </c>
      <c r="F33" s="25" t="n">
        <v>-0.420511</v>
      </c>
      <c r="G33" s="25" t="n">
        <v>-0.387257</v>
      </c>
      <c r="H33" s="25" t="n">
        <v>1.217339</v>
      </c>
      <c r="I33" s="25" t="n">
        <v>2.345099</v>
      </c>
      <c r="J33" s="25" t="n">
        <v>0.009617000000000001</v>
      </c>
      <c r="K33" s="25" t="n">
        <v>3.058989</v>
      </c>
      <c r="L33" s="25" t="n">
        <v>2.575044</v>
      </c>
      <c r="M33" s="25" t="n">
        <v>-0.192479</v>
      </c>
      <c r="N33" s="25" t="n">
        <v>0</v>
      </c>
      <c r="O33" s="25" t="n">
        <v>-0.420511</v>
      </c>
      <c r="P33" s="25" t="n">
        <v>2.622203</v>
      </c>
      <c r="Q33" s="25" t="n">
        <v>4.961078</v>
      </c>
      <c r="R33" s="25" t="n">
        <v>0.93382</v>
      </c>
      <c r="S33" s="25" t="n">
        <v>7.501982</v>
      </c>
      <c r="T33" s="25" t="n">
        <v>2.287263</v>
      </c>
      <c r="U33" s="25" t="n">
        <v>5.020759</v>
      </c>
      <c r="V33" s="25" t="n">
        <v>4.923436</v>
      </c>
      <c r="W33" s="25" t="n">
        <v>8.158030999999999</v>
      </c>
      <c r="X33" s="25" t="n">
        <v>1.256184</v>
      </c>
      <c r="Y33" s="25" t="n">
        <v>2.24061</v>
      </c>
      <c r="Z33" s="18" t="n">
        <v>-14.147871</v>
      </c>
      <c r="AA33" s="18" t="e">
        <v>#N/A</v>
      </c>
      <c r="AB33" s="19" t="n"/>
    </row>
    <row r="34" hidden="1" s="70">
      <c r="B34" s="15" t="inlineStr">
        <is>
          <t>2002-Q3</t>
        </is>
      </c>
      <c r="C34" s="25" t="n">
        <v>2.214366</v>
      </c>
      <c r="D34" s="25" t="n">
        <v>9.6</v>
      </c>
      <c r="E34" s="25" t="n">
        <v>1.243168</v>
      </c>
      <c r="F34" s="25" t="n">
        <v>0.9280119999999999</v>
      </c>
      <c r="G34" s="25" t="n">
        <v>0.323835</v>
      </c>
      <c r="H34" s="25" t="n">
        <v>1.202491</v>
      </c>
      <c r="I34" s="25" t="n">
        <v>2.358223</v>
      </c>
      <c r="J34" s="25" t="n">
        <v>0.671876</v>
      </c>
      <c r="K34" s="25" t="n">
        <v>2.660712</v>
      </c>
      <c r="L34" s="25" t="n">
        <v>2.143894</v>
      </c>
      <c r="M34" s="25" t="n">
        <v>0.447891</v>
      </c>
      <c r="N34" s="25" t="n">
        <v>0</v>
      </c>
      <c r="O34" s="25" t="n">
        <v>0.9280119999999999</v>
      </c>
      <c r="P34" s="25" t="n">
        <v>3.597304</v>
      </c>
      <c r="Q34" s="25" t="n">
        <v>4.127774</v>
      </c>
      <c r="R34" s="25" t="n">
        <v>1.243168</v>
      </c>
      <c r="S34" s="25" t="n">
        <v>8.423859999999999</v>
      </c>
      <c r="T34" s="25" t="n">
        <v>4.294452</v>
      </c>
      <c r="U34" s="25" t="n">
        <v>3.966574</v>
      </c>
      <c r="V34" s="25" t="n">
        <v>7.021354</v>
      </c>
      <c r="W34" s="25" t="n">
        <v>7.167548</v>
      </c>
      <c r="X34" s="25" t="n">
        <v>1.674626</v>
      </c>
      <c r="Y34" s="25" t="n">
        <v>2.686844</v>
      </c>
      <c r="Z34" s="18" t="n">
        <v>-9.897878</v>
      </c>
      <c r="AA34" s="18" t="e">
        <v>#N/A</v>
      </c>
      <c r="AB34" s="19" t="n"/>
    </row>
    <row r="35" hidden="1" s="70">
      <c r="B35" s="15" t="inlineStr">
        <is>
          <t>2002-Q4</t>
        </is>
      </c>
      <c r="C35" s="25" t="n">
        <v>2.094541</v>
      </c>
      <c r="D35" s="25" t="n">
        <v>9.1</v>
      </c>
      <c r="E35" s="25" t="n">
        <v>1.185599</v>
      </c>
      <c r="F35" s="25" t="n">
        <v>1.495235</v>
      </c>
      <c r="G35" s="25" t="n">
        <v>0.254079</v>
      </c>
      <c r="H35" s="25" t="n">
        <v>1.221661</v>
      </c>
      <c r="I35" s="25" t="n">
        <v>2.818041</v>
      </c>
      <c r="J35" s="25" t="n">
        <v>0.994235</v>
      </c>
      <c r="K35" s="25" t="n">
        <v>2.703708</v>
      </c>
      <c r="L35" s="25" t="n">
        <v>1.982853</v>
      </c>
      <c r="M35" s="25" t="n">
        <v>1.246953</v>
      </c>
      <c r="N35" s="25" t="n">
        <v>0</v>
      </c>
      <c r="O35" s="25" t="n">
        <v>1.495235</v>
      </c>
      <c r="P35" s="25" t="n">
        <v>3.529006</v>
      </c>
      <c r="Q35" s="25" t="n">
        <v>3.596765</v>
      </c>
      <c r="R35" s="25" t="n">
        <v>1.185599</v>
      </c>
      <c r="S35" s="25" t="n">
        <v>7.752458</v>
      </c>
      <c r="T35" s="25" t="n">
        <v>5.249068</v>
      </c>
      <c r="U35" s="25" t="n">
        <v>4.425548</v>
      </c>
      <c r="V35" s="25" t="n">
        <v>6.236729</v>
      </c>
      <c r="W35" s="25" t="n">
        <v>11.898942</v>
      </c>
      <c r="X35" s="25" t="n">
        <v>1.928461</v>
      </c>
      <c r="Y35" s="25" t="n">
        <v>2.442907</v>
      </c>
      <c r="Z35" s="18" t="n">
        <v>-3.483176</v>
      </c>
      <c r="AA35" s="18" t="e">
        <v>#N/A</v>
      </c>
      <c r="AB35" s="19" t="n"/>
    </row>
    <row r="36" hidden="1" s="70">
      <c r="B36" s="15" t="inlineStr">
        <is>
          <t>2003-Q1</t>
        </is>
      </c>
      <c r="C36" s="25" t="n">
        <v>1.770926</v>
      </c>
      <c r="D36" s="25" t="n">
        <v>11.1</v>
      </c>
      <c r="E36" s="25" t="n">
        <v>0.801551</v>
      </c>
      <c r="F36" s="25" t="n">
        <v>1.406629</v>
      </c>
      <c r="G36" s="25" t="n">
        <v>-0.716319</v>
      </c>
      <c r="H36" s="25" t="n">
        <v>1.06375</v>
      </c>
      <c r="I36" s="25" t="n">
        <v>3.004688</v>
      </c>
      <c r="J36" s="25" t="n">
        <v>0.784234</v>
      </c>
      <c r="K36" s="25" t="n">
        <v>3.130237</v>
      </c>
      <c r="L36" s="25" t="n">
        <v>3.244795</v>
      </c>
      <c r="M36" s="25" t="n">
        <v>2.146697</v>
      </c>
      <c r="N36" s="25" t="n">
        <v>0</v>
      </c>
      <c r="O36" s="25" t="n">
        <v>1.406629</v>
      </c>
      <c r="P36" s="25" t="n">
        <v>2.572906</v>
      </c>
      <c r="Q36" s="25" t="n">
        <v>2.845285</v>
      </c>
      <c r="R36" s="25" t="n">
        <v>0.801551</v>
      </c>
      <c r="S36" s="25" t="n">
        <v>4.283025</v>
      </c>
      <c r="T36" s="25" t="n">
        <v>2.560039</v>
      </c>
      <c r="U36" s="25" t="n">
        <v>5.755647</v>
      </c>
      <c r="V36" s="25" t="n">
        <v>2.248396</v>
      </c>
      <c r="W36" s="25" t="n">
        <v>7.479853</v>
      </c>
      <c r="X36" s="25" t="n">
        <v>2.939198</v>
      </c>
      <c r="Y36" s="25" t="n">
        <v>2.695214</v>
      </c>
      <c r="Z36" s="18" t="n">
        <v>5.274229</v>
      </c>
      <c r="AA36" s="18" t="e">
        <v>#N/A</v>
      </c>
      <c r="AB36" s="19" t="n"/>
    </row>
    <row r="37" hidden="1" s="70">
      <c r="B37" s="15" t="inlineStr">
        <is>
          <t>2003-Q2</t>
        </is>
      </c>
      <c r="C37" s="25" t="n">
        <v>2.028401</v>
      </c>
      <c r="D37" s="25" t="n">
        <v>9.1</v>
      </c>
      <c r="E37" s="25" t="n">
        <v>0.344504</v>
      </c>
      <c r="F37" s="25" t="n">
        <v>1.290219</v>
      </c>
      <c r="G37" s="25" t="n">
        <v>-1.040594</v>
      </c>
      <c r="H37" s="25" t="n">
        <v>0.309447</v>
      </c>
      <c r="I37" s="25" t="n">
        <v>3.298498</v>
      </c>
      <c r="J37" s="25" t="n">
        <v>-0.010651</v>
      </c>
      <c r="K37" s="25" t="n">
        <v>3.055899</v>
      </c>
      <c r="L37" s="25" t="n">
        <v>1.405187</v>
      </c>
      <c r="M37" s="25" t="n">
        <v>1.450228</v>
      </c>
      <c r="N37" s="25" t="n">
        <v>0</v>
      </c>
      <c r="O37" s="25" t="n">
        <v>1.290219</v>
      </c>
      <c r="P37" s="25" t="n">
        <v>1.83885</v>
      </c>
      <c r="Q37" s="25" t="n">
        <v>1.427952</v>
      </c>
      <c r="R37" s="25" t="n">
        <v>0.344504</v>
      </c>
      <c r="S37" s="25" t="n">
        <v>2.381951</v>
      </c>
      <c r="T37" s="25" t="n">
        <v>0.778887</v>
      </c>
      <c r="U37" s="25" t="n">
        <v>5.289383</v>
      </c>
      <c r="V37" s="25" t="n">
        <v>2.401961</v>
      </c>
      <c r="W37" s="25" t="n">
        <v>3.81663</v>
      </c>
      <c r="X37" s="25" t="n">
        <v>3.46981</v>
      </c>
      <c r="Y37" s="25" t="n">
        <v>3.882716</v>
      </c>
      <c r="Z37" s="18" t="n">
        <v>8.14692</v>
      </c>
      <c r="AA37" s="18" t="e">
        <v>#N/A</v>
      </c>
      <c r="AB37" s="19" t="n"/>
    </row>
    <row r="38" hidden="1" s="70">
      <c r="B38" s="15" t="inlineStr">
        <is>
          <t>2003-Q3</t>
        </is>
      </c>
      <c r="C38" s="25" t="n">
        <v>3.301807</v>
      </c>
      <c r="D38" s="25" t="n">
        <v>10</v>
      </c>
      <c r="E38" s="25" t="n">
        <v>0.467777</v>
      </c>
      <c r="F38" s="25" t="n">
        <v>1.365633</v>
      </c>
      <c r="G38" s="25" t="n">
        <v>-0.779371</v>
      </c>
      <c r="H38" s="25" t="n">
        <v>0.635531</v>
      </c>
      <c r="I38" s="25" t="n">
        <v>3.569811</v>
      </c>
      <c r="J38" s="25" t="n">
        <v>-0.105412</v>
      </c>
      <c r="K38" s="25" t="n">
        <v>3.139306</v>
      </c>
      <c r="L38" s="25" t="n">
        <v>2.585311</v>
      </c>
      <c r="M38" s="25" t="n">
        <v>0.767384</v>
      </c>
      <c r="N38" s="25" t="n">
        <v>0</v>
      </c>
      <c r="O38" s="25" t="n">
        <v>1.365633</v>
      </c>
      <c r="P38" s="25" t="n">
        <v>1.334213</v>
      </c>
      <c r="Q38" s="25" t="n">
        <v>2.620868</v>
      </c>
      <c r="R38" s="25" t="n">
        <v>0.467777</v>
      </c>
      <c r="S38" s="25" t="n">
        <v>2.137441</v>
      </c>
      <c r="T38" s="25" t="n">
        <v>0.6025470000000001</v>
      </c>
      <c r="U38" s="25" t="n">
        <v>5.337692</v>
      </c>
      <c r="V38" s="25" t="n">
        <v>1.516588</v>
      </c>
      <c r="W38" s="25" t="n">
        <v>5.393033</v>
      </c>
      <c r="X38" s="25" t="n">
        <v>3.809308</v>
      </c>
      <c r="Y38" s="25" t="n">
        <v>3.752767</v>
      </c>
      <c r="Z38" s="18" t="n">
        <v>10.707166</v>
      </c>
      <c r="AA38" s="18" t="e">
        <v>#N/A</v>
      </c>
      <c r="AB38" s="19" t="n"/>
    </row>
    <row r="39" hidden="1" s="70">
      <c r="B39" s="15" t="inlineStr">
        <is>
          <t>2003-Q4</t>
        </is>
      </c>
      <c r="C39" s="25" t="n">
        <v>4.326363</v>
      </c>
      <c r="D39" s="25" t="n">
        <v>10</v>
      </c>
      <c r="E39" s="25" t="n">
        <v>1.077259</v>
      </c>
      <c r="F39" s="25" t="n">
        <v>2.214031</v>
      </c>
      <c r="G39" s="25" t="n">
        <v>-0.337934</v>
      </c>
      <c r="H39" s="25" t="n">
        <v>1.368319</v>
      </c>
      <c r="I39" s="25" t="n">
        <v>3.478577</v>
      </c>
      <c r="J39" s="25" t="n">
        <v>0.298605</v>
      </c>
      <c r="K39" s="25" t="n">
        <v>3.421525</v>
      </c>
      <c r="L39" s="25" t="n">
        <v>2.750891</v>
      </c>
      <c r="M39" s="25" t="n">
        <v>1.511951</v>
      </c>
      <c r="N39" s="25" t="n">
        <v>0</v>
      </c>
      <c r="O39" s="25" t="n">
        <v>2.214031</v>
      </c>
      <c r="P39" s="25" t="n">
        <v>1.470848</v>
      </c>
      <c r="Q39" s="25" t="n">
        <v>3.780141</v>
      </c>
      <c r="R39" s="25" t="n">
        <v>1.077259</v>
      </c>
      <c r="S39" s="25" t="n">
        <v>3.810229</v>
      </c>
      <c r="T39" s="25" t="n">
        <v>0.65128</v>
      </c>
      <c r="U39" s="25" t="n">
        <v>6.777675</v>
      </c>
      <c r="V39" s="25" t="n">
        <v>5.969411</v>
      </c>
      <c r="W39" s="25" t="n">
        <v>6.875409</v>
      </c>
      <c r="X39" s="25" t="n">
        <v>4.161379</v>
      </c>
      <c r="Y39" s="25" t="n">
        <v>3.920195</v>
      </c>
      <c r="Z39" s="18" t="n">
        <v>11.64684</v>
      </c>
      <c r="AA39" s="18" t="e">
        <v>#N/A</v>
      </c>
      <c r="AB39" s="19" t="n"/>
    </row>
    <row r="40" hidden="1" s="70">
      <c r="B40" s="15" t="inlineStr">
        <is>
          <t>2004-Q1</t>
        </is>
      </c>
      <c r="C40" s="25" t="n">
        <v>4.304556</v>
      </c>
      <c r="D40" s="25" t="n">
        <v>10.6</v>
      </c>
      <c r="E40" s="25" t="n">
        <v>1.914767</v>
      </c>
      <c r="F40" s="25" t="n">
        <v>2.952179</v>
      </c>
      <c r="G40" s="25" t="n">
        <v>0.993514</v>
      </c>
      <c r="H40" s="25" t="n">
        <v>2.128591</v>
      </c>
      <c r="I40" s="25" t="n">
        <v>3.36543</v>
      </c>
      <c r="J40" s="25" t="n">
        <v>1.042624</v>
      </c>
      <c r="K40" s="25" t="n">
        <v>3.033117</v>
      </c>
      <c r="L40" s="25" t="n">
        <v>3.111091</v>
      </c>
      <c r="M40" s="25" t="n">
        <v>2.517769</v>
      </c>
      <c r="N40" s="25" t="n">
        <v>6.664651</v>
      </c>
      <c r="O40" s="25" t="n">
        <v>2.952179</v>
      </c>
      <c r="P40" s="25" t="n">
        <v>1.646639</v>
      </c>
      <c r="Q40" s="25" t="n">
        <v>4.675724</v>
      </c>
      <c r="R40" s="25" t="n">
        <v>1.914767</v>
      </c>
      <c r="S40" s="25" t="n">
        <v>5.902605</v>
      </c>
      <c r="T40" s="25" t="n">
        <v>3.774474</v>
      </c>
      <c r="U40" s="25" t="n">
        <v>6.54456</v>
      </c>
      <c r="V40" s="25" t="n">
        <v>7.475299</v>
      </c>
      <c r="W40" s="25" t="n">
        <v>9.572407</v>
      </c>
      <c r="X40" s="25" t="n">
        <v>4.172579</v>
      </c>
      <c r="Y40" s="25" t="n">
        <v>6.762012</v>
      </c>
      <c r="Z40" s="18" t="n">
        <v>11.221837</v>
      </c>
      <c r="AA40" s="18" t="e">
        <v>#N/A</v>
      </c>
      <c r="AB40" s="19" t="n"/>
    </row>
    <row r="41" hidden="1" s="70">
      <c r="B41" s="15" t="inlineStr">
        <is>
          <t>2004-Q2</t>
        </is>
      </c>
      <c r="C41" s="25" t="n">
        <v>4.203019</v>
      </c>
      <c r="D41" s="25" t="n">
        <v>11.6</v>
      </c>
      <c r="E41" s="25" t="n">
        <v>2.412972</v>
      </c>
      <c r="F41" s="25" t="n">
        <v>2.225815</v>
      </c>
      <c r="G41" s="25" t="n">
        <v>1.394163</v>
      </c>
      <c r="H41" s="25" t="n">
        <v>3.023441</v>
      </c>
      <c r="I41" s="25" t="n">
        <v>2.788441</v>
      </c>
      <c r="J41" s="25" t="n">
        <v>1.722906</v>
      </c>
      <c r="K41" s="25" t="n">
        <v>3.13214</v>
      </c>
      <c r="L41" s="25" t="n">
        <v>4.289822</v>
      </c>
      <c r="M41" s="25" t="n">
        <v>4.054187</v>
      </c>
      <c r="N41" s="25" t="n">
        <v>7.520947</v>
      </c>
      <c r="O41" s="25" t="n">
        <v>2.225815</v>
      </c>
      <c r="P41" s="25" t="n">
        <v>3.000986</v>
      </c>
      <c r="Q41" s="25" t="n">
        <v>5.131236</v>
      </c>
      <c r="R41" s="25" t="n">
        <v>2.412972</v>
      </c>
      <c r="S41" s="25" t="n">
        <v>6.674355</v>
      </c>
      <c r="T41" s="25" t="n">
        <v>6.260455</v>
      </c>
      <c r="U41" s="25" t="n">
        <v>4.680237</v>
      </c>
      <c r="V41" s="25" t="n">
        <v>8.417774</v>
      </c>
      <c r="W41" s="25" t="n">
        <v>11.485958</v>
      </c>
      <c r="X41" s="25" t="n">
        <v>4.2952</v>
      </c>
      <c r="Y41" s="25" t="n">
        <v>5.400317</v>
      </c>
      <c r="Z41" s="18" t="n">
        <v>6.502898</v>
      </c>
      <c r="AA41" s="18" t="e">
        <v>#N/A</v>
      </c>
      <c r="AB41" s="19" t="n"/>
    </row>
    <row r="42" hidden="1" s="70">
      <c r="B42" s="15" t="inlineStr">
        <is>
          <t>2004-Q3</t>
        </is>
      </c>
      <c r="C42" s="25" t="n">
        <v>3.431595</v>
      </c>
      <c r="D42" s="25" t="n">
        <v>9.800000000000001</v>
      </c>
      <c r="E42" s="25" t="n">
        <v>2.177731</v>
      </c>
      <c r="F42" s="25" t="n">
        <v>2.470975</v>
      </c>
      <c r="G42" s="25" t="n">
        <v>0.410338</v>
      </c>
      <c r="H42" s="25" t="n">
        <v>2.679158</v>
      </c>
      <c r="I42" s="25" t="n">
        <v>1.915717</v>
      </c>
      <c r="J42" s="25" t="n">
        <v>1.688601</v>
      </c>
      <c r="K42" s="25" t="n">
        <v>3.460968</v>
      </c>
      <c r="L42" s="25" t="n">
        <v>3.787865</v>
      </c>
      <c r="M42" s="25" t="n">
        <v>3.923592</v>
      </c>
      <c r="N42" s="25" t="n">
        <v>7.337355</v>
      </c>
      <c r="O42" s="25" t="n">
        <v>2.470975</v>
      </c>
      <c r="P42" s="25" t="n">
        <v>3.82909</v>
      </c>
      <c r="Q42" s="25" t="n">
        <v>4.240304</v>
      </c>
      <c r="R42" s="25" t="n">
        <v>2.177731</v>
      </c>
      <c r="S42" s="25" t="n">
        <v>5.071129</v>
      </c>
      <c r="T42" s="25" t="n">
        <v>6.675114</v>
      </c>
      <c r="U42" s="25" t="n">
        <v>5.420564</v>
      </c>
      <c r="V42" s="25" t="n">
        <v>7.144049</v>
      </c>
      <c r="W42" s="25" t="n">
        <v>8.734660999999999</v>
      </c>
      <c r="X42" s="25" t="n">
        <v>4.85115</v>
      </c>
      <c r="Y42" s="25" t="n">
        <v>3.746745</v>
      </c>
      <c r="Z42" s="18" t="n">
        <v>9.225678</v>
      </c>
      <c r="AA42" s="18" t="e">
        <v>#N/A</v>
      </c>
      <c r="AB42" s="19" t="n"/>
    </row>
    <row r="43" hidden="1" s="70">
      <c r="B43" s="15" t="inlineStr">
        <is>
          <t>2004-Q4</t>
        </is>
      </c>
      <c r="C43" s="25" t="n">
        <v>3.281795</v>
      </c>
      <c r="D43" s="25" t="n">
        <v>8.800000000000001</v>
      </c>
      <c r="E43" s="25" t="n">
        <v>1.811041</v>
      </c>
      <c r="F43" s="25" t="n">
        <v>1.13734</v>
      </c>
      <c r="G43" s="25" t="n">
        <v>0.046783</v>
      </c>
      <c r="H43" s="25" t="n">
        <v>2.642236</v>
      </c>
      <c r="I43" s="25" t="n">
        <v>1.353818</v>
      </c>
      <c r="J43" s="25" t="n">
        <v>1.050799</v>
      </c>
      <c r="K43" s="25" t="n">
        <v>3.039608</v>
      </c>
      <c r="L43" s="25" t="n">
        <v>4.003093</v>
      </c>
      <c r="M43" s="25" t="n">
        <v>4.113435</v>
      </c>
      <c r="N43" s="25" t="n">
        <v>6.593498</v>
      </c>
      <c r="O43" s="25" t="n">
        <v>1.13734</v>
      </c>
      <c r="P43" s="25" t="n">
        <v>3.863458</v>
      </c>
      <c r="Q43" s="25" t="n">
        <v>3.112889</v>
      </c>
      <c r="R43" s="25" t="n">
        <v>1.811041</v>
      </c>
      <c r="S43" s="25" t="n">
        <v>3.234573</v>
      </c>
      <c r="T43" s="25" t="n">
        <v>6.304999</v>
      </c>
      <c r="U43" s="25" t="n">
        <v>2.859395</v>
      </c>
      <c r="V43" s="25" t="n">
        <v>4.27096</v>
      </c>
      <c r="W43" s="25" t="n">
        <v>7.78146</v>
      </c>
      <c r="X43" s="25" t="n">
        <v>5.69984</v>
      </c>
      <c r="Y43" s="25" t="n">
        <v>4.572702</v>
      </c>
      <c r="Z43" s="18" t="n">
        <v>8.763883</v>
      </c>
      <c r="AA43" s="18" t="e">
        <v>#N/A</v>
      </c>
      <c r="AB43" s="19" t="n"/>
    </row>
    <row r="44" hidden="1" s="70">
      <c r="B44" s="15" t="inlineStr">
        <is>
          <t>2005-Q1</t>
        </is>
      </c>
      <c r="C44" s="25" t="n">
        <v>3.870679</v>
      </c>
      <c r="D44" s="25" t="n">
        <v>11.1</v>
      </c>
      <c r="E44" s="25" t="n">
        <v>1.386256</v>
      </c>
      <c r="F44" s="25" t="n">
        <v>0.8274629999999999</v>
      </c>
      <c r="G44" s="25" t="n">
        <v>0.202014</v>
      </c>
      <c r="H44" s="25" t="n">
        <v>2.005921</v>
      </c>
      <c r="I44" s="25" t="n">
        <v>1.757702</v>
      </c>
      <c r="J44" s="25" t="n">
        <v>0.343798</v>
      </c>
      <c r="K44" s="25" t="n">
        <v>3.453446</v>
      </c>
      <c r="L44" s="25" t="n">
        <v>2.542669</v>
      </c>
      <c r="M44" s="25" t="n">
        <v>2.972878</v>
      </c>
      <c r="N44" s="25" t="n">
        <v>6.45687</v>
      </c>
      <c r="O44" s="25" t="n">
        <v>0.8274629999999999</v>
      </c>
      <c r="P44" s="25" t="n">
        <v>3.472392</v>
      </c>
      <c r="Q44" s="25" t="n">
        <v>2.923561</v>
      </c>
      <c r="R44" s="25" t="n">
        <v>1.386256</v>
      </c>
      <c r="S44" s="25" t="n">
        <v>2.741844</v>
      </c>
      <c r="T44" s="25" t="n">
        <v>4.096746</v>
      </c>
      <c r="U44" s="25" t="n">
        <v>0.333006</v>
      </c>
      <c r="V44" s="25" t="n">
        <v>5.515531</v>
      </c>
      <c r="W44" s="25" t="n">
        <v>9.326224</v>
      </c>
      <c r="X44" s="25" t="n">
        <v>6.280306</v>
      </c>
      <c r="Y44" s="25" t="n">
        <v>2.485387</v>
      </c>
      <c r="Z44" s="18" t="n">
        <v>8.338115</v>
      </c>
      <c r="AA44" s="18" t="e">
        <v>#N/A</v>
      </c>
      <c r="AB44" s="19" t="n"/>
    </row>
    <row r="45" hidden="1" s="70">
      <c r="B45" s="15" t="inlineStr">
        <is>
          <t>2005-Q2</t>
        </is>
      </c>
      <c r="C45" s="25" t="n">
        <v>3.560893</v>
      </c>
      <c r="D45" s="25" t="n">
        <v>11.1</v>
      </c>
      <c r="E45" s="25" t="n">
        <v>1.544112</v>
      </c>
      <c r="F45" s="25" t="n">
        <v>1.578799</v>
      </c>
      <c r="G45" s="25" t="n">
        <v>0.259282</v>
      </c>
      <c r="H45" s="25" t="n">
        <v>1.524774</v>
      </c>
      <c r="I45" s="25" t="n">
        <v>2.49359</v>
      </c>
      <c r="J45" s="25" t="n">
        <v>0.995957</v>
      </c>
      <c r="K45" s="25" t="n">
        <v>3.703282</v>
      </c>
      <c r="L45" s="25" t="n">
        <v>2.891799</v>
      </c>
      <c r="M45" s="25" t="n">
        <v>1.576906</v>
      </c>
      <c r="N45" s="25" t="n">
        <v>6.033988</v>
      </c>
      <c r="O45" s="25" t="n">
        <v>1.578799</v>
      </c>
      <c r="P45" s="25" t="n">
        <v>2.992592</v>
      </c>
      <c r="Q45" s="25" t="n">
        <v>2.571586</v>
      </c>
      <c r="R45" s="25" t="n">
        <v>1.544112</v>
      </c>
      <c r="S45" s="25" t="n">
        <v>4.139494</v>
      </c>
      <c r="T45" s="25" t="n">
        <v>4.438712</v>
      </c>
      <c r="U45" s="25" t="n">
        <v>0.598897</v>
      </c>
      <c r="V45" s="25" t="n">
        <v>5.710031</v>
      </c>
      <c r="W45" s="25" t="n">
        <v>7.510615</v>
      </c>
      <c r="X45" s="25" t="n">
        <v>6.97731</v>
      </c>
      <c r="Y45" s="25" t="n">
        <v>1.847325</v>
      </c>
      <c r="Z45" s="18" t="n">
        <v>12.002984</v>
      </c>
      <c r="AA45" s="18" t="e">
        <v>#N/A</v>
      </c>
      <c r="AB45" s="19" t="n"/>
    </row>
    <row r="46" hidden="1" s="70">
      <c r="B46" s="15" t="inlineStr">
        <is>
          <t>2005-Q3</t>
        </is>
      </c>
      <c r="C46" s="25" t="n">
        <v>3.5055</v>
      </c>
      <c r="D46" s="25" t="n">
        <v>10.8</v>
      </c>
      <c r="E46" s="25" t="n">
        <v>1.983982</v>
      </c>
      <c r="F46" s="25" t="n">
        <v>1.924207</v>
      </c>
      <c r="G46" s="25" t="n">
        <v>1.287261</v>
      </c>
      <c r="H46" s="25" t="n">
        <v>1.668133</v>
      </c>
      <c r="I46" s="25" t="n">
        <v>3.522011</v>
      </c>
      <c r="J46" s="25" t="n">
        <v>1.5413</v>
      </c>
      <c r="K46" s="25" t="n">
        <v>3.642605</v>
      </c>
      <c r="L46" s="25" t="n">
        <v>2.981532</v>
      </c>
      <c r="M46" s="25" t="n">
        <v>2.637161</v>
      </c>
      <c r="N46" s="25" t="n">
        <v>6.292684</v>
      </c>
      <c r="O46" s="25" t="n">
        <v>1.924207</v>
      </c>
      <c r="P46" s="25" t="n">
        <v>3.03485</v>
      </c>
      <c r="Q46" s="25" t="n">
        <v>2.907219</v>
      </c>
      <c r="R46" s="25" t="n">
        <v>1.983982</v>
      </c>
      <c r="S46" s="25" t="n">
        <v>4.941151</v>
      </c>
      <c r="T46" s="25" t="n">
        <v>2.11636</v>
      </c>
      <c r="U46" s="25" t="n">
        <v>0.624343</v>
      </c>
      <c r="V46" s="25" t="n">
        <v>5.379036</v>
      </c>
      <c r="W46" s="25" t="n">
        <v>8.230848999999999</v>
      </c>
      <c r="X46" s="25" t="n">
        <v>6.745542</v>
      </c>
      <c r="Y46" s="25" t="n">
        <v>4.261645</v>
      </c>
      <c r="Z46" s="18" t="n">
        <v>7.330679</v>
      </c>
      <c r="AA46" s="18" t="e">
        <v>#N/A</v>
      </c>
      <c r="AB46" s="19" t="n"/>
    </row>
    <row r="47" hidden="1" s="70">
      <c r="B47" s="15" t="inlineStr">
        <is>
          <t>2005-Q4</t>
        </is>
      </c>
      <c r="C47" s="25" t="n">
        <v>3.126111</v>
      </c>
      <c r="D47" s="25" t="n">
        <v>12.4</v>
      </c>
      <c r="E47" s="25" t="n">
        <v>2.208836</v>
      </c>
      <c r="F47" s="25" t="n">
        <v>2.307205</v>
      </c>
      <c r="G47" s="25" t="n">
        <v>1.861106</v>
      </c>
      <c r="H47" s="25" t="n">
        <v>1.657109</v>
      </c>
      <c r="I47" s="25" t="n">
        <v>4.808739</v>
      </c>
      <c r="J47" s="25" t="n">
        <v>1.655895</v>
      </c>
      <c r="K47" s="25" t="n">
        <v>4.085918</v>
      </c>
      <c r="L47" s="25" t="n">
        <v>2.822865</v>
      </c>
      <c r="M47" s="25" t="n">
        <v>2.998386</v>
      </c>
      <c r="N47" s="25" t="n">
        <v>7.285695</v>
      </c>
      <c r="O47" s="25" t="n">
        <v>2.307205</v>
      </c>
      <c r="P47" s="25" t="n">
        <v>3.314811</v>
      </c>
      <c r="Q47" s="25" t="n">
        <v>3.106404</v>
      </c>
      <c r="R47" s="25" t="n">
        <v>2.208836</v>
      </c>
      <c r="S47" s="25" t="n">
        <v>5.383403</v>
      </c>
      <c r="T47" s="25" t="n">
        <v>2.174313</v>
      </c>
      <c r="U47" s="25" t="n">
        <v>1.464718</v>
      </c>
      <c r="V47" s="25" t="n">
        <v>6.346155</v>
      </c>
      <c r="W47" s="25" t="n">
        <v>10.622754</v>
      </c>
      <c r="X47" s="25" t="n">
        <v>6.41747</v>
      </c>
      <c r="Y47" s="25" t="n">
        <v>5.065409</v>
      </c>
      <c r="Z47" s="18" t="n">
        <v>7.881988</v>
      </c>
      <c r="AA47" s="18" t="e">
        <v>#N/A</v>
      </c>
      <c r="AB47" s="19" t="n"/>
    </row>
    <row r="48" hidden="1" s="70">
      <c r="B48" s="15" t="inlineStr">
        <is>
          <t>2006-Q1</t>
        </is>
      </c>
      <c r="C48" s="25" t="n">
        <v>3.353895</v>
      </c>
      <c r="D48" s="25" t="n">
        <v>12.5</v>
      </c>
      <c r="E48" s="25" t="n">
        <v>2.973747</v>
      </c>
      <c r="F48" s="25" t="n">
        <v>1.999166</v>
      </c>
      <c r="G48" s="25" t="n">
        <v>2.851796</v>
      </c>
      <c r="H48" s="25" t="n">
        <v>2.23475</v>
      </c>
      <c r="I48" s="25" t="n">
        <v>4.101035</v>
      </c>
      <c r="J48" s="25" t="n">
        <v>2.294056</v>
      </c>
      <c r="K48" s="25" t="n">
        <v>4.15944</v>
      </c>
      <c r="L48" s="25" t="n">
        <v>4.703974</v>
      </c>
      <c r="M48" s="25" t="n">
        <v>4.643661</v>
      </c>
      <c r="N48" s="25" t="n">
        <v>7.478152</v>
      </c>
      <c r="O48" s="25" t="n">
        <v>1.999166</v>
      </c>
      <c r="P48" s="25" t="n">
        <v>3.791184</v>
      </c>
      <c r="Q48" s="25" t="n">
        <v>2.681159</v>
      </c>
      <c r="R48" s="25" t="n">
        <v>2.973747</v>
      </c>
      <c r="S48" s="25" t="n">
        <v>6.341644</v>
      </c>
      <c r="T48" s="25" t="n">
        <v>4.240191</v>
      </c>
      <c r="U48" s="25" t="n">
        <v>5.52304</v>
      </c>
      <c r="V48" s="25" t="n">
        <v>5.967249</v>
      </c>
      <c r="W48" s="25" t="n">
        <v>7.020378</v>
      </c>
      <c r="X48" s="25" t="n">
        <v>7.024249</v>
      </c>
      <c r="Y48" s="25" t="n">
        <v>5.56098</v>
      </c>
      <c r="Z48" s="18" t="n">
        <v>7.645793</v>
      </c>
      <c r="AA48" s="18" t="e">
        <v>#N/A</v>
      </c>
      <c r="AB48" s="19" t="n"/>
    </row>
    <row r="49" hidden="1" s="70">
      <c r="B49" s="15" t="inlineStr">
        <is>
          <t>2006-Q2</t>
        </is>
      </c>
      <c r="C49" s="25" t="n">
        <v>3.119473</v>
      </c>
      <c r="D49" s="25" t="n">
        <v>13.7</v>
      </c>
      <c r="E49" s="25" t="n">
        <v>3.335374</v>
      </c>
      <c r="F49" s="25" t="n">
        <v>1.584805</v>
      </c>
      <c r="G49" s="25" t="n">
        <v>4.05625</v>
      </c>
      <c r="H49" s="25" t="n">
        <v>3.076115</v>
      </c>
      <c r="I49" s="25" t="n">
        <v>3.188545</v>
      </c>
      <c r="J49" s="25" t="n">
        <v>1.902101</v>
      </c>
      <c r="K49" s="25" t="n">
        <v>4.185286</v>
      </c>
      <c r="L49" s="25" t="n">
        <v>4.810163</v>
      </c>
      <c r="M49" s="25" t="n">
        <v>5.339579</v>
      </c>
      <c r="N49" s="25" t="n">
        <v>7.904592</v>
      </c>
      <c r="O49" s="25" t="n">
        <v>1.584805</v>
      </c>
      <c r="P49" s="25" t="n">
        <v>3.109902</v>
      </c>
      <c r="Q49" s="25" t="n">
        <v>2.488373</v>
      </c>
      <c r="R49" s="25" t="n">
        <v>3.335374</v>
      </c>
      <c r="S49" s="25" t="n">
        <v>4.845873</v>
      </c>
      <c r="T49" s="25" t="n">
        <v>2.25489</v>
      </c>
      <c r="U49" s="25" t="n">
        <v>5.504529</v>
      </c>
      <c r="V49" s="25" t="n">
        <v>3.940909</v>
      </c>
      <c r="W49" s="25" t="n">
        <v>9.529647000000001</v>
      </c>
      <c r="X49" s="25" t="n">
        <v>7.256992</v>
      </c>
      <c r="Y49" s="25" t="n">
        <v>7.797158</v>
      </c>
      <c r="Z49" s="18" t="n">
        <v>6.594196</v>
      </c>
      <c r="AA49" s="18" t="e">
        <v>#N/A</v>
      </c>
      <c r="AB49" s="19" t="n"/>
    </row>
    <row r="50" hidden="1" s="70">
      <c r="B50" s="15" t="inlineStr">
        <is>
          <t>2006-Q3</t>
        </is>
      </c>
      <c r="C50" s="25" t="n">
        <v>2.366502</v>
      </c>
      <c r="D50" s="25" t="n">
        <v>12.2</v>
      </c>
      <c r="E50" s="25" t="n">
        <v>3.25767</v>
      </c>
      <c r="F50" s="25" t="n">
        <v>0.42698</v>
      </c>
      <c r="G50" s="25" t="n">
        <v>3.988473</v>
      </c>
      <c r="H50" s="25" t="n">
        <v>2.55938</v>
      </c>
      <c r="I50" s="25" t="n">
        <v>2.060682</v>
      </c>
      <c r="J50" s="25" t="n">
        <v>1.585588</v>
      </c>
      <c r="K50" s="25" t="n">
        <v>4.225576</v>
      </c>
      <c r="L50" s="25" t="n">
        <v>5.185361</v>
      </c>
      <c r="M50" s="25" t="n">
        <v>4.714661</v>
      </c>
      <c r="N50" s="25" t="n">
        <v>8.470744</v>
      </c>
      <c r="O50" s="25" t="n">
        <v>0.42698</v>
      </c>
      <c r="P50" s="25" t="n">
        <v>2.147395</v>
      </c>
      <c r="Q50" s="25" t="n">
        <v>2.896812</v>
      </c>
      <c r="R50" s="25" t="n">
        <v>3.25767</v>
      </c>
      <c r="S50" s="25" t="n">
        <v>5.064163</v>
      </c>
      <c r="T50" s="25" t="n">
        <v>4.542073</v>
      </c>
      <c r="U50" s="25" t="n">
        <v>4.562089</v>
      </c>
      <c r="V50" s="25" t="n">
        <v>6.280374</v>
      </c>
      <c r="W50" s="25" t="n">
        <v>6.542521</v>
      </c>
      <c r="X50" s="25" t="n">
        <v>7.025288</v>
      </c>
      <c r="Y50" s="25" t="n">
        <v>7.54828</v>
      </c>
      <c r="Z50" s="18" t="n">
        <v>8.828858</v>
      </c>
      <c r="AA50" s="18" t="e">
        <v>#N/A</v>
      </c>
      <c r="AB50" s="19" t="n"/>
    </row>
    <row r="51" hidden="1" s="70">
      <c r="B51" s="15" t="inlineStr">
        <is>
          <t>2006-Q4</t>
        </is>
      </c>
      <c r="C51" s="25" t="n">
        <v>2.590704</v>
      </c>
      <c r="D51" s="25" t="n">
        <v>12.5</v>
      </c>
      <c r="E51" s="25" t="n">
        <v>3.784427</v>
      </c>
      <c r="F51" s="25" t="n">
        <v>1.556673</v>
      </c>
      <c r="G51" s="25" t="n">
        <v>5.082606</v>
      </c>
      <c r="H51" s="25" t="n">
        <v>2.582321</v>
      </c>
      <c r="I51" s="25" t="n">
        <v>0.908814</v>
      </c>
      <c r="J51" s="25" t="n">
        <v>2.619423</v>
      </c>
      <c r="K51" s="25" t="n">
        <v>4.126508</v>
      </c>
      <c r="L51" s="25" t="n">
        <v>5.095554</v>
      </c>
      <c r="M51" s="25" t="n">
        <v>3.305501</v>
      </c>
      <c r="N51" s="25" t="n">
        <v>8.296872</v>
      </c>
      <c r="O51" s="25" t="n">
        <v>1.556673</v>
      </c>
      <c r="P51" s="25" t="n">
        <v>1.52871</v>
      </c>
      <c r="Q51" s="25" t="n">
        <v>3.201823</v>
      </c>
      <c r="R51" s="25" t="n">
        <v>3.784427</v>
      </c>
      <c r="S51" s="25" t="n">
        <v>4.840921</v>
      </c>
      <c r="T51" s="25" t="n">
        <v>4.795616</v>
      </c>
      <c r="U51" s="25" t="n">
        <v>6.717497</v>
      </c>
      <c r="V51" s="25" t="n">
        <v>4.150626</v>
      </c>
      <c r="W51" s="25" t="n">
        <v>6.159411</v>
      </c>
      <c r="X51" s="25" t="n">
        <v>6.827509</v>
      </c>
      <c r="Y51" s="25" t="n">
        <v>4.067209</v>
      </c>
      <c r="Z51" s="18" t="n">
        <v>9.07864</v>
      </c>
      <c r="AA51" s="18" t="e">
        <v>#N/A</v>
      </c>
      <c r="AB51" s="19" t="n"/>
    </row>
    <row r="52" hidden="1" s="70">
      <c r="B52" s="15" t="inlineStr">
        <is>
          <t>2007-Q1</t>
        </is>
      </c>
      <c r="C52" s="25" t="n">
        <v>1.482293</v>
      </c>
      <c r="D52" s="25" t="n">
        <v>13.8</v>
      </c>
      <c r="E52" s="25" t="n">
        <v>3.63539</v>
      </c>
      <c r="F52" s="25" t="n">
        <v>2.12192</v>
      </c>
      <c r="G52" s="25" t="n">
        <v>4.133547</v>
      </c>
      <c r="H52" s="25" t="n">
        <v>2.551012</v>
      </c>
      <c r="I52" s="25" t="n">
        <v>1.642135</v>
      </c>
      <c r="J52" s="25" t="n">
        <v>2.384622</v>
      </c>
      <c r="K52" s="25" t="n">
        <v>4.064812</v>
      </c>
      <c r="L52" s="25" t="n">
        <v>3.958712</v>
      </c>
      <c r="M52" s="25" t="n">
        <v>2.236001</v>
      </c>
      <c r="N52" s="25" t="n">
        <v>8.172613</v>
      </c>
      <c r="O52" s="25" t="n">
        <v>2.12192</v>
      </c>
      <c r="P52" s="25" t="n">
        <v>1.371658</v>
      </c>
      <c r="Q52" s="25" t="n">
        <v>4.435931</v>
      </c>
      <c r="R52" s="25" t="n">
        <v>3.63539</v>
      </c>
      <c r="S52" s="25" t="n">
        <v>4.826787</v>
      </c>
      <c r="T52" s="25" t="n">
        <v>5.155352</v>
      </c>
      <c r="U52" s="25" t="n">
        <v>2.528536</v>
      </c>
      <c r="V52" s="25" t="n">
        <v>7.692662</v>
      </c>
      <c r="W52" s="25" t="n">
        <v>7.694752</v>
      </c>
      <c r="X52" s="25" t="n">
        <v>6.220734</v>
      </c>
      <c r="Y52" s="25" t="n">
        <v>7.13144</v>
      </c>
      <c r="Z52" s="18" t="n">
        <v>8.854099</v>
      </c>
      <c r="AA52" s="18" t="e">
        <v>#N/A</v>
      </c>
      <c r="AB52" s="19" t="n"/>
    </row>
    <row r="53" hidden="1" s="70">
      <c r="B53" s="15" t="inlineStr">
        <is>
          <t>2007-Q2</t>
        </is>
      </c>
      <c r="C53" s="25" t="n">
        <v>1.82569</v>
      </c>
      <c r="D53" s="25" t="n">
        <v>15</v>
      </c>
      <c r="E53" s="25" t="n">
        <v>3.187305</v>
      </c>
      <c r="F53" s="25" t="n">
        <v>1.990399</v>
      </c>
      <c r="G53" s="25" t="n">
        <v>3.214015</v>
      </c>
      <c r="H53" s="25" t="n">
        <v>2.300135</v>
      </c>
      <c r="I53" s="25" t="n">
        <v>2.14797</v>
      </c>
      <c r="J53" s="25" t="n">
        <v>1.687888</v>
      </c>
      <c r="K53" s="25" t="n">
        <v>3.82452</v>
      </c>
      <c r="L53" s="25" t="n">
        <v>3.522414</v>
      </c>
      <c r="M53" s="25" t="n">
        <v>2.016682</v>
      </c>
      <c r="N53" s="25" t="n">
        <v>8.808005</v>
      </c>
      <c r="O53" s="25" t="n">
        <v>1.990399</v>
      </c>
      <c r="P53" s="25" t="n">
        <v>2.294972</v>
      </c>
      <c r="Q53" s="25" t="n">
        <v>4.827571</v>
      </c>
      <c r="R53" s="25" t="n">
        <v>3.187305</v>
      </c>
      <c r="S53" s="25" t="n">
        <v>5.992076</v>
      </c>
      <c r="T53" s="25" t="n">
        <v>6.538536</v>
      </c>
      <c r="U53" s="25" t="n">
        <v>5.204298</v>
      </c>
      <c r="V53" s="25" t="n">
        <v>5.937186</v>
      </c>
      <c r="W53" s="25" t="n">
        <v>3.215976</v>
      </c>
      <c r="X53" s="25" t="n">
        <v>5.227176</v>
      </c>
      <c r="Y53" s="25" t="n">
        <v>5.933578</v>
      </c>
      <c r="Z53" s="18" t="n">
        <v>9.803984</v>
      </c>
      <c r="AA53" s="18" t="e">
        <v>#N/A</v>
      </c>
      <c r="AB53" s="19" t="n"/>
    </row>
    <row r="54" hidden="1" s="70">
      <c r="B54" s="15" t="inlineStr">
        <is>
          <t>2007-Q3</t>
        </is>
      </c>
      <c r="C54" s="25" t="n">
        <v>2.220813</v>
      </c>
      <c r="D54" s="25" t="n">
        <v>14.3</v>
      </c>
      <c r="E54" s="25" t="n">
        <v>3.034253</v>
      </c>
      <c r="F54" s="25" t="n">
        <v>1.654675</v>
      </c>
      <c r="G54" s="25" t="n">
        <v>2.956979</v>
      </c>
      <c r="H54" s="25" t="n">
        <v>2.673902</v>
      </c>
      <c r="I54" s="25" t="n">
        <v>2.947061</v>
      </c>
      <c r="J54" s="25" t="n">
        <v>1.324318</v>
      </c>
      <c r="K54" s="25" t="n">
        <v>3.64332</v>
      </c>
      <c r="L54" s="25" t="n">
        <v>2.961475</v>
      </c>
      <c r="M54" s="25" t="n">
        <v>2.338044</v>
      </c>
      <c r="N54" s="25" t="n">
        <v>8.711192</v>
      </c>
      <c r="O54" s="25" t="n">
        <v>1.654675</v>
      </c>
      <c r="P54" s="25" t="n">
        <v>2.43147</v>
      </c>
      <c r="Q54" s="25" t="n">
        <v>4.479477</v>
      </c>
      <c r="R54" s="25" t="n">
        <v>3.034253</v>
      </c>
      <c r="S54" s="25" t="n">
        <v>5.421367</v>
      </c>
      <c r="T54" s="25" t="n">
        <v>5.919078</v>
      </c>
      <c r="U54" s="25" t="n">
        <v>4.042309</v>
      </c>
      <c r="V54" s="25" t="n">
        <v>1.627737</v>
      </c>
      <c r="W54" s="25" t="n">
        <v>3.538381</v>
      </c>
      <c r="X54" s="25" t="n">
        <v>5.512874</v>
      </c>
      <c r="Y54" s="25" t="n">
        <v>5.967467</v>
      </c>
      <c r="Z54" s="18" t="n">
        <v>8.198952</v>
      </c>
      <c r="AA54" s="18" t="e">
        <v>#N/A</v>
      </c>
      <c r="AB54" s="19" t="n"/>
    </row>
    <row r="55" hidden="1" s="70">
      <c r="B55" s="15" t="inlineStr">
        <is>
          <t>2007-Q4</t>
        </is>
      </c>
      <c r="C55" s="25" t="n">
        <v>1.973478</v>
      </c>
      <c r="D55" s="25" t="n">
        <v>13.9</v>
      </c>
      <c r="E55" s="25" t="n">
        <v>2.417875</v>
      </c>
      <c r="F55" s="25" t="n">
        <v>0.819469</v>
      </c>
      <c r="G55" s="25" t="n">
        <v>2.060784</v>
      </c>
      <c r="H55" s="25" t="n">
        <v>2.139181</v>
      </c>
      <c r="I55" s="25" t="n">
        <v>3.438846</v>
      </c>
      <c r="J55" s="25" t="n">
        <v>-0.061406</v>
      </c>
      <c r="K55" s="25" t="n">
        <v>3.551842</v>
      </c>
      <c r="L55" s="25" t="n">
        <v>3.702576</v>
      </c>
      <c r="M55" s="25" t="n">
        <v>2.52745</v>
      </c>
      <c r="N55" s="25" t="n">
        <v>10.092327</v>
      </c>
      <c r="O55" s="25" t="n">
        <v>0.819469</v>
      </c>
      <c r="P55" s="25" t="n">
        <v>2.190854</v>
      </c>
      <c r="Q55" s="25" t="n">
        <v>3.743941</v>
      </c>
      <c r="R55" s="25" t="n">
        <v>2.417875</v>
      </c>
      <c r="S55" s="25" t="n">
        <v>6.929754</v>
      </c>
      <c r="T55" s="25" t="n">
        <v>6.627185</v>
      </c>
      <c r="U55" s="25" t="n">
        <v>0.99852</v>
      </c>
      <c r="V55" s="25" t="n">
        <v>5.954895</v>
      </c>
      <c r="W55" s="25" t="n">
        <v>5.644035</v>
      </c>
      <c r="X55" s="25" t="n">
        <v>5.407754</v>
      </c>
      <c r="Y55" s="25" t="n">
        <v>8.916517000000001</v>
      </c>
      <c r="Z55" s="18" t="n">
        <v>9.185435</v>
      </c>
      <c r="AA55" s="18" t="e">
        <v>#N/A</v>
      </c>
      <c r="AB55" s="19" t="n"/>
    </row>
    <row r="56" hidden="1" s="70">
      <c r="B56" s="15" t="inlineStr">
        <is>
          <t>2008-Q1</t>
        </is>
      </c>
      <c r="C56" s="25" t="n">
        <v>1.149237</v>
      </c>
      <c r="D56" s="25" t="n">
        <v>11.5</v>
      </c>
      <c r="E56" s="25" t="n">
        <v>2.191338</v>
      </c>
      <c r="F56" s="25" t="n">
        <v>0.443617</v>
      </c>
      <c r="G56" s="25" t="n">
        <v>2.676283</v>
      </c>
      <c r="H56" s="25" t="n">
        <v>1.792155</v>
      </c>
      <c r="I56" s="25" t="n">
        <v>2.78443</v>
      </c>
      <c r="J56" s="25" t="n">
        <v>0.813254</v>
      </c>
      <c r="K56" s="25" t="n">
        <v>2.970811</v>
      </c>
      <c r="L56" s="25" t="n">
        <v>1.44421</v>
      </c>
      <c r="M56" s="25" t="n">
        <v>1.450876</v>
      </c>
      <c r="N56" s="25" t="n">
        <v>11.000111</v>
      </c>
      <c r="O56" s="25" t="n">
        <v>0.443617</v>
      </c>
      <c r="P56" s="25" t="n">
        <v>1.592305</v>
      </c>
      <c r="Q56" s="25" t="n">
        <v>3.41059</v>
      </c>
      <c r="R56" s="25" t="n">
        <v>2.191338</v>
      </c>
      <c r="S56" s="25" t="n">
        <v>5.705692</v>
      </c>
      <c r="T56" s="25" t="n">
        <v>6.124821</v>
      </c>
      <c r="U56" s="25" t="n">
        <v>2.350913</v>
      </c>
      <c r="V56" s="25" t="n">
        <v>-2.769002</v>
      </c>
      <c r="W56" s="25" t="n">
        <v>6.141173</v>
      </c>
      <c r="X56" s="25" t="n">
        <v>3.92497</v>
      </c>
      <c r="Y56" s="25" t="n">
        <v>6.29105</v>
      </c>
      <c r="Z56" s="18" t="n">
        <v>7.695741</v>
      </c>
      <c r="AA56" s="18" t="e">
        <v>#N/A</v>
      </c>
      <c r="AB56" s="19" t="n"/>
    </row>
    <row r="57" hidden="1" s="70">
      <c r="B57" s="15" t="inlineStr">
        <is>
          <t>2008-Q2</t>
        </is>
      </c>
      <c r="C57" s="25" t="n">
        <v>1.092428</v>
      </c>
      <c r="D57" s="25" t="n">
        <v>10.9</v>
      </c>
      <c r="E57" s="25" t="n">
        <v>1.200076</v>
      </c>
      <c r="F57" s="25" t="n">
        <v>-0.158799</v>
      </c>
      <c r="G57" s="25" t="n">
        <v>1.561016</v>
      </c>
      <c r="H57" s="25" t="n">
        <v>0.577484</v>
      </c>
      <c r="I57" s="25" t="n">
        <v>1.292743</v>
      </c>
      <c r="J57" s="25" t="n">
        <v>-0.053775</v>
      </c>
      <c r="K57" s="25" t="n">
        <v>2.199311</v>
      </c>
      <c r="L57" s="25" t="n">
        <v>0.903348</v>
      </c>
      <c r="M57" s="25" t="n">
        <v>1.604579</v>
      </c>
      <c r="N57" s="25" t="n">
        <v>8.940647999999999</v>
      </c>
      <c r="O57" s="25" t="n">
        <v>-0.158799</v>
      </c>
      <c r="P57" s="25" t="n">
        <v>0.972767</v>
      </c>
      <c r="Q57" s="25" t="n">
        <v>3.024039</v>
      </c>
      <c r="R57" s="25" t="n">
        <v>1.200076</v>
      </c>
      <c r="S57" s="25" t="n">
        <v>4.235151</v>
      </c>
      <c r="T57" s="25" t="n">
        <v>6.321954</v>
      </c>
      <c r="U57" s="25" t="n">
        <v>-1.149846</v>
      </c>
      <c r="V57" s="25" t="n">
        <v>-3.450319</v>
      </c>
      <c r="W57" s="25" t="n">
        <v>2.309902</v>
      </c>
      <c r="X57" s="25" t="n">
        <v>3.909755</v>
      </c>
      <c r="Y57" s="25" t="n">
        <v>5.461859</v>
      </c>
      <c r="Z57" s="18" t="n">
        <v>6.07419</v>
      </c>
      <c r="AA57" s="18" t="e">
        <v>#N/A</v>
      </c>
      <c r="AB57" s="19" t="n"/>
    </row>
    <row r="58" hidden="1" s="70">
      <c r="B58" s="15" t="inlineStr">
        <is>
          <t>2008-Q3</t>
        </is>
      </c>
      <c r="C58" s="25" t="n">
        <v>0.001877</v>
      </c>
      <c r="D58" s="25" t="n">
        <v>9.5</v>
      </c>
      <c r="E58" s="25" t="n">
        <v>0.133086</v>
      </c>
      <c r="F58" s="25" t="n">
        <v>-0.908907</v>
      </c>
      <c r="G58" s="25" t="n">
        <v>0.411845</v>
      </c>
      <c r="H58" s="25" t="n">
        <v>-0.106508</v>
      </c>
      <c r="I58" s="25" t="n">
        <v>-1.212086</v>
      </c>
      <c r="J58" s="25" t="n">
        <v>-1.412911</v>
      </c>
      <c r="K58" s="25" t="n">
        <v>0.611098</v>
      </c>
      <c r="L58" s="25" t="n">
        <v>-0.08464099999999999</v>
      </c>
      <c r="M58" s="25" t="n">
        <v>1.255627</v>
      </c>
      <c r="N58" s="25" t="n">
        <v>5.001309</v>
      </c>
      <c r="O58" s="25" t="n">
        <v>-0.908907</v>
      </c>
      <c r="P58" s="25" t="n">
        <v>1.393522</v>
      </c>
      <c r="Q58" s="25" t="n">
        <v>2.677015</v>
      </c>
      <c r="R58" s="25" t="n">
        <v>0.133086</v>
      </c>
      <c r="S58" s="25" t="n">
        <v>3.935262</v>
      </c>
      <c r="T58" s="25" t="n">
        <v>7.0714</v>
      </c>
      <c r="U58" s="25" t="n">
        <v>-0.604718</v>
      </c>
      <c r="V58" s="25" t="n">
        <v>-1.869426</v>
      </c>
      <c r="W58" s="25" t="n">
        <v>0.577399</v>
      </c>
      <c r="X58" s="25" t="n">
        <v>2.649551</v>
      </c>
      <c r="Y58" s="25" t="n">
        <v>3.245305</v>
      </c>
      <c r="Z58" s="18" t="n">
        <v>5.348921</v>
      </c>
      <c r="AA58" s="18" t="e">
        <v>#N/A</v>
      </c>
      <c r="AB58" s="19" t="n"/>
    </row>
    <row r="59">
      <c r="B59" s="15" t="n">
        <v>42005</v>
      </c>
      <c r="C59" s="20">
        <f>IF(VLOOKUP(B59,Data!$A:$AX,MATCH($C$1,Data!$A$1:$AX$1,))=0,#N/A,(VLOOKUP(B59,Data!$A:$AX,MATCH($C$1,Data!$A$1:$AX$1,),)-VLOOKUP(EDATE(B59,-12),Data!$A:$AX,MATCH($C$1,Data!$A$1:$AX$1,),))/VLOOKUP(EDATE(B59,-12),Data!$A:$AX,MATCH($C$1,Data!$A$1:$AX$1,),))</f>
        <v/>
      </c>
      <c r="D59" s="20">
        <f>IF(VLOOKUP(B59,Data!$A:$AX,MATCH($D$1,Data!$A$1:$AX$1,))=0,#N/A,(VLOOKUP(B59,Data!$A:$AX,MATCH($D$1,Data!$A$1:$AX$1,),)-VLOOKUP(EDATE(B59,-12),Data!$A:$AX,MATCH($D$1,Data!$A$1:$AX$1,),))/VLOOKUP(EDATE(B59,-12),Data!$A:$AX,MATCH($D$1,Data!$A$1:$AX$1,),))</f>
        <v/>
      </c>
      <c r="E59" s="20">
        <f>IF(VLOOKUP(B59,Data!$A:$AX,MATCH($E$1,Data!$A$1:$AX$1,))=0,#N/A,(VLOOKUP(B59,Data!$A:$AX,MATCH($E$1,Data!$A$1:$AX$1,),)-VLOOKUP(EDATE(B59,-12),Data!$A:$AX,MATCH($E$1,Data!$A$1:$AX$1,),))/VLOOKUP(EDATE(B59,-12),Data!$A:$AX,MATCH($E$1,Data!$A$1:$AX$1,),))</f>
        <v/>
      </c>
      <c r="F59" s="20">
        <f>IF(VLOOKUP(B59,Data!$A:$AX,MATCH($F$1,Data!$A$1:$AX$1,))=0,#N/A,(VLOOKUP(B59,Data!$A:$AX,MATCH($F$1,Data!$A$1:$AX$1,),)-VLOOKUP(EDATE(B59,-12),Data!$A:$AX,MATCH($F$1,Data!$A$1:$AX$1,),))/VLOOKUP(EDATE(B59,-12),Data!$A:$AX,MATCH($F$1,Data!$A$1:$AX$1,),))</f>
        <v/>
      </c>
      <c r="G59" s="20">
        <f>IF(VLOOKUP(B59,Data!$A:$AX,MATCH($G$1,Data!$A$1:$AX$1,))=0,#N/A,(VLOOKUP(B59,Data!$A:$AX,MATCH($G$1,Data!$A$1:$AX$1,),)-VLOOKUP(EDATE(B59,-12),Data!$A:$AX,MATCH($G$1,Data!$A$1:$AX$1,),))/VLOOKUP(EDATE(B59,-12),Data!$A:$AX,MATCH($G$1,Data!$A$1:$AX$1,),))</f>
        <v/>
      </c>
      <c r="H59" s="20">
        <f>IF(VLOOKUP(B59,Data!$A:$AX,MATCH($H$1,Data!$A$1:$AX$1,))=0,#N/A,(VLOOKUP(B59,Data!$A:$AX,MATCH($H$1,Data!$A$1:$AX$1,),)-VLOOKUP(EDATE(B59,-12),Data!$A:$AX,MATCH($H$1,Data!$A$1:$AX$1,),))/VLOOKUP(EDATE(B59,-12),Data!$A:$AX,MATCH($H$1,Data!$A$1:$AX$1,),))</f>
        <v/>
      </c>
      <c r="I59" s="20">
        <f>IF(VLOOKUP(B59,Data!$A:$AX,MATCH($I$1,Data!$A$1:$AX$1,))=0,#N/A,(VLOOKUP(B59,Data!$A:$AX,MATCH($I$1,Data!$A$1:$AX$1,),)-VLOOKUP(EDATE(B59,-12),Data!$A:$AX,MATCH($I$1,Data!$A$1:$AX$1,),))/VLOOKUP(EDATE(B59,-12),Data!$A:$AX,MATCH($I$1,Data!$A$1:$AX$1,),))</f>
        <v/>
      </c>
      <c r="J59" s="20">
        <f>IF(VLOOKUP(B59,Data!$A:$AX,MATCH($J$1,Data!$A$1:$AX$1,))=0,#N/A,(VLOOKUP(B59,Data!$A:$AX,MATCH($J$1,Data!$A$1:$AX$1,),)-VLOOKUP(EDATE(B59,-12),Data!$A:$AX,MATCH($J$1,Data!$A$1:$AX$1,),))/VLOOKUP(EDATE(B59,-12),Data!$A:$AX,MATCH($J$1,Data!$A$1:$AX$1,),))</f>
        <v/>
      </c>
      <c r="K59" s="20">
        <f>IF(VLOOKUP(B59,Data!$A:$AX,MATCH($K$1,Data!$A$1:$AX$1,))=0,#N/A,(VLOOKUP(B59,Data!$A:$AX,MATCH($K$1,Data!$A$1:$AX$1,),)-VLOOKUP(EDATE(B59,-12),Data!$A:$AX,MATCH($K$1,Data!$A$1:$AX$1,),))/VLOOKUP(EDATE(B59,-12),Data!$A:$AX,MATCH($K$1,Data!$A$1:$AX$1,),))</f>
        <v/>
      </c>
      <c r="L59" s="20">
        <f>IF(VLOOKUP(B59,Data!$A:$AX,MATCH($L$1,Data!$A$1:$AX$1,))=0,#N/A,(VLOOKUP(B59,Data!$A:$AX,MATCH($L$1,Data!$A$1:$AX$1,),)-VLOOKUP(EDATE(B59,-12),Data!$A:$AX,MATCH($L$1,Data!$A$1:$AX$1,),))/VLOOKUP(EDATE(B59,-12),Data!$A:$AX,MATCH($L$1,Data!$A$1:$AX$1,),))</f>
        <v/>
      </c>
      <c r="M59" s="20">
        <f>IF(VLOOKUP(B59,Data!$A:$AX,MATCH($M$1,Data!$A$1:$AX$1,))=0,#N/A,(VLOOKUP(B59,Data!$A:$AX,MATCH($M$1,Data!$A$1:$AX$1,),)-VLOOKUP(EDATE(B59,-12),Data!$A:$AX,MATCH($M$1,Data!$A$1:$AX$1,),))/VLOOKUP(EDATE(B59,-12),Data!$A:$AX,MATCH($M$1,Data!$A$1:$AX$1,),))</f>
        <v/>
      </c>
      <c r="N59" s="20">
        <f>(VLOOKUP(B59,Data!$A:$AX,MATCH($N$1,Data!$A$1:$AX$1,),)-VLOOKUP(EDATE(B59,-12),Data!$A:$AX,MATCH($N$1,Data!$A$1:$AX$1,),))/VLOOKUP(EDATE(B59,-12),Data!$A:$AX,MATCH($N$1,Data!$A$1:$AX$1,),)</f>
        <v/>
      </c>
      <c r="O59" s="20">
        <f>IF(VLOOKUP(B59,Data!$A:$AX,MATCH($O$1,Data!$A$1:$AX$1,))=0,#N/A,(VLOOKUP(B59,Data!$A:$AX,MATCH($O$1,Data!$A$1:$AX$1,),)-VLOOKUP(EDATE(B59,-12),Data!$A:$AX,MATCH($O$1,Data!$A$1:$AX$1,),))/VLOOKUP(EDATE(B59,-12),Data!$A:$AX,MATCH($O$1,Data!$A$1:$AX$1,),))</f>
        <v/>
      </c>
      <c r="P59" s="20">
        <f>IF(VLOOKUP(B59,Data!$A:$AX,MATCH($P$1,Data!$A$1:$AX$1,))=0,#N/A,(VLOOKUP(B59,Data!$A:$AX,MATCH($P$1,Data!$A$1:$AX$1,),)-VLOOKUP(EDATE(B59,-12),Data!$A:$AX,MATCH($P$1,Data!$A$1:$AX$1,),))/VLOOKUP(EDATE(B59,-12),Data!$A:$AX,MATCH($P$1,Data!$A$1:$AX$1,),))</f>
        <v/>
      </c>
      <c r="Q59" s="20">
        <f>(VLOOKUP(B59,Data!$A:$AX,MATCH($Q$1,Data!$A$1:$AX$1,),)-VLOOKUP(EDATE(B59,-12),Data!$A:$AX,MATCH($Q$1,Data!$A$1:$AX$1,),))/VLOOKUP(EDATE(B59,-12),Data!$A:$AX,MATCH($Q$1,Data!$A$1:$AX$1,),)</f>
        <v/>
      </c>
      <c r="R59" s="20">
        <f>IF(VLOOKUP(B59,Data!$A:$AX,MATCH($R$1,Data!$A$1:$AX$1,))=0,#N/A,(VLOOKUP(B59,Data!$A:$AX,MATCH($R$1,Data!$A$1:$AX$1,),)-VLOOKUP(EDATE(B59,-12),Data!$A:$AX,MATCH($R$1,Data!$A$1:$AX$1,),))/VLOOKUP(EDATE(B59,-12),Data!$A:$AX,MATCH($R$1,Data!$A$1:$AX$1,),))</f>
        <v/>
      </c>
      <c r="S59" s="20">
        <f>IF(VLOOKUP(B59,Data!$A:$AX,MATCH($S$1,Data!$A$1:$AX$1,))=0,#N/A,(VLOOKUP(B59,Data!$A:$AX,MATCH($S$1,Data!$A$1:$AX$1,),)-VLOOKUP(EDATE(B59,-12),Data!$A:$AX,MATCH($S$1,Data!$A$1:$AX$1,),))/VLOOKUP(EDATE(B59,-12),Data!$A:$AX,MATCH($S$1,Data!$A$1:$AX$1,),))</f>
        <v/>
      </c>
      <c r="T59" s="20">
        <f>IF(VLOOKUP(B59,Data!$A:$AX,MATCH($T$1,Data!$A$1:$AX$1,))=0,#N/A,(VLOOKUP(B59,Data!$A:$AX,MATCH($T$1,Data!$A$1:$AX$1,),)-VLOOKUP(EDATE(B59,-12),Data!$A:$AX,MATCH($T$1,Data!$A$1:$AX$1,),))/VLOOKUP(EDATE(B59,-12),Data!$A:$AX,MATCH($T$1,Data!$A$1:$AX$1,),))</f>
        <v/>
      </c>
      <c r="U59" s="20">
        <f>IF(VLOOKUP(B59,Data!$A:$AX,MATCH($U$1,Data!$A$1:$AX$1,))=0,#N/A,(VLOOKUP(B59,Data!$A:$AX,MATCH($U$1,Data!$A$1:$AX$1,),)-VLOOKUP(EDATE(B59,-12),Data!$A:$AX,MATCH($U$1,Data!$A$1:$AX$1,),))/VLOOKUP(EDATE(B59,-12),Data!$A:$AX,MATCH($U$1,Data!$A$1:$AX$1,),))</f>
        <v/>
      </c>
      <c r="V59" s="20">
        <f>(VLOOKUP(B59,Data!$A:$AX,MATCH($V$1,Data!$A$1:$AX$1,),)-VLOOKUP(EDATE(B59,-12),Data!$A:$AX,MATCH($V$1,Data!$A$1:$AX$1,),))/VLOOKUP(EDATE(B59,-12),Data!$A:$AX,MATCH($V$1,Data!$A$1:$AX$1,),)</f>
        <v/>
      </c>
      <c r="W59" s="20">
        <f>IF(VLOOKUP(B59,Data!$A:$AX,MATCH($W$1,Data!$A$1:$AX$1,))=0,#N/A,(VLOOKUP(B59,Data!$A:$AX,MATCH($W$1,Data!$A$1:$AX$1,),)-VLOOKUP(EDATE(B59,-12),Data!$A:$AX,MATCH($W$1,Data!$A$1:$AX$1,),))/VLOOKUP(EDATE(B59,-12),Data!$A:$AX,MATCH($W$1,Data!$A$1:$AX$1,),))</f>
        <v/>
      </c>
      <c r="X59" s="20">
        <f>IF(VLOOKUP(B59,Data!$A:$AX,MATCH($X$1,Data!$A$1:$AX$1,))=0,#N/A,(VLOOKUP(B59,Data!$A:$AX,MATCH($X$1,Data!$A$1:$AX$1,),)-VLOOKUP(EDATE(B59,-12),Data!$A:$AX,MATCH($X$1,Data!$A$1:$AX$1,),))/VLOOKUP(EDATE(B59,-12),Data!$A:$AX,MATCH($X$1,Data!$A$1:$AX$1,),))</f>
        <v/>
      </c>
      <c r="Y59" s="20">
        <f>IF(VLOOKUP(B59,Data!$A:$AX,MATCH($Y$1,Data!$A$1:$AX$1,))=0,#N/A,(VLOOKUP(B59,Data!$A:$AX,MATCH($Y$1,Data!$A$1:$AX$1,),)-VLOOKUP(EDATE(B59,-12),Data!$A:$AX,MATCH($Y$1,Data!$A$1:$AX$1,),))/VLOOKUP(EDATE(B59,-12),Data!$A:$AX,MATCH($Y$1,Data!$A$1:$AX$1,),))</f>
        <v/>
      </c>
      <c r="Z59" s="20">
        <f>(VLOOKUP(B59,Data!$A:$AX,MATCH($Z$1,Data!$A$1:$AX$1,),)-VLOOKUP(EDATE(B59,-12),Data!$A:$AX,MATCH($Z$1,Data!$A$1:$AX$1,),))/VLOOKUP(EDATE(B59,-12),Data!$A:$AX,MATCH($Z$1,Data!$A$1:$AX$1,),)</f>
        <v/>
      </c>
      <c r="AA59" s="20">
        <f>(VLOOKUP(B59,Data!$A:$AX,MATCH($AA$1,Data!$A$1:$AX$1,),)-VLOOKUP(EDATE(B59,-12),Data!$A:$AX,MATCH($AA$1,Data!$A$1:$AX$1,),))/VLOOKUP(EDATE(B59,-12),Data!$A:$AX,MATCH($AA$1,Data!$A$1:$AX$1,),)</f>
        <v/>
      </c>
      <c r="AB59" s="19" t="n"/>
    </row>
    <row r="60">
      <c r="B60" s="15" t="n">
        <v>42036</v>
      </c>
      <c r="C60" s="20">
        <f>IF(VLOOKUP(B60,Data!$A:$AX,MATCH($C$1,Data!$A$1:$AX$1,))=0,#N/A,(VLOOKUP(B60,Data!$A:$AX,MATCH($C$1,Data!$A$1:$AX$1,),)-VLOOKUP(EDATE(B60,-12),Data!$A:$AX,MATCH($C$1,Data!$A$1:$AX$1,),))/VLOOKUP(EDATE(B60,-12),Data!$A:$AX,MATCH($C$1,Data!$A$1:$AX$1,),))</f>
        <v/>
      </c>
      <c r="D60" s="20">
        <f>IF(VLOOKUP(B60,Data!$A:$AX,MATCH($D$1,Data!$A$1:$AX$1,))=0,#N/A,(VLOOKUP(B60,Data!$A:$AX,MATCH($D$1,Data!$A$1:$AX$1,),)-VLOOKUP(EDATE(B60,-12),Data!$A:$AX,MATCH($D$1,Data!$A$1:$AX$1,),))/VLOOKUP(EDATE(B60,-12),Data!$A:$AX,MATCH($D$1,Data!$A$1:$AX$1,),))</f>
        <v/>
      </c>
      <c r="E60" s="20">
        <f>IF(VLOOKUP(B60,Data!$A:$AX,MATCH($E$1,Data!$A$1:$AX$1,))=0,#N/A,(VLOOKUP(B60,Data!$A:$AX,MATCH($E$1,Data!$A$1:$AX$1,),)-VLOOKUP(EDATE(B60,-12),Data!$A:$AX,MATCH($E$1,Data!$A$1:$AX$1,),))/VLOOKUP(EDATE(B60,-12),Data!$A:$AX,MATCH($E$1,Data!$A$1:$AX$1,),))</f>
        <v/>
      </c>
      <c r="F60" s="20">
        <f>IF(VLOOKUP(B60,Data!$A:$AX,MATCH($F$1,Data!$A$1:$AX$1,))=0,#N/A,(VLOOKUP(B60,Data!$A:$AX,MATCH($F$1,Data!$A$1:$AX$1,),)-VLOOKUP(EDATE(B60,-12),Data!$A:$AX,MATCH($F$1,Data!$A$1:$AX$1,),))/VLOOKUP(EDATE(B60,-12),Data!$A:$AX,MATCH($F$1,Data!$A$1:$AX$1,),))</f>
        <v/>
      </c>
      <c r="G60" s="20">
        <f>IF(VLOOKUP(B60,Data!$A:$AX,MATCH($G$1,Data!$A$1:$AX$1,))=0,#N/A,(VLOOKUP(B60,Data!$A:$AX,MATCH($G$1,Data!$A$1:$AX$1,),)-VLOOKUP(EDATE(B60,-12),Data!$A:$AX,MATCH($G$1,Data!$A$1:$AX$1,),))/VLOOKUP(EDATE(B60,-12),Data!$A:$AX,MATCH($G$1,Data!$A$1:$AX$1,),))</f>
        <v/>
      </c>
      <c r="H60" s="20">
        <f>IF(VLOOKUP(B60,Data!$A:$AX,MATCH($H$1,Data!$A$1:$AX$1,))=0,#N/A,(VLOOKUP(B60,Data!$A:$AX,MATCH($H$1,Data!$A$1:$AX$1,),)-VLOOKUP(EDATE(B60,-12),Data!$A:$AX,MATCH($H$1,Data!$A$1:$AX$1,),))/VLOOKUP(EDATE(B60,-12),Data!$A:$AX,MATCH($H$1,Data!$A$1:$AX$1,),))</f>
        <v/>
      </c>
      <c r="I60" s="20">
        <f>IF(VLOOKUP(B60,Data!$A:$AX,MATCH($I$1,Data!$A$1:$AX$1,))=0,#N/A,(VLOOKUP(B60,Data!$A:$AX,MATCH($I$1,Data!$A$1:$AX$1,),)-VLOOKUP(EDATE(B60,-12),Data!$A:$AX,MATCH($I$1,Data!$A$1:$AX$1,),))/VLOOKUP(EDATE(B60,-12),Data!$A:$AX,MATCH($I$1,Data!$A$1:$AX$1,),))</f>
        <v/>
      </c>
      <c r="J60" s="20">
        <f>IF(VLOOKUP(B60,Data!$A:$AX,MATCH($J$1,Data!$A$1:$AX$1,))=0,#N/A,(VLOOKUP(B60,Data!$A:$AX,MATCH($J$1,Data!$A$1:$AX$1,),)-VLOOKUP(EDATE(B60,-12),Data!$A:$AX,MATCH($J$1,Data!$A$1:$AX$1,),))/VLOOKUP(EDATE(B60,-12),Data!$A:$AX,MATCH($J$1,Data!$A$1:$AX$1,),))</f>
        <v/>
      </c>
      <c r="K60" s="20">
        <f>IF(VLOOKUP(B60,Data!$A:$AX,MATCH($K$1,Data!$A$1:$AX$1,))=0,#N/A,(VLOOKUP(B60,Data!$A:$AX,MATCH($K$1,Data!$A$1:$AX$1,),)-VLOOKUP(EDATE(B60,-12),Data!$A:$AX,MATCH($K$1,Data!$A$1:$AX$1,),))/VLOOKUP(EDATE(B60,-12),Data!$A:$AX,MATCH($K$1,Data!$A$1:$AX$1,),))</f>
        <v/>
      </c>
      <c r="L60" s="20">
        <f>IF(VLOOKUP(B60,Data!$A:$AX,MATCH($L$1,Data!$A$1:$AX$1,))=0,#N/A,(VLOOKUP(B60,Data!$A:$AX,MATCH($L$1,Data!$A$1:$AX$1,),)-VLOOKUP(EDATE(B60,-12),Data!$A:$AX,MATCH($L$1,Data!$A$1:$AX$1,),))/VLOOKUP(EDATE(B60,-12),Data!$A:$AX,MATCH($L$1,Data!$A$1:$AX$1,),))</f>
        <v/>
      </c>
      <c r="M60" s="20">
        <f>IF(VLOOKUP(B60,Data!$A:$AX,MATCH($M$1,Data!$A$1:$AX$1,))=0,#N/A,(VLOOKUP(B60,Data!$A:$AX,MATCH($M$1,Data!$A$1:$AX$1,),)-VLOOKUP(EDATE(B60,-12),Data!$A:$AX,MATCH($M$1,Data!$A$1:$AX$1,),))/VLOOKUP(EDATE(B60,-12),Data!$A:$AX,MATCH($M$1,Data!$A$1:$AX$1,),))</f>
        <v/>
      </c>
      <c r="N60" s="20">
        <f>(VLOOKUP(B60,Data!$A:$AX,MATCH($N$1,Data!$A$1:$AX$1,),)-VLOOKUP(EDATE(B60,-12),Data!$A:$AX,MATCH($N$1,Data!$A$1:$AX$1,),))/VLOOKUP(EDATE(B60,-12),Data!$A:$AX,MATCH($N$1,Data!$A$1:$AX$1,),)</f>
        <v/>
      </c>
      <c r="O60" s="20">
        <f>IF(VLOOKUP(B60,Data!$A:$AX,MATCH($O$1,Data!$A$1:$AX$1,))=0,#N/A,(VLOOKUP(B60,Data!$A:$AX,MATCH($O$1,Data!$A$1:$AX$1,),)-VLOOKUP(EDATE(B60,-12),Data!$A:$AX,MATCH($O$1,Data!$A$1:$AX$1,),))/VLOOKUP(EDATE(B60,-12),Data!$A:$AX,MATCH($O$1,Data!$A$1:$AX$1,),))</f>
        <v/>
      </c>
      <c r="P60" s="20">
        <f>IF(VLOOKUP(B60,Data!$A:$AX,MATCH($P$1,Data!$A$1:$AX$1,))=0,#N/A,(VLOOKUP(B60,Data!$A:$AX,MATCH($P$1,Data!$A$1:$AX$1,),)-VLOOKUP(EDATE(B60,-12),Data!$A:$AX,MATCH($P$1,Data!$A$1:$AX$1,),))/VLOOKUP(EDATE(B60,-12),Data!$A:$AX,MATCH($P$1,Data!$A$1:$AX$1,),))</f>
        <v/>
      </c>
      <c r="Q60" s="20">
        <f>(VLOOKUP(B60,Data!$A:$AX,MATCH($Q$1,Data!$A$1:$AX$1,),)-VLOOKUP(EDATE(B60,-12),Data!$A:$AX,MATCH($Q$1,Data!$A$1:$AX$1,),))/VLOOKUP(EDATE(B60,-12),Data!$A:$AX,MATCH($Q$1,Data!$A$1:$AX$1,),)</f>
        <v/>
      </c>
      <c r="R60" s="20">
        <f>IF(VLOOKUP(B60,Data!$A:$AX,MATCH($R$1,Data!$A$1:$AX$1,))=0,#N/A,(VLOOKUP(B60,Data!$A:$AX,MATCH($R$1,Data!$A$1:$AX$1,),)-VLOOKUP(EDATE(B60,-12),Data!$A:$AX,MATCH($R$1,Data!$A$1:$AX$1,),))/VLOOKUP(EDATE(B60,-12),Data!$A:$AX,MATCH($R$1,Data!$A$1:$AX$1,),))</f>
        <v/>
      </c>
      <c r="S60" s="20">
        <f>IF(VLOOKUP(B60,Data!$A:$AX,MATCH($S$1,Data!$A$1:$AX$1,))=0,#N/A,(VLOOKUP(B60,Data!$A:$AX,MATCH($S$1,Data!$A$1:$AX$1,),)-VLOOKUP(EDATE(B60,-12),Data!$A:$AX,MATCH($S$1,Data!$A$1:$AX$1,),))/VLOOKUP(EDATE(B60,-12),Data!$A:$AX,MATCH($S$1,Data!$A$1:$AX$1,),))</f>
        <v/>
      </c>
      <c r="T60" s="20">
        <f>IF(VLOOKUP(B60,Data!$A:$AX,MATCH($T$1,Data!$A$1:$AX$1,))=0,#N/A,(VLOOKUP(B60,Data!$A:$AX,MATCH($T$1,Data!$A$1:$AX$1,),)-VLOOKUP(EDATE(B60,-12),Data!$A:$AX,MATCH($T$1,Data!$A$1:$AX$1,),))/VLOOKUP(EDATE(B60,-12),Data!$A:$AX,MATCH($T$1,Data!$A$1:$AX$1,),))</f>
        <v/>
      </c>
      <c r="U60" s="20">
        <f>IF(VLOOKUP(B60,Data!$A:$AX,MATCH($U$1,Data!$A$1:$AX$1,))=0,#N/A,(VLOOKUP(B60,Data!$A:$AX,MATCH($U$1,Data!$A$1:$AX$1,),)-VLOOKUP(EDATE(B60,-12),Data!$A:$AX,MATCH($U$1,Data!$A$1:$AX$1,),))/VLOOKUP(EDATE(B60,-12),Data!$A:$AX,MATCH($U$1,Data!$A$1:$AX$1,),))</f>
        <v/>
      </c>
      <c r="V60" s="20">
        <f>(VLOOKUP(B60,Data!$A:$AX,MATCH($V$1,Data!$A$1:$AX$1,),)-VLOOKUP(EDATE(B60,-12),Data!$A:$AX,MATCH($V$1,Data!$A$1:$AX$1,),))/VLOOKUP(EDATE(B60,-12),Data!$A:$AX,MATCH($V$1,Data!$A$1:$AX$1,),)</f>
        <v/>
      </c>
      <c r="W60" s="20">
        <f>IF(VLOOKUP(B60,Data!$A:$AX,MATCH($W$1,Data!$A$1:$AX$1,))=0,#N/A,(VLOOKUP(B60,Data!$A:$AX,MATCH($W$1,Data!$A$1:$AX$1,),)-VLOOKUP(EDATE(B60,-12),Data!$A:$AX,MATCH($W$1,Data!$A$1:$AX$1,),))/VLOOKUP(EDATE(B60,-12),Data!$A:$AX,MATCH($W$1,Data!$A$1:$AX$1,),))</f>
        <v/>
      </c>
      <c r="X60" s="20">
        <f>IF(VLOOKUP(B60,Data!$A:$AX,MATCH($X$1,Data!$A$1:$AX$1,))=0,#N/A,(VLOOKUP(B60,Data!$A:$AX,MATCH($X$1,Data!$A$1:$AX$1,),)-VLOOKUP(EDATE(B60,-12),Data!$A:$AX,MATCH($X$1,Data!$A$1:$AX$1,),))/VLOOKUP(EDATE(B60,-12),Data!$A:$AX,MATCH($X$1,Data!$A$1:$AX$1,),))</f>
        <v/>
      </c>
      <c r="Y60" s="20">
        <f>IF(VLOOKUP(B60,Data!$A:$AX,MATCH($Y$1,Data!$A$1:$AX$1,))=0,#N/A,(VLOOKUP(B60,Data!$A:$AX,MATCH($Y$1,Data!$A$1:$AX$1,),)-VLOOKUP(EDATE(B60,-12),Data!$A:$AX,MATCH($Y$1,Data!$A$1:$AX$1,),))/VLOOKUP(EDATE(B60,-12),Data!$A:$AX,MATCH($Y$1,Data!$A$1:$AX$1,),))</f>
        <v/>
      </c>
      <c r="Z60" s="20">
        <f>(VLOOKUP(B60,Data!$A:$AX,MATCH($Z$1,Data!$A$1:$AX$1,),)-VLOOKUP(EDATE(B60,-12),Data!$A:$AX,MATCH($Z$1,Data!$A$1:$AX$1,),))/VLOOKUP(EDATE(B60,-12),Data!$A:$AX,MATCH($Z$1,Data!$A$1:$AX$1,),)</f>
        <v/>
      </c>
      <c r="AA60" s="20">
        <f>(VLOOKUP(B60,Data!$A:$AX,MATCH($AA$1,Data!$A$1:$AX$1,),)-VLOOKUP(EDATE(B60,-12),Data!$A:$AX,MATCH($AA$1,Data!$A$1:$AX$1,),))/VLOOKUP(EDATE(B60,-12),Data!$A:$AX,MATCH($AA$1,Data!$A$1:$AX$1,),)</f>
        <v/>
      </c>
      <c r="AB60" s="19" t="n"/>
    </row>
    <row r="61">
      <c r="B61" s="15" t="n">
        <v>42064</v>
      </c>
      <c r="C61" s="20">
        <f>IF(VLOOKUP(B61,Data!$A:$AX,MATCH($C$1,Data!$A$1:$AX$1,))=0,#N/A,(VLOOKUP(B61,Data!$A:$AX,MATCH($C$1,Data!$A$1:$AX$1,),)-VLOOKUP(EDATE(B61,-12),Data!$A:$AX,MATCH($C$1,Data!$A$1:$AX$1,),))/VLOOKUP(EDATE(B61,-12),Data!$A:$AX,MATCH($C$1,Data!$A$1:$AX$1,),))</f>
        <v/>
      </c>
      <c r="D61" s="20">
        <f>IF(VLOOKUP(B61,Data!$A:$AX,MATCH($D$1,Data!$A$1:$AX$1,))=0,#N/A,(VLOOKUP(B61,Data!$A:$AX,MATCH($D$1,Data!$A$1:$AX$1,),)-VLOOKUP(EDATE(B61,-12),Data!$A:$AX,MATCH($D$1,Data!$A$1:$AX$1,),))/VLOOKUP(EDATE(B61,-12),Data!$A:$AX,MATCH($D$1,Data!$A$1:$AX$1,),))</f>
        <v/>
      </c>
      <c r="E61" s="20">
        <f>IF(VLOOKUP(B61,Data!$A:$AX,MATCH($E$1,Data!$A$1:$AX$1,))=0,#N/A,(VLOOKUP(B61,Data!$A:$AX,MATCH($E$1,Data!$A$1:$AX$1,),)-VLOOKUP(EDATE(B61,-12),Data!$A:$AX,MATCH($E$1,Data!$A$1:$AX$1,),))/VLOOKUP(EDATE(B61,-12),Data!$A:$AX,MATCH($E$1,Data!$A$1:$AX$1,),))</f>
        <v/>
      </c>
      <c r="F61" s="20">
        <f>IF(VLOOKUP(B61,Data!$A:$AX,MATCH($F$1,Data!$A$1:$AX$1,))=0,#N/A,(VLOOKUP(B61,Data!$A:$AX,MATCH($F$1,Data!$A$1:$AX$1,),)-VLOOKUP(EDATE(B61,-12),Data!$A:$AX,MATCH($F$1,Data!$A$1:$AX$1,),))/VLOOKUP(EDATE(B61,-12),Data!$A:$AX,MATCH($F$1,Data!$A$1:$AX$1,),))</f>
        <v/>
      </c>
      <c r="G61" s="20">
        <f>IF(VLOOKUP(B61,Data!$A:$AX,MATCH($G$1,Data!$A$1:$AX$1,))=0,#N/A,(VLOOKUP(B61,Data!$A:$AX,MATCH($G$1,Data!$A$1:$AX$1,),)-VLOOKUP(EDATE(B61,-12),Data!$A:$AX,MATCH($G$1,Data!$A$1:$AX$1,),))/VLOOKUP(EDATE(B61,-12),Data!$A:$AX,MATCH($G$1,Data!$A$1:$AX$1,),))</f>
        <v/>
      </c>
      <c r="H61" s="20">
        <f>IF(VLOOKUP(B61,Data!$A:$AX,MATCH($H$1,Data!$A$1:$AX$1,))=0,#N/A,(VLOOKUP(B61,Data!$A:$AX,MATCH($H$1,Data!$A$1:$AX$1,),)-VLOOKUP(EDATE(B61,-12),Data!$A:$AX,MATCH($H$1,Data!$A$1:$AX$1,),))/VLOOKUP(EDATE(B61,-12),Data!$A:$AX,MATCH($H$1,Data!$A$1:$AX$1,),))</f>
        <v/>
      </c>
      <c r="I61" s="20">
        <f>IF(VLOOKUP(B61,Data!$A:$AX,MATCH($I$1,Data!$A$1:$AX$1,))=0,#N/A,(VLOOKUP(B61,Data!$A:$AX,MATCH($I$1,Data!$A$1:$AX$1,),)-VLOOKUP(EDATE(B61,-12),Data!$A:$AX,MATCH($I$1,Data!$A$1:$AX$1,),))/VLOOKUP(EDATE(B61,-12),Data!$A:$AX,MATCH($I$1,Data!$A$1:$AX$1,),))</f>
        <v/>
      </c>
      <c r="J61" s="20">
        <f>IF(VLOOKUP(B61,Data!$A:$AX,MATCH($J$1,Data!$A$1:$AX$1,))=0,#N/A,(VLOOKUP(B61,Data!$A:$AX,MATCH($J$1,Data!$A$1:$AX$1,),)-VLOOKUP(EDATE(B61,-12),Data!$A:$AX,MATCH($J$1,Data!$A$1:$AX$1,),))/VLOOKUP(EDATE(B61,-12),Data!$A:$AX,MATCH($J$1,Data!$A$1:$AX$1,),))</f>
        <v/>
      </c>
      <c r="K61" s="20">
        <f>IF(VLOOKUP(B61,Data!$A:$AX,MATCH($K$1,Data!$A$1:$AX$1,))=0,#N/A,(VLOOKUP(B61,Data!$A:$AX,MATCH($K$1,Data!$A$1:$AX$1,),)-VLOOKUP(EDATE(B61,-12),Data!$A:$AX,MATCH($K$1,Data!$A$1:$AX$1,),))/VLOOKUP(EDATE(B61,-12),Data!$A:$AX,MATCH($K$1,Data!$A$1:$AX$1,),))</f>
        <v/>
      </c>
      <c r="L61" s="20">
        <f>IF(VLOOKUP(B61,Data!$A:$AX,MATCH($L$1,Data!$A$1:$AX$1,))=0,#N/A,(VLOOKUP(B61,Data!$A:$AX,MATCH($L$1,Data!$A$1:$AX$1,),)-VLOOKUP(EDATE(B61,-12),Data!$A:$AX,MATCH($L$1,Data!$A$1:$AX$1,),))/VLOOKUP(EDATE(B61,-12),Data!$A:$AX,MATCH($L$1,Data!$A$1:$AX$1,),))</f>
        <v/>
      </c>
      <c r="M61" s="20">
        <f>IF(VLOOKUP(B61,Data!$A:$AX,MATCH($M$1,Data!$A$1:$AX$1,))=0,#N/A,(VLOOKUP(B61,Data!$A:$AX,MATCH($M$1,Data!$A$1:$AX$1,),)-VLOOKUP(EDATE(B61,-12),Data!$A:$AX,MATCH($M$1,Data!$A$1:$AX$1,),))/VLOOKUP(EDATE(B61,-12),Data!$A:$AX,MATCH($M$1,Data!$A$1:$AX$1,),))</f>
        <v/>
      </c>
      <c r="N61" s="20">
        <f>(VLOOKUP(B61,Data!$A:$AX,MATCH($N$1,Data!$A$1:$AX$1,),)-VLOOKUP(EDATE(B61,-12),Data!$A:$AX,MATCH($N$1,Data!$A$1:$AX$1,),))/VLOOKUP(EDATE(B61,-12),Data!$A:$AX,MATCH($N$1,Data!$A$1:$AX$1,),)</f>
        <v/>
      </c>
      <c r="O61" s="20">
        <f>IF(VLOOKUP(B61,Data!$A:$AX,MATCH($O$1,Data!$A$1:$AX$1,))=0,#N/A,(VLOOKUP(B61,Data!$A:$AX,MATCH($O$1,Data!$A$1:$AX$1,),)-VLOOKUP(EDATE(B61,-12),Data!$A:$AX,MATCH($O$1,Data!$A$1:$AX$1,),))/VLOOKUP(EDATE(B61,-12),Data!$A:$AX,MATCH($O$1,Data!$A$1:$AX$1,),))</f>
        <v/>
      </c>
      <c r="P61" s="20">
        <f>IF(VLOOKUP(B61,Data!$A:$AX,MATCH($P$1,Data!$A$1:$AX$1,))=0,#N/A,(VLOOKUP(B61,Data!$A:$AX,MATCH($P$1,Data!$A$1:$AX$1,),)-VLOOKUP(EDATE(B61,-12),Data!$A:$AX,MATCH($P$1,Data!$A$1:$AX$1,),))/VLOOKUP(EDATE(B61,-12),Data!$A:$AX,MATCH($P$1,Data!$A$1:$AX$1,),))</f>
        <v/>
      </c>
      <c r="Q61" s="20">
        <f>(VLOOKUP(B61,Data!$A:$AX,MATCH($Q$1,Data!$A$1:$AX$1,),)-VLOOKUP(EDATE(B61,-12),Data!$A:$AX,MATCH($Q$1,Data!$A$1:$AX$1,),))/VLOOKUP(EDATE(B61,-12),Data!$A:$AX,MATCH($Q$1,Data!$A$1:$AX$1,),)</f>
        <v/>
      </c>
      <c r="R61" s="20">
        <f>IF(VLOOKUP(B61,Data!$A:$AX,MATCH($R$1,Data!$A$1:$AX$1,))=0,#N/A,(VLOOKUP(B61,Data!$A:$AX,MATCH($R$1,Data!$A$1:$AX$1,),)-VLOOKUP(EDATE(B61,-12),Data!$A:$AX,MATCH($R$1,Data!$A$1:$AX$1,),))/VLOOKUP(EDATE(B61,-12),Data!$A:$AX,MATCH($R$1,Data!$A$1:$AX$1,),))</f>
        <v/>
      </c>
      <c r="S61" s="20">
        <f>IF(VLOOKUP(B61,Data!$A:$AX,MATCH($S$1,Data!$A$1:$AX$1,))=0,#N/A,(VLOOKUP(B61,Data!$A:$AX,MATCH($S$1,Data!$A$1:$AX$1,),)-VLOOKUP(EDATE(B61,-12),Data!$A:$AX,MATCH($S$1,Data!$A$1:$AX$1,),))/VLOOKUP(EDATE(B61,-12),Data!$A:$AX,MATCH($S$1,Data!$A$1:$AX$1,),))</f>
        <v/>
      </c>
      <c r="T61" s="20">
        <f>IF(VLOOKUP(B61,Data!$A:$AX,MATCH($T$1,Data!$A$1:$AX$1,))=0,#N/A,(VLOOKUP(B61,Data!$A:$AX,MATCH($T$1,Data!$A$1:$AX$1,),)-VLOOKUP(EDATE(B61,-12),Data!$A:$AX,MATCH($T$1,Data!$A$1:$AX$1,),))/VLOOKUP(EDATE(B61,-12),Data!$A:$AX,MATCH($T$1,Data!$A$1:$AX$1,),))</f>
        <v/>
      </c>
      <c r="U61" s="20">
        <f>IF(VLOOKUP(B61,Data!$A:$AX,MATCH($U$1,Data!$A$1:$AX$1,))=0,#N/A,(VLOOKUP(B61,Data!$A:$AX,MATCH($U$1,Data!$A$1:$AX$1,),)-VLOOKUP(EDATE(B61,-12),Data!$A:$AX,MATCH($U$1,Data!$A$1:$AX$1,),))/VLOOKUP(EDATE(B61,-12),Data!$A:$AX,MATCH($U$1,Data!$A$1:$AX$1,),))</f>
        <v/>
      </c>
      <c r="V61" s="20">
        <f>(VLOOKUP(B61,Data!$A:$AX,MATCH($V$1,Data!$A$1:$AX$1,),)-VLOOKUP(EDATE(B61,-12),Data!$A:$AX,MATCH($V$1,Data!$A$1:$AX$1,),))/VLOOKUP(EDATE(B61,-12),Data!$A:$AX,MATCH($V$1,Data!$A$1:$AX$1,),)</f>
        <v/>
      </c>
      <c r="W61" s="20">
        <f>IF(VLOOKUP(B61,Data!$A:$AX,MATCH($W$1,Data!$A$1:$AX$1,))=0,#N/A,(VLOOKUP(B61,Data!$A:$AX,MATCH($W$1,Data!$A$1:$AX$1,),)-VLOOKUP(EDATE(B61,-12),Data!$A:$AX,MATCH($W$1,Data!$A$1:$AX$1,),))/VLOOKUP(EDATE(B61,-12),Data!$A:$AX,MATCH($W$1,Data!$A$1:$AX$1,),))</f>
        <v/>
      </c>
      <c r="X61" s="20">
        <f>IF(VLOOKUP(B61,Data!$A:$AX,MATCH($X$1,Data!$A$1:$AX$1,))=0,#N/A,(VLOOKUP(B61,Data!$A:$AX,MATCH($X$1,Data!$A$1:$AX$1,),)-VLOOKUP(EDATE(B61,-12),Data!$A:$AX,MATCH($X$1,Data!$A$1:$AX$1,),))/VLOOKUP(EDATE(B61,-12),Data!$A:$AX,MATCH($X$1,Data!$A$1:$AX$1,),))</f>
        <v/>
      </c>
      <c r="Y61" s="20">
        <f>IF(VLOOKUP(B61,Data!$A:$AX,MATCH($Y$1,Data!$A$1:$AX$1,))=0,#N/A,(VLOOKUP(B61,Data!$A:$AX,MATCH($Y$1,Data!$A$1:$AX$1,),)-VLOOKUP(EDATE(B61,-12),Data!$A:$AX,MATCH($Y$1,Data!$A$1:$AX$1,),))/VLOOKUP(EDATE(B61,-12),Data!$A:$AX,MATCH($Y$1,Data!$A$1:$AX$1,),))</f>
        <v/>
      </c>
      <c r="Z61" s="20">
        <f>(VLOOKUP(B61,Data!$A:$AX,MATCH($Z$1,Data!$A$1:$AX$1,),)-VLOOKUP(EDATE(B61,-12),Data!$A:$AX,MATCH($Z$1,Data!$A$1:$AX$1,),))/VLOOKUP(EDATE(B61,-12),Data!$A:$AX,MATCH($Z$1,Data!$A$1:$AX$1,),)</f>
        <v/>
      </c>
      <c r="AA61" s="20">
        <f>(VLOOKUP(B61,Data!$A:$AX,MATCH($AA$1,Data!$A$1:$AX$1,),)-VLOOKUP(EDATE(B61,-12),Data!$A:$AX,MATCH($AA$1,Data!$A$1:$AX$1,),))/VLOOKUP(EDATE(B61,-12),Data!$A:$AX,MATCH($AA$1,Data!$A$1:$AX$1,),)</f>
        <v/>
      </c>
      <c r="AB61" s="19" t="n"/>
    </row>
    <row r="62">
      <c r="B62" s="15" t="n">
        <v>42095</v>
      </c>
      <c r="C62" s="20">
        <f>IF(VLOOKUP(B62,Data!$A:$AX,MATCH($C$1,Data!$A$1:$AX$1,))=0,#N/A,(VLOOKUP(B62,Data!$A:$AX,MATCH($C$1,Data!$A$1:$AX$1,),)-VLOOKUP(EDATE(B62,-12),Data!$A:$AX,MATCH($C$1,Data!$A$1:$AX$1,),))/VLOOKUP(EDATE(B62,-12),Data!$A:$AX,MATCH($C$1,Data!$A$1:$AX$1,),))</f>
        <v/>
      </c>
      <c r="D62" s="20">
        <f>IF(VLOOKUP(B62,Data!$A:$AX,MATCH($D$1,Data!$A$1:$AX$1,))=0,#N/A,(VLOOKUP(B62,Data!$A:$AX,MATCH($D$1,Data!$A$1:$AX$1,),)-VLOOKUP(EDATE(B62,-12),Data!$A:$AX,MATCH($D$1,Data!$A$1:$AX$1,),))/VLOOKUP(EDATE(B62,-12),Data!$A:$AX,MATCH($D$1,Data!$A$1:$AX$1,),))</f>
        <v/>
      </c>
      <c r="E62" s="20">
        <f>IF(VLOOKUP(B62,Data!$A:$AX,MATCH($E$1,Data!$A$1:$AX$1,))=0,#N/A,(VLOOKUP(B62,Data!$A:$AX,MATCH($E$1,Data!$A$1:$AX$1,),)-VLOOKUP(EDATE(B62,-12),Data!$A:$AX,MATCH($E$1,Data!$A$1:$AX$1,),))/VLOOKUP(EDATE(B62,-12),Data!$A:$AX,MATCH($E$1,Data!$A$1:$AX$1,),))</f>
        <v/>
      </c>
      <c r="F62" s="20">
        <f>IF(VLOOKUP(B62,Data!$A:$AX,MATCH($F$1,Data!$A$1:$AX$1,))=0,#N/A,(VLOOKUP(B62,Data!$A:$AX,MATCH($F$1,Data!$A$1:$AX$1,),)-VLOOKUP(EDATE(B62,-12),Data!$A:$AX,MATCH($F$1,Data!$A$1:$AX$1,),))/VLOOKUP(EDATE(B62,-12),Data!$A:$AX,MATCH($F$1,Data!$A$1:$AX$1,),))</f>
        <v/>
      </c>
      <c r="G62" s="20">
        <f>IF(VLOOKUP(B62,Data!$A:$AX,MATCH($G$1,Data!$A$1:$AX$1,))=0,#N/A,(VLOOKUP(B62,Data!$A:$AX,MATCH($G$1,Data!$A$1:$AX$1,),)-VLOOKUP(EDATE(B62,-12),Data!$A:$AX,MATCH($G$1,Data!$A$1:$AX$1,),))/VLOOKUP(EDATE(B62,-12),Data!$A:$AX,MATCH($G$1,Data!$A$1:$AX$1,),))</f>
        <v/>
      </c>
      <c r="H62" s="20">
        <f>IF(VLOOKUP(B62,Data!$A:$AX,MATCH($H$1,Data!$A$1:$AX$1,))=0,#N/A,(VLOOKUP(B62,Data!$A:$AX,MATCH($H$1,Data!$A$1:$AX$1,),)-VLOOKUP(EDATE(B62,-12),Data!$A:$AX,MATCH($H$1,Data!$A$1:$AX$1,),))/VLOOKUP(EDATE(B62,-12),Data!$A:$AX,MATCH($H$1,Data!$A$1:$AX$1,),))</f>
        <v/>
      </c>
      <c r="I62" s="20">
        <f>IF(VLOOKUP(B62,Data!$A:$AX,MATCH($I$1,Data!$A$1:$AX$1,))=0,#N/A,(VLOOKUP(B62,Data!$A:$AX,MATCH($I$1,Data!$A$1:$AX$1,),)-VLOOKUP(EDATE(B62,-12),Data!$A:$AX,MATCH($I$1,Data!$A$1:$AX$1,),))/VLOOKUP(EDATE(B62,-12),Data!$A:$AX,MATCH($I$1,Data!$A$1:$AX$1,),))</f>
        <v/>
      </c>
      <c r="J62" s="20">
        <f>IF(VLOOKUP(B62,Data!$A:$AX,MATCH($J$1,Data!$A$1:$AX$1,))=0,#N/A,(VLOOKUP(B62,Data!$A:$AX,MATCH($J$1,Data!$A$1:$AX$1,),)-VLOOKUP(EDATE(B62,-12),Data!$A:$AX,MATCH($J$1,Data!$A$1:$AX$1,),))/VLOOKUP(EDATE(B62,-12),Data!$A:$AX,MATCH($J$1,Data!$A$1:$AX$1,),))</f>
        <v/>
      </c>
      <c r="K62" s="20">
        <f>IF(VLOOKUP(B62,Data!$A:$AX,MATCH($K$1,Data!$A$1:$AX$1,))=0,#N/A,(VLOOKUP(B62,Data!$A:$AX,MATCH($K$1,Data!$A$1:$AX$1,),)-VLOOKUP(EDATE(B62,-12),Data!$A:$AX,MATCH($K$1,Data!$A$1:$AX$1,),))/VLOOKUP(EDATE(B62,-12),Data!$A:$AX,MATCH($K$1,Data!$A$1:$AX$1,),))</f>
        <v/>
      </c>
      <c r="L62" s="20">
        <f>IF(VLOOKUP(B62,Data!$A:$AX,MATCH($L$1,Data!$A$1:$AX$1,))=0,#N/A,(VLOOKUP(B62,Data!$A:$AX,MATCH($L$1,Data!$A$1:$AX$1,),)-VLOOKUP(EDATE(B62,-12),Data!$A:$AX,MATCH($L$1,Data!$A$1:$AX$1,),))/VLOOKUP(EDATE(B62,-12),Data!$A:$AX,MATCH($L$1,Data!$A$1:$AX$1,),))</f>
        <v/>
      </c>
      <c r="M62" s="20">
        <f>IF(VLOOKUP(B62,Data!$A:$AX,MATCH($M$1,Data!$A$1:$AX$1,))=0,#N/A,(VLOOKUP(B62,Data!$A:$AX,MATCH($M$1,Data!$A$1:$AX$1,),)-VLOOKUP(EDATE(B62,-12),Data!$A:$AX,MATCH($M$1,Data!$A$1:$AX$1,),))/VLOOKUP(EDATE(B62,-12),Data!$A:$AX,MATCH($M$1,Data!$A$1:$AX$1,),))</f>
        <v/>
      </c>
      <c r="N62" s="20">
        <f>(VLOOKUP(B62,Data!$A:$AX,MATCH($N$1,Data!$A$1:$AX$1,),)-VLOOKUP(EDATE(B62,-12),Data!$A:$AX,MATCH($N$1,Data!$A$1:$AX$1,),))/VLOOKUP(EDATE(B62,-12),Data!$A:$AX,MATCH($N$1,Data!$A$1:$AX$1,),)</f>
        <v/>
      </c>
      <c r="O62" s="20">
        <f>IF(VLOOKUP(B62,Data!$A:$AX,MATCH($O$1,Data!$A$1:$AX$1,))=0,#N/A,(VLOOKUP(B62,Data!$A:$AX,MATCH($O$1,Data!$A$1:$AX$1,),)-VLOOKUP(EDATE(B62,-12),Data!$A:$AX,MATCH($O$1,Data!$A$1:$AX$1,),))/VLOOKUP(EDATE(B62,-12),Data!$A:$AX,MATCH($O$1,Data!$A$1:$AX$1,),))</f>
        <v/>
      </c>
      <c r="P62" s="20">
        <f>IF(VLOOKUP(B62,Data!$A:$AX,MATCH($P$1,Data!$A$1:$AX$1,))=0,#N/A,(VLOOKUP(B62,Data!$A:$AX,MATCH($P$1,Data!$A$1:$AX$1,),)-VLOOKUP(EDATE(B62,-12),Data!$A:$AX,MATCH($P$1,Data!$A$1:$AX$1,),))/VLOOKUP(EDATE(B62,-12),Data!$A:$AX,MATCH($P$1,Data!$A$1:$AX$1,),))</f>
        <v/>
      </c>
      <c r="Q62" s="20">
        <f>(VLOOKUP(B62,Data!$A:$AX,MATCH($Q$1,Data!$A$1:$AX$1,),)-VLOOKUP(EDATE(B62,-12),Data!$A:$AX,MATCH($Q$1,Data!$A$1:$AX$1,),))/VLOOKUP(EDATE(B62,-12),Data!$A:$AX,MATCH($Q$1,Data!$A$1:$AX$1,),)</f>
        <v/>
      </c>
      <c r="R62" s="20">
        <f>IF(VLOOKUP(B62,Data!$A:$AX,MATCH($R$1,Data!$A$1:$AX$1,))=0,#N/A,(VLOOKUP(B62,Data!$A:$AX,MATCH($R$1,Data!$A$1:$AX$1,),)-VLOOKUP(EDATE(B62,-12),Data!$A:$AX,MATCH($R$1,Data!$A$1:$AX$1,),))/VLOOKUP(EDATE(B62,-12),Data!$A:$AX,MATCH($R$1,Data!$A$1:$AX$1,),))</f>
        <v/>
      </c>
      <c r="S62" s="20">
        <f>IF(VLOOKUP(B62,Data!$A:$AX,MATCH($S$1,Data!$A$1:$AX$1,))=0,#N/A,(VLOOKUP(B62,Data!$A:$AX,MATCH($S$1,Data!$A$1:$AX$1,),)-VLOOKUP(EDATE(B62,-12),Data!$A:$AX,MATCH($S$1,Data!$A$1:$AX$1,),))/VLOOKUP(EDATE(B62,-12),Data!$A:$AX,MATCH($S$1,Data!$A$1:$AX$1,),))</f>
        <v/>
      </c>
      <c r="T62" s="20">
        <f>IF(VLOOKUP(B62,Data!$A:$AX,MATCH($T$1,Data!$A$1:$AX$1,))=0,#N/A,(VLOOKUP(B62,Data!$A:$AX,MATCH($T$1,Data!$A$1:$AX$1,),)-VLOOKUP(EDATE(B62,-12),Data!$A:$AX,MATCH($T$1,Data!$A$1:$AX$1,),))/VLOOKUP(EDATE(B62,-12),Data!$A:$AX,MATCH($T$1,Data!$A$1:$AX$1,),))</f>
        <v/>
      </c>
      <c r="U62" s="20">
        <f>IF(VLOOKUP(B62,Data!$A:$AX,MATCH($U$1,Data!$A$1:$AX$1,))=0,#N/A,(VLOOKUP(B62,Data!$A:$AX,MATCH($U$1,Data!$A$1:$AX$1,),)-VLOOKUP(EDATE(B62,-12),Data!$A:$AX,MATCH($U$1,Data!$A$1:$AX$1,),))/VLOOKUP(EDATE(B62,-12),Data!$A:$AX,MATCH($U$1,Data!$A$1:$AX$1,),))</f>
        <v/>
      </c>
      <c r="V62" s="20">
        <f>(VLOOKUP(B62,Data!$A:$AX,MATCH($V$1,Data!$A$1:$AX$1,),)-VLOOKUP(EDATE(B62,-12),Data!$A:$AX,MATCH($V$1,Data!$A$1:$AX$1,),))/VLOOKUP(EDATE(B62,-12),Data!$A:$AX,MATCH($V$1,Data!$A$1:$AX$1,),)</f>
        <v/>
      </c>
      <c r="W62" s="20">
        <f>IF(VLOOKUP(B62,Data!$A:$AX,MATCH($W$1,Data!$A$1:$AX$1,))=0,#N/A,(VLOOKUP(B62,Data!$A:$AX,MATCH($W$1,Data!$A$1:$AX$1,),)-VLOOKUP(EDATE(B62,-12),Data!$A:$AX,MATCH($W$1,Data!$A$1:$AX$1,),))/VLOOKUP(EDATE(B62,-12),Data!$A:$AX,MATCH($W$1,Data!$A$1:$AX$1,),))</f>
        <v/>
      </c>
      <c r="X62" s="20">
        <f>IF(VLOOKUP(B62,Data!$A:$AX,MATCH($X$1,Data!$A$1:$AX$1,))=0,#N/A,(VLOOKUP(B62,Data!$A:$AX,MATCH($X$1,Data!$A$1:$AX$1,),)-VLOOKUP(EDATE(B62,-12),Data!$A:$AX,MATCH($X$1,Data!$A$1:$AX$1,),))/VLOOKUP(EDATE(B62,-12),Data!$A:$AX,MATCH($X$1,Data!$A$1:$AX$1,),))</f>
        <v/>
      </c>
      <c r="Y62" s="20">
        <f>IF(VLOOKUP(B62,Data!$A:$AX,MATCH($Y$1,Data!$A$1:$AX$1,))=0,#N/A,(VLOOKUP(B62,Data!$A:$AX,MATCH($Y$1,Data!$A$1:$AX$1,),)-VLOOKUP(EDATE(B62,-12),Data!$A:$AX,MATCH($Y$1,Data!$A$1:$AX$1,),))/VLOOKUP(EDATE(B62,-12),Data!$A:$AX,MATCH($Y$1,Data!$A$1:$AX$1,),))</f>
        <v/>
      </c>
      <c r="Z62" s="20">
        <f>(VLOOKUP(B62,Data!$A:$AX,MATCH($Z$1,Data!$A$1:$AX$1,),)-VLOOKUP(EDATE(B62,-12),Data!$A:$AX,MATCH($Z$1,Data!$A$1:$AX$1,),))/VLOOKUP(EDATE(B62,-12),Data!$A:$AX,MATCH($Z$1,Data!$A$1:$AX$1,),)</f>
        <v/>
      </c>
      <c r="AA62" s="20">
        <f>(VLOOKUP(B62,Data!$A:$AX,MATCH($AA$1,Data!$A$1:$AX$1,),)-VLOOKUP(EDATE(B62,-12),Data!$A:$AX,MATCH($AA$1,Data!$A$1:$AX$1,),))/VLOOKUP(EDATE(B62,-12),Data!$A:$AX,MATCH($AA$1,Data!$A$1:$AX$1,),)</f>
        <v/>
      </c>
      <c r="AB62" s="19" t="n"/>
    </row>
    <row r="63">
      <c r="B63" s="15" t="n">
        <v>42125</v>
      </c>
      <c r="C63" s="20">
        <f>IF(VLOOKUP(B63,Data!$A:$AX,MATCH($C$1,Data!$A$1:$AX$1,))=0,#N/A,(VLOOKUP(B63,Data!$A:$AX,MATCH($C$1,Data!$A$1:$AX$1,),)-VLOOKUP(EDATE(B63,-12),Data!$A:$AX,MATCH($C$1,Data!$A$1:$AX$1,),))/VLOOKUP(EDATE(B63,-12),Data!$A:$AX,MATCH($C$1,Data!$A$1:$AX$1,),))</f>
        <v/>
      </c>
      <c r="D63" s="20">
        <f>IF(VLOOKUP(B63,Data!$A:$AX,MATCH($D$1,Data!$A$1:$AX$1,))=0,#N/A,(VLOOKUP(B63,Data!$A:$AX,MATCH($D$1,Data!$A$1:$AX$1,),)-VLOOKUP(EDATE(B63,-12),Data!$A:$AX,MATCH($D$1,Data!$A$1:$AX$1,),))/VLOOKUP(EDATE(B63,-12),Data!$A:$AX,MATCH($D$1,Data!$A$1:$AX$1,),))</f>
        <v/>
      </c>
      <c r="E63" s="20">
        <f>IF(VLOOKUP(B63,Data!$A:$AX,MATCH($E$1,Data!$A$1:$AX$1,))=0,#N/A,(VLOOKUP(B63,Data!$A:$AX,MATCH($E$1,Data!$A$1:$AX$1,),)-VLOOKUP(EDATE(B63,-12),Data!$A:$AX,MATCH($E$1,Data!$A$1:$AX$1,),))/VLOOKUP(EDATE(B63,-12),Data!$A:$AX,MATCH($E$1,Data!$A$1:$AX$1,),))</f>
        <v/>
      </c>
      <c r="F63" s="20">
        <f>IF(VLOOKUP(B63,Data!$A:$AX,MATCH($F$1,Data!$A$1:$AX$1,))=0,#N/A,(VLOOKUP(B63,Data!$A:$AX,MATCH($F$1,Data!$A$1:$AX$1,),)-VLOOKUP(EDATE(B63,-12),Data!$A:$AX,MATCH($F$1,Data!$A$1:$AX$1,),))/VLOOKUP(EDATE(B63,-12),Data!$A:$AX,MATCH($F$1,Data!$A$1:$AX$1,),))</f>
        <v/>
      </c>
      <c r="G63" s="20">
        <f>IF(VLOOKUP(B63,Data!$A:$AX,MATCH($G$1,Data!$A$1:$AX$1,))=0,#N/A,(VLOOKUP(B63,Data!$A:$AX,MATCH($G$1,Data!$A$1:$AX$1,),)-VLOOKUP(EDATE(B63,-12),Data!$A:$AX,MATCH($G$1,Data!$A$1:$AX$1,),))/VLOOKUP(EDATE(B63,-12),Data!$A:$AX,MATCH($G$1,Data!$A$1:$AX$1,),))</f>
        <v/>
      </c>
      <c r="H63" s="20">
        <f>IF(VLOOKUP(B63,Data!$A:$AX,MATCH($H$1,Data!$A$1:$AX$1,))=0,#N/A,(VLOOKUP(B63,Data!$A:$AX,MATCH($H$1,Data!$A$1:$AX$1,),)-VLOOKUP(EDATE(B63,-12),Data!$A:$AX,MATCH($H$1,Data!$A$1:$AX$1,),))/VLOOKUP(EDATE(B63,-12),Data!$A:$AX,MATCH($H$1,Data!$A$1:$AX$1,),))</f>
        <v/>
      </c>
      <c r="I63" s="20">
        <f>IF(VLOOKUP(B63,Data!$A:$AX,MATCH($I$1,Data!$A$1:$AX$1,))=0,#N/A,(VLOOKUP(B63,Data!$A:$AX,MATCH($I$1,Data!$A$1:$AX$1,),)-VLOOKUP(EDATE(B63,-12),Data!$A:$AX,MATCH($I$1,Data!$A$1:$AX$1,),))/VLOOKUP(EDATE(B63,-12),Data!$A:$AX,MATCH($I$1,Data!$A$1:$AX$1,),))</f>
        <v/>
      </c>
      <c r="J63" s="20">
        <f>IF(VLOOKUP(B63,Data!$A:$AX,MATCH($J$1,Data!$A$1:$AX$1,))=0,#N/A,(VLOOKUP(B63,Data!$A:$AX,MATCH($J$1,Data!$A$1:$AX$1,),)-VLOOKUP(EDATE(B63,-12),Data!$A:$AX,MATCH($J$1,Data!$A$1:$AX$1,),))/VLOOKUP(EDATE(B63,-12),Data!$A:$AX,MATCH($J$1,Data!$A$1:$AX$1,),))</f>
        <v/>
      </c>
      <c r="K63" s="20">
        <f>IF(VLOOKUP(B63,Data!$A:$AX,MATCH($K$1,Data!$A$1:$AX$1,))=0,#N/A,(VLOOKUP(B63,Data!$A:$AX,MATCH($K$1,Data!$A$1:$AX$1,),)-VLOOKUP(EDATE(B63,-12),Data!$A:$AX,MATCH($K$1,Data!$A$1:$AX$1,),))/VLOOKUP(EDATE(B63,-12),Data!$A:$AX,MATCH($K$1,Data!$A$1:$AX$1,),))</f>
        <v/>
      </c>
      <c r="L63" s="20">
        <f>IF(VLOOKUP(B63,Data!$A:$AX,MATCH($L$1,Data!$A$1:$AX$1,))=0,#N/A,(VLOOKUP(B63,Data!$A:$AX,MATCH($L$1,Data!$A$1:$AX$1,),)-VLOOKUP(EDATE(B63,-12),Data!$A:$AX,MATCH($L$1,Data!$A$1:$AX$1,),))/VLOOKUP(EDATE(B63,-12),Data!$A:$AX,MATCH($L$1,Data!$A$1:$AX$1,),))</f>
        <v/>
      </c>
      <c r="M63" s="20">
        <f>IF(VLOOKUP(B63,Data!$A:$AX,MATCH($M$1,Data!$A$1:$AX$1,))=0,#N/A,(VLOOKUP(B63,Data!$A:$AX,MATCH($M$1,Data!$A$1:$AX$1,),)-VLOOKUP(EDATE(B63,-12),Data!$A:$AX,MATCH($M$1,Data!$A$1:$AX$1,),))/VLOOKUP(EDATE(B63,-12),Data!$A:$AX,MATCH($M$1,Data!$A$1:$AX$1,),))</f>
        <v/>
      </c>
      <c r="N63" s="20">
        <f>(VLOOKUP(B63,Data!$A:$AX,MATCH($N$1,Data!$A$1:$AX$1,),)-VLOOKUP(EDATE(B63,-12),Data!$A:$AX,MATCH($N$1,Data!$A$1:$AX$1,),))/VLOOKUP(EDATE(B63,-12),Data!$A:$AX,MATCH($N$1,Data!$A$1:$AX$1,),)</f>
        <v/>
      </c>
      <c r="O63" s="20">
        <f>IF(VLOOKUP(B63,Data!$A:$AX,MATCH($O$1,Data!$A$1:$AX$1,))=0,#N/A,(VLOOKUP(B63,Data!$A:$AX,MATCH($O$1,Data!$A$1:$AX$1,),)-VLOOKUP(EDATE(B63,-12),Data!$A:$AX,MATCH($O$1,Data!$A$1:$AX$1,),))/VLOOKUP(EDATE(B63,-12),Data!$A:$AX,MATCH($O$1,Data!$A$1:$AX$1,),))</f>
        <v/>
      </c>
      <c r="P63" s="20">
        <f>IF(VLOOKUP(B63,Data!$A:$AX,MATCH($P$1,Data!$A$1:$AX$1,))=0,#N/A,(VLOOKUP(B63,Data!$A:$AX,MATCH($P$1,Data!$A$1:$AX$1,),)-VLOOKUP(EDATE(B63,-12),Data!$A:$AX,MATCH($P$1,Data!$A$1:$AX$1,),))/VLOOKUP(EDATE(B63,-12),Data!$A:$AX,MATCH($P$1,Data!$A$1:$AX$1,),))</f>
        <v/>
      </c>
      <c r="Q63" s="20">
        <f>(VLOOKUP(B63,Data!$A:$AX,MATCH($Q$1,Data!$A$1:$AX$1,),)-VLOOKUP(EDATE(B63,-12),Data!$A:$AX,MATCH($Q$1,Data!$A$1:$AX$1,),))/VLOOKUP(EDATE(B63,-12),Data!$A:$AX,MATCH($Q$1,Data!$A$1:$AX$1,),)</f>
        <v/>
      </c>
      <c r="R63" s="20">
        <f>IF(VLOOKUP(B63,Data!$A:$AX,MATCH($R$1,Data!$A$1:$AX$1,))=0,#N/A,(VLOOKUP(B63,Data!$A:$AX,MATCH($R$1,Data!$A$1:$AX$1,),)-VLOOKUP(EDATE(B63,-12),Data!$A:$AX,MATCH($R$1,Data!$A$1:$AX$1,),))/VLOOKUP(EDATE(B63,-12),Data!$A:$AX,MATCH($R$1,Data!$A$1:$AX$1,),))</f>
        <v/>
      </c>
      <c r="S63" s="20">
        <f>IF(VLOOKUP(B63,Data!$A:$AX,MATCH($S$1,Data!$A$1:$AX$1,))=0,#N/A,(VLOOKUP(B63,Data!$A:$AX,MATCH($S$1,Data!$A$1:$AX$1,),)-VLOOKUP(EDATE(B63,-12),Data!$A:$AX,MATCH($S$1,Data!$A$1:$AX$1,),))/VLOOKUP(EDATE(B63,-12),Data!$A:$AX,MATCH($S$1,Data!$A$1:$AX$1,),))</f>
        <v/>
      </c>
      <c r="T63" s="20">
        <f>IF(VLOOKUP(B63,Data!$A:$AX,MATCH($T$1,Data!$A$1:$AX$1,))=0,#N/A,(VLOOKUP(B63,Data!$A:$AX,MATCH($T$1,Data!$A$1:$AX$1,),)-VLOOKUP(EDATE(B63,-12),Data!$A:$AX,MATCH($T$1,Data!$A$1:$AX$1,),))/VLOOKUP(EDATE(B63,-12),Data!$A:$AX,MATCH($T$1,Data!$A$1:$AX$1,),))</f>
        <v/>
      </c>
      <c r="U63" s="20">
        <f>IF(VLOOKUP(B63,Data!$A:$AX,MATCH($U$1,Data!$A$1:$AX$1,))=0,#N/A,(VLOOKUP(B63,Data!$A:$AX,MATCH($U$1,Data!$A$1:$AX$1,),)-VLOOKUP(EDATE(B63,-12),Data!$A:$AX,MATCH($U$1,Data!$A$1:$AX$1,),))/VLOOKUP(EDATE(B63,-12),Data!$A:$AX,MATCH($U$1,Data!$A$1:$AX$1,),))</f>
        <v/>
      </c>
      <c r="V63" s="20">
        <f>(VLOOKUP(B63,Data!$A:$AX,MATCH($V$1,Data!$A$1:$AX$1,),)-VLOOKUP(EDATE(B63,-12),Data!$A:$AX,MATCH($V$1,Data!$A$1:$AX$1,),))/VLOOKUP(EDATE(B63,-12),Data!$A:$AX,MATCH($V$1,Data!$A$1:$AX$1,),)</f>
        <v/>
      </c>
      <c r="W63" s="20">
        <f>IF(VLOOKUP(B63,Data!$A:$AX,MATCH($W$1,Data!$A$1:$AX$1,))=0,#N/A,(VLOOKUP(B63,Data!$A:$AX,MATCH($W$1,Data!$A$1:$AX$1,),)-VLOOKUP(EDATE(B63,-12),Data!$A:$AX,MATCH($W$1,Data!$A$1:$AX$1,),))/VLOOKUP(EDATE(B63,-12),Data!$A:$AX,MATCH($W$1,Data!$A$1:$AX$1,),))</f>
        <v/>
      </c>
      <c r="X63" s="20">
        <f>IF(VLOOKUP(B63,Data!$A:$AX,MATCH($X$1,Data!$A$1:$AX$1,))=0,#N/A,(VLOOKUP(B63,Data!$A:$AX,MATCH($X$1,Data!$A$1:$AX$1,),)-VLOOKUP(EDATE(B63,-12),Data!$A:$AX,MATCH($X$1,Data!$A$1:$AX$1,),))/VLOOKUP(EDATE(B63,-12),Data!$A:$AX,MATCH($X$1,Data!$A$1:$AX$1,),))</f>
        <v/>
      </c>
      <c r="Y63" s="20">
        <f>IF(VLOOKUP(B63,Data!$A:$AX,MATCH($Y$1,Data!$A$1:$AX$1,))=0,#N/A,(VLOOKUP(B63,Data!$A:$AX,MATCH($Y$1,Data!$A$1:$AX$1,),)-VLOOKUP(EDATE(B63,-12),Data!$A:$AX,MATCH($Y$1,Data!$A$1:$AX$1,),))/VLOOKUP(EDATE(B63,-12),Data!$A:$AX,MATCH($Y$1,Data!$A$1:$AX$1,),))</f>
        <v/>
      </c>
      <c r="Z63" s="20">
        <f>(VLOOKUP(B63,Data!$A:$AX,MATCH($Z$1,Data!$A$1:$AX$1,),)-VLOOKUP(EDATE(B63,-12),Data!$A:$AX,MATCH($Z$1,Data!$A$1:$AX$1,),))/VLOOKUP(EDATE(B63,-12),Data!$A:$AX,MATCH($Z$1,Data!$A$1:$AX$1,),)</f>
        <v/>
      </c>
      <c r="AA63" s="20">
        <f>(VLOOKUP(B63,Data!$A:$AX,MATCH($AA$1,Data!$A$1:$AX$1,),)-VLOOKUP(EDATE(B63,-12),Data!$A:$AX,MATCH($AA$1,Data!$A$1:$AX$1,),))/VLOOKUP(EDATE(B63,-12),Data!$A:$AX,MATCH($AA$1,Data!$A$1:$AX$1,),)</f>
        <v/>
      </c>
      <c r="AB63" s="19" t="n"/>
    </row>
    <row r="64">
      <c r="B64" s="15" t="n">
        <v>42156</v>
      </c>
      <c r="C64" s="20">
        <f>IF(VLOOKUP(B64,Data!$A:$AX,MATCH($C$1,Data!$A$1:$AX$1,))=0,#N/A,(VLOOKUP(B64,Data!$A:$AX,MATCH($C$1,Data!$A$1:$AX$1,),)-VLOOKUP(EDATE(B64,-12),Data!$A:$AX,MATCH($C$1,Data!$A$1:$AX$1,),))/VLOOKUP(EDATE(B64,-12),Data!$A:$AX,MATCH($C$1,Data!$A$1:$AX$1,),))</f>
        <v/>
      </c>
      <c r="D64" s="20">
        <f>IF(VLOOKUP(B64,Data!$A:$AX,MATCH($D$1,Data!$A$1:$AX$1,))=0,#N/A,(VLOOKUP(B64,Data!$A:$AX,MATCH($D$1,Data!$A$1:$AX$1,),)-VLOOKUP(EDATE(B64,-12),Data!$A:$AX,MATCH($D$1,Data!$A$1:$AX$1,),))/VLOOKUP(EDATE(B64,-12),Data!$A:$AX,MATCH($D$1,Data!$A$1:$AX$1,),))</f>
        <v/>
      </c>
      <c r="E64" s="20">
        <f>IF(VLOOKUP(B64,Data!$A:$AX,MATCH($E$1,Data!$A$1:$AX$1,))=0,#N/A,(VLOOKUP(B64,Data!$A:$AX,MATCH($E$1,Data!$A$1:$AX$1,),)-VLOOKUP(EDATE(B64,-12),Data!$A:$AX,MATCH($E$1,Data!$A$1:$AX$1,),))/VLOOKUP(EDATE(B64,-12),Data!$A:$AX,MATCH($E$1,Data!$A$1:$AX$1,),))</f>
        <v/>
      </c>
      <c r="F64" s="20">
        <f>IF(VLOOKUP(B64,Data!$A:$AX,MATCH($F$1,Data!$A$1:$AX$1,))=0,#N/A,(VLOOKUP(B64,Data!$A:$AX,MATCH($F$1,Data!$A$1:$AX$1,),)-VLOOKUP(EDATE(B64,-12),Data!$A:$AX,MATCH($F$1,Data!$A$1:$AX$1,),))/VLOOKUP(EDATE(B64,-12),Data!$A:$AX,MATCH($F$1,Data!$A$1:$AX$1,),))</f>
        <v/>
      </c>
      <c r="G64" s="20">
        <f>IF(VLOOKUP(B64,Data!$A:$AX,MATCH($G$1,Data!$A$1:$AX$1,))=0,#N/A,(VLOOKUP(B64,Data!$A:$AX,MATCH($G$1,Data!$A$1:$AX$1,),)-VLOOKUP(EDATE(B64,-12),Data!$A:$AX,MATCH($G$1,Data!$A$1:$AX$1,),))/VLOOKUP(EDATE(B64,-12),Data!$A:$AX,MATCH($G$1,Data!$A$1:$AX$1,),))</f>
        <v/>
      </c>
      <c r="H64" s="20">
        <f>IF(VLOOKUP(B64,Data!$A:$AX,MATCH($H$1,Data!$A$1:$AX$1,))=0,#N/A,(VLOOKUP(B64,Data!$A:$AX,MATCH($H$1,Data!$A$1:$AX$1,),)-VLOOKUP(EDATE(B64,-12),Data!$A:$AX,MATCH($H$1,Data!$A$1:$AX$1,),))/VLOOKUP(EDATE(B64,-12),Data!$A:$AX,MATCH($H$1,Data!$A$1:$AX$1,),))</f>
        <v/>
      </c>
      <c r="I64" s="20">
        <f>IF(VLOOKUP(B64,Data!$A:$AX,MATCH($I$1,Data!$A$1:$AX$1,))=0,#N/A,(VLOOKUP(B64,Data!$A:$AX,MATCH($I$1,Data!$A$1:$AX$1,),)-VLOOKUP(EDATE(B64,-12),Data!$A:$AX,MATCH($I$1,Data!$A$1:$AX$1,),))/VLOOKUP(EDATE(B64,-12),Data!$A:$AX,MATCH($I$1,Data!$A$1:$AX$1,),))</f>
        <v/>
      </c>
      <c r="J64" s="20">
        <f>IF(VLOOKUP(B64,Data!$A:$AX,MATCH($J$1,Data!$A$1:$AX$1,))=0,#N/A,(VLOOKUP(B64,Data!$A:$AX,MATCH($J$1,Data!$A$1:$AX$1,),)-VLOOKUP(EDATE(B64,-12),Data!$A:$AX,MATCH($J$1,Data!$A$1:$AX$1,),))/VLOOKUP(EDATE(B64,-12),Data!$A:$AX,MATCH($J$1,Data!$A$1:$AX$1,),))</f>
        <v/>
      </c>
      <c r="K64" s="20">
        <f>IF(VLOOKUP(B64,Data!$A:$AX,MATCH($K$1,Data!$A$1:$AX$1,))=0,#N/A,(VLOOKUP(B64,Data!$A:$AX,MATCH($K$1,Data!$A$1:$AX$1,),)-VLOOKUP(EDATE(B64,-12),Data!$A:$AX,MATCH($K$1,Data!$A$1:$AX$1,),))/VLOOKUP(EDATE(B64,-12),Data!$A:$AX,MATCH($K$1,Data!$A$1:$AX$1,),))</f>
        <v/>
      </c>
      <c r="L64" s="20">
        <f>IF(VLOOKUP(B64,Data!$A:$AX,MATCH($L$1,Data!$A$1:$AX$1,))=0,#N/A,(VLOOKUP(B64,Data!$A:$AX,MATCH($L$1,Data!$A$1:$AX$1,),)-VLOOKUP(EDATE(B64,-12),Data!$A:$AX,MATCH($L$1,Data!$A$1:$AX$1,),))/VLOOKUP(EDATE(B64,-12),Data!$A:$AX,MATCH($L$1,Data!$A$1:$AX$1,),))</f>
        <v/>
      </c>
      <c r="M64" s="20">
        <f>IF(VLOOKUP(B64,Data!$A:$AX,MATCH($M$1,Data!$A$1:$AX$1,))=0,#N/A,(VLOOKUP(B64,Data!$A:$AX,MATCH($M$1,Data!$A$1:$AX$1,),)-VLOOKUP(EDATE(B64,-12),Data!$A:$AX,MATCH($M$1,Data!$A$1:$AX$1,),))/VLOOKUP(EDATE(B64,-12),Data!$A:$AX,MATCH($M$1,Data!$A$1:$AX$1,),))</f>
        <v/>
      </c>
      <c r="N64" s="20">
        <f>(VLOOKUP(B64,Data!$A:$AX,MATCH($N$1,Data!$A$1:$AX$1,),)-VLOOKUP(EDATE(B64,-12),Data!$A:$AX,MATCH($N$1,Data!$A$1:$AX$1,),))/VLOOKUP(EDATE(B64,-12),Data!$A:$AX,MATCH($N$1,Data!$A$1:$AX$1,),)</f>
        <v/>
      </c>
      <c r="O64" s="20">
        <f>IF(VLOOKUP(B64,Data!$A:$AX,MATCH($O$1,Data!$A$1:$AX$1,))=0,#N/A,(VLOOKUP(B64,Data!$A:$AX,MATCH($O$1,Data!$A$1:$AX$1,),)-VLOOKUP(EDATE(B64,-12),Data!$A:$AX,MATCH($O$1,Data!$A$1:$AX$1,),))/VLOOKUP(EDATE(B64,-12),Data!$A:$AX,MATCH($O$1,Data!$A$1:$AX$1,),))</f>
        <v/>
      </c>
      <c r="P64" s="20">
        <f>IF(VLOOKUP(B64,Data!$A:$AX,MATCH($P$1,Data!$A$1:$AX$1,))=0,#N/A,(VLOOKUP(B64,Data!$A:$AX,MATCH($P$1,Data!$A$1:$AX$1,),)-VLOOKUP(EDATE(B64,-12),Data!$A:$AX,MATCH($P$1,Data!$A$1:$AX$1,),))/VLOOKUP(EDATE(B64,-12),Data!$A:$AX,MATCH($P$1,Data!$A$1:$AX$1,),))</f>
        <v/>
      </c>
      <c r="Q64" s="20">
        <f>(VLOOKUP(B64,Data!$A:$AX,MATCH($Q$1,Data!$A$1:$AX$1,),)-VLOOKUP(EDATE(B64,-12),Data!$A:$AX,MATCH($Q$1,Data!$A$1:$AX$1,),))/VLOOKUP(EDATE(B64,-12),Data!$A:$AX,MATCH($Q$1,Data!$A$1:$AX$1,),)</f>
        <v/>
      </c>
      <c r="R64" s="20">
        <f>IF(VLOOKUP(B64,Data!$A:$AX,MATCH($R$1,Data!$A$1:$AX$1,))=0,#N/A,(VLOOKUP(B64,Data!$A:$AX,MATCH($R$1,Data!$A$1:$AX$1,),)-VLOOKUP(EDATE(B64,-12),Data!$A:$AX,MATCH($R$1,Data!$A$1:$AX$1,),))/VLOOKUP(EDATE(B64,-12),Data!$A:$AX,MATCH($R$1,Data!$A$1:$AX$1,),))</f>
        <v/>
      </c>
      <c r="S64" s="20">
        <f>IF(VLOOKUP(B64,Data!$A:$AX,MATCH($S$1,Data!$A$1:$AX$1,))=0,#N/A,(VLOOKUP(B64,Data!$A:$AX,MATCH($S$1,Data!$A$1:$AX$1,),)-VLOOKUP(EDATE(B64,-12),Data!$A:$AX,MATCH($S$1,Data!$A$1:$AX$1,),))/VLOOKUP(EDATE(B64,-12),Data!$A:$AX,MATCH($S$1,Data!$A$1:$AX$1,),))</f>
        <v/>
      </c>
      <c r="T64" s="20">
        <f>IF(VLOOKUP(B64,Data!$A:$AX,MATCH($T$1,Data!$A$1:$AX$1,))=0,#N/A,(VLOOKUP(B64,Data!$A:$AX,MATCH($T$1,Data!$A$1:$AX$1,),)-VLOOKUP(EDATE(B64,-12),Data!$A:$AX,MATCH($T$1,Data!$A$1:$AX$1,),))/VLOOKUP(EDATE(B64,-12),Data!$A:$AX,MATCH($T$1,Data!$A$1:$AX$1,),))</f>
        <v/>
      </c>
      <c r="U64" s="20">
        <f>IF(VLOOKUP(B64,Data!$A:$AX,MATCH($U$1,Data!$A$1:$AX$1,))=0,#N/A,(VLOOKUP(B64,Data!$A:$AX,MATCH($U$1,Data!$A$1:$AX$1,),)-VLOOKUP(EDATE(B64,-12),Data!$A:$AX,MATCH($U$1,Data!$A$1:$AX$1,),))/VLOOKUP(EDATE(B64,-12),Data!$A:$AX,MATCH($U$1,Data!$A$1:$AX$1,),))</f>
        <v/>
      </c>
      <c r="V64" s="20">
        <f>(VLOOKUP(B64,Data!$A:$AX,MATCH($V$1,Data!$A$1:$AX$1,),)-VLOOKUP(EDATE(B64,-12),Data!$A:$AX,MATCH($V$1,Data!$A$1:$AX$1,),))/VLOOKUP(EDATE(B64,-12),Data!$A:$AX,MATCH($V$1,Data!$A$1:$AX$1,),)</f>
        <v/>
      </c>
      <c r="W64" s="20">
        <f>IF(VLOOKUP(B64,Data!$A:$AX,MATCH($W$1,Data!$A$1:$AX$1,))=0,#N/A,(VLOOKUP(B64,Data!$A:$AX,MATCH($W$1,Data!$A$1:$AX$1,),)-VLOOKUP(EDATE(B64,-12),Data!$A:$AX,MATCH($W$1,Data!$A$1:$AX$1,),))/VLOOKUP(EDATE(B64,-12),Data!$A:$AX,MATCH($W$1,Data!$A$1:$AX$1,),))</f>
        <v/>
      </c>
      <c r="X64" s="20">
        <f>IF(VLOOKUP(B64,Data!$A:$AX,MATCH($X$1,Data!$A$1:$AX$1,))=0,#N/A,(VLOOKUP(B64,Data!$A:$AX,MATCH($X$1,Data!$A$1:$AX$1,),)-VLOOKUP(EDATE(B64,-12),Data!$A:$AX,MATCH($X$1,Data!$A$1:$AX$1,),))/VLOOKUP(EDATE(B64,-12),Data!$A:$AX,MATCH($X$1,Data!$A$1:$AX$1,),))</f>
        <v/>
      </c>
      <c r="Y64" s="20">
        <f>IF(VLOOKUP(B64,Data!$A:$AX,MATCH($Y$1,Data!$A$1:$AX$1,))=0,#N/A,(VLOOKUP(B64,Data!$A:$AX,MATCH($Y$1,Data!$A$1:$AX$1,),)-VLOOKUP(EDATE(B64,-12),Data!$A:$AX,MATCH($Y$1,Data!$A$1:$AX$1,),))/VLOOKUP(EDATE(B64,-12),Data!$A:$AX,MATCH($Y$1,Data!$A$1:$AX$1,),))</f>
        <v/>
      </c>
      <c r="Z64" s="20">
        <f>(VLOOKUP(B64,Data!$A:$AX,MATCH($Z$1,Data!$A$1:$AX$1,),)-VLOOKUP(EDATE(B64,-12),Data!$A:$AX,MATCH($Z$1,Data!$A$1:$AX$1,),))/VLOOKUP(EDATE(B64,-12),Data!$A:$AX,MATCH($Z$1,Data!$A$1:$AX$1,),)</f>
        <v/>
      </c>
      <c r="AA64" s="20">
        <f>(VLOOKUP(B64,Data!$A:$AX,MATCH($AA$1,Data!$A$1:$AX$1,),)-VLOOKUP(EDATE(B64,-12),Data!$A:$AX,MATCH($AA$1,Data!$A$1:$AX$1,),))/VLOOKUP(EDATE(B64,-12),Data!$A:$AX,MATCH($AA$1,Data!$A$1:$AX$1,),)</f>
        <v/>
      </c>
      <c r="AB64" s="19" t="n"/>
    </row>
    <row r="65">
      <c r="B65" s="15" t="n">
        <v>42186</v>
      </c>
      <c r="C65" s="20">
        <f>IF(VLOOKUP(B65,Data!$A:$AX,MATCH($C$1,Data!$A$1:$AX$1,))=0,#N/A,(VLOOKUP(B65,Data!$A:$AX,MATCH($C$1,Data!$A$1:$AX$1,),)-VLOOKUP(EDATE(B65,-12),Data!$A:$AX,MATCH($C$1,Data!$A$1:$AX$1,),))/VLOOKUP(EDATE(B65,-12),Data!$A:$AX,MATCH($C$1,Data!$A$1:$AX$1,),))</f>
        <v/>
      </c>
      <c r="D65" s="20">
        <f>IF(VLOOKUP(B65,Data!$A:$AX,MATCH($D$1,Data!$A$1:$AX$1,))=0,#N/A,(VLOOKUP(B65,Data!$A:$AX,MATCH($D$1,Data!$A$1:$AX$1,),)-VLOOKUP(EDATE(B65,-12),Data!$A:$AX,MATCH($D$1,Data!$A$1:$AX$1,),))/VLOOKUP(EDATE(B65,-12),Data!$A:$AX,MATCH($D$1,Data!$A$1:$AX$1,),))</f>
        <v/>
      </c>
      <c r="E65" s="20">
        <f>IF(VLOOKUP(B65,Data!$A:$AX,MATCH($E$1,Data!$A$1:$AX$1,))=0,#N/A,(VLOOKUP(B65,Data!$A:$AX,MATCH($E$1,Data!$A$1:$AX$1,),)-VLOOKUP(EDATE(B65,-12),Data!$A:$AX,MATCH($E$1,Data!$A$1:$AX$1,),))/VLOOKUP(EDATE(B65,-12),Data!$A:$AX,MATCH($E$1,Data!$A$1:$AX$1,),))</f>
        <v/>
      </c>
      <c r="F65" s="20">
        <f>IF(VLOOKUP(B65,Data!$A:$AX,MATCH($F$1,Data!$A$1:$AX$1,))=0,#N/A,(VLOOKUP(B65,Data!$A:$AX,MATCH($F$1,Data!$A$1:$AX$1,),)-VLOOKUP(EDATE(B65,-12),Data!$A:$AX,MATCH($F$1,Data!$A$1:$AX$1,),))/VLOOKUP(EDATE(B65,-12),Data!$A:$AX,MATCH($F$1,Data!$A$1:$AX$1,),))</f>
        <v/>
      </c>
      <c r="G65" s="20">
        <f>IF(VLOOKUP(B65,Data!$A:$AX,MATCH($G$1,Data!$A$1:$AX$1,))=0,#N/A,(VLOOKUP(B65,Data!$A:$AX,MATCH($G$1,Data!$A$1:$AX$1,),)-VLOOKUP(EDATE(B65,-12),Data!$A:$AX,MATCH($G$1,Data!$A$1:$AX$1,),))/VLOOKUP(EDATE(B65,-12),Data!$A:$AX,MATCH($G$1,Data!$A$1:$AX$1,),))</f>
        <v/>
      </c>
      <c r="H65" s="20">
        <f>IF(VLOOKUP(B65,Data!$A:$AX,MATCH($H$1,Data!$A$1:$AX$1,))=0,#N/A,(VLOOKUP(B65,Data!$A:$AX,MATCH($H$1,Data!$A$1:$AX$1,),)-VLOOKUP(EDATE(B65,-12),Data!$A:$AX,MATCH($H$1,Data!$A$1:$AX$1,),))/VLOOKUP(EDATE(B65,-12),Data!$A:$AX,MATCH($H$1,Data!$A$1:$AX$1,),))</f>
        <v/>
      </c>
      <c r="I65" s="20">
        <f>IF(VLOOKUP(B65,Data!$A:$AX,MATCH($I$1,Data!$A$1:$AX$1,))=0,#N/A,(VLOOKUP(B65,Data!$A:$AX,MATCH($I$1,Data!$A$1:$AX$1,),)-VLOOKUP(EDATE(B65,-12),Data!$A:$AX,MATCH($I$1,Data!$A$1:$AX$1,),))/VLOOKUP(EDATE(B65,-12),Data!$A:$AX,MATCH($I$1,Data!$A$1:$AX$1,),))</f>
        <v/>
      </c>
      <c r="J65" s="20">
        <f>IF(VLOOKUP(B65,Data!$A:$AX,MATCH($J$1,Data!$A$1:$AX$1,))=0,#N/A,(VLOOKUP(B65,Data!$A:$AX,MATCH($J$1,Data!$A$1:$AX$1,),)-VLOOKUP(EDATE(B65,-12),Data!$A:$AX,MATCH($J$1,Data!$A$1:$AX$1,),))/VLOOKUP(EDATE(B65,-12),Data!$A:$AX,MATCH($J$1,Data!$A$1:$AX$1,),))</f>
        <v/>
      </c>
      <c r="K65" s="20">
        <f>IF(VLOOKUP(B65,Data!$A:$AX,MATCH($K$1,Data!$A$1:$AX$1,))=0,#N/A,(VLOOKUP(B65,Data!$A:$AX,MATCH($K$1,Data!$A$1:$AX$1,),)-VLOOKUP(EDATE(B65,-12),Data!$A:$AX,MATCH($K$1,Data!$A$1:$AX$1,),))/VLOOKUP(EDATE(B65,-12),Data!$A:$AX,MATCH($K$1,Data!$A$1:$AX$1,),))</f>
        <v/>
      </c>
      <c r="L65" s="20">
        <f>IF(VLOOKUP(B65,Data!$A:$AX,MATCH($L$1,Data!$A$1:$AX$1,))=0,#N/A,(VLOOKUP(B65,Data!$A:$AX,MATCH($L$1,Data!$A$1:$AX$1,),)-VLOOKUP(EDATE(B65,-12),Data!$A:$AX,MATCH($L$1,Data!$A$1:$AX$1,),))/VLOOKUP(EDATE(B65,-12),Data!$A:$AX,MATCH($L$1,Data!$A$1:$AX$1,),))</f>
        <v/>
      </c>
      <c r="M65" s="20">
        <f>IF(VLOOKUP(B65,Data!$A:$AX,MATCH($M$1,Data!$A$1:$AX$1,))=0,#N/A,(VLOOKUP(B65,Data!$A:$AX,MATCH($M$1,Data!$A$1:$AX$1,),)-VLOOKUP(EDATE(B65,-12),Data!$A:$AX,MATCH($M$1,Data!$A$1:$AX$1,),))/VLOOKUP(EDATE(B65,-12),Data!$A:$AX,MATCH($M$1,Data!$A$1:$AX$1,),))</f>
        <v/>
      </c>
      <c r="N65" s="20">
        <f>(VLOOKUP(B65,Data!$A:$AX,MATCH($N$1,Data!$A$1:$AX$1,),)-VLOOKUP(EDATE(B65,-12),Data!$A:$AX,MATCH($N$1,Data!$A$1:$AX$1,),))/VLOOKUP(EDATE(B65,-12),Data!$A:$AX,MATCH($N$1,Data!$A$1:$AX$1,),)</f>
        <v/>
      </c>
      <c r="O65" s="20">
        <f>IF(VLOOKUP(B65,Data!$A:$AX,MATCH($O$1,Data!$A$1:$AX$1,))=0,#N/A,(VLOOKUP(B65,Data!$A:$AX,MATCH($O$1,Data!$A$1:$AX$1,),)-VLOOKUP(EDATE(B65,-12),Data!$A:$AX,MATCH($O$1,Data!$A$1:$AX$1,),))/VLOOKUP(EDATE(B65,-12),Data!$A:$AX,MATCH($O$1,Data!$A$1:$AX$1,),))</f>
        <v/>
      </c>
      <c r="P65" s="20">
        <f>IF(VLOOKUP(B65,Data!$A:$AX,MATCH($P$1,Data!$A$1:$AX$1,))=0,#N/A,(VLOOKUP(B65,Data!$A:$AX,MATCH($P$1,Data!$A$1:$AX$1,),)-VLOOKUP(EDATE(B65,-12),Data!$A:$AX,MATCH($P$1,Data!$A$1:$AX$1,),))/VLOOKUP(EDATE(B65,-12),Data!$A:$AX,MATCH($P$1,Data!$A$1:$AX$1,),))</f>
        <v/>
      </c>
      <c r="Q65" s="20">
        <f>(VLOOKUP(B65,Data!$A:$AX,MATCH($Q$1,Data!$A$1:$AX$1,),)-VLOOKUP(EDATE(B65,-12),Data!$A:$AX,MATCH($Q$1,Data!$A$1:$AX$1,),))/VLOOKUP(EDATE(B65,-12),Data!$A:$AX,MATCH($Q$1,Data!$A$1:$AX$1,),)</f>
        <v/>
      </c>
      <c r="R65" s="20">
        <f>IF(VLOOKUP(B65,Data!$A:$AX,MATCH($R$1,Data!$A$1:$AX$1,))=0,#N/A,(VLOOKUP(B65,Data!$A:$AX,MATCH($R$1,Data!$A$1:$AX$1,),)-VLOOKUP(EDATE(B65,-12),Data!$A:$AX,MATCH($R$1,Data!$A$1:$AX$1,),))/VLOOKUP(EDATE(B65,-12),Data!$A:$AX,MATCH($R$1,Data!$A$1:$AX$1,),))</f>
        <v/>
      </c>
      <c r="S65" s="20">
        <f>IF(VLOOKUP(B65,Data!$A:$AX,MATCH($S$1,Data!$A$1:$AX$1,))=0,#N/A,(VLOOKUP(B65,Data!$A:$AX,MATCH($S$1,Data!$A$1:$AX$1,),)-VLOOKUP(EDATE(B65,-12),Data!$A:$AX,MATCH($S$1,Data!$A$1:$AX$1,),))/VLOOKUP(EDATE(B65,-12),Data!$A:$AX,MATCH($S$1,Data!$A$1:$AX$1,),))</f>
        <v/>
      </c>
      <c r="T65" s="20">
        <f>IF(VLOOKUP(B65,Data!$A:$AX,MATCH($T$1,Data!$A$1:$AX$1,))=0,#N/A,(VLOOKUP(B65,Data!$A:$AX,MATCH($T$1,Data!$A$1:$AX$1,),)-VLOOKUP(EDATE(B65,-12),Data!$A:$AX,MATCH($T$1,Data!$A$1:$AX$1,),))/VLOOKUP(EDATE(B65,-12),Data!$A:$AX,MATCH($T$1,Data!$A$1:$AX$1,),))</f>
        <v/>
      </c>
      <c r="U65" s="20">
        <f>IF(VLOOKUP(B65,Data!$A:$AX,MATCH($U$1,Data!$A$1:$AX$1,))=0,#N/A,(VLOOKUP(B65,Data!$A:$AX,MATCH($U$1,Data!$A$1:$AX$1,),)-VLOOKUP(EDATE(B65,-12),Data!$A:$AX,MATCH($U$1,Data!$A$1:$AX$1,),))/VLOOKUP(EDATE(B65,-12),Data!$A:$AX,MATCH($U$1,Data!$A$1:$AX$1,),))</f>
        <v/>
      </c>
      <c r="V65" s="20">
        <f>(VLOOKUP(B65,Data!$A:$AX,MATCH($V$1,Data!$A$1:$AX$1,),)-VLOOKUP(EDATE(B65,-12),Data!$A:$AX,MATCH($V$1,Data!$A$1:$AX$1,),))/VLOOKUP(EDATE(B65,-12),Data!$A:$AX,MATCH($V$1,Data!$A$1:$AX$1,),)</f>
        <v/>
      </c>
      <c r="W65" s="20">
        <f>IF(VLOOKUP(B65,Data!$A:$AX,MATCH($W$1,Data!$A$1:$AX$1,))=0,#N/A,(VLOOKUP(B65,Data!$A:$AX,MATCH($W$1,Data!$A$1:$AX$1,),)-VLOOKUP(EDATE(B65,-12),Data!$A:$AX,MATCH($W$1,Data!$A$1:$AX$1,),))/VLOOKUP(EDATE(B65,-12),Data!$A:$AX,MATCH($W$1,Data!$A$1:$AX$1,),))</f>
        <v/>
      </c>
      <c r="X65" s="20">
        <f>IF(VLOOKUP(B65,Data!$A:$AX,MATCH($X$1,Data!$A$1:$AX$1,))=0,#N/A,(VLOOKUP(B65,Data!$A:$AX,MATCH($X$1,Data!$A$1:$AX$1,),)-VLOOKUP(EDATE(B65,-12),Data!$A:$AX,MATCH($X$1,Data!$A$1:$AX$1,),))/VLOOKUP(EDATE(B65,-12),Data!$A:$AX,MATCH($X$1,Data!$A$1:$AX$1,),))</f>
        <v/>
      </c>
      <c r="Y65" s="20">
        <f>IF(VLOOKUP(B65,Data!$A:$AX,MATCH($Y$1,Data!$A$1:$AX$1,))=0,#N/A,(VLOOKUP(B65,Data!$A:$AX,MATCH($Y$1,Data!$A$1:$AX$1,),)-VLOOKUP(EDATE(B65,-12),Data!$A:$AX,MATCH($Y$1,Data!$A$1:$AX$1,),))/VLOOKUP(EDATE(B65,-12),Data!$A:$AX,MATCH($Y$1,Data!$A$1:$AX$1,),))</f>
        <v/>
      </c>
      <c r="Z65" s="20">
        <f>(VLOOKUP(B65,Data!$A:$AX,MATCH($Z$1,Data!$A$1:$AX$1,),)-VLOOKUP(EDATE(B65,-12),Data!$A:$AX,MATCH($Z$1,Data!$A$1:$AX$1,),))/VLOOKUP(EDATE(B65,-12),Data!$A:$AX,MATCH($Z$1,Data!$A$1:$AX$1,),)</f>
        <v/>
      </c>
      <c r="AA65" s="20">
        <f>(VLOOKUP(B65,Data!$A:$AX,MATCH($AA$1,Data!$A$1:$AX$1,),)-VLOOKUP(EDATE(B65,-12),Data!$A:$AX,MATCH($AA$1,Data!$A$1:$AX$1,),))/VLOOKUP(EDATE(B65,-12),Data!$A:$AX,MATCH($AA$1,Data!$A$1:$AX$1,),)</f>
        <v/>
      </c>
      <c r="AB65" s="19" t="n"/>
    </row>
    <row r="66">
      <c r="B66" s="15" t="n">
        <v>42217</v>
      </c>
      <c r="C66" s="20">
        <f>IF(VLOOKUP(B66,Data!$A:$AX,MATCH($C$1,Data!$A$1:$AX$1,))=0,#N/A,(VLOOKUP(B66,Data!$A:$AX,MATCH($C$1,Data!$A$1:$AX$1,),)-VLOOKUP(EDATE(B66,-12),Data!$A:$AX,MATCH($C$1,Data!$A$1:$AX$1,),))/VLOOKUP(EDATE(B66,-12),Data!$A:$AX,MATCH($C$1,Data!$A$1:$AX$1,),))</f>
        <v/>
      </c>
      <c r="D66" s="20">
        <f>IF(VLOOKUP(B66,Data!$A:$AX,MATCH($D$1,Data!$A$1:$AX$1,))=0,#N/A,(VLOOKUP(B66,Data!$A:$AX,MATCH($D$1,Data!$A$1:$AX$1,),)-VLOOKUP(EDATE(B66,-12),Data!$A:$AX,MATCH($D$1,Data!$A$1:$AX$1,),))/VLOOKUP(EDATE(B66,-12),Data!$A:$AX,MATCH($D$1,Data!$A$1:$AX$1,),))</f>
        <v/>
      </c>
      <c r="E66" s="20">
        <f>IF(VLOOKUP(B66,Data!$A:$AX,MATCH($E$1,Data!$A$1:$AX$1,))=0,#N/A,(VLOOKUP(B66,Data!$A:$AX,MATCH($E$1,Data!$A$1:$AX$1,),)-VLOOKUP(EDATE(B66,-12),Data!$A:$AX,MATCH($E$1,Data!$A$1:$AX$1,),))/VLOOKUP(EDATE(B66,-12),Data!$A:$AX,MATCH($E$1,Data!$A$1:$AX$1,),))</f>
        <v/>
      </c>
      <c r="F66" s="20">
        <f>IF(VLOOKUP(B66,Data!$A:$AX,MATCH($F$1,Data!$A$1:$AX$1,))=0,#N/A,(VLOOKUP(B66,Data!$A:$AX,MATCH($F$1,Data!$A$1:$AX$1,),)-VLOOKUP(EDATE(B66,-12),Data!$A:$AX,MATCH($F$1,Data!$A$1:$AX$1,),))/VLOOKUP(EDATE(B66,-12),Data!$A:$AX,MATCH($F$1,Data!$A$1:$AX$1,),))</f>
        <v/>
      </c>
      <c r="G66" s="20">
        <f>IF(VLOOKUP(B66,Data!$A:$AX,MATCH($G$1,Data!$A$1:$AX$1,))=0,#N/A,(VLOOKUP(B66,Data!$A:$AX,MATCH($G$1,Data!$A$1:$AX$1,),)-VLOOKUP(EDATE(B66,-12),Data!$A:$AX,MATCH($G$1,Data!$A$1:$AX$1,),))/VLOOKUP(EDATE(B66,-12),Data!$A:$AX,MATCH($G$1,Data!$A$1:$AX$1,),))</f>
        <v/>
      </c>
      <c r="H66" s="20">
        <f>IF(VLOOKUP(B66,Data!$A:$AX,MATCH($H$1,Data!$A$1:$AX$1,))=0,#N/A,(VLOOKUP(B66,Data!$A:$AX,MATCH($H$1,Data!$A$1:$AX$1,),)-VLOOKUP(EDATE(B66,-12),Data!$A:$AX,MATCH($H$1,Data!$A$1:$AX$1,),))/VLOOKUP(EDATE(B66,-12),Data!$A:$AX,MATCH($H$1,Data!$A$1:$AX$1,),))</f>
        <v/>
      </c>
      <c r="I66" s="20">
        <f>IF(VLOOKUP(B66,Data!$A:$AX,MATCH($I$1,Data!$A$1:$AX$1,))=0,#N/A,(VLOOKUP(B66,Data!$A:$AX,MATCH($I$1,Data!$A$1:$AX$1,),)-VLOOKUP(EDATE(B66,-12),Data!$A:$AX,MATCH($I$1,Data!$A$1:$AX$1,),))/VLOOKUP(EDATE(B66,-12),Data!$A:$AX,MATCH($I$1,Data!$A$1:$AX$1,),))</f>
        <v/>
      </c>
      <c r="J66" s="20">
        <f>IF(VLOOKUP(B66,Data!$A:$AX,MATCH($J$1,Data!$A$1:$AX$1,))=0,#N/A,(VLOOKUP(B66,Data!$A:$AX,MATCH($J$1,Data!$A$1:$AX$1,),)-VLOOKUP(EDATE(B66,-12),Data!$A:$AX,MATCH($J$1,Data!$A$1:$AX$1,),))/VLOOKUP(EDATE(B66,-12),Data!$A:$AX,MATCH($J$1,Data!$A$1:$AX$1,),))</f>
        <v/>
      </c>
      <c r="K66" s="20">
        <f>IF(VLOOKUP(B66,Data!$A:$AX,MATCH($K$1,Data!$A$1:$AX$1,))=0,#N/A,(VLOOKUP(B66,Data!$A:$AX,MATCH($K$1,Data!$A$1:$AX$1,),)-VLOOKUP(EDATE(B66,-12),Data!$A:$AX,MATCH($K$1,Data!$A$1:$AX$1,),))/VLOOKUP(EDATE(B66,-12),Data!$A:$AX,MATCH($K$1,Data!$A$1:$AX$1,),))</f>
        <v/>
      </c>
      <c r="L66" s="20">
        <f>IF(VLOOKUP(B66,Data!$A:$AX,MATCH($L$1,Data!$A$1:$AX$1,))=0,#N/A,(VLOOKUP(B66,Data!$A:$AX,MATCH($L$1,Data!$A$1:$AX$1,),)-VLOOKUP(EDATE(B66,-12),Data!$A:$AX,MATCH($L$1,Data!$A$1:$AX$1,),))/VLOOKUP(EDATE(B66,-12),Data!$A:$AX,MATCH($L$1,Data!$A$1:$AX$1,),))</f>
        <v/>
      </c>
      <c r="M66" s="20">
        <f>IF(VLOOKUP(B66,Data!$A:$AX,MATCH($M$1,Data!$A$1:$AX$1,))=0,#N/A,(VLOOKUP(B66,Data!$A:$AX,MATCH($M$1,Data!$A$1:$AX$1,),)-VLOOKUP(EDATE(B66,-12),Data!$A:$AX,MATCH($M$1,Data!$A$1:$AX$1,),))/VLOOKUP(EDATE(B66,-12),Data!$A:$AX,MATCH($M$1,Data!$A$1:$AX$1,),))</f>
        <v/>
      </c>
      <c r="N66" s="20">
        <f>(VLOOKUP(B66,Data!$A:$AX,MATCH($N$1,Data!$A$1:$AX$1,),)-VLOOKUP(EDATE(B66,-12),Data!$A:$AX,MATCH($N$1,Data!$A$1:$AX$1,),))/VLOOKUP(EDATE(B66,-12),Data!$A:$AX,MATCH($N$1,Data!$A$1:$AX$1,),)</f>
        <v/>
      </c>
      <c r="O66" s="20">
        <f>IF(VLOOKUP(B66,Data!$A:$AX,MATCH($O$1,Data!$A$1:$AX$1,))=0,#N/A,(VLOOKUP(B66,Data!$A:$AX,MATCH($O$1,Data!$A$1:$AX$1,),)-VLOOKUP(EDATE(B66,-12),Data!$A:$AX,MATCH($O$1,Data!$A$1:$AX$1,),))/VLOOKUP(EDATE(B66,-12),Data!$A:$AX,MATCH($O$1,Data!$A$1:$AX$1,),))</f>
        <v/>
      </c>
      <c r="P66" s="20">
        <f>IF(VLOOKUP(B66,Data!$A:$AX,MATCH($P$1,Data!$A$1:$AX$1,))=0,#N/A,(VLOOKUP(B66,Data!$A:$AX,MATCH($P$1,Data!$A$1:$AX$1,),)-VLOOKUP(EDATE(B66,-12),Data!$A:$AX,MATCH($P$1,Data!$A$1:$AX$1,),))/VLOOKUP(EDATE(B66,-12),Data!$A:$AX,MATCH($P$1,Data!$A$1:$AX$1,),))</f>
        <v/>
      </c>
      <c r="Q66" s="20">
        <f>(VLOOKUP(B66,Data!$A:$AX,MATCH($Q$1,Data!$A$1:$AX$1,),)-VLOOKUP(EDATE(B66,-12),Data!$A:$AX,MATCH($Q$1,Data!$A$1:$AX$1,),))/VLOOKUP(EDATE(B66,-12),Data!$A:$AX,MATCH($Q$1,Data!$A$1:$AX$1,),)</f>
        <v/>
      </c>
      <c r="R66" s="20">
        <f>IF(VLOOKUP(B66,Data!$A:$AX,MATCH($R$1,Data!$A$1:$AX$1,))=0,#N/A,(VLOOKUP(B66,Data!$A:$AX,MATCH($R$1,Data!$A$1:$AX$1,),)-VLOOKUP(EDATE(B66,-12),Data!$A:$AX,MATCH($R$1,Data!$A$1:$AX$1,),))/VLOOKUP(EDATE(B66,-12),Data!$A:$AX,MATCH($R$1,Data!$A$1:$AX$1,),))</f>
        <v/>
      </c>
      <c r="S66" s="20">
        <f>IF(VLOOKUP(B66,Data!$A:$AX,MATCH($S$1,Data!$A$1:$AX$1,))=0,#N/A,(VLOOKUP(B66,Data!$A:$AX,MATCH($S$1,Data!$A$1:$AX$1,),)-VLOOKUP(EDATE(B66,-12),Data!$A:$AX,MATCH($S$1,Data!$A$1:$AX$1,),))/VLOOKUP(EDATE(B66,-12),Data!$A:$AX,MATCH($S$1,Data!$A$1:$AX$1,),))</f>
        <v/>
      </c>
      <c r="T66" s="20">
        <f>IF(VLOOKUP(B66,Data!$A:$AX,MATCH($T$1,Data!$A$1:$AX$1,))=0,#N/A,(VLOOKUP(B66,Data!$A:$AX,MATCH($T$1,Data!$A$1:$AX$1,),)-VLOOKUP(EDATE(B66,-12),Data!$A:$AX,MATCH($T$1,Data!$A$1:$AX$1,),))/VLOOKUP(EDATE(B66,-12),Data!$A:$AX,MATCH($T$1,Data!$A$1:$AX$1,),))</f>
        <v/>
      </c>
      <c r="U66" s="20">
        <f>IF(VLOOKUP(B66,Data!$A:$AX,MATCH($U$1,Data!$A$1:$AX$1,))=0,#N/A,(VLOOKUP(B66,Data!$A:$AX,MATCH($U$1,Data!$A$1:$AX$1,),)-VLOOKUP(EDATE(B66,-12),Data!$A:$AX,MATCH($U$1,Data!$A$1:$AX$1,),))/VLOOKUP(EDATE(B66,-12),Data!$A:$AX,MATCH($U$1,Data!$A$1:$AX$1,),))</f>
        <v/>
      </c>
      <c r="V66" s="20">
        <f>(VLOOKUP(B66,Data!$A:$AX,MATCH($V$1,Data!$A$1:$AX$1,),)-VLOOKUP(EDATE(B66,-12),Data!$A:$AX,MATCH($V$1,Data!$A$1:$AX$1,),))/VLOOKUP(EDATE(B66,-12),Data!$A:$AX,MATCH($V$1,Data!$A$1:$AX$1,),)</f>
        <v/>
      </c>
      <c r="W66" s="20">
        <f>IF(VLOOKUP(B66,Data!$A:$AX,MATCH($W$1,Data!$A$1:$AX$1,))=0,#N/A,(VLOOKUP(B66,Data!$A:$AX,MATCH($W$1,Data!$A$1:$AX$1,),)-VLOOKUP(EDATE(B66,-12),Data!$A:$AX,MATCH($W$1,Data!$A$1:$AX$1,),))/VLOOKUP(EDATE(B66,-12),Data!$A:$AX,MATCH($W$1,Data!$A$1:$AX$1,),))</f>
        <v/>
      </c>
      <c r="X66" s="20">
        <f>IF(VLOOKUP(B66,Data!$A:$AX,MATCH($X$1,Data!$A$1:$AX$1,))=0,#N/A,(VLOOKUP(B66,Data!$A:$AX,MATCH($X$1,Data!$A$1:$AX$1,),)-VLOOKUP(EDATE(B66,-12),Data!$A:$AX,MATCH($X$1,Data!$A$1:$AX$1,),))/VLOOKUP(EDATE(B66,-12),Data!$A:$AX,MATCH($X$1,Data!$A$1:$AX$1,),))</f>
        <v/>
      </c>
      <c r="Y66" s="20">
        <f>IF(VLOOKUP(B66,Data!$A:$AX,MATCH($Y$1,Data!$A$1:$AX$1,))=0,#N/A,(VLOOKUP(B66,Data!$A:$AX,MATCH($Y$1,Data!$A$1:$AX$1,),)-VLOOKUP(EDATE(B66,-12),Data!$A:$AX,MATCH($Y$1,Data!$A$1:$AX$1,),))/VLOOKUP(EDATE(B66,-12),Data!$A:$AX,MATCH($Y$1,Data!$A$1:$AX$1,),))</f>
        <v/>
      </c>
      <c r="Z66" s="20">
        <f>(VLOOKUP(B66,Data!$A:$AX,MATCH($Z$1,Data!$A$1:$AX$1,),)-VLOOKUP(EDATE(B66,-12),Data!$A:$AX,MATCH($Z$1,Data!$A$1:$AX$1,),))/VLOOKUP(EDATE(B66,-12),Data!$A:$AX,MATCH($Z$1,Data!$A$1:$AX$1,),)</f>
        <v/>
      </c>
      <c r="AA66" s="20">
        <f>(VLOOKUP(B66,Data!$A:$AX,MATCH($AA$1,Data!$A$1:$AX$1,),)-VLOOKUP(EDATE(B66,-12),Data!$A:$AX,MATCH($AA$1,Data!$A$1:$AX$1,),))/VLOOKUP(EDATE(B66,-12),Data!$A:$AX,MATCH($AA$1,Data!$A$1:$AX$1,),)</f>
        <v/>
      </c>
      <c r="AB66" s="19" t="n"/>
    </row>
    <row r="67">
      <c r="B67" s="15" t="n">
        <v>42248</v>
      </c>
      <c r="C67" s="20">
        <f>IF(VLOOKUP(B67,Data!$A:$AX,MATCH($C$1,Data!$A$1:$AX$1,))=0,#N/A,(VLOOKUP(B67,Data!$A:$AX,MATCH($C$1,Data!$A$1:$AX$1,),)-VLOOKUP(EDATE(B67,-12),Data!$A:$AX,MATCH($C$1,Data!$A$1:$AX$1,),))/VLOOKUP(EDATE(B67,-12),Data!$A:$AX,MATCH($C$1,Data!$A$1:$AX$1,),))</f>
        <v/>
      </c>
      <c r="D67" s="20">
        <f>IF(VLOOKUP(B67,Data!$A:$AX,MATCH($D$1,Data!$A$1:$AX$1,))=0,#N/A,(VLOOKUP(B67,Data!$A:$AX,MATCH($D$1,Data!$A$1:$AX$1,),)-VLOOKUP(EDATE(B67,-12),Data!$A:$AX,MATCH($D$1,Data!$A$1:$AX$1,),))/VLOOKUP(EDATE(B67,-12),Data!$A:$AX,MATCH($D$1,Data!$A$1:$AX$1,),))</f>
        <v/>
      </c>
      <c r="E67" s="20">
        <f>IF(VLOOKUP(B67,Data!$A:$AX,MATCH($E$1,Data!$A$1:$AX$1,))=0,#N/A,(VLOOKUP(B67,Data!$A:$AX,MATCH($E$1,Data!$A$1:$AX$1,),)-VLOOKUP(EDATE(B67,-12),Data!$A:$AX,MATCH($E$1,Data!$A$1:$AX$1,),))/VLOOKUP(EDATE(B67,-12),Data!$A:$AX,MATCH($E$1,Data!$A$1:$AX$1,),))</f>
        <v/>
      </c>
      <c r="F67" s="20">
        <f>IF(VLOOKUP(B67,Data!$A:$AX,MATCH($F$1,Data!$A$1:$AX$1,))=0,#N/A,(VLOOKUP(B67,Data!$A:$AX,MATCH($F$1,Data!$A$1:$AX$1,),)-VLOOKUP(EDATE(B67,-12),Data!$A:$AX,MATCH($F$1,Data!$A$1:$AX$1,),))/VLOOKUP(EDATE(B67,-12),Data!$A:$AX,MATCH($F$1,Data!$A$1:$AX$1,),))</f>
        <v/>
      </c>
      <c r="G67" s="20">
        <f>IF(VLOOKUP(B67,Data!$A:$AX,MATCH($G$1,Data!$A$1:$AX$1,))=0,#N/A,(VLOOKUP(B67,Data!$A:$AX,MATCH($G$1,Data!$A$1:$AX$1,),)-VLOOKUP(EDATE(B67,-12),Data!$A:$AX,MATCH($G$1,Data!$A$1:$AX$1,),))/VLOOKUP(EDATE(B67,-12),Data!$A:$AX,MATCH($G$1,Data!$A$1:$AX$1,),))</f>
        <v/>
      </c>
      <c r="H67" s="20">
        <f>IF(VLOOKUP(B67,Data!$A:$AX,MATCH($H$1,Data!$A$1:$AX$1,))=0,#N/A,(VLOOKUP(B67,Data!$A:$AX,MATCH($H$1,Data!$A$1:$AX$1,),)-VLOOKUP(EDATE(B67,-12),Data!$A:$AX,MATCH($H$1,Data!$A$1:$AX$1,),))/VLOOKUP(EDATE(B67,-12),Data!$A:$AX,MATCH($H$1,Data!$A$1:$AX$1,),))</f>
        <v/>
      </c>
      <c r="I67" s="20">
        <f>IF(VLOOKUP(B67,Data!$A:$AX,MATCH($I$1,Data!$A$1:$AX$1,))=0,#N/A,(VLOOKUP(B67,Data!$A:$AX,MATCH($I$1,Data!$A$1:$AX$1,),)-VLOOKUP(EDATE(B67,-12),Data!$A:$AX,MATCH($I$1,Data!$A$1:$AX$1,),))/VLOOKUP(EDATE(B67,-12),Data!$A:$AX,MATCH($I$1,Data!$A$1:$AX$1,),))</f>
        <v/>
      </c>
      <c r="J67" s="20">
        <f>IF(VLOOKUP(B67,Data!$A:$AX,MATCH($J$1,Data!$A$1:$AX$1,))=0,#N/A,(VLOOKUP(B67,Data!$A:$AX,MATCH($J$1,Data!$A$1:$AX$1,),)-VLOOKUP(EDATE(B67,-12),Data!$A:$AX,MATCH($J$1,Data!$A$1:$AX$1,),))/VLOOKUP(EDATE(B67,-12),Data!$A:$AX,MATCH($J$1,Data!$A$1:$AX$1,),))</f>
        <v/>
      </c>
      <c r="K67" s="20">
        <f>IF(VLOOKUP(B67,Data!$A:$AX,MATCH($K$1,Data!$A$1:$AX$1,))=0,#N/A,(VLOOKUP(B67,Data!$A:$AX,MATCH($K$1,Data!$A$1:$AX$1,),)-VLOOKUP(EDATE(B67,-12),Data!$A:$AX,MATCH($K$1,Data!$A$1:$AX$1,),))/VLOOKUP(EDATE(B67,-12),Data!$A:$AX,MATCH($K$1,Data!$A$1:$AX$1,),))</f>
        <v/>
      </c>
      <c r="L67" s="20">
        <f>IF(VLOOKUP(B67,Data!$A:$AX,MATCH($L$1,Data!$A$1:$AX$1,))=0,#N/A,(VLOOKUP(B67,Data!$A:$AX,MATCH($L$1,Data!$A$1:$AX$1,),)-VLOOKUP(EDATE(B67,-12),Data!$A:$AX,MATCH($L$1,Data!$A$1:$AX$1,),))/VLOOKUP(EDATE(B67,-12),Data!$A:$AX,MATCH($L$1,Data!$A$1:$AX$1,),))</f>
        <v/>
      </c>
      <c r="M67" s="20">
        <f>IF(VLOOKUP(B67,Data!$A:$AX,MATCH($M$1,Data!$A$1:$AX$1,))=0,#N/A,(VLOOKUP(B67,Data!$A:$AX,MATCH($M$1,Data!$A$1:$AX$1,),)-VLOOKUP(EDATE(B67,-12),Data!$A:$AX,MATCH($M$1,Data!$A$1:$AX$1,),))/VLOOKUP(EDATE(B67,-12),Data!$A:$AX,MATCH($M$1,Data!$A$1:$AX$1,),))</f>
        <v/>
      </c>
      <c r="N67" s="20">
        <f>(VLOOKUP(B67,Data!$A:$AX,MATCH($N$1,Data!$A$1:$AX$1,),)-VLOOKUP(EDATE(B67,-12),Data!$A:$AX,MATCH($N$1,Data!$A$1:$AX$1,),))/VLOOKUP(EDATE(B67,-12),Data!$A:$AX,MATCH($N$1,Data!$A$1:$AX$1,),)</f>
        <v/>
      </c>
      <c r="O67" s="20">
        <f>IF(VLOOKUP(B67,Data!$A:$AX,MATCH($O$1,Data!$A$1:$AX$1,))=0,#N/A,(VLOOKUP(B67,Data!$A:$AX,MATCH($O$1,Data!$A$1:$AX$1,),)-VLOOKUP(EDATE(B67,-12),Data!$A:$AX,MATCH($O$1,Data!$A$1:$AX$1,),))/VLOOKUP(EDATE(B67,-12),Data!$A:$AX,MATCH($O$1,Data!$A$1:$AX$1,),))</f>
        <v/>
      </c>
      <c r="P67" s="20">
        <f>IF(VLOOKUP(B67,Data!$A:$AX,MATCH($P$1,Data!$A$1:$AX$1,))=0,#N/A,(VLOOKUP(B67,Data!$A:$AX,MATCH($P$1,Data!$A$1:$AX$1,),)-VLOOKUP(EDATE(B67,-12),Data!$A:$AX,MATCH($P$1,Data!$A$1:$AX$1,),))/VLOOKUP(EDATE(B67,-12),Data!$A:$AX,MATCH($P$1,Data!$A$1:$AX$1,),))</f>
        <v/>
      </c>
      <c r="Q67" s="20">
        <f>(VLOOKUP(B67,Data!$A:$AX,MATCH($Q$1,Data!$A$1:$AX$1,),)-VLOOKUP(EDATE(B67,-12),Data!$A:$AX,MATCH($Q$1,Data!$A$1:$AX$1,),))/VLOOKUP(EDATE(B67,-12),Data!$A:$AX,MATCH($Q$1,Data!$A$1:$AX$1,),)</f>
        <v/>
      </c>
      <c r="R67" s="20">
        <f>IF(VLOOKUP(B67,Data!$A:$AX,MATCH($R$1,Data!$A$1:$AX$1,))=0,#N/A,(VLOOKUP(B67,Data!$A:$AX,MATCH($R$1,Data!$A$1:$AX$1,),)-VLOOKUP(EDATE(B67,-12),Data!$A:$AX,MATCH($R$1,Data!$A$1:$AX$1,),))/VLOOKUP(EDATE(B67,-12),Data!$A:$AX,MATCH($R$1,Data!$A$1:$AX$1,),))</f>
        <v/>
      </c>
      <c r="S67" s="20">
        <f>IF(VLOOKUP(B67,Data!$A:$AX,MATCH($S$1,Data!$A$1:$AX$1,))=0,#N/A,(VLOOKUP(B67,Data!$A:$AX,MATCH($S$1,Data!$A$1:$AX$1,),)-VLOOKUP(EDATE(B67,-12),Data!$A:$AX,MATCH($S$1,Data!$A$1:$AX$1,),))/VLOOKUP(EDATE(B67,-12),Data!$A:$AX,MATCH($S$1,Data!$A$1:$AX$1,),))</f>
        <v/>
      </c>
      <c r="T67" s="20">
        <f>IF(VLOOKUP(B67,Data!$A:$AX,MATCH($T$1,Data!$A$1:$AX$1,))=0,#N/A,(VLOOKUP(B67,Data!$A:$AX,MATCH($T$1,Data!$A$1:$AX$1,),)-VLOOKUP(EDATE(B67,-12),Data!$A:$AX,MATCH($T$1,Data!$A$1:$AX$1,),))/VLOOKUP(EDATE(B67,-12),Data!$A:$AX,MATCH($T$1,Data!$A$1:$AX$1,),))</f>
        <v/>
      </c>
      <c r="U67" s="20">
        <f>IF(VLOOKUP(B67,Data!$A:$AX,MATCH($U$1,Data!$A$1:$AX$1,))=0,#N/A,(VLOOKUP(B67,Data!$A:$AX,MATCH($U$1,Data!$A$1:$AX$1,),)-VLOOKUP(EDATE(B67,-12),Data!$A:$AX,MATCH($U$1,Data!$A$1:$AX$1,),))/VLOOKUP(EDATE(B67,-12),Data!$A:$AX,MATCH($U$1,Data!$A$1:$AX$1,),))</f>
        <v/>
      </c>
      <c r="V67" s="20">
        <f>(VLOOKUP(B67,Data!$A:$AX,MATCH($V$1,Data!$A$1:$AX$1,),)-VLOOKUP(EDATE(B67,-12),Data!$A:$AX,MATCH($V$1,Data!$A$1:$AX$1,),))/VLOOKUP(EDATE(B67,-12),Data!$A:$AX,MATCH($V$1,Data!$A$1:$AX$1,),)</f>
        <v/>
      </c>
      <c r="W67" s="20">
        <f>IF(VLOOKUP(B67,Data!$A:$AX,MATCH($W$1,Data!$A$1:$AX$1,))=0,#N/A,(VLOOKUP(B67,Data!$A:$AX,MATCH($W$1,Data!$A$1:$AX$1,),)-VLOOKUP(EDATE(B67,-12),Data!$A:$AX,MATCH($W$1,Data!$A$1:$AX$1,),))/VLOOKUP(EDATE(B67,-12),Data!$A:$AX,MATCH($W$1,Data!$A$1:$AX$1,),))</f>
        <v/>
      </c>
      <c r="X67" s="20">
        <f>IF(VLOOKUP(B67,Data!$A:$AX,MATCH($X$1,Data!$A$1:$AX$1,))=0,#N/A,(VLOOKUP(B67,Data!$A:$AX,MATCH($X$1,Data!$A$1:$AX$1,),)-VLOOKUP(EDATE(B67,-12),Data!$A:$AX,MATCH($X$1,Data!$A$1:$AX$1,),))/VLOOKUP(EDATE(B67,-12),Data!$A:$AX,MATCH($X$1,Data!$A$1:$AX$1,),))</f>
        <v/>
      </c>
      <c r="Y67" s="20">
        <f>IF(VLOOKUP(B67,Data!$A:$AX,MATCH($Y$1,Data!$A$1:$AX$1,))=0,#N/A,(VLOOKUP(B67,Data!$A:$AX,MATCH($Y$1,Data!$A$1:$AX$1,),)-VLOOKUP(EDATE(B67,-12),Data!$A:$AX,MATCH($Y$1,Data!$A$1:$AX$1,),))/VLOOKUP(EDATE(B67,-12),Data!$A:$AX,MATCH($Y$1,Data!$A$1:$AX$1,),))</f>
        <v/>
      </c>
      <c r="Z67" s="20">
        <f>(VLOOKUP(B67,Data!$A:$AX,MATCH($Z$1,Data!$A$1:$AX$1,),)-VLOOKUP(EDATE(B67,-12),Data!$A:$AX,MATCH($Z$1,Data!$A$1:$AX$1,),))/VLOOKUP(EDATE(B67,-12),Data!$A:$AX,MATCH($Z$1,Data!$A$1:$AX$1,),)</f>
        <v/>
      </c>
      <c r="AA67" s="20">
        <f>(VLOOKUP(B67,Data!$A:$AX,MATCH($AA$1,Data!$A$1:$AX$1,),)-VLOOKUP(EDATE(B67,-12),Data!$A:$AX,MATCH($AA$1,Data!$A$1:$AX$1,),))/VLOOKUP(EDATE(B67,-12),Data!$A:$AX,MATCH($AA$1,Data!$A$1:$AX$1,),)</f>
        <v/>
      </c>
      <c r="AB67" s="19" t="n"/>
    </row>
    <row r="68">
      <c r="B68" s="15" t="n">
        <v>42278</v>
      </c>
      <c r="C68" s="20">
        <f>IF(VLOOKUP(B68,Data!$A:$AX,MATCH($C$1,Data!$A$1:$AX$1,))=0,#N/A,(VLOOKUP(B68,Data!$A:$AX,MATCH($C$1,Data!$A$1:$AX$1,),)-VLOOKUP(EDATE(B68,-12),Data!$A:$AX,MATCH($C$1,Data!$A$1:$AX$1,),))/VLOOKUP(EDATE(B68,-12),Data!$A:$AX,MATCH($C$1,Data!$A$1:$AX$1,),))</f>
        <v/>
      </c>
      <c r="D68" s="20">
        <f>IF(VLOOKUP(B68,Data!$A:$AX,MATCH($D$1,Data!$A$1:$AX$1,))=0,#N/A,(VLOOKUP(B68,Data!$A:$AX,MATCH($D$1,Data!$A$1:$AX$1,),)-VLOOKUP(EDATE(B68,-12),Data!$A:$AX,MATCH($D$1,Data!$A$1:$AX$1,),))/VLOOKUP(EDATE(B68,-12),Data!$A:$AX,MATCH($D$1,Data!$A$1:$AX$1,),))</f>
        <v/>
      </c>
      <c r="E68" s="20">
        <f>IF(VLOOKUP(B68,Data!$A:$AX,MATCH($E$1,Data!$A$1:$AX$1,))=0,#N/A,(VLOOKUP(B68,Data!$A:$AX,MATCH($E$1,Data!$A$1:$AX$1,),)-VLOOKUP(EDATE(B68,-12),Data!$A:$AX,MATCH($E$1,Data!$A$1:$AX$1,),))/VLOOKUP(EDATE(B68,-12),Data!$A:$AX,MATCH($E$1,Data!$A$1:$AX$1,),))</f>
        <v/>
      </c>
      <c r="F68" s="20">
        <f>IF(VLOOKUP(B68,Data!$A:$AX,MATCH($F$1,Data!$A$1:$AX$1,))=0,#N/A,(VLOOKUP(B68,Data!$A:$AX,MATCH($F$1,Data!$A$1:$AX$1,),)-VLOOKUP(EDATE(B68,-12),Data!$A:$AX,MATCH($F$1,Data!$A$1:$AX$1,),))/VLOOKUP(EDATE(B68,-12),Data!$A:$AX,MATCH($F$1,Data!$A$1:$AX$1,),))</f>
        <v/>
      </c>
      <c r="G68" s="20">
        <f>IF(VLOOKUP(B68,Data!$A:$AX,MATCH($G$1,Data!$A$1:$AX$1,))=0,#N/A,(VLOOKUP(B68,Data!$A:$AX,MATCH($G$1,Data!$A$1:$AX$1,),)-VLOOKUP(EDATE(B68,-12),Data!$A:$AX,MATCH($G$1,Data!$A$1:$AX$1,),))/VLOOKUP(EDATE(B68,-12),Data!$A:$AX,MATCH($G$1,Data!$A$1:$AX$1,),))</f>
        <v/>
      </c>
      <c r="H68" s="20">
        <f>IF(VLOOKUP(B68,Data!$A:$AX,MATCH($H$1,Data!$A$1:$AX$1,))=0,#N/A,(VLOOKUP(B68,Data!$A:$AX,MATCH($H$1,Data!$A$1:$AX$1,),)-VLOOKUP(EDATE(B68,-12),Data!$A:$AX,MATCH($H$1,Data!$A$1:$AX$1,),))/VLOOKUP(EDATE(B68,-12),Data!$A:$AX,MATCH($H$1,Data!$A$1:$AX$1,),))</f>
        <v/>
      </c>
      <c r="I68" s="20">
        <f>IF(VLOOKUP(B68,Data!$A:$AX,MATCH($I$1,Data!$A$1:$AX$1,))=0,#N/A,(VLOOKUP(B68,Data!$A:$AX,MATCH($I$1,Data!$A$1:$AX$1,),)-VLOOKUP(EDATE(B68,-12),Data!$A:$AX,MATCH($I$1,Data!$A$1:$AX$1,),))/VLOOKUP(EDATE(B68,-12),Data!$A:$AX,MATCH($I$1,Data!$A$1:$AX$1,),))</f>
        <v/>
      </c>
      <c r="J68" s="20">
        <f>IF(VLOOKUP(B68,Data!$A:$AX,MATCH($J$1,Data!$A$1:$AX$1,))=0,#N/A,(VLOOKUP(B68,Data!$A:$AX,MATCH($J$1,Data!$A$1:$AX$1,),)-VLOOKUP(EDATE(B68,-12),Data!$A:$AX,MATCH($J$1,Data!$A$1:$AX$1,),))/VLOOKUP(EDATE(B68,-12),Data!$A:$AX,MATCH($J$1,Data!$A$1:$AX$1,),))</f>
        <v/>
      </c>
      <c r="K68" s="20">
        <f>IF(VLOOKUP(B68,Data!$A:$AX,MATCH($K$1,Data!$A$1:$AX$1,))=0,#N/A,(VLOOKUP(B68,Data!$A:$AX,MATCH($K$1,Data!$A$1:$AX$1,),)-VLOOKUP(EDATE(B68,-12),Data!$A:$AX,MATCH($K$1,Data!$A$1:$AX$1,),))/VLOOKUP(EDATE(B68,-12),Data!$A:$AX,MATCH($K$1,Data!$A$1:$AX$1,),))</f>
        <v/>
      </c>
      <c r="L68" s="20">
        <f>IF(VLOOKUP(B68,Data!$A:$AX,MATCH($L$1,Data!$A$1:$AX$1,))=0,#N/A,(VLOOKUP(B68,Data!$A:$AX,MATCH($L$1,Data!$A$1:$AX$1,),)-VLOOKUP(EDATE(B68,-12),Data!$A:$AX,MATCH($L$1,Data!$A$1:$AX$1,),))/VLOOKUP(EDATE(B68,-12),Data!$A:$AX,MATCH($L$1,Data!$A$1:$AX$1,),))</f>
        <v/>
      </c>
      <c r="M68" s="20">
        <f>IF(VLOOKUP(B68,Data!$A:$AX,MATCH($M$1,Data!$A$1:$AX$1,))=0,#N/A,(VLOOKUP(B68,Data!$A:$AX,MATCH($M$1,Data!$A$1:$AX$1,),)-VLOOKUP(EDATE(B68,-12),Data!$A:$AX,MATCH($M$1,Data!$A$1:$AX$1,),))/VLOOKUP(EDATE(B68,-12),Data!$A:$AX,MATCH($M$1,Data!$A$1:$AX$1,),))</f>
        <v/>
      </c>
      <c r="N68" s="20">
        <f>(VLOOKUP(B68,Data!$A:$AX,MATCH($N$1,Data!$A$1:$AX$1,),)-VLOOKUP(EDATE(B68,-12),Data!$A:$AX,MATCH($N$1,Data!$A$1:$AX$1,),))/VLOOKUP(EDATE(B68,-12),Data!$A:$AX,MATCH($N$1,Data!$A$1:$AX$1,),)</f>
        <v/>
      </c>
      <c r="O68" s="20">
        <f>IF(VLOOKUP(B68,Data!$A:$AX,MATCH($O$1,Data!$A$1:$AX$1,))=0,#N/A,(VLOOKUP(B68,Data!$A:$AX,MATCH($O$1,Data!$A$1:$AX$1,),)-VLOOKUP(EDATE(B68,-12),Data!$A:$AX,MATCH($O$1,Data!$A$1:$AX$1,),))/VLOOKUP(EDATE(B68,-12),Data!$A:$AX,MATCH($O$1,Data!$A$1:$AX$1,),))</f>
        <v/>
      </c>
      <c r="P68" s="20">
        <f>IF(VLOOKUP(B68,Data!$A:$AX,MATCH($P$1,Data!$A$1:$AX$1,))=0,#N/A,(VLOOKUP(B68,Data!$A:$AX,MATCH($P$1,Data!$A$1:$AX$1,),)-VLOOKUP(EDATE(B68,-12),Data!$A:$AX,MATCH($P$1,Data!$A$1:$AX$1,),))/VLOOKUP(EDATE(B68,-12),Data!$A:$AX,MATCH($P$1,Data!$A$1:$AX$1,),))</f>
        <v/>
      </c>
      <c r="Q68" s="20">
        <f>(VLOOKUP(B68,Data!$A:$AX,MATCH($Q$1,Data!$A$1:$AX$1,),)-VLOOKUP(EDATE(B68,-12),Data!$A:$AX,MATCH($Q$1,Data!$A$1:$AX$1,),))/VLOOKUP(EDATE(B68,-12),Data!$A:$AX,MATCH($Q$1,Data!$A$1:$AX$1,),)</f>
        <v/>
      </c>
      <c r="R68" s="20">
        <f>IF(VLOOKUP(B68,Data!$A:$AX,MATCH($R$1,Data!$A$1:$AX$1,))=0,#N/A,(VLOOKUP(B68,Data!$A:$AX,MATCH($R$1,Data!$A$1:$AX$1,),)-VLOOKUP(EDATE(B68,-12),Data!$A:$AX,MATCH($R$1,Data!$A$1:$AX$1,),))/VLOOKUP(EDATE(B68,-12),Data!$A:$AX,MATCH($R$1,Data!$A$1:$AX$1,),))</f>
        <v/>
      </c>
      <c r="S68" s="20">
        <f>IF(VLOOKUP(B68,Data!$A:$AX,MATCH($S$1,Data!$A$1:$AX$1,))=0,#N/A,(VLOOKUP(B68,Data!$A:$AX,MATCH($S$1,Data!$A$1:$AX$1,),)-VLOOKUP(EDATE(B68,-12),Data!$A:$AX,MATCH($S$1,Data!$A$1:$AX$1,),))/VLOOKUP(EDATE(B68,-12),Data!$A:$AX,MATCH($S$1,Data!$A$1:$AX$1,),))</f>
        <v/>
      </c>
      <c r="T68" s="20">
        <f>IF(VLOOKUP(B68,Data!$A:$AX,MATCH($T$1,Data!$A$1:$AX$1,))=0,#N/A,(VLOOKUP(B68,Data!$A:$AX,MATCH($T$1,Data!$A$1:$AX$1,),)-VLOOKUP(EDATE(B68,-12),Data!$A:$AX,MATCH($T$1,Data!$A$1:$AX$1,),))/VLOOKUP(EDATE(B68,-12),Data!$A:$AX,MATCH($T$1,Data!$A$1:$AX$1,),))</f>
        <v/>
      </c>
      <c r="U68" s="20">
        <f>IF(VLOOKUP(B68,Data!$A:$AX,MATCH($U$1,Data!$A$1:$AX$1,))=0,#N/A,(VLOOKUP(B68,Data!$A:$AX,MATCH($U$1,Data!$A$1:$AX$1,),)-VLOOKUP(EDATE(B68,-12),Data!$A:$AX,MATCH($U$1,Data!$A$1:$AX$1,),))/VLOOKUP(EDATE(B68,-12),Data!$A:$AX,MATCH($U$1,Data!$A$1:$AX$1,),))</f>
        <v/>
      </c>
      <c r="V68" s="20">
        <f>(VLOOKUP(B68,Data!$A:$AX,MATCH($V$1,Data!$A$1:$AX$1,),)-VLOOKUP(EDATE(B68,-12),Data!$A:$AX,MATCH($V$1,Data!$A$1:$AX$1,),))/VLOOKUP(EDATE(B68,-12),Data!$A:$AX,MATCH($V$1,Data!$A$1:$AX$1,),)</f>
        <v/>
      </c>
      <c r="W68" s="20">
        <f>IF(VLOOKUP(B68,Data!$A:$AX,MATCH($W$1,Data!$A$1:$AX$1,))=0,#N/A,(VLOOKUP(B68,Data!$A:$AX,MATCH($W$1,Data!$A$1:$AX$1,),)-VLOOKUP(EDATE(B68,-12),Data!$A:$AX,MATCH($W$1,Data!$A$1:$AX$1,),))/VLOOKUP(EDATE(B68,-12),Data!$A:$AX,MATCH($W$1,Data!$A$1:$AX$1,),))</f>
        <v/>
      </c>
      <c r="X68" s="20">
        <f>IF(VLOOKUP(B68,Data!$A:$AX,MATCH($X$1,Data!$A$1:$AX$1,))=0,#N/A,(VLOOKUP(B68,Data!$A:$AX,MATCH($X$1,Data!$A$1:$AX$1,),)-VLOOKUP(EDATE(B68,-12),Data!$A:$AX,MATCH($X$1,Data!$A$1:$AX$1,),))/VLOOKUP(EDATE(B68,-12),Data!$A:$AX,MATCH($X$1,Data!$A$1:$AX$1,),))</f>
        <v/>
      </c>
      <c r="Y68" s="20">
        <f>IF(VLOOKUP(B68,Data!$A:$AX,MATCH($Y$1,Data!$A$1:$AX$1,))=0,#N/A,(VLOOKUP(B68,Data!$A:$AX,MATCH($Y$1,Data!$A$1:$AX$1,),)-VLOOKUP(EDATE(B68,-12),Data!$A:$AX,MATCH($Y$1,Data!$A$1:$AX$1,),))/VLOOKUP(EDATE(B68,-12),Data!$A:$AX,MATCH($Y$1,Data!$A$1:$AX$1,),))</f>
        <v/>
      </c>
      <c r="Z68" s="20">
        <f>(VLOOKUP(B68,Data!$A:$AX,MATCH($Z$1,Data!$A$1:$AX$1,),)-VLOOKUP(EDATE(B68,-12),Data!$A:$AX,MATCH($Z$1,Data!$A$1:$AX$1,),))/VLOOKUP(EDATE(B68,-12),Data!$A:$AX,MATCH($Z$1,Data!$A$1:$AX$1,),)</f>
        <v/>
      </c>
      <c r="AA68" s="20">
        <f>(VLOOKUP(B68,Data!$A:$AX,MATCH($AA$1,Data!$A$1:$AX$1,),)-VLOOKUP(EDATE(B68,-12),Data!$A:$AX,MATCH($AA$1,Data!$A$1:$AX$1,),))/VLOOKUP(EDATE(B68,-12),Data!$A:$AX,MATCH($AA$1,Data!$A$1:$AX$1,),)</f>
        <v/>
      </c>
      <c r="AB68" s="19" t="n"/>
    </row>
    <row r="69">
      <c r="B69" s="15" t="n">
        <v>42309</v>
      </c>
      <c r="C69" s="20">
        <f>IF(VLOOKUP(B69,Data!$A:$AX,MATCH($C$1,Data!$A$1:$AX$1,))=0,#N/A,(VLOOKUP(B69,Data!$A:$AX,MATCH($C$1,Data!$A$1:$AX$1,),)-VLOOKUP(EDATE(B69,-12),Data!$A:$AX,MATCH($C$1,Data!$A$1:$AX$1,),))/VLOOKUP(EDATE(B69,-12),Data!$A:$AX,MATCH($C$1,Data!$A$1:$AX$1,),))</f>
        <v/>
      </c>
      <c r="D69" s="20">
        <f>IF(VLOOKUP(B69,Data!$A:$AX,MATCH($D$1,Data!$A$1:$AX$1,))=0,#N/A,(VLOOKUP(B69,Data!$A:$AX,MATCH($D$1,Data!$A$1:$AX$1,),)-VLOOKUP(EDATE(B69,-12),Data!$A:$AX,MATCH($D$1,Data!$A$1:$AX$1,),))/VLOOKUP(EDATE(B69,-12),Data!$A:$AX,MATCH($D$1,Data!$A$1:$AX$1,),))</f>
        <v/>
      </c>
      <c r="E69" s="20">
        <f>IF(VLOOKUP(B69,Data!$A:$AX,MATCH($E$1,Data!$A$1:$AX$1,))=0,#N/A,(VLOOKUP(B69,Data!$A:$AX,MATCH($E$1,Data!$A$1:$AX$1,),)-VLOOKUP(EDATE(B69,-12),Data!$A:$AX,MATCH($E$1,Data!$A$1:$AX$1,),))/VLOOKUP(EDATE(B69,-12),Data!$A:$AX,MATCH($E$1,Data!$A$1:$AX$1,),))</f>
        <v/>
      </c>
      <c r="F69" s="20">
        <f>IF(VLOOKUP(B69,Data!$A:$AX,MATCH($F$1,Data!$A$1:$AX$1,))=0,#N/A,(VLOOKUP(B69,Data!$A:$AX,MATCH($F$1,Data!$A$1:$AX$1,),)-VLOOKUP(EDATE(B69,-12),Data!$A:$AX,MATCH($F$1,Data!$A$1:$AX$1,),))/VLOOKUP(EDATE(B69,-12),Data!$A:$AX,MATCH($F$1,Data!$A$1:$AX$1,),))</f>
        <v/>
      </c>
      <c r="G69" s="20">
        <f>IF(VLOOKUP(B69,Data!$A:$AX,MATCH($G$1,Data!$A$1:$AX$1,))=0,#N/A,(VLOOKUP(B69,Data!$A:$AX,MATCH($G$1,Data!$A$1:$AX$1,),)-VLOOKUP(EDATE(B69,-12),Data!$A:$AX,MATCH($G$1,Data!$A$1:$AX$1,),))/VLOOKUP(EDATE(B69,-12),Data!$A:$AX,MATCH($G$1,Data!$A$1:$AX$1,),))</f>
        <v/>
      </c>
      <c r="H69" s="20">
        <f>IF(VLOOKUP(B69,Data!$A:$AX,MATCH($H$1,Data!$A$1:$AX$1,))=0,#N/A,(VLOOKUP(B69,Data!$A:$AX,MATCH($H$1,Data!$A$1:$AX$1,),)-VLOOKUP(EDATE(B69,-12),Data!$A:$AX,MATCH($H$1,Data!$A$1:$AX$1,),))/VLOOKUP(EDATE(B69,-12),Data!$A:$AX,MATCH($H$1,Data!$A$1:$AX$1,),))</f>
        <v/>
      </c>
      <c r="I69" s="20">
        <f>IF(VLOOKUP(B69,Data!$A:$AX,MATCH($I$1,Data!$A$1:$AX$1,))=0,#N/A,(VLOOKUP(B69,Data!$A:$AX,MATCH($I$1,Data!$A$1:$AX$1,),)-VLOOKUP(EDATE(B69,-12),Data!$A:$AX,MATCH($I$1,Data!$A$1:$AX$1,),))/VLOOKUP(EDATE(B69,-12),Data!$A:$AX,MATCH($I$1,Data!$A$1:$AX$1,),))</f>
        <v/>
      </c>
      <c r="J69" s="20">
        <f>IF(VLOOKUP(B69,Data!$A:$AX,MATCH($J$1,Data!$A$1:$AX$1,))=0,#N/A,(VLOOKUP(B69,Data!$A:$AX,MATCH($J$1,Data!$A$1:$AX$1,),)-VLOOKUP(EDATE(B69,-12),Data!$A:$AX,MATCH($J$1,Data!$A$1:$AX$1,),))/VLOOKUP(EDATE(B69,-12),Data!$A:$AX,MATCH($J$1,Data!$A$1:$AX$1,),))</f>
        <v/>
      </c>
      <c r="K69" s="20">
        <f>IF(VLOOKUP(B69,Data!$A:$AX,MATCH($K$1,Data!$A$1:$AX$1,))=0,#N/A,(VLOOKUP(B69,Data!$A:$AX,MATCH($K$1,Data!$A$1:$AX$1,),)-VLOOKUP(EDATE(B69,-12),Data!$A:$AX,MATCH($K$1,Data!$A$1:$AX$1,),))/VLOOKUP(EDATE(B69,-12),Data!$A:$AX,MATCH($K$1,Data!$A$1:$AX$1,),))</f>
        <v/>
      </c>
      <c r="L69" s="20">
        <f>IF(VLOOKUP(B69,Data!$A:$AX,MATCH($L$1,Data!$A$1:$AX$1,))=0,#N/A,(VLOOKUP(B69,Data!$A:$AX,MATCH($L$1,Data!$A$1:$AX$1,),)-VLOOKUP(EDATE(B69,-12),Data!$A:$AX,MATCH($L$1,Data!$A$1:$AX$1,),))/VLOOKUP(EDATE(B69,-12),Data!$A:$AX,MATCH($L$1,Data!$A$1:$AX$1,),))</f>
        <v/>
      </c>
      <c r="M69" s="20">
        <f>IF(VLOOKUP(B69,Data!$A:$AX,MATCH($M$1,Data!$A$1:$AX$1,))=0,#N/A,(VLOOKUP(B69,Data!$A:$AX,MATCH($M$1,Data!$A$1:$AX$1,),)-VLOOKUP(EDATE(B69,-12),Data!$A:$AX,MATCH($M$1,Data!$A$1:$AX$1,),))/VLOOKUP(EDATE(B69,-12),Data!$A:$AX,MATCH($M$1,Data!$A$1:$AX$1,),))</f>
        <v/>
      </c>
      <c r="N69" s="20">
        <f>(VLOOKUP(B69,Data!$A:$AX,MATCH($N$1,Data!$A$1:$AX$1,),)-VLOOKUP(EDATE(B69,-12),Data!$A:$AX,MATCH($N$1,Data!$A$1:$AX$1,),))/VLOOKUP(EDATE(B69,-12),Data!$A:$AX,MATCH($N$1,Data!$A$1:$AX$1,),)</f>
        <v/>
      </c>
      <c r="O69" s="20">
        <f>IF(VLOOKUP(B69,Data!$A:$AX,MATCH($O$1,Data!$A$1:$AX$1,))=0,#N/A,(VLOOKUP(B69,Data!$A:$AX,MATCH($O$1,Data!$A$1:$AX$1,),)-VLOOKUP(EDATE(B69,-12),Data!$A:$AX,MATCH($O$1,Data!$A$1:$AX$1,),))/VLOOKUP(EDATE(B69,-12),Data!$A:$AX,MATCH($O$1,Data!$A$1:$AX$1,),))</f>
        <v/>
      </c>
      <c r="P69" s="20">
        <f>IF(VLOOKUP(B69,Data!$A:$AX,MATCH($P$1,Data!$A$1:$AX$1,))=0,#N/A,(VLOOKUP(B69,Data!$A:$AX,MATCH($P$1,Data!$A$1:$AX$1,),)-VLOOKUP(EDATE(B69,-12),Data!$A:$AX,MATCH($P$1,Data!$A$1:$AX$1,),))/VLOOKUP(EDATE(B69,-12),Data!$A:$AX,MATCH($P$1,Data!$A$1:$AX$1,),))</f>
        <v/>
      </c>
      <c r="Q69" s="20">
        <f>(VLOOKUP(B69,Data!$A:$AX,MATCH($Q$1,Data!$A$1:$AX$1,),)-VLOOKUP(EDATE(B69,-12),Data!$A:$AX,MATCH($Q$1,Data!$A$1:$AX$1,),))/VLOOKUP(EDATE(B69,-12),Data!$A:$AX,MATCH($Q$1,Data!$A$1:$AX$1,),)</f>
        <v/>
      </c>
      <c r="R69" s="20">
        <f>IF(VLOOKUP(B69,Data!$A:$AX,MATCH($R$1,Data!$A$1:$AX$1,))=0,#N/A,(VLOOKUP(B69,Data!$A:$AX,MATCH($R$1,Data!$A$1:$AX$1,),)-VLOOKUP(EDATE(B69,-12),Data!$A:$AX,MATCH($R$1,Data!$A$1:$AX$1,),))/VLOOKUP(EDATE(B69,-12),Data!$A:$AX,MATCH($R$1,Data!$A$1:$AX$1,),))</f>
        <v/>
      </c>
      <c r="S69" s="20">
        <f>IF(VLOOKUP(B69,Data!$A:$AX,MATCH($S$1,Data!$A$1:$AX$1,))=0,#N/A,(VLOOKUP(B69,Data!$A:$AX,MATCH($S$1,Data!$A$1:$AX$1,),)-VLOOKUP(EDATE(B69,-12),Data!$A:$AX,MATCH($S$1,Data!$A$1:$AX$1,),))/VLOOKUP(EDATE(B69,-12),Data!$A:$AX,MATCH($S$1,Data!$A$1:$AX$1,),))</f>
        <v/>
      </c>
      <c r="T69" s="20">
        <f>IF(VLOOKUP(B69,Data!$A:$AX,MATCH($T$1,Data!$A$1:$AX$1,))=0,#N/A,(VLOOKUP(B69,Data!$A:$AX,MATCH($T$1,Data!$A$1:$AX$1,),)-VLOOKUP(EDATE(B69,-12),Data!$A:$AX,MATCH($T$1,Data!$A$1:$AX$1,),))/VLOOKUP(EDATE(B69,-12),Data!$A:$AX,MATCH($T$1,Data!$A$1:$AX$1,),))</f>
        <v/>
      </c>
      <c r="U69" s="20">
        <f>IF(VLOOKUP(B69,Data!$A:$AX,MATCH($U$1,Data!$A$1:$AX$1,))=0,#N/A,(VLOOKUP(B69,Data!$A:$AX,MATCH($U$1,Data!$A$1:$AX$1,),)-VLOOKUP(EDATE(B69,-12),Data!$A:$AX,MATCH($U$1,Data!$A$1:$AX$1,),))/VLOOKUP(EDATE(B69,-12),Data!$A:$AX,MATCH($U$1,Data!$A$1:$AX$1,),))</f>
        <v/>
      </c>
      <c r="V69" s="20">
        <f>(VLOOKUP(B69,Data!$A:$AX,MATCH($V$1,Data!$A$1:$AX$1,),)-VLOOKUP(EDATE(B69,-12),Data!$A:$AX,MATCH($V$1,Data!$A$1:$AX$1,),))/VLOOKUP(EDATE(B69,-12),Data!$A:$AX,MATCH($V$1,Data!$A$1:$AX$1,),)</f>
        <v/>
      </c>
      <c r="W69" s="20">
        <f>IF(VLOOKUP(B69,Data!$A:$AX,MATCH($W$1,Data!$A$1:$AX$1,))=0,#N/A,(VLOOKUP(B69,Data!$A:$AX,MATCH($W$1,Data!$A$1:$AX$1,),)-VLOOKUP(EDATE(B69,-12),Data!$A:$AX,MATCH($W$1,Data!$A$1:$AX$1,),))/VLOOKUP(EDATE(B69,-12),Data!$A:$AX,MATCH($W$1,Data!$A$1:$AX$1,),))</f>
        <v/>
      </c>
      <c r="X69" s="20">
        <f>IF(VLOOKUP(B69,Data!$A:$AX,MATCH($X$1,Data!$A$1:$AX$1,))=0,#N/A,(VLOOKUP(B69,Data!$A:$AX,MATCH($X$1,Data!$A$1:$AX$1,),)-VLOOKUP(EDATE(B69,-12),Data!$A:$AX,MATCH($X$1,Data!$A$1:$AX$1,),))/VLOOKUP(EDATE(B69,-12),Data!$A:$AX,MATCH($X$1,Data!$A$1:$AX$1,),))</f>
        <v/>
      </c>
      <c r="Y69" s="20">
        <f>IF(VLOOKUP(B69,Data!$A:$AX,MATCH($Y$1,Data!$A$1:$AX$1,))=0,#N/A,(VLOOKUP(B69,Data!$A:$AX,MATCH($Y$1,Data!$A$1:$AX$1,),)-VLOOKUP(EDATE(B69,-12),Data!$A:$AX,MATCH($Y$1,Data!$A$1:$AX$1,),))/VLOOKUP(EDATE(B69,-12),Data!$A:$AX,MATCH($Y$1,Data!$A$1:$AX$1,),))</f>
        <v/>
      </c>
      <c r="Z69" s="20">
        <f>(VLOOKUP(B69,Data!$A:$AX,MATCH($Z$1,Data!$A$1:$AX$1,),)-VLOOKUP(EDATE(B69,-12),Data!$A:$AX,MATCH($Z$1,Data!$A$1:$AX$1,),))/VLOOKUP(EDATE(B69,-12),Data!$A:$AX,MATCH($Z$1,Data!$A$1:$AX$1,),)</f>
        <v/>
      </c>
      <c r="AA69" s="20">
        <f>(VLOOKUP(B69,Data!$A:$AX,MATCH($AA$1,Data!$A$1:$AX$1,),)-VLOOKUP(EDATE(B69,-12),Data!$A:$AX,MATCH($AA$1,Data!$A$1:$AX$1,),))/VLOOKUP(EDATE(B69,-12),Data!$A:$AX,MATCH($AA$1,Data!$A$1:$AX$1,),)</f>
        <v/>
      </c>
      <c r="AB69" s="19" t="n"/>
    </row>
    <row r="70">
      <c r="B70" s="15" t="n">
        <v>42339</v>
      </c>
      <c r="C70" s="20">
        <f>IF(VLOOKUP(B70,Data!$A:$AX,MATCH($C$1,Data!$A$1:$AX$1,))=0,#N/A,(VLOOKUP(B70,Data!$A:$AX,MATCH($C$1,Data!$A$1:$AX$1,),)-VLOOKUP(EDATE(B70,-12),Data!$A:$AX,MATCH($C$1,Data!$A$1:$AX$1,),))/VLOOKUP(EDATE(B70,-12),Data!$A:$AX,MATCH($C$1,Data!$A$1:$AX$1,),))</f>
        <v/>
      </c>
      <c r="D70" s="20">
        <f>IF(VLOOKUP(B70,Data!$A:$AX,MATCH($D$1,Data!$A$1:$AX$1,))=0,#N/A,(VLOOKUP(B70,Data!$A:$AX,MATCH($D$1,Data!$A$1:$AX$1,),)-VLOOKUP(EDATE(B70,-12),Data!$A:$AX,MATCH($D$1,Data!$A$1:$AX$1,),))/VLOOKUP(EDATE(B70,-12),Data!$A:$AX,MATCH($D$1,Data!$A$1:$AX$1,),))</f>
        <v/>
      </c>
      <c r="E70" s="20">
        <f>IF(VLOOKUP(B70,Data!$A:$AX,MATCH($E$1,Data!$A$1:$AX$1,))=0,#N/A,(VLOOKUP(B70,Data!$A:$AX,MATCH($E$1,Data!$A$1:$AX$1,),)-VLOOKUP(EDATE(B70,-12),Data!$A:$AX,MATCH($E$1,Data!$A$1:$AX$1,),))/VLOOKUP(EDATE(B70,-12),Data!$A:$AX,MATCH($E$1,Data!$A$1:$AX$1,),))</f>
        <v/>
      </c>
      <c r="F70" s="20">
        <f>IF(VLOOKUP(B70,Data!$A:$AX,MATCH($F$1,Data!$A$1:$AX$1,))=0,#N/A,(VLOOKUP(B70,Data!$A:$AX,MATCH($F$1,Data!$A$1:$AX$1,),)-VLOOKUP(EDATE(B70,-12),Data!$A:$AX,MATCH($F$1,Data!$A$1:$AX$1,),))/VLOOKUP(EDATE(B70,-12),Data!$A:$AX,MATCH($F$1,Data!$A$1:$AX$1,),))</f>
        <v/>
      </c>
      <c r="G70" s="20">
        <f>IF(VLOOKUP(B70,Data!$A:$AX,MATCH($G$1,Data!$A$1:$AX$1,))=0,#N/A,(VLOOKUP(B70,Data!$A:$AX,MATCH($G$1,Data!$A$1:$AX$1,),)-VLOOKUP(EDATE(B70,-12),Data!$A:$AX,MATCH($G$1,Data!$A$1:$AX$1,),))/VLOOKUP(EDATE(B70,-12),Data!$A:$AX,MATCH($G$1,Data!$A$1:$AX$1,),))</f>
        <v/>
      </c>
      <c r="H70" s="20">
        <f>IF(VLOOKUP(B70,Data!$A:$AX,MATCH($H$1,Data!$A$1:$AX$1,))=0,#N/A,(VLOOKUP(B70,Data!$A:$AX,MATCH($H$1,Data!$A$1:$AX$1,),)-VLOOKUP(EDATE(B70,-12),Data!$A:$AX,MATCH($H$1,Data!$A$1:$AX$1,),))/VLOOKUP(EDATE(B70,-12),Data!$A:$AX,MATCH($H$1,Data!$A$1:$AX$1,),))</f>
        <v/>
      </c>
      <c r="I70" s="20">
        <f>IF(VLOOKUP(B70,Data!$A:$AX,MATCH($I$1,Data!$A$1:$AX$1,))=0,#N/A,(VLOOKUP(B70,Data!$A:$AX,MATCH($I$1,Data!$A$1:$AX$1,),)-VLOOKUP(EDATE(B70,-12),Data!$A:$AX,MATCH($I$1,Data!$A$1:$AX$1,),))/VLOOKUP(EDATE(B70,-12),Data!$A:$AX,MATCH($I$1,Data!$A$1:$AX$1,),))</f>
        <v/>
      </c>
      <c r="J70" s="20">
        <f>IF(VLOOKUP(B70,Data!$A:$AX,MATCH($J$1,Data!$A$1:$AX$1,))=0,#N/A,(VLOOKUP(B70,Data!$A:$AX,MATCH($J$1,Data!$A$1:$AX$1,),)-VLOOKUP(EDATE(B70,-12),Data!$A:$AX,MATCH($J$1,Data!$A$1:$AX$1,),))/VLOOKUP(EDATE(B70,-12),Data!$A:$AX,MATCH($J$1,Data!$A$1:$AX$1,),))</f>
        <v/>
      </c>
      <c r="K70" s="20">
        <f>IF(VLOOKUP(B70,Data!$A:$AX,MATCH($K$1,Data!$A$1:$AX$1,))=0,#N/A,(VLOOKUP(B70,Data!$A:$AX,MATCH($K$1,Data!$A$1:$AX$1,),)-VLOOKUP(EDATE(B70,-12),Data!$A:$AX,MATCH($K$1,Data!$A$1:$AX$1,),))/VLOOKUP(EDATE(B70,-12),Data!$A:$AX,MATCH($K$1,Data!$A$1:$AX$1,),))</f>
        <v/>
      </c>
      <c r="L70" s="20">
        <f>IF(VLOOKUP(B70,Data!$A:$AX,MATCH($L$1,Data!$A$1:$AX$1,))=0,#N/A,(VLOOKUP(B70,Data!$A:$AX,MATCH($L$1,Data!$A$1:$AX$1,),)-VLOOKUP(EDATE(B70,-12),Data!$A:$AX,MATCH($L$1,Data!$A$1:$AX$1,),))/VLOOKUP(EDATE(B70,-12),Data!$A:$AX,MATCH($L$1,Data!$A$1:$AX$1,),))</f>
        <v/>
      </c>
      <c r="M70" s="20">
        <f>IF(VLOOKUP(B70,Data!$A:$AX,MATCH($M$1,Data!$A$1:$AX$1,))=0,#N/A,(VLOOKUP(B70,Data!$A:$AX,MATCH($M$1,Data!$A$1:$AX$1,),)-VLOOKUP(EDATE(B70,-12),Data!$A:$AX,MATCH($M$1,Data!$A$1:$AX$1,),))/VLOOKUP(EDATE(B70,-12),Data!$A:$AX,MATCH($M$1,Data!$A$1:$AX$1,),))</f>
        <v/>
      </c>
      <c r="N70" s="20">
        <f>(VLOOKUP(B70,Data!$A:$AX,MATCH($N$1,Data!$A$1:$AX$1,),)-VLOOKUP(EDATE(B70,-12),Data!$A:$AX,MATCH($N$1,Data!$A$1:$AX$1,),))/VLOOKUP(EDATE(B70,-12),Data!$A:$AX,MATCH($N$1,Data!$A$1:$AX$1,),)</f>
        <v/>
      </c>
      <c r="O70" s="20">
        <f>IF(VLOOKUP(B70,Data!$A:$AX,MATCH($O$1,Data!$A$1:$AX$1,))=0,#N/A,(VLOOKUP(B70,Data!$A:$AX,MATCH($O$1,Data!$A$1:$AX$1,),)-VLOOKUP(EDATE(B70,-12),Data!$A:$AX,MATCH($O$1,Data!$A$1:$AX$1,),))/VLOOKUP(EDATE(B70,-12),Data!$A:$AX,MATCH($O$1,Data!$A$1:$AX$1,),))</f>
        <v/>
      </c>
      <c r="P70" s="20">
        <f>IF(VLOOKUP(B70,Data!$A:$AX,MATCH($P$1,Data!$A$1:$AX$1,))=0,#N/A,(VLOOKUP(B70,Data!$A:$AX,MATCH($P$1,Data!$A$1:$AX$1,),)-VLOOKUP(EDATE(B70,-12),Data!$A:$AX,MATCH($P$1,Data!$A$1:$AX$1,),))/VLOOKUP(EDATE(B70,-12),Data!$A:$AX,MATCH($P$1,Data!$A$1:$AX$1,),))</f>
        <v/>
      </c>
      <c r="Q70" s="20">
        <f>(VLOOKUP(B70,Data!$A:$AX,MATCH($Q$1,Data!$A$1:$AX$1,),)-VLOOKUP(EDATE(B70,-12),Data!$A:$AX,MATCH($Q$1,Data!$A$1:$AX$1,),))/VLOOKUP(EDATE(B70,-12),Data!$A:$AX,MATCH($Q$1,Data!$A$1:$AX$1,),)</f>
        <v/>
      </c>
      <c r="R70" s="20">
        <f>IF(VLOOKUP(B70,Data!$A:$AX,MATCH($R$1,Data!$A$1:$AX$1,))=0,#N/A,(VLOOKUP(B70,Data!$A:$AX,MATCH($R$1,Data!$A$1:$AX$1,),)-VLOOKUP(EDATE(B70,-12),Data!$A:$AX,MATCH($R$1,Data!$A$1:$AX$1,),))/VLOOKUP(EDATE(B70,-12),Data!$A:$AX,MATCH($R$1,Data!$A$1:$AX$1,),))</f>
        <v/>
      </c>
      <c r="S70" s="20">
        <f>IF(VLOOKUP(B70,Data!$A:$AX,MATCH($S$1,Data!$A$1:$AX$1,))=0,#N/A,(VLOOKUP(B70,Data!$A:$AX,MATCH($S$1,Data!$A$1:$AX$1,),)-VLOOKUP(EDATE(B70,-12),Data!$A:$AX,MATCH($S$1,Data!$A$1:$AX$1,),))/VLOOKUP(EDATE(B70,-12),Data!$A:$AX,MATCH($S$1,Data!$A$1:$AX$1,),))</f>
        <v/>
      </c>
      <c r="T70" s="20">
        <f>IF(VLOOKUP(B70,Data!$A:$AX,MATCH($T$1,Data!$A$1:$AX$1,))=0,#N/A,(VLOOKUP(B70,Data!$A:$AX,MATCH($T$1,Data!$A$1:$AX$1,),)-VLOOKUP(EDATE(B70,-12),Data!$A:$AX,MATCH($T$1,Data!$A$1:$AX$1,),))/VLOOKUP(EDATE(B70,-12),Data!$A:$AX,MATCH($T$1,Data!$A$1:$AX$1,),))</f>
        <v/>
      </c>
      <c r="U70" s="20">
        <f>IF(VLOOKUP(B70,Data!$A:$AX,MATCH($U$1,Data!$A$1:$AX$1,))=0,#N/A,(VLOOKUP(B70,Data!$A:$AX,MATCH($U$1,Data!$A$1:$AX$1,),)-VLOOKUP(EDATE(B70,-12),Data!$A:$AX,MATCH($U$1,Data!$A$1:$AX$1,),))/VLOOKUP(EDATE(B70,-12),Data!$A:$AX,MATCH($U$1,Data!$A$1:$AX$1,),))</f>
        <v/>
      </c>
      <c r="V70" s="20">
        <f>(VLOOKUP(B70,Data!$A:$AX,MATCH($V$1,Data!$A$1:$AX$1,),)-VLOOKUP(EDATE(B70,-12),Data!$A:$AX,MATCH($V$1,Data!$A$1:$AX$1,),))/VLOOKUP(EDATE(B70,-12),Data!$A:$AX,MATCH($V$1,Data!$A$1:$AX$1,),)</f>
        <v/>
      </c>
      <c r="W70" s="20">
        <f>IF(VLOOKUP(B70,Data!$A:$AX,MATCH($W$1,Data!$A$1:$AX$1,))=0,#N/A,(VLOOKUP(B70,Data!$A:$AX,MATCH($W$1,Data!$A$1:$AX$1,),)-VLOOKUP(EDATE(B70,-12),Data!$A:$AX,MATCH($W$1,Data!$A$1:$AX$1,),))/VLOOKUP(EDATE(B70,-12),Data!$A:$AX,MATCH($W$1,Data!$A$1:$AX$1,),))</f>
        <v/>
      </c>
      <c r="X70" s="20">
        <f>IF(VLOOKUP(B70,Data!$A:$AX,MATCH($X$1,Data!$A$1:$AX$1,))=0,#N/A,(VLOOKUP(B70,Data!$A:$AX,MATCH($X$1,Data!$A$1:$AX$1,),)-VLOOKUP(EDATE(B70,-12),Data!$A:$AX,MATCH($X$1,Data!$A$1:$AX$1,),))/VLOOKUP(EDATE(B70,-12),Data!$A:$AX,MATCH($X$1,Data!$A$1:$AX$1,),))</f>
        <v/>
      </c>
      <c r="Y70" s="20">
        <f>IF(VLOOKUP(B70,Data!$A:$AX,MATCH($Y$1,Data!$A$1:$AX$1,))=0,#N/A,(VLOOKUP(B70,Data!$A:$AX,MATCH($Y$1,Data!$A$1:$AX$1,),)-VLOOKUP(EDATE(B70,-12),Data!$A:$AX,MATCH($Y$1,Data!$A$1:$AX$1,),))/VLOOKUP(EDATE(B70,-12),Data!$A:$AX,MATCH($Y$1,Data!$A$1:$AX$1,),))</f>
        <v/>
      </c>
      <c r="Z70" s="20">
        <f>(VLOOKUP(B70,Data!$A:$AX,MATCH($Z$1,Data!$A$1:$AX$1,),)-VLOOKUP(EDATE(B70,-12),Data!$A:$AX,MATCH($Z$1,Data!$A$1:$AX$1,),))/VLOOKUP(EDATE(B70,-12),Data!$A:$AX,MATCH($Z$1,Data!$A$1:$AX$1,),)</f>
        <v/>
      </c>
      <c r="AA70" s="20">
        <f>(VLOOKUP(B70,Data!$A:$AX,MATCH($AA$1,Data!$A$1:$AX$1,),)-VLOOKUP(EDATE(B70,-12),Data!$A:$AX,MATCH($AA$1,Data!$A$1:$AX$1,),))/VLOOKUP(EDATE(B70,-12),Data!$A:$AX,MATCH($AA$1,Data!$A$1:$AX$1,),)</f>
        <v/>
      </c>
      <c r="AB70" s="19" t="n"/>
    </row>
    <row r="71">
      <c r="B71" s="15" t="n">
        <v>42370</v>
      </c>
      <c r="C71" s="20">
        <f>IF(VLOOKUP(B71,Data!$A:$AX,MATCH($C$1,Data!$A$1:$AX$1,))=0,#N/A,(VLOOKUP(B71,Data!$A:$AX,MATCH($C$1,Data!$A$1:$AX$1,),)-VLOOKUP(EDATE(B71,-12),Data!$A:$AX,MATCH($C$1,Data!$A$1:$AX$1,),))/VLOOKUP(EDATE(B71,-12),Data!$A:$AX,MATCH($C$1,Data!$A$1:$AX$1,),))</f>
        <v/>
      </c>
      <c r="D71" s="20">
        <f>IF(VLOOKUP(B71,Data!$A:$AX,MATCH($D$1,Data!$A$1:$AX$1,))=0,#N/A,(VLOOKUP(B71,Data!$A:$AX,MATCH($D$1,Data!$A$1:$AX$1,),)-VLOOKUP(EDATE(B71,-12),Data!$A:$AX,MATCH($D$1,Data!$A$1:$AX$1,),))/VLOOKUP(EDATE(B71,-12),Data!$A:$AX,MATCH($D$1,Data!$A$1:$AX$1,),))</f>
        <v/>
      </c>
      <c r="E71" s="20">
        <f>IF(VLOOKUP(B71,Data!$A:$AX,MATCH($E$1,Data!$A$1:$AX$1,))=0,#N/A,(VLOOKUP(B71,Data!$A:$AX,MATCH($E$1,Data!$A$1:$AX$1,),)-VLOOKUP(EDATE(B71,-12),Data!$A:$AX,MATCH($E$1,Data!$A$1:$AX$1,),))/VLOOKUP(EDATE(B71,-12),Data!$A:$AX,MATCH($E$1,Data!$A$1:$AX$1,),))</f>
        <v/>
      </c>
      <c r="F71" s="20">
        <f>IF(VLOOKUP(B71,Data!$A:$AX,MATCH($F$1,Data!$A$1:$AX$1,))=0,#N/A,(VLOOKUP(B71,Data!$A:$AX,MATCH($F$1,Data!$A$1:$AX$1,),)-VLOOKUP(EDATE(B71,-12),Data!$A:$AX,MATCH($F$1,Data!$A$1:$AX$1,),))/VLOOKUP(EDATE(B71,-12),Data!$A:$AX,MATCH($F$1,Data!$A$1:$AX$1,),))</f>
        <v/>
      </c>
      <c r="G71" s="20">
        <f>IF(VLOOKUP(B71,Data!$A:$AX,MATCH($G$1,Data!$A$1:$AX$1,))=0,#N/A,(VLOOKUP(B71,Data!$A:$AX,MATCH($G$1,Data!$A$1:$AX$1,),)-VLOOKUP(EDATE(B71,-12),Data!$A:$AX,MATCH($G$1,Data!$A$1:$AX$1,),))/VLOOKUP(EDATE(B71,-12),Data!$A:$AX,MATCH($G$1,Data!$A$1:$AX$1,),))</f>
        <v/>
      </c>
      <c r="H71" s="20">
        <f>IF(VLOOKUP(B71,Data!$A:$AX,MATCH($H$1,Data!$A$1:$AX$1,))=0,#N/A,(VLOOKUP(B71,Data!$A:$AX,MATCH($H$1,Data!$A$1:$AX$1,),)-VLOOKUP(EDATE(B71,-12),Data!$A:$AX,MATCH($H$1,Data!$A$1:$AX$1,),))/VLOOKUP(EDATE(B71,-12),Data!$A:$AX,MATCH($H$1,Data!$A$1:$AX$1,),))</f>
        <v/>
      </c>
      <c r="I71" s="20">
        <f>IF(VLOOKUP(B71,Data!$A:$AX,MATCH($I$1,Data!$A$1:$AX$1,))=0,#N/A,(VLOOKUP(B71,Data!$A:$AX,MATCH($I$1,Data!$A$1:$AX$1,),)-VLOOKUP(EDATE(B71,-12),Data!$A:$AX,MATCH($I$1,Data!$A$1:$AX$1,),))/VLOOKUP(EDATE(B71,-12),Data!$A:$AX,MATCH($I$1,Data!$A$1:$AX$1,),))</f>
        <v/>
      </c>
      <c r="J71" s="20">
        <f>IF(VLOOKUP(B71,Data!$A:$AX,MATCH($J$1,Data!$A$1:$AX$1,))=0,#N/A,(VLOOKUP(B71,Data!$A:$AX,MATCH($J$1,Data!$A$1:$AX$1,),)-VLOOKUP(EDATE(B71,-12),Data!$A:$AX,MATCH($J$1,Data!$A$1:$AX$1,),))/VLOOKUP(EDATE(B71,-12),Data!$A:$AX,MATCH($J$1,Data!$A$1:$AX$1,),))</f>
        <v/>
      </c>
      <c r="K71" s="20">
        <f>IF(VLOOKUP(B71,Data!$A:$AX,MATCH($K$1,Data!$A$1:$AX$1,))=0,#N/A,(VLOOKUP(B71,Data!$A:$AX,MATCH($K$1,Data!$A$1:$AX$1,),)-VLOOKUP(EDATE(B71,-12),Data!$A:$AX,MATCH($K$1,Data!$A$1:$AX$1,),))/VLOOKUP(EDATE(B71,-12),Data!$A:$AX,MATCH($K$1,Data!$A$1:$AX$1,),))</f>
        <v/>
      </c>
      <c r="L71" s="20">
        <f>IF(VLOOKUP(B71,Data!$A:$AX,MATCH($L$1,Data!$A$1:$AX$1,))=0,#N/A,(VLOOKUP(B71,Data!$A:$AX,MATCH($L$1,Data!$A$1:$AX$1,),)-VLOOKUP(EDATE(B71,-12),Data!$A:$AX,MATCH($L$1,Data!$A$1:$AX$1,),))/VLOOKUP(EDATE(B71,-12),Data!$A:$AX,MATCH($L$1,Data!$A$1:$AX$1,),))</f>
        <v/>
      </c>
      <c r="M71" s="20">
        <f>IF(VLOOKUP(B71,Data!$A:$AX,MATCH($M$1,Data!$A$1:$AX$1,))=0,#N/A,(VLOOKUP(B71,Data!$A:$AX,MATCH($M$1,Data!$A$1:$AX$1,),)-VLOOKUP(EDATE(B71,-12),Data!$A:$AX,MATCH($M$1,Data!$A$1:$AX$1,),))/VLOOKUP(EDATE(B71,-12),Data!$A:$AX,MATCH($M$1,Data!$A$1:$AX$1,),))</f>
        <v/>
      </c>
      <c r="N71" s="20">
        <f>(VLOOKUP(B71,Data!$A:$AX,MATCH($N$1,Data!$A$1:$AX$1,),)-VLOOKUP(EDATE(B71,-12),Data!$A:$AX,MATCH($N$1,Data!$A$1:$AX$1,),))/VLOOKUP(EDATE(B71,-12),Data!$A:$AX,MATCH($N$1,Data!$A$1:$AX$1,),)</f>
        <v/>
      </c>
      <c r="O71" s="20">
        <f>IF(VLOOKUP(B71,Data!$A:$AX,MATCH($O$1,Data!$A$1:$AX$1,))=0,#N/A,(VLOOKUP(B71,Data!$A:$AX,MATCH($O$1,Data!$A$1:$AX$1,),)-VLOOKUP(EDATE(B71,-12),Data!$A:$AX,MATCH($O$1,Data!$A$1:$AX$1,),))/VLOOKUP(EDATE(B71,-12),Data!$A:$AX,MATCH($O$1,Data!$A$1:$AX$1,),))</f>
        <v/>
      </c>
      <c r="P71" s="20">
        <f>IF(VLOOKUP(B71,Data!$A:$AX,MATCH($P$1,Data!$A$1:$AX$1,))=0,#N/A,(VLOOKUP(B71,Data!$A:$AX,MATCH($P$1,Data!$A$1:$AX$1,),)-VLOOKUP(EDATE(B71,-12),Data!$A:$AX,MATCH($P$1,Data!$A$1:$AX$1,),))/VLOOKUP(EDATE(B71,-12),Data!$A:$AX,MATCH($P$1,Data!$A$1:$AX$1,),))</f>
        <v/>
      </c>
      <c r="Q71" s="20">
        <f>(VLOOKUP(B71,Data!$A:$AX,MATCH($Q$1,Data!$A$1:$AX$1,),)-VLOOKUP(EDATE(B71,-12),Data!$A:$AX,MATCH($Q$1,Data!$A$1:$AX$1,),))/VLOOKUP(EDATE(B71,-12),Data!$A:$AX,MATCH($Q$1,Data!$A$1:$AX$1,),)</f>
        <v/>
      </c>
      <c r="R71" s="20">
        <f>IF(VLOOKUP(B71,Data!$A:$AX,MATCH($R$1,Data!$A$1:$AX$1,))=0,#N/A,(VLOOKUP(B71,Data!$A:$AX,MATCH($R$1,Data!$A$1:$AX$1,),)-VLOOKUP(EDATE(B71,-12),Data!$A:$AX,MATCH($R$1,Data!$A$1:$AX$1,),))/VLOOKUP(EDATE(B71,-12),Data!$A:$AX,MATCH($R$1,Data!$A$1:$AX$1,),))</f>
        <v/>
      </c>
      <c r="S71" s="20">
        <f>IF(VLOOKUP(B71,Data!$A:$AX,MATCH($S$1,Data!$A$1:$AX$1,))=0,#N/A,(VLOOKUP(B71,Data!$A:$AX,MATCH($S$1,Data!$A$1:$AX$1,),)-VLOOKUP(EDATE(B71,-12),Data!$A:$AX,MATCH($S$1,Data!$A$1:$AX$1,),))/VLOOKUP(EDATE(B71,-12),Data!$A:$AX,MATCH($S$1,Data!$A$1:$AX$1,),))</f>
        <v/>
      </c>
      <c r="T71" s="20">
        <f>IF(VLOOKUP(B71,Data!$A:$AX,MATCH($T$1,Data!$A$1:$AX$1,))=0,#N/A,(VLOOKUP(B71,Data!$A:$AX,MATCH($T$1,Data!$A$1:$AX$1,),)-VLOOKUP(EDATE(B71,-12),Data!$A:$AX,MATCH($T$1,Data!$A$1:$AX$1,),))/VLOOKUP(EDATE(B71,-12),Data!$A:$AX,MATCH($T$1,Data!$A$1:$AX$1,),))</f>
        <v/>
      </c>
      <c r="U71" s="20">
        <f>IF(VLOOKUP(B71,Data!$A:$AX,MATCH($U$1,Data!$A$1:$AX$1,))=0,#N/A,(VLOOKUP(B71,Data!$A:$AX,MATCH($U$1,Data!$A$1:$AX$1,),)-VLOOKUP(EDATE(B71,-12),Data!$A:$AX,MATCH($U$1,Data!$A$1:$AX$1,),))/VLOOKUP(EDATE(B71,-12),Data!$A:$AX,MATCH($U$1,Data!$A$1:$AX$1,),))</f>
        <v/>
      </c>
      <c r="V71" s="20">
        <f>(VLOOKUP(B71,Data!$A:$AX,MATCH($V$1,Data!$A$1:$AX$1,),)-VLOOKUP(EDATE(B71,-12),Data!$A:$AX,MATCH($V$1,Data!$A$1:$AX$1,),))/VLOOKUP(EDATE(B71,-12),Data!$A:$AX,MATCH($V$1,Data!$A$1:$AX$1,),)</f>
        <v/>
      </c>
      <c r="W71" s="20">
        <f>IF(VLOOKUP(B71,Data!$A:$AX,MATCH($W$1,Data!$A$1:$AX$1,))=0,#N/A,(VLOOKUP(B71,Data!$A:$AX,MATCH($W$1,Data!$A$1:$AX$1,),)-VLOOKUP(EDATE(B71,-12),Data!$A:$AX,MATCH($W$1,Data!$A$1:$AX$1,),))/VLOOKUP(EDATE(B71,-12),Data!$A:$AX,MATCH($W$1,Data!$A$1:$AX$1,),))</f>
        <v/>
      </c>
      <c r="X71" s="20">
        <f>IF(VLOOKUP(B71,Data!$A:$AX,MATCH($X$1,Data!$A$1:$AX$1,))=0,#N/A,(VLOOKUP(B71,Data!$A:$AX,MATCH($X$1,Data!$A$1:$AX$1,),)-VLOOKUP(EDATE(B71,-12),Data!$A:$AX,MATCH($X$1,Data!$A$1:$AX$1,),))/VLOOKUP(EDATE(B71,-12),Data!$A:$AX,MATCH($X$1,Data!$A$1:$AX$1,),))</f>
        <v/>
      </c>
      <c r="Y71" s="20">
        <f>IF(VLOOKUP(B71,Data!$A:$AX,MATCH($Y$1,Data!$A$1:$AX$1,))=0,#N/A,(VLOOKUP(B71,Data!$A:$AX,MATCH($Y$1,Data!$A$1:$AX$1,),)-VLOOKUP(EDATE(B71,-12),Data!$A:$AX,MATCH($Y$1,Data!$A$1:$AX$1,),))/VLOOKUP(EDATE(B71,-12),Data!$A:$AX,MATCH($Y$1,Data!$A$1:$AX$1,),))</f>
        <v/>
      </c>
      <c r="Z71" s="20">
        <f>(VLOOKUP(B71,Data!$A:$AX,MATCH($Z$1,Data!$A$1:$AX$1,),)-VLOOKUP(EDATE(B71,-12),Data!$A:$AX,MATCH($Z$1,Data!$A$1:$AX$1,),))/VLOOKUP(EDATE(B71,-12),Data!$A:$AX,MATCH($Z$1,Data!$A$1:$AX$1,),)</f>
        <v/>
      </c>
      <c r="AA71" s="20">
        <f>(VLOOKUP(B71,Data!$A:$AX,MATCH($AA$1,Data!$A$1:$AX$1,),)-VLOOKUP(EDATE(B71,-12),Data!$A:$AX,MATCH($AA$1,Data!$A$1:$AX$1,),))/VLOOKUP(EDATE(B71,-12),Data!$A:$AX,MATCH($AA$1,Data!$A$1:$AX$1,),)</f>
        <v/>
      </c>
      <c r="AB71" s="19" t="n"/>
    </row>
    <row r="72">
      <c r="B72" s="15" t="n">
        <v>42401</v>
      </c>
      <c r="C72" s="20">
        <f>IF(VLOOKUP(B72,Data!$A:$AX,MATCH($C$1,Data!$A$1:$AX$1,))=0,#N/A,(VLOOKUP(B72,Data!$A:$AX,MATCH($C$1,Data!$A$1:$AX$1,),)-VLOOKUP(EDATE(B72,-12),Data!$A:$AX,MATCH($C$1,Data!$A$1:$AX$1,),))/VLOOKUP(EDATE(B72,-12),Data!$A:$AX,MATCH($C$1,Data!$A$1:$AX$1,),))</f>
        <v/>
      </c>
      <c r="D72" s="20">
        <f>IF(VLOOKUP(B72,Data!$A:$AX,MATCH($D$1,Data!$A$1:$AX$1,))=0,#N/A,(VLOOKUP(B72,Data!$A:$AX,MATCH($D$1,Data!$A$1:$AX$1,),)-VLOOKUP(EDATE(B72,-12),Data!$A:$AX,MATCH($D$1,Data!$A$1:$AX$1,),))/VLOOKUP(EDATE(B72,-12),Data!$A:$AX,MATCH($D$1,Data!$A$1:$AX$1,),))</f>
        <v/>
      </c>
      <c r="E72" s="20">
        <f>IF(VLOOKUP(B72,Data!$A:$AX,MATCH($E$1,Data!$A$1:$AX$1,))=0,#N/A,(VLOOKUP(B72,Data!$A:$AX,MATCH($E$1,Data!$A$1:$AX$1,),)-VLOOKUP(EDATE(B72,-12),Data!$A:$AX,MATCH($E$1,Data!$A$1:$AX$1,),))/VLOOKUP(EDATE(B72,-12),Data!$A:$AX,MATCH($E$1,Data!$A$1:$AX$1,),))</f>
        <v/>
      </c>
      <c r="F72" s="20">
        <f>IF(VLOOKUP(B72,Data!$A:$AX,MATCH($F$1,Data!$A$1:$AX$1,))=0,#N/A,(VLOOKUP(B72,Data!$A:$AX,MATCH($F$1,Data!$A$1:$AX$1,),)-VLOOKUP(EDATE(B72,-12),Data!$A:$AX,MATCH($F$1,Data!$A$1:$AX$1,),))/VLOOKUP(EDATE(B72,-12),Data!$A:$AX,MATCH($F$1,Data!$A$1:$AX$1,),))</f>
        <v/>
      </c>
      <c r="G72" s="20">
        <f>IF(VLOOKUP(B72,Data!$A:$AX,MATCH($G$1,Data!$A$1:$AX$1,))=0,#N/A,(VLOOKUP(B72,Data!$A:$AX,MATCH($G$1,Data!$A$1:$AX$1,),)-VLOOKUP(EDATE(B72,-12),Data!$A:$AX,MATCH($G$1,Data!$A$1:$AX$1,),))/VLOOKUP(EDATE(B72,-12),Data!$A:$AX,MATCH($G$1,Data!$A$1:$AX$1,),))</f>
        <v/>
      </c>
      <c r="H72" s="20">
        <f>IF(VLOOKUP(B72,Data!$A:$AX,MATCH($H$1,Data!$A$1:$AX$1,))=0,#N/A,(VLOOKUP(B72,Data!$A:$AX,MATCH($H$1,Data!$A$1:$AX$1,),)-VLOOKUP(EDATE(B72,-12),Data!$A:$AX,MATCH($H$1,Data!$A$1:$AX$1,),))/VLOOKUP(EDATE(B72,-12),Data!$A:$AX,MATCH($H$1,Data!$A$1:$AX$1,),))</f>
        <v/>
      </c>
      <c r="I72" s="20">
        <f>IF(VLOOKUP(B72,Data!$A:$AX,MATCH($I$1,Data!$A$1:$AX$1,))=0,#N/A,(VLOOKUP(B72,Data!$A:$AX,MATCH($I$1,Data!$A$1:$AX$1,),)-VLOOKUP(EDATE(B72,-12),Data!$A:$AX,MATCH($I$1,Data!$A$1:$AX$1,),))/VLOOKUP(EDATE(B72,-12),Data!$A:$AX,MATCH($I$1,Data!$A$1:$AX$1,),))</f>
        <v/>
      </c>
      <c r="J72" s="20">
        <f>IF(VLOOKUP(B72,Data!$A:$AX,MATCH($J$1,Data!$A$1:$AX$1,))=0,#N/A,(VLOOKUP(B72,Data!$A:$AX,MATCH($J$1,Data!$A$1:$AX$1,),)-VLOOKUP(EDATE(B72,-12),Data!$A:$AX,MATCH($J$1,Data!$A$1:$AX$1,),))/VLOOKUP(EDATE(B72,-12),Data!$A:$AX,MATCH($J$1,Data!$A$1:$AX$1,),))</f>
        <v/>
      </c>
      <c r="K72" s="20">
        <f>IF(VLOOKUP(B72,Data!$A:$AX,MATCH($K$1,Data!$A$1:$AX$1,))=0,#N/A,(VLOOKUP(B72,Data!$A:$AX,MATCH($K$1,Data!$A$1:$AX$1,),)-VLOOKUP(EDATE(B72,-12),Data!$A:$AX,MATCH($K$1,Data!$A$1:$AX$1,),))/VLOOKUP(EDATE(B72,-12),Data!$A:$AX,MATCH($K$1,Data!$A$1:$AX$1,),))</f>
        <v/>
      </c>
      <c r="L72" s="20">
        <f>IF(VLOOKUP(B72,Data!$A:$AX,MATCH($L$1,Data!$A$1:$AX$1,))=0,#N/A,(VLOOKUP(B72,Data!$A:$AX,MATCH($L$1,Data!$A$1:$AX$1,),)-VLOOKUP(EDATE(B72,-12),Data!$A:$AX,MATCH($L$1,Data!$A$1:$AX$1,),))/VLOOKUP(EDATE(B72,-12),Data!$A:$AX,MATCH($L$1,Data!$A$1:$AX$1,),))</f>
        <v/>
      </c>
      <c r="M72" s="20">
        <f>IF(VLOOKUP(B72,Data!$A:$AX,MATCH($M$1,Data!$A$1:$AX$1,))=0,#N/A,(VLOOKUP(B72,Data!$A:$AX,MATCH($M$1,Data!$A$1:$AX$1,),)-VLOOKUP(EDATE(B72,-12),Data!$A:$AX,MATCH($M$1,Data!$A$1:$AX$1,),))/VLOOKUP(EDATE(B72,-12),Data!$A:$AX,MATCH($M$1,Data!$A$1:$AX$1,),))</f>
        <v/>
      </c>
      <c r="N72" s="20">
        <f>(VLOOKUP(B72,Data!$A:$AX,MATCH($N$1,Data!$A$1:$AX$1,),)-VLOOKUP(EDATE(B72,-12),Data!$A:$AX,MATCH($N$1,Data!$A$1:$AX$1,),))/VLOOKUP(EDATE(B72,-12),Data!$A:$AX,MATCH($N$1,Data!$A$1:$AX$1,),)</f>
        <v/>
      </c>
      <c r="O72" s="20">
        <f>IF(VLOOKUP(B72,Data!$A:$AX,MATCH($O$1,Data!$A$1:$AX$1,))=0,#N/A,(VLOOKUP(B72,Data!$A:$AX,MATCH($O$1,Data!$A$1:$AX$1,),)-VLOOKUP(EDATE(B72,-12),Data!$A:$AX,MATCH($O$1,Data!$A$1:$AX$1,),))/VLOOKUP(EDATE(B72,-12),Data!$A:$AX,MATCH($O$1,Data!$A$1:$AX$1,),))</f>
        <v/>
      </c>
      <c r="P72" s="20">
        <f>IF(VLOOKUP(B72,Data!$A:$AX,MATCH($P$1,Data!$A$1:$AX$1,))=0,#N/A,(VLOOKUP(B72,Data!$A:$AX,MATCH($P$1,Data!$A$1:$AX$1,),)-VLOOKUP(EDATE(B72,-12),Data!$A:$AX,MATCH($P$1,Data!$A$1:$AX$1,),))/VLOOKUP(EDATE(B72,-12),Data!$A:$AX,MATCH($P$1,Data!$A$1:$AX$1,),))</f>
        <v/>
      </c>
      <c r="Q72" s="20">
        <f>(VLOOKUP(B72,Data!$A:$AX,MATCH($Q$1,Data!$A$1:$AX$1,),)-VLOOKUP(EDATE(B72,-12),Data!$A:$AX,MATCH($Q$1,Data!$A$1:$AX$1,),))/VLOOKUP(EDATE(B72,-12),Data!$A:$AX,MATCH($Q$1,Data!$A$1:$AX$1,),)</f>
        <v/>
      </c>
      <c r="R72" s="20">
        <f>IF(VLOOKUP(B72,Data!$A:$AX,MATCH($R$1,Data!$A$1:$AX$1,))=0,#N/A,(VLOOKUP(B72,Data!$A:$AX,MATCH($R$1,Data!$A$1:$AX$1,),)-VLOOKUP(EDATE(B72,-12),Data!$A:$AX,MATCH($R$1,Data!$A$1:$AX$1,),))/VLOOKUP(EDATE(B72,-12),Data!$A:$AX,MATCH($R$1,Data!$A$1:$AX$1,),))</f>
        <v/>
      </c>
      <c r="S72" s="20">
        <f>IF(VLOOKUP(B72,Data!$A:$AX,MATCH($S$1,Data!$A$1:$AX$1,))=0,#N/A,(VLOOKUP(B72,Data!$A:$AX,MATCH($S$1,Data!$A$1:$AX$1,),)-VLOOKUP(EDATE(B72,-12),Data!$A:$AX,MATCH($S$1,Data!$A$1:$AX$1,),))/VLOOKUP(EDATE(B72,-12),Data!$A:$AX,MATCH($S$1,Data!$A$1:$AX$1,),))</f>
        <v/>
      </c>
      <c r="T72" s="20">
        <f>IF(VLOOKUP(B72,Data!$A:$AX,MATCH($T$1,Data!$A$1:$AX$1,))=0,#N/A,(VLOOKUP(B72,Data!$A:$AX,MATCH($T$1,Data!$A$1:$AX$1,),)-VLOOKUP(EDATE(B72,-12),Data!$A:$AX,MATCH($T$1,Data!$A$1:$AX$1,),))/VLOOKUP(EDATE(B72,-12),Data!$A:$AX,MATCH($T$1,Data!$A$1:$AX$1,),))</f>
        <v/>
      </c>
      <c r="U72" s="20">
        <f>IF(VLOOKUP(B72,Data!$A:$AX,MATCH($U$1,Data!$A$1:$AX$1,))=0,#N/A,(VLOOKUP(B72,Data!$A:$AX,MATCH($U$1,Data!$A$1:$AX$1,),)-VLOOKUP(EDATE(B72,-12),Data!$A:$AX,MATCH($U$1,Data!$A$1:$AX$1,),))/VLOOKUP(EDATE(B72,-12),Data!$A:$AX,MATCH($U$1,Data!$A$1:$AX$1,),))</f>
        <v/>
      </c>
      <c r="V72" s="20">
        <f>(VLOOKUP(B72,Data!$A:$AX,MATCH($V$1,Data!$A$1:$AX$1,),)-VLOOKUP(EDATE(B72,-12),Data!$A:$AX,MATCH($V$1,Data!$A$1:$AX$1,),))/VLOOKUP(EDATE(B72,-12),Data!$A:$AX,MATCH($V$1,Data!$A$1:$AX$1,),)</f>
        <v/>
      </c>
      <c r="W72" s="20">
        <f>IF(VLOOKUP(B72,Data!$A:$AX,MATCH($W$1,Data!$A$1:$AX$1,))=0,#N/A,(VLOOKUP(B72,Data!$A:$AX,MATCH($W$1,Data!$A$1:$AX$1,),)-VLOOKUP(EDATE(B72,-12),Data!$A:$AX,MATCH($W$1,Data!$A$1:$AX$1,),))/VLOOKUP(EDATE(B72,-12),Data!$A:$AX,MATCH($W$1,Data!$A$1:$AX$1,),))</f>
        <v/>
      </c>
      <c r="X72" s="20">
        <f>IF(VLOOKUP(B72,Data!$A:$AX,MATCH($X$1,Data!$A$1:$AX$1,))=0,#N/A,(VLOOKUP(B72,Data!$A:$AX,MATCH($X$1,Data!$A$1:$AX$1,),)-VLOOKUP(EDATE(B72,-12),Data!$A:$AX,MATCH($X$1,Data!$A$1:$AX$1,),))/VLOOKUP(EDATE(B72,-12),Data!$A:$AX,MATCH($X$1,Data!$A$1:$AX$1,),))</f>
        <v/>
      </c>
      <c r="Y72" s="20">
        <f>IF(VLOOKUP(B72,Data!$A:$AX,MATCH($Y$1,Data!$A$1:$AX$1,))=0,#N/A,(VLOOKUP(B72,Data!$A:$AX,MATCH($Y$1,Data!$A$1:$AX$1,),)-VLOOKUP(EDATE(B72,-12),Data!$A:$AX,MATCH($Y$1,Data!$A$1:$AX$1,),))/VLOOKUP(EDATE(B72,-12),Data!$A:$AX,MATCH($Y$1,Data!$A$1:$AX$1,),))</f>
        <v/>
      </c>
      <c r="Z72" s="20">
        <f>(VLOOKUP(B72,Data!$A:$AX,MATCH($Z$1,Data!$A$1:$AX$1,),)-VLOOKUP(EDATE(B72,-12),Data!$A:$AX,MATCH($Z$1,Data!$A$1:$AX$1,),))/VLOOKUP(EDATE(B72,-12),Data!$A:$AX,MATCH($Z$1,Data!$A$1:$AX$1,),)</f>
        <v/>
      </c>
      <c r="AA72" s="20">
        <f>(VLOOKUP(B72,Data!$A:$AX,MATCH($AA$1,Data!$A$1:$AX$1,),)-VLOOKUP(EDATE(B72,-12),Data!$A:$AX,MATCH($AA$1,Data!$A$1:$AX$1,),))/VLOOKUP(EDATE(B72,-12),Data!$A:$AX,MATCH($AA$1,Data!$A$1:$AX$1,),)</f>
        <v/>
      </c>
      <c r="AB72" s="19" t="n"/>
    </row>
    <row r="73">
      <c r="B73" s="15" t="n">
        <v>42430</v>
      </c>
      <c r="C73" s="20">
        <f>IF(VLOOKUP(B73,Data!$A:$AX,MATCH($C$1,Data!$A$1:$AX$1,))=0,#N/A,(VLOOKUP(B73,Data!$A:$AX,MATCH($C$1,Data!$A$1:$AX$1,),)-VLOOKUP(EDATE(B73,-12),Data!$A:$AX,MATCH($C$1,Data!$A$1:$AX$1,),))/VLOOKUP(EDATE(B73,-12),Data!$A:$AX,MATCH($C$1,Data!$A$1:$AX$1,),))</f>
        <v/>
      </c>
      <c r="D73" s="20">
        <f>IF(VLOOKUP(B73,Data!$A:$AX,MATCH($D$1,Data!$A$1:$AX$1,))=0,#N/A,(VLOOKUP(B73,Data!$A:$AX,MATCH($D$1,Data!$A$1:$AX$1,),)-VLOOKUP(EDATE(B73,-12),Data!$A:$AX,MATCH($D$1,Data!$A$1:$AX$1,),))/VLOOKUP(EDATE(B73,-12),Data!$A:$AX,MATCH($D$1,Data!$A$1:$AX$1,),))</f>
        <v/>
      </c>
      <c r="E73" s="20">
        <f>IF(VLOOKUP(B73,Data!$A:$AX,MATCH($E$1,Data!$A$1:$AX$1,))=0,#N/A,(VLOOKUP(B73,Data!$A:$AX,MATCH($E$1,Data!$A$1:$AX$1,),)-VLOOKUP(EDATE(B73,-12),Data!$A:$AX,MATCH($E$1,Data!$A$1:$AX$1,),))/VLOOKUP(EDATE(B73,-12),Data!$A:$AX,MATCH($E$1,Data!$A$1:$AX$1,),))</f>
        <v/>
      </c>
      <c r="F73" s="20">
        <f>IF(VLOOKUP(B73,Data!$A:$AX,MATCH($F$1,Data!$A$1:$AX$1,))=0,#N/A,(VLOOKUP(B73,Data!$A:$AX,MATCH($F$1,Data!$A$1:$AX$1,),)-VLOOKUP(EDATE(B73,-12),Data!$A:$AX,MATCH($F$1,Data!$A$1:$AX$1,),))/VLOOKUP(EDATE(B73,-12),Data!$A:$AX,MATCH($F$1,Data!$A$1:$AX$1,),))</f>
        <v/>
      </c>
      <c r="G73" s="20">
        <f>IF(VLOOKUP(B73,Data!$A:$AX,MATCH($G$1,Data!$A$1:$AX$1,))=0,#N/A,(VLOOKUP(B73,Data!$A:$AX,MATCH($G$1,Data!$A$1:$AX$1,),)-VLOOKUP(EDATE(B73,-12),Data!$A:$AX,MATCH($G$1,Data!$A$1:$AX$1,),))/VLOOKUP(EDATE(B73,-12),Data!$A:$AX,MATCH($G$1,Data!$A$1:$AX$1,),))</f>
        <v/>
      </c>
      <c r="H73" s="20">
        <f>IF(VLOOKUP(B73,Data!$A:$AX,MATCH($H$1,Data!$A$1:$AX$1,))=0,#N/A,(VLOOKUP(B73,Data!$A:$AX,MATCH($H$1,Data!$A$1:$AX$1,),)-VLOOKUP(EDATE(B73,-12),Data!$A:$AX,MATCH($H$1,Data!$A$1:$AX$1,),))/VLOOKUP(EDATE(B73,-12),Data!$A:$AX,MATCH($H$1,Data!$A$1:$AX$1,),))</f>
        <v/>
      </c>
      <c r="I73" s="20">
        <f>IF(VLOOKUP(B73,Data!$A:$AX,MATCH($I$1,Data!$A$1:$AX$1,))=0,#N/A,(VLOOKUP(B73,Data!$A:$AX,MATCH($I$1,Data!$A$1:$AX$1,),)-VLOOKUP(EDATE(B73,-12),Data!$A:$AX,MATCH($I$1,Data!$A$1:$AX$1,),))/VLOOKUP(EDATE(B73,-12),Data!$A:$AX,MATCH($I$1,Data!$A$1:$AX$1,),))</f>
        <v/>
      </c>
      <c r="J73" s="20">
        <f>IF(VLOOKUP(B73,Data!$A:$AX,MATCH($J$1,Data!$A$1:$AX$1,))=0,#N/A,(VLOOKUP(B73,Data!$A:$AX,MATCH($J$1,Data!$A$1:$AX$1,),)-VLOOKUP(EDATE(B73,-12),Data!$A:$AX,MATCH($J$1,Data!$A$1:$AX$1,),))/VLOOKUP(EDATE(B73,-12),Data!$A:$AX,MATCH($J$1,Data!$A$1:$AX$1,),))</f>
        <v/>
      </c>
      <c r="K73" s="20">
        <f>IF(VLOOKUP(B73,Data!$A:$AX,MATCH($K$1,Data!$A$1:$AX$1,))=0,#N/A,(VLOOKUP(B73,Data!$A:$AX,MATCH($K$1,Data!$A$1:$AX$1,),)-VLOOKUP(EDATE(B73,-12),Data!$A:$AX,MATCH($K$1,Data!$A$1:$AX$1,),))/VLOOKUP(EDATE(B73,-12),Data!$A:$AX,MATCH($K$1,Data!$A$1:$AX$1,),))</f>
        <v/>
      </c>
      <c r="L73" s="20">
        <f>IF(VLOOKUP(B73,Data!$A:$AX,MATCH($L$1,Data!$A$1:$AX$1,))=0,#N/A,(VLOOKUP(B73,Data!$A:$AX,MATCH($L$1,Data!$A$1:$AX$1,),)-VLOOKUP(EDATE(B73,-12),Data!$A:$AX,MATCH($L$1,Data!$A$1:$AX$1,),))/VLOOKUP(EDATE(B73,-12),Data!$A:$AX,MATCH($L$1,Data!$A$1:$AX$1,),))</f>
        <v/>
      </c>
      <c r="M73" s="20">
        <f>IF(VLOOKUP(B73,Data!$A:$AX,MATCH($M$1,Data!$A$1:$AX$1,))=0,#N/A,(VLOOKUP(B73,Data!$A:$AX,MATCH($M$1,Data!$A$1:$AX$1,),)-VLOOKUP(EDATE(B73,-12),Data!$A:$AX,MATCH($M$1,Data!$A$1:$AX$1,),))/VLOOKUP(EDATE(B73,-12),Data!$A:$AX,MATCH($M$1,Data!$A$1:$AX$1,),))</f>
        <v/>
      </c>
      <c r="N73" s="20">
        <f>(VLOOKUP(B73,Data!$A:$AX,MATCH($N$1,Data!$A$1:$AX$1,),)-VLOOKUP(EDATE(B73,-12),Data!$A:$AX,MATCH($N$1,Data!$A$1:$AX$1,),))/VLOOKUP(EDATE(B73,-12),Data!$A:$AX,MATCH($N$1,Data!$A$1:$AX$1,),)</f>
        <v/>
      </c>
      <c r="O73" s="20">
        <f>IF(VLOOKUP(B73,Data!$A:$AX,MATCH($O$1,Data!$A$1:$AX$1,))=0,#N/A,(VLOOKUP(B73,Data!$A:$AX,MATCH($O$1,Data!$A$1:$AX$1,),)-VLOOKUP(EDATE(B73,-12),Data!$A:$AX,MATCH($O$1,Data!$A$1:$AX$1,),))/VLOOKUP(EDATE(B73,-12),Data!$A:$AX,MATCH($O$1,Data!$A$1:$AX$1,),))</f>
        <v/>
      </c>
      <c r="P73" s="20">
        <f>IF(VLOOKUP(B73,Data!$A:$AX,MATCH($P$1,Data!$A$1:$AX$1,))=0,#N/A,(VLOOKUP(B73,Data!$A:$AX,MATCH($P$1,Data!$A$1:$AX$1,),)-VLOOKUP(EDATE(B73,-12),Data!$A:$AX,MATCH($P$1,Data!$A$1:$AX$1,),))/VLOOKUP(EDATE(B73,-12),Data!$A:$AX,MATCH($P$1,Data!$A$1:$AX$1,),))</f>
        <v/>
      </c>
      <c r="Q73" s="20">
        <f>(VLOOKUP(B73,Data!$A:$AX,MATCH($Q$1,Data!$A$1:$AX$1,),)-VLOOKUP(EDATE(B73,-12),Data!$A:$AX,MATCH($Q$1,Data!$A$1:$AX$1,),))/VLOOKUP(EDATE(B73,-12),Data!$A:$AX,MATCH($Q$1,Data!$A$1:$AX$1,),)</f>
        <v/>
      </c>
      <c r="R73" s="20">
        <f>IF(VLOOKUP(B73,Data!$A:$AX,MATCH($R$1,Data!$A$1:$AX$1,))=0,#N/A,(VLOOKUP(B73,Data!$A:$AX,MATCH($R$1,Data!$A$1:$AX$1,),)-VLOOKUP(EDATE(B73,-12),Data!$A:$AX,MATCH($R$1,Data!$A$1:$AX$1,),))/VLOOKUP(EDATE(B73,-12),Data!$A:$AX,MATCH($R$1,Data!$A$1:$AX$1,),))</f>
        <v/>
      </c>
      <c r="S73" s="20">
        <f>IF(VLOOKUP(B73,Data!$A:$AX,MATCH($S$1,Data!$A$1:$AX$1,))=0,#N/A,(VLOOKUP(B73,Data!$A:$AX,MATCH($S$1,Data!$A$1:$AX$1,),)-VLOOKUP(EDATE(B73,-12),Data!$A:$AX,MATCH($S$1,Data!$A$1:$AX$1,),))/VLOOKUP(EDATE(B73,-12),Data!$A:$AX,MATCH($S$1,Data!$A$1:$AX$1,),))</f>
        <v/>
      </c>
      <c r="T73" s="20">
        <f>IF(VLOOKUP(B73,Data!$A:$AX,MATCH($T$1,Data!$A$1:$AX$1,))=0,#N/A,(VLOOKUP(B73,Data!$A:$AX,MATCH($T$1,Data!$A$1:$AX$1,),)-VLOOKUP(EDATE(B73,-12),Data!$A:$AX,MATCH($T$1,Data!$A$1:$AX$1,),))/VLOOKUP(EDATE(B73,-12),Data!$A:$AX,MATCH($T$1,Data!$A$1:$AX$1,),))</f>
        <v/>
      </c>
      <c r="U73" s="20">
        <f>IF(VLOOKUP(B73,Data!$A:$AX,MATCH($U$1,Data!$A$1:$AX$1,))=0,#N/A,(VLOOKUP(B73,Data!$A:$AX,MATCH($U$1,Data!$A$1:$AX$1,),)-VLOOKUP(EDATE(B73,-12),Data!$A:$AX,MATCH($U$1,Data!$A$1:$AX$1,),))/VLOOKUP(EDATE(B73,-12),Data!$A:$AX,MATCH($U$1,Data!$A$1:$AX$1,),))</f>
        <v/>
      </c>
      <c r="V73" s="20">
        <f>(VLOOKUP(B73,Data!$A:$AX,MATCH($V$1,Data!$A$1:$AX$1,),)-VLOOKUP(EDATE(B73,-12),Data!$A:$AX,MATCH($V$1,Data!$A$1:$AX$1,),))/VLOOKUP(EDATE(B73,-12),Data!$A:$AX,MATCH($V$1,Data!$A$1:$AX$1,),)</f>
        <v/>
      </c>
      <c r="W73" s="20">
        <f>IF(VLOOKUP(B73,Data!$A:$AX,MATCH($W$1,Data!$A$1:$AX$1,))=0,#N/A,(VLOOKUP(B73,Data!$A:$AX,MATCH($W$1,Data!$A$1:$AX$1,),)-VLOOKUP(EDATE(B73,-12),Data!$A:$AX,MATCH($W$1,Data!$A$1:$AX$1,),))/VLOOKUP(EDATE(B73,-12),Data!$A:$AX,MATCH($W$1,Data!$A$1:$AX$1,),))</f>
        <v/>
      </c>
      <c r="X73" s="20">
        <f>IF(VLOOKUP(B73,Data!$A:$AX,MATCH($X$1,Data!$A$1:$AX$1,))=0,#N/A,(VLOOKUP(B73,Data!$A:$AX,MATCH($X$1,Data!$A$1:$AX$1,),)-VLOOKUP(EDATE(B73,-12),Data!$A:$AX,MATCH($X$1,Data!$A$1:$AX$1,),))/VLOOKUP(EDATE(B73,-12),Data!$A:$AX,MATCH($X$1,Data!$A$1:$AX$1,),))</f>
        <v/>
      </c>
      <c r="Y73" s="20">
        <f>IF(VLOOKUP(B73,Data!$A:$AX,MATCH($Y$1,Data!$A$1:$AX$1,))=0,#N/A,(VLOOKUP(B73,Data!$A:$AX,MATCH($Y$1,Data!$A$1:$AX$1,),)-VLOOKUP(EDATE(B73,-12),Data!$A:$AX,MATCH($Y$1,Data!$A$1:$AX$1,),))/VLOOKUP(EDATE(B73,-12),Data!$A:$AX,MATCH($Y$1,Data!$A$1:$AX$1,),))</f>
        <v/>
      </c>
      <c r="Z73" s="20">
        <f>(VLOOKUP(B73,Data!$A:$AX,MATCH($Z$1,Data!$A$1:$AX$1,),)-VLOOKUP(EDATE(B73,-12),Data!$A:$AX,MATCH($Z$1,Data!$A$1:$AX$1,),))/VLOOKUP(EDATE(B73,-12),Data!$A:$AX,MATCH($Z$1,Data!$A$1:$AX$1,),)</f>
        <v/>
      </c>
      <c r="AA73" s="20">
        <f>(VLOOKUP(B73,Data!$A:$AX,MATCH($AA$1,Data!$A$1:$AX$1,),)-VLOOKUP(EDATE(B73,-12),Data!$A:$AX,MATCH($AA$1,Data!$A$1:$AX$1,),))/VLOOKUP(EDATE(B73,-12),Data!$A:$AX,MATCH($AA$1,Data!$A$1:$AX$1,),)</f>
        <v/>
      </c>
      <c r="AB73" s="19" t="n"/>
    </row>
    <row r="74">
      <c r="B74" s="15" t="n">
        <v>42461</v>
      </c>
      <c r="C74" s="20">
        <f>IF(VLOOKUP(B74,Data!$A:$AX,MATCH($C$1,Data!$A$1:$AX$1,))=0,#N/A,(VLOOKUP(B74,Data!$A:$AX,MATCH($C$1,Data!$A$1:$AX$1,),)-VLOOKUP(EDATE(B74,-12),Data!$A:$AX,MATCH($C$1,Data!$A$1:$AX$1,),))/VLOOKUP(EDATE(B74,-12),Data!$A:$AX,MATCH($C$1,Data!$A$1:$AX$1,),))</f>
        <v/>
      </c>
      <c r="D74" s="20">
        <f>IF(VLOOKUP(B74,Data!$A:$AX,MATCH($D$1,Data!$A$1:$AX$1,))=0,#N/A,(VLOOKUP(B74,Data!$A:$AX,MATCH($D$1,Data!$A$1:$AX$1,),)-VLOOKUP(EDATE(B74,-12),Data!$A:$AX,MATCH($D$1,Data!$A$1:$AX$1,),))/VLOOKUP(EDATE(B74,-12),Data!$A:$AX,MATCH($D$1,Data!$A$1:$AX$1,),))</f>
        <v/>
      </c>
      <c r="E74" s="20">
        <f>IF(VLOOKUP(B74,Data!$A:$AX,MATCH($E$1,Data!$A$1:$AX$1,))=0,#N/A,(VLOOKUP(B74,Data!$A:$AX,MATCH($E$1,Data!$A$1:$AX$1,),)-VLOOKUP(EDATE(B74,-12),Data!$A:$AX,MATCH($E$1,Data!$A$1:$AX$1,),))/VLOOKUP(EDATE(B74,-12),Data!$A:$AX,MATCH($E$1,Data!$A$1:$AX$1,),))</f>
        <v/>
      </c>
      <c r="F74" s="20">
        <f>IF(VLOOKUP(B74,Data!$A:$AX,MATCH($F$1,Data!$A$1:$AX$1,))=0,#N/A,(VLOOKUP(B74,Data!$A:$AX,MATCH($F$1,Data!$A$1:$AX$1,),)-VLOOKUP(EDATE(B74,-12),Data!$A:$AX,MATCH($F$1,Data!$A$1:$AX$1,),))/VLOOKUP(EDATE(B74,-12),Data!$A:$AX,MATCH($F$1,Data!$A$1:$AX$1,),))</f>
        <v/>
      </c>
      <c r="G74" s="20">
        <f>IF(VLOOKUP(B74,Data!$A:$AX,MATCH($G$1,Data!$A$1:$AX$1,))=0,#N/A,(VLOOKUP(B74,Data!$A:$AX,MATCH($G$1,Data!$A$1:$AX$1,),)-VLOOKUP(EDATE(B74,-12),Data!$A:$AX,MATCH($G$1,Data!$A$1:$AX$1,),))/VLOOKUP(EDATE(B74,-12),Data!$A:$AX,MATCH($G$1,Data!$A$1:$AX$1,),))</f>
        <v/>
      </c>
      <c r="H74" s="20">
        <f>IF(VLOOKUP(B74,Data!$A:$AX,MATCH($H$1,Data!$A$1:$AX$1,))=0,#N/A,(VLOOKUP(B74,Data!$A:$AX,MATCH($H$1,Data!$A$1:$AX$1,),)-VLOOKUP(EDATE(B74,-12),Data!$A:$AX,MATCH($H$1,Data!$A$1:$AX$1,),))/VLOOKUP(EDATE(B74,-12),Data!$A:$AX,MATCH($H$1,Data!$A$1:$AX$1,),))</f>
        <v/>
      </c>
      <c r="I74" s="20">
        <f>IF(VLOOKUP(B74,Data!$A:$AX,MATCH($I$1,Data!$A$1:$AX$1,))=0,#N/A,(VLOOKUP(B74,Data!$A:$AX,MATCH($I$1,Data!$A$1:$AX$1,),)-VLOOKUP(EDATE(B74,-12),Data!$A:$AX,MATCH($I$1,Data!$A$1:$AX$1,),))/VLOOKUP(EDATE(B74,-12),Data!$A:$AX,MATCH($I$1,Data!$A$1:$AX$1,),))</f>
        <v/>
      </c>
      <c r="J74" s="20">
        <f>IF(VLOOKUP(B74,Data!$A:$AX,MATCH($J$1,Data!$A$1:$AX$1,))=0,#N/A,(VLOOKUP(B74,Data!$A:$AX,MATCH($J$1,Data!$A$1:$AX$1,),)-VLOOKUP(EDATE(B74,-12),Data!$A:$AX,MATCH($J$1,Data!$A$1:$AX$1,),))/VLOOKUP(EDATE(B74,-12),Data!$A:$AX,MATCH($J$1,Data!$A$1:$AX$1,),))</f>
        <v/>
      </c>
      <c r="K74" s="20">
        <f>IF(VLOOKUP(B74,Data!$A:$AX,MATCH($K$1,Data!$A$1:$AX$1,))=0,#N/A,(VLOOKUP(B74,Data!$A:$AX,MATCH($K$1,Data!$A$1:$AX$1,),)-VLOOKUP(EDATE(B74,-12),Data!$A:$AX,MATCH($K$1,Data!$A$1:$AX$1,),))/VLOOKUP(EDATE(B74,-12),Data!$A:$AX,MATCH($K$1,Data!$A$1:$AX$1,),))</f>
        <v/>
      </c>
      <c r="L74" s="20">
        <f>IF(VLOOKUP(B74,Data!$A:$AX,MATCH($L$1,Data!$A$1:$AX$1,))=0,#N/A,(VLOOKUP(B74,Data!$A:$AX,MATCH($L$1,Data!$A$1:$AX$1,),)-VLOOKUP(EDATE(B74,-12),Data!$A:$AX,MATCH($L$1,Data!$A$1:$AX$1,),))/VLOOKUP(EDATE(B74,-12),Data!$A:$AX,MATCH($L$1,Data!$A$1:$AX$1,),))</f>
        <v/>
      </c>
      <c r="M74" s="20">
        <f>IF(VLOOKUP(B74,Data!$A:$AX,MATCH($M$1,Data!$A$1:$AX$1,))=0,#N/A,(VLOOKUP(B74,Data!$A:$AX,MATCH($M$1,Data!$A$1:$AX$1,),)-VLOOKUP(EDATE(B74,-12),Data!$A:$AX,MATCH($M$1,Data!$A$1:$AX$1,),))/VLOOKUP(EDATE(B74,-12),Data!$A:$AX,MATCH($M$1,Data!$A$1:$AX$1,),))</f>
        <v/>
      </c>
      <c r="N74" s="20">
        <f>(VLOOKUP(B74,Data!$A:$AX,MATCH($N$1,Data!$A$1:$AX$1,),)-VLOOKUP(EDATE(B74,-12),Data!$A:$AX,MATCH($N$1,Data!$A$1:$AX$1,),))/VLOOKUP(EDATE(B74,-12),Data!$A:$AX,MATCH($N$1,Data!$A$1:$AX$1,),)</f>
        <v/>
      </c>
      <c r="O74" s="20">
        <f>IF(VLOOKUP(B74,Data!$A:$AX,MATCH($O$1,Data!$A$1:$AX$1,))=0,#N/A,(VLOOKUP(B74,Data!$A:$AX,MATCH($O$1,Data!$A$1:$AX$1,),)-VLOOKUP(EDATE(B74,-12),Data!$A:$AX,MATCH($O$1,Data!$A$1:$AX$1,),))/VLOOKUP(EDATE(B74,-12),Data!$A:$AX,MATCH($O$1,Data!$A$1:$AX$1,),))</f>
        <v/>
      </c>
      <c r="P74" s="20">
        <f>IF(VLOOKUP(B74,Data!$A:$AX,MATCH($P$1,Data!$A$1:$AX$1,))=0,#N/A,(VLOOKUP(B74,Data!$A:$AX,MATCH($P$1,Data!$A$1:$AX$1,),)-VLOOKUP(EDATE(B74,-12),Data!$A:$AX,MATCH($P$1,Data!$A$1:$AX$1,),))/VLOOKUP(EDATE(B74,-12),Data!$A:$AX,MATCH($P$1,Data!$A$1:$AX$1,),))</f>
        <v/>
      </c>
      <c r="Q74" s="20">
        <f>(VLOOKUP(B74,Data!$A:$AX,MATCH($Q$1,Data!$A$1:$AX$1,),)-VLOOKUP(EDATE(B74,-12),Data!$A:$AX,MATCH($Q$1,Data!$A$1:$AX$1,),))/VLOOKUP(EDATE(B74,-12),Data!$A:$AX,MATCH($Q$1,Data!$A$1:$AX$1,),)</f>
        <v/>
      </c>
      <c r="R74" s="20">
        <f>IF(VLOOKUP(B74,Data!$A:$AX,MATCH($R$1,Data!$A$1:$AX$1,))=0,#N/A,(VLOOKUP(B74,Data!$A:$AX,MATCH($R$1,Data!$A$1:$AX$1,),)-VLOOKUP(EDATE(B74,-12),Data!$A:$AX,MATCH($R$1,Data!$A$1:$AX$1,),))/VLOOKUP(EDATE(B74,-12),Data!$A:$AX,MATCH($R$1,Data!$A$1:$AX$1,),))</f>
        <v/>
      </c>
      <c r="S74" s="20">
        <f>IF(VLOOKUP(B74,Data!$A:$AX,MATCH($S$1,Data!$A$1:$AX$1,))=0,#N/A,(VLOOKUP(B74,Data!$A:$AX,MATCH($S$1,Data!$A$1:$AX$1,),)-VLOOKUP(EDATE(B74,-12),Data!$A:$AX,MATCH($S$1,Data!$A$1:$AX$1,),))/VLOOKUP(EDATE(B74,-12),Data!$A:$AX,MATCH($S$1,Data!$A$1:$AX$1,),))</f>
        <v/>
      </c>
      <c r="T74" s="20">
        <f>IF(VLOOKUP(B74,Data!$A:$AX,MATCH($T$1,Data!$A$1:$AX$1,))=0,#N/A,(VLOOKUP(B74,Data!$A:$AX,MATCH($T$1,Data!$A$1:$AX$1,),)-VLOOKUP(EDATE(B74,-12),Data!$A:$AX,MATCH($T$1,Data!$A$1:$AX$1,),))/VLOOKUP(EDATE(B74,-12),Data!$A:$AX,MATCH($T$1,Data!$A$1:$AX$1,),))</f>
        <v/>
      </c>
      <c r="U74" s="20">
        <f>IF(VLOOKUP(B74,Data!$A:$AX,MATCH($U$1,Data!$A$1:$AX$1,))=0,#N/A,(VLOOKUP(B74,Data!$A:$AX,MATCH($U$1,Data!$A$1:$AX$1,),)-VLOOKUP(EDATE(B74,-12),Data!$A:$AX,MATCH($U$1,Data!$A$1:$AX$1,),))/VLOOKUP(EDATE(B74,-12),Data!$A:$AX,MATCH($U$1,Data!$A$1:$AX$1,),))</f>
        <v/>
      </c>
      <c r="V74" s="20">
        <f>(VLOOKUP(B74,Data!$A:$AX,MATCH($V$1,Data!$A$1:$AX$1,),)-VLOOKUP(EDATE(B74,-12),Data!$A:$AX,MATCH($V$1,Data!$A$1:$AX$1,),))/VLOOKUP(EDATE(B74,-12),Data!$A:$AX,MATCH($V$1,Data!$A$1:$AX$1,),)</f>
        <v/>
      </c>
      <c r="W74" s="20">
        <f>IF(VLOOKUP(B74,Data!$A:$AX,MATCH($W$1,Data!$A$1:$AX$1,))=0,#N/A,(VLOOKUP(B74,Data!$A:$AX,MATCH($W$1,Data!$A$1:$AX$1,),)-VLOOKUP(EDATE(B74,-12),Data!$A:$AX,MATCH($W$1,Data!$A$1:$AX$1,),))/VLOOKUP(EDATE(B74,-12),Data!$A:$AX,MATCH($W$1,Data!$A$1:$AX$1,),))</f>
        <v/>
      </c>
      <c r="X74" s="20">
        <f>IF(VLOOKUP(B74,Data!$A:$AX,MATCH($X$1,Data!$A$1:$AX$1,))=0,#N/A,(VLOOKUP(B74,Data!$A:$AX,MATCH($X$1,Data!$A$1:$AX$1,),)-VLOOKUP(EDATE(B74,-12),Data!$A:$AX,MATCH($X$1,Data!$A$1:$AX$1,),))/VLOOKUP(EDATE(B74,-12),Data!$A:$AX,MATCH($X$1,Data!$A$1:$AX$1,),))</f>
        <v/>
      </c>
      <c r="Y74" s="20">
        <f>IF(VLOOKUP(B74,Data!$A:$AX,MATCH($Y$1,Data!$A$1:$AX$1,))=0,#N/A,(VLOOKUP(B74,Data!$A:$AX,MATCH($Y$1,Data!$A$1:$AX$1,),)-VLOOKUP(EDATE(B74,-12),Data!$A:$AX,MATCH($Y$1,Data!$A$1:$AX$1,),))/VLOOKUP(EDATE(B74,-12),Data!$A:$AX,MATCH($Y$1,Data!$A$1:$AX$1,),))</f>
        <v/>
      </c>
      <c r="Z74" s="20">
        <f>(VLOOKUP(B74,Data!$A:$AX,MATCH($Z$1,Data!$A$1:$AX$1,),)-VLOOKUP(EDATE(B74,-12),Data!$A:$AX,MATCH($Z$1,Data!$A$1:$AX$1,),))/VLOOKUP(EDATE(B74,-12),Data!$A:$AX,MATCH($Z$1,Data!$A$1:$AX$1,),)</f>
        <v/>
      </c>
      <c r="AA74" s="20">
        <f>(VLOOKUP(B74,Data!$A:$AX,MATCH($AA$1,Data!$A$1:$AX$1,),)-VLOOKUP(EDATE(B74,-12),Data!$A:$AX,MATCH($AA$1,Data!$A$1:$AX$1,),))/VLOOKUP(EDATE(B74,-12),Data!$A:$AX,MATCH($AA$1,Data!$A$1:$AX$1,),)</f>
        <v/>
      </c>
      <c r="AB74" s="19" t="n"/>
    </row>
    <row r="75">
      <c r="B75" s="15" t="n">
        <v>42491</v>
      </c>
      <c r="C75" s="20">
        <f>IF(VLOOKUP(B75,Data!$A:$AX,MATCH($C$1,Data!$A$1:$AX$1,))=0,#N/A,(VLOOKUP(B75,Data!$A:$AX,MATCH($C$1,Data!$A$1:$AX$1,),)-VLOOKUP(EDATE(B75,-12),Data!$A:$AX,MATCH($C$1,Data!$A$1:$AX$1,),))/VLOOKUP(EDATE(B75,-12),Data!$A:$AX,MATCH($C$1,Data!$A$1:$AX$1,),))</f>
        <v/>
      </c>
      <c r="D75" s="20">
        <f>IF(VLOOKUP(B75,Data!$A:$AX,MATCH($D$1,Data!$A$1:$AX$1,))=0,#N/A,(VLOOKUP(B75,Data!$A:$AX,MATCH($D$1,Data!$A$1:$AX$1,),)-VLOOKUP(EDATE(B75,-12),Data!$A:$AX,MATCH($D$1,Data!$A$1:$AX$1,),))/VLOOKUP(EDATE(B75,-12),Data!$A:$AX,MATCH($D$1,Data!$A$1:$AX$1,),))</f>
        <v/>
      </c>
      <c r="E75" s="20">
        <f>IF(VLOOKUP(B75,Data!$A:$AX,MATCH($E$1,Data!$A$1:$AX$1,))=0,#N/A,(VLOOKUP(B75,Data!$A:$AX,MATCH($E$1,Data!$A$1:$AX$1,),)-VLOOKUP(EDATE(B75,-12),Data!$A:$AX,MATCH($E$1,Data!$A$1:$AX$1,),))/VLOOKUP(EDATE(B75,-12),Data!$A:$AX,MATCH($E$1,Data!$A$1:$AX$1,),))</f>
        <v/>
      </c>
      <c r="F75" s="20">
        <f>IF(VLOOKUP(B75,Data!$A:$AX,MATCH($F$1,Data!$A$1:$AX$1,))=0,#N/A,(VLOOKUP(B75,Data!$A:$AX,MATCH($F$1,Data!$A$1:$AX$1,),)-VLOOKUP(EDATE(B75,-12),Data!$A:$AX,MATCH($F$1,Data!$A$1:$AX$1,),))/VLOOKUP(EDATE(B75,-12),Data!$A:$AX,MATCH($F$1,Data!$A$1:$AX$1,),))</f>
        <v/>
      </c>
      <c r="G75" s="20">
        <f>IF(VLOOKUP(B75,Data!$A:$AX,MATCH($G$1,Data!$A$1:$AX$1,))=0,#N/A,(VLOOKUP(B75,Data!$A:$AX,MATCH($G$1,Data!$A$1:$AX$1,),)-VLOOKUP(EDATE(B75,-12),Data!$A:$AX,MATCH($G$1,Data!$A$1:$AX$1,),))/VLOOKUP(EDATE(B75,-12),Data!$A:$AX,MATCH($G$1,Data!$A$1:$AX$1,),))</f>
        <v/>
      </c>
      <c r="H75" s="20">
        <f>IF(VLOOKUP(B75,Data!$A:$AX,MATCH($H$1,Data!$A$1:$AX$1,))=0,#N/A,(VLOOKUP(B75,Data!$A:$AX,MATCH($H$1,Data!$A$1:$AX$1,),)-VLOOKUP(EDATE(B75,-12),Data!$A:$AX,MATCH($H$1,Data!$A$1:$AX$1,),))/VLOOKUP(EDATE(B75,-12),Data!$A:$AX,MATCH($H$1,Data!$A$1:$AX$1,),))</f>
        <v/>
      </c>
      <c r="I75" s="20">
        <f>IF(VLOOKUP(B75,Data!$A:$AX,MATCH($I$1,Data!$A$1:$AX$1,))=0,#N/A,(VLOOKUP(B75,Data!$A:$AX,MATCH($I$1,Data!$A$1:$AX$1,),)-VLOOKUP(EDATE(B75,-12),Data!$A:$AX,MATCH($I$1,Data!$A$1:$AX$1,),))/VLOOKUP(EDATE(B75,-12),Data!$A:$AX,MATCH($I$1,Data!$A$1:$AX$1,),))</f>
        <v/>
      </c>
      <c r="J75" s="20">
        <f>IF(VLOOKUP(B75,Data!$A:$AX,MATCH($J$1,Data!$A$1:$AX$1,))=0,#N/A,(VLOOKUP(B75,Data!$A:$AX,MATCH($J$1,Data!$A$1:$AX$1,),)-VLOOKUP(EDATE(B75,-12),Data!$A:$AX,MATCH($J$1,Data!$A$1:$AX$1,),))/VLOOKUP(EDATE(B75,-12),Data!$A:$AX,MATCH($J$1,Data!$A$1:$AX$1,),))</f>
        <v/>
      </c>
      <c r="K75" s="20">
        <f>IF(VLOOKUP(B75,Data!$A:$AX,MATCH($K$1,Data!$A$1:$AX$1,))=0,#N/A,(VLOOKUP(B75,Data!$A:$AX,MATCH($K$1,Data!$A$1:$AX$1,),)-VLOOKUP(EDATE(B75,-12),Data!$A:$AX,MATCH($K$1,Data!$A$1:$AX$1,),))/VLOOKUP(EDATE(B75,-12),Data!$A:$AX,MATCH($K$1,Data!$A$1:$AX$1,),))</f>
        <v/>
      </c>
      <c r="L75" s="20">
        <f>IF(VLOOKUP(B75,Data!$A:$AX,MATCH($L$1,Data!$A$1:$AX$1,))=0,#N/A,(VLOOKUP(B75,Data!$A:$AX,MATCH($L$1,Data!$A$1:$AX$1,),)-VLOOKUP(EDATE(B75,-12),Data!$A:$AX,MATCH($L$1,Data!$A$1:$AX$1,),))/VLOOKUP(EDATE(B75,-12),Data!$A:$AX,MATCH($L$1,Data!$A$1:$AX$1,),))</f>
        <v/>
      </c>
      <c r="M75" s="20">
        <f>IF(VLOOKUP(B75,Data!$A:$AX,MATCH($M$1,Data!$A$1:$AX$1,))=0,#N/A,(VLOOKUP(B75,Data!$A:$AX,MATCH($M$1,Data!$A$1:$AX$1,),)-VLOOKUP(EDATE(B75,-12),Data!$A:$AX,MATCH($M$1,Data!$A$1:$AX$1,),))/VLOOKUP(EDATE(B75,-12),Data!$A:$AX,MATCH($M$1,Data!$A$1:$AX$1,),))</f>
        <v/>
      </c>
      <c r="N75" s="20">
        <f>(VLOOKUP(B75,Data!$A:$AX,MATCH($N$1,Data!$A$1:$AX$1,),)-VLOOKUP(EDATE(B75,-12),Data!$A:$AX,MATCH($N$1,Data!$A$1:$AX$1,),))/VLOOKUP(EDATE(B75,-12),Data!$A:$AX,MATCH($N$1,Data!$A$1:$AX$1,),)</f>
        <v/>
      </c>
      <c r="O75" s="20">
        <f>IF(VLOOKUP(B75,Data!$A:$AX,MATCH($O$1,Data!$A$1:$AX$1,))=0,#N/A,(VLOOKUP(B75,Data!$A:$AX,MATCH($O$1,Data!$A$1:$AX$1,),)-VLOOKUP(EDATE(B75,-12),Data!$A:$AX,MATCH($O$1,Data!$A$1:$AX$1,),))/VLOOKUP(EDATE(B75,-12),Data!$A:$AX,MATCH($O$1,Data!$A$1:$AX$1,),))</f>
        <v/>
      </c>
      <c r="P75" s="20">
        <f>IF(VLOOKUP(B75,Data!$A:$AX,MATCH($P$1,Data!$A$1:$AX$1,))=0,#N/A,(VLOOKUP(B75,Data!$A:$AX,MATCH($P$1,Data!$A$1:$AX$1,),)-VLOOKUP(EDATE(B75,-12),Data!$A:$AX,MATCH($P$1,Data!$A$1:$AX$1,),))/VLOOKUP(EDATE(B75,-12),Data!$A:$AX,MATCH($P$1,Data!$A$1:$AX$1,),))</f>
        <v/>
      </c>
      <c r="Q75" s="20">
        <f>(VLOOKUP(B75,Data!$A:$AX,MATCH($Q$1,Data!$A$1:$AX$1,),)-VLOOKUP(EDATE(B75,-12),Data!$A:$AX,MATCH($Q$1,Data!$A$1:$AX$1,),))/VLOOKUP(EDATE(B75,-12),Data!$A:$AX,MATCH($Q$1,Data!$A$1:$AX$1,),)</f>
        <v/>
      </c>
      <c r="R75" s="20">
        <f>IF(VLOOKUP(B75,Data!$A:$AX,MATCH($R$1,Data!$A$1:$AX$1,))=0,#N/A,(VLOOKUP(B75,Data!$A:$AX,MATCH($R$1,Data!$A$1:$AX$1,),)-VLOOKUP(EDATE(B75,-12),Data!$A:$AX,MATCH($R$1,Data!$A$1:$AX$1,),))/VLOOKUP(EDATE(B75,-12),Data!$A:$AX,MATCH($R$1,Data!$A$1:$AX$1,),))</f>
        <v/>
      </c>
      <c r="S75" s="20">
        <f>IF(VLOOKUP(B75,Data!$A:$AX,MATCH($S$1,Data!$A$1:$AX$1,))=0,#N/A,(VLOOKUP(B75,Data!$A:$AX,MATCH($S$1,Data!$A$1:$AX$1,),)-VLOOKUP(EDATE(B75,-12),Data!$A:$AX,MATCH($S$1,Data!$A$1:$AX$1,),))/VLOOKUP(EDATE(B75,-12),Data!$A:$AX,MATCH($S$1,Data!$A$1:$AX$1,),))</f>
        <v/>
      </c>
      <c r="T75" s="20">
        <f>IF(VLOOKUP(B75,Data!$A:$AX,MATCH($T$1,Data!$A$1:$AX$1,))=0,#N/A,(VLOOKUP(B75,Data!$A:$AX,MATCH($T$1,Data!$A$1:$AX$1,),)-VLOOKUP(EDATE(B75,-12),Data!$A:$AX,MATCH($T$1,Data!$A$1:$AX$1,),))/VLOOKUP(EDATE(B75,-12),Data!$A:$AX,MATCH($T$1,Data!$A$1:$AX$1,),))</f>
        <v/>
      </c>
      <c r="U75" s="20">
        <f>IF(VLOOKUP(B75,Data!$A:$AX,MATCH($U$1,Data!$A$1:$AX$1,))=0,#N/A,(VLOOKUP(B75,Data!$A:$AX,MATCH($U$1,Data!$A$1:$AX$1,),)-VLOOKUP(EDATE(B75,-12),Data!$A:$AX,MATCH($U$1,Data!$A$1:$AX$1,),))/VLOOKUP(EDATE(B75,-12),Data!$A:$AX,MATCH($U$1,Data!$A$1:$AX$1,),))</f>
        <v/>
      </c>
      <c r="V75" s="20">
        <f>(VLOOKUP(B75,Data!$A:$AX,MATCH($V$1,Data!$A$1:$AX$1,),)-VLOOKUP(EDATE(B75,-12),Data!$A:$AX,MATCH($V$1,Data!$A$1:$AX$1,),))/VLOOKUP(EDATE(B75,-12),Data!$A:$AX,MATCH($V$1,Data!$A$1:$AX$1,),)</f>
        <v/>
      </c>
      <c r="W75" s="20">
        <f>IF(VLOOKUP(B75,Data!$A:$AX,MATCH($W$1,Data!$A$1:$AX$1,))=0,#N/A,(VLOOKUP(B75,Data!$A:$AX,MATCH($W$1,Data!$A$1:$AX$1,),)-VLOOKUP(EDATE(B75,-12),Data!$A:$AX,MATCH($W$1,Data!$A$1:$AX$1,),))/VLOOKUP(EDATE(B75,-12),Data!$A:$AX,MATCH($W$1,Data!$A$1:$AX$1,),))</f>
        <v/>
      </c>
      <c r="X75" s="20">
        <f>IF(VLOOKUP(B75,Data!$A:$AX,MATCH($X$1,Data!$A$1:$AX$1,))=0,#N/A,(VLOOKUP(B75,Data!$A:$AX,MATCH($X$1,Data!$A$1:$AX$1,),)-VLOOKUP(EDATE(B75,-12),Data!$A:$AX,MATCH($X$1,Data!$A$1:$AX$1,),))/VLOOKUP(EDATE(B75,-12),Data!$A:$AX,MATCH($X$1,Data!$A$1:$AX$1,),))</f>
        <v/>
      </c>
      <c r="Y75" s="20">
        <f>IF(VLOOKUP(B75,Data!$A:$AX,MATCH($Y$1,Data!$A$1:$AX$1,))=0,#N/A,(VLOOKUP(B75,Data!$A:$AX,MATCH($Y$1,Data!$A$1:$AX$1,),)-VLOOKUP(EDATE(B75,-12),Data!$A:$AX,MATCH($Y$1,Data!$A$1:$AX$1,),))/VLOOKUP(EDATE(B75,-12),Data!$A:$AX,MATCH($Y$1,Data!$A$1:$AX$1,),))</f>
        <v/>
      </c>
      <c r="Z75" s="20">
        <f>(VLOOKUP(B75,Data!$A:$AX,MATCH($Z$1,Data!$A$1:$AX$1,),)-VLOOKUP(EDATE(B75,-12),Data!$A:$AX,MATCH($Z$1,Data!$A$1:$AX$1,),))/VLOOKUP(EDATE(B75,-12),Data!$A:$AX,MATCH($Z$1,Data!$A$1:$AX$1,),)</f>
        <v/>
      </c>
      <c r="AA75" s="20">
        <f>(VLOOKUP(B75,Data!$A:$AX,MATCH($AA$1,Data!$A$1:$AX$1,),)-VLOOKUP(EDATE(B75,-12),Data!$A:$AX,MATCH($AA$1,Data!$A$1:$AX$1,),))/VLOOKUP(EDATE(B75,-12),Data!$A:$AX,MATCH($AA$1,Data!$A$1:$AX$1,),)</f>
        <v/>
      </c>
      <c r="AB75" s="19" t="n"/>
    </row>
    <row r="76">
      <c r="B76" s="15" t="n">
        <v>42522</v>
      </c>
      <c r="C76" s="20">
        <f>IF(VLOOKUP(B76,Data!$A:$AX,MATCH($C$1,Data!$A$1:$AX$1,))=0,#N/A,(VLOOKUP(B76,Data!$A:$AX,MATCH($C$1,Data!$A$1:$AX$1,),)-VLOOKUP(EDATE(B76,-12),Data!$A:$AX,MATCH($C$1,Data!$A$1:$AX$1,),))/VLOOKUP(EDATE(B76,-12),Data!$A:$AX,MATCH($C$1,Data!$A$1:$AX$1,),))</f>
        <v/>
      </c>
      <c r="D76" s="20">
        <f>IF(VLOOKUP(B76,Data!$A:$AX,MATCH($D$1,Data!$A$1:$AX$1,))=0,#N/A,(VLOOKUP(B76,Data!$A:$AX,MATCH($D$1,Data!$A$1:$AX$1,),)-VLOOKUP(EDATE(B76,-12),Data!$A:$AX,MATCH($D$1,Data!$A$1:$AX$1,),))/VLOOKUP(EDATE(B76,-12),Data!$A:$AX,MATCH($D$1,Data!$A$1:$AX$1,),))</f>
        <v/>
      </c>
      <c r="E76" s="20">
        <f>IF(VLOOKUP(B76,Data!$A:$AX,MATCH($E$1,Data!$A$1:$AX$1,))=0,#N/A,(VLOOKUP(B76,Data!$A:$AX,MATCH($E$1,Data!$A$1:$AX$1,),)-VLOOKUP(EDATE(B76,-12),Data!$A:$AX,MATCH($E$1,Data!$A$1:$AX$1,),))/VLOOKUP(EDATE(B76,-12),Data!$A:$AX,MATCH($E$1,Data!$A$1:$AX$1,),))</f>
        <v/>
      </c>
      <c r="F76" s="20">
        <f>IF(VLOOKUP(B76,Data!$A:$AX,MATCH($F$1,Data!$A$1:$AX$1,))=0,#N/A,(VLOOKUP(B76,Data!$A:$AX,MATCH($F$1,Data!$A$1:$AX$1,),)-VLOOKUP(EDATE(B76,-12),Data!$A:$AX,MATCH($F$1,Data!$A$1:$AX$1,),))/VLOOKUP(EDATE(B76,-12),Data!$A:$AX,MATCH($F$1,Data!$A$1:$AX$1,),))</f>
        <v/>
      </c>
      <c r="G76" s="20">
        <f>IF(VLOOKUP(B76,Data!$A:$AX,MATCH($G$1,Data!$A$1:$AX$1,))=0,#N/A,(VLOOKUP(B76,Data!$A:$AX,MATCH($G$1,Data!$A$1:$AX$1,),)-VLOOKUP(EDATE(B76,-12),Data!$A:$AX,MATCH($G$1,Data!$A$1:$AX$1,),))/VLOOKUP(EDATE(B76,-12),Data!$A:$AX,MATCH($G$1,Data!$A$1:$AX$1,),))</f>
        <v/>
      </c>
      <c r="H76" s="20">
        <f>IF(VLOOKUP(B76,Data!$A:$AX,MATCH($H$1,Data!$A$1:$AX$1,))=0,#N/A,(VLOOKUP(B76,Data!$A:$AX,MATCH($H$1,Data!$A$1:$AX$1,),)-VLOOKUP(EDATE(B76,-12),Data!$A:$AX,MATCH($H$1,Data!$A$1:$AX$1,),))/VLOOKUP(EDATE(B76,-12),Data!$A:$AX,MATCH($H$1,Data!$A$1:$AX$1,),))</f>
        <v/>
      </c>
      <c r="I76" s="20">
        <f>IF(VLOOKUP(B76,Data!$A:$AX,MATCH($I$1,Data!$A$1:$AX$1,))=0,#N/A,(VLOOKUP(B76,Data!$A:$AX,MATCH($I$1,Data!$A$1:$AX$1,),)-VLOOKUP(EDATE(B76,-12),Data!$A:$AX,MATCH($I$1,Data!$A$1:$AX$1,),))/VLOOKUP(EDATE(B76,-12),Data!$A:$AX,MATCH($I$1,Data!$A$1:$AX$1,),))</f>
        <v/>
      </c>
      <c r="J76" s="20">
        <f>IF(VLOOKUP(B76,Data!$A:$AX,MATCH($J$1,Data!$A$1:$AX$1,))=0,#N/A,(VLOOKUP(B76,Data!$A:$AX,MATCH($J$1,Data!$A$1:$AX$1,),)-VLOOKUP(EDATE(B76,-12),Data!$A:$AX,MATCH($J$1,Data!$A$1:$AX$1,),))/VLOOKUP(EDATE(B76,-12),Data!$A:$AX,MATCH($J$1,Data!$A$1:$AX$1,),))</f>
        <v/>
      </c>
      <c r="K76" s="20">
        <f>IF(VLOOKUP(B76,Data!$A:$AX,MATCH($K$1,Data!$A$1:$AX$1,))=0,#N/A,(VLOOKUP(B76,Data!$A:$AX,MATCH($K$1,Data!$A$1:$AX$1,),)-VLOOKUP(EDATE(B76,-12),Data!$A:$AX,MATCH($K$1,Data!$A$1:$AX$1,),))/VLOOKUP(EDATE(B76,-12),Data!$A:$AX,MATCH($K$1,Data!$A$1:$AX$1,),))</f>
        <v/>
      </c>
      <c r="L76" s="20">
        <f>IF(VLOOKUP(B76,Data!$A:$AX,MATCH($L$1,Data!$A$1:$AX$1,))=0,#N/A,(VLOOKUP(B76,Data!$A:$AX,MATCH($L$1,Data!$A$1:$AX$1,),)-VLOOKUP(EDATE(B76,-12),Data!$A:$AX,MATCH($L$1,Data!$A$1:$AX$1,),))/VLOOKUP(EDATE(B76,-12),Data!$A:$AX,MATCH($L$1,Data!$A$1:$AX$1,),))</f>
        <v/>
      </c>
      <c r="M76" s="20">
        <f>IF(VLOOKUP(B76,Data!$A:$AX,MATCH($M$1,Data!$A$1:$AX$1,))=0,#N/A,(VLOOKUP(B76,Data!$A:$AX,MATCH($M$1,Data!$A$1:$AX$1,),)-VLOOKUP(EDATE(B76,-12),Data!$A:$AX,MATCH($M$1,Data!$A$1:$AX$1,),))/VLOOKUP(EDATE(B76,-12),Data!$A:$AX,MATCH($M$1,Data!$A$1:$AX$1,),))</f>
        <v/>
      </c>
      <c r="N76" s="20">
        <f>(VLOOKUP(B76,Data!$A:$AX,MATCH($N$1,Data!$A$1:$AX$1,),)-VLOOKUP(EDATE(B76,-12),Data!$A:$AX,MATCH($N$1,Data!$A$1:$AX$1,),))/VLOOKUP(EDATE(B76,-12),Data!$A:$AX,MATCH($N$1,Data!$A$1:$AX$1,),)</f>
        <v/>
      </c>
      <c r="O76" s="20">
        <f>IF(VLOOKUP(B76,Data!$A:$AX,MATCH($O$1,Data!$A$1:$AX$1,))=0,#N/A,(VLOOKUP(B76,Data!$A:$AX,MATCH($O$1,Data!$A$1:$AX$1,),)-VLOOKUP(EDATE(B76,-12),Data!$A:$AX,MATCH($O$1,Data!$A$1:$AX$1,),))/VLOOKUP(EDATE(B76,-12),Data!$A:$AX,MATCH($O$1,Data!$A$1:$AX$1,),))</f>
        <v/>
      </c>
      <c r="P76" s="20">
        <f>IF(VLOOKUP(B76,Data!$A:$AX,MATCH($P$1,Data!$A$1:$AX$1,))=0,#N/A,(VLOOKUP(B76,Data!$A:$AX,MATCH($P$1,Data!$A$1:$AX$1,),)-VLOOKUP(EDATE(B76,-12),Data!$A:$AX,MATCH($P$1,Data!$A$1:$AX$1,),))/VLOOKUP(EDATE(B76,-12),Data!$A:$AX,MATCH($P$1,Data!$A$1:$AX$1,),))</f>
        <v/>
      </c>
      <c r="Q76" s="20">
        <f>(VLOOKUP(B76,Data!$A:$AX,MATCH($Q$1,Data!$A$1:$AX$1,),)-VLOOKUP(EDATE(B76,-12),Data!$A:$AX,MATCH($Q$1,Data!$A$1:$AX$1,),))/VLOOKUP(EDATE(B76,-12),Data!$A:$AX,MATCH($Q$1,Data!$A$1:$AX$1,),)</f>
        <v/>
      </c>
      <c r="R76" s="20">
        <f>IF(VLOOKUP(B76,Data!$A:$AX,MATCH($R$1,Data!$A$1:$AX$1,))=0,#N/A,(VLOOKUP(B76,Data!$A:$AX,MATCH($R$1,Data!$A$1:$AX$1,),)-VLOOKUP(EDATE(B76,-12),Data!$A:$AX,MATCH($R$1,Data!$A$1:$AX$1,),))/VLOOKUP(EDATE(B76,-12),Data!$A:$AX,MATCH($R$1,Data!$A$1:$AX$1,),))</f>
        <v/>
      </c>
      <c r="S76" s="20">
        <f>IF(VLOOKUP(B76,Data!$A:$AX,MATCH($S$1,Data!$A$1:$AX$1,))=0,#N/A,(VLOOKUP(B76,Data!$A:$AX,MATCH($S$1,Data!$A$1:$AX$1,),)-VLOOKUP(EDATE(B76,-12),Data!$A:$AX,MATCH($S$1,Data!$A$1:$AX$1,),))/VLOOKUP(EDATE(B76,-12),Data!$A:$AX,MATCH($S$1,Data!$A$1:$AX$1,),))</f>
        <v/>
      </c>
      <c r="T76" s="20">
        <f>IF(VLOOKUP(B76,Data!$A:$AX,MATCH($T$1,Data!$A$1:$AX$1,))=0,#N/A,(VLOOKUP(B76,Data!$A:$AX,MATCH($T$1,Data!$A$1:$AX$1,),)-VLOOKUP(EDATE(B76,-12),Data!$A:$AX,MATCH($T$1,Data!$A$1:$AX$1,),))/VLOOKUP(EDATE(B76,-12),Data!$A:$AX,MATCH($T$1,Data!$A$1:$AX$1,),))</f>
        <v/>
      </c>
      <c r="U76" s="20">
        <f>IF(VLOOKUP(B76,Data!$A:$AX,MATCH($U$1,Data!$A$1:$AX$1,))=0,#N/A,(VLOOKUP(B76,Data!$A:$AX,MATCH($U$1,Data!$A$1:$AX$1,),)-VLOOKUP(EDATE(B76,-12),Data!$A:$AX,MATCH($U$1,Data!$A$1:$AX$1,),))/VLOOKUP(EDATE(B76,-12),Data!$A:$AX,MATCH($U$1,Data!$A$1:$AX$1,),))</f>
        <v/>
      </c>
      <c r="V76" s="20">
        <f>(VLOOKUP(B76,Data!$A:$AX,MATCH($V$1,Data!$A$1:$AX$1,),)-VLOOKUP(EDATE(B76,-12),Data!$A:$AX,MATCH($V$1,Data!$A$1:$AX$1,),))/VLOOKUP(EDATE(B76,-12),Data!$A:$AX,MATCH($V$1,Data!$A$1:$AX$1,),)</f>
        <v/>
      </c>
      <c r="W76" s="20">
        <f>IF(VLOOKUP(B76,Data!$A:$AX,MATCH($W$1,Data!$A$1:$AX$1,))=0,#N/A,(VLOOKUP(B76,Data!$A:$AX,MATCH($W$1,Data!$A$1:$AX$1,),)-VLOOKUP(EDATE(B76,-12),Data!$A:$AX,MATCH($W$1,Data!$A$1:$AX$1,),))/VLOOKUP(EDATE(B76,-12),Data!$A:$AX,MATCH($W$1,Data!$A$1:$AX$1,),))</f>
        <v/>
      </c>
      <c r="X76" s="20">
        <f>IF(VLOOKUP(B76,Data!$A:$AX,MATCH($X$1,Data!$A$1:$AX$1,))=0,#N/A,(VLOOKUP(B76,Data!$A:$AX,MATCH($X$1,Data!$A$1:$AX$1,),)-VLOOKUP(EDATE(B76,-12),Data!$A:$AX,MATCH($X$1,Data!$A$1:$AX$1,),))/VLOOKUP(EDATE(B76,-12),Data!$A:$AX,MATCH($X$1,Data!$A$1:$AX$1,),))</f>
        <v/>
      </c>
      <c r="Y76" s="20">
        <f>IF(VLOOKUP(B76,Data!$A:$AX,MATCH($Y$1,Data!$A$1:$AX$1,))=0,#N/A,(VLOOKUP(B76,Data!$A:$AX,MATCH($Y$1,Data!$A$1:$AX$1,),)-VLOOKUP(EDATE(B76,-12),Data!$A:$AX,MATCH($Y$1,Data!$A$1:$AX$1,),))/VLOOKUP(EDATE(B76,-12),Data!$A:$AX,MATCH($Y$1,Data!$A$1:$AX$1,),))</f>
        <v/>
      </c>
      <c r="Z76" s="20">
        <f>(VLOOKUP(B76,Data!$A:$AX,MATCH($Z$1,Data!$A$1:$AX$1,),)-VLOOKUP(EDATE(B76,-12),Data!$A:$AX,MATCH($Z$1,Data!$A$1:$AX$1,),))/VLOOKUP(EDATE(B76,-12),Data!$A:$AX,MATCH($Z$1,Data!$A$1:$AX$1,),)</f>
        <v/>
      </c>
      <c r="AA76" s="20">
        <f>(VLOOKUP(B76,Data!$A:$AX,MATCH($AA$1,Data!$A$1:$AX$1,),)-VLOOKUP(EDATE(B76,-12),Data!$A:$AX,MATCH($AA$1,Data!$A$1:$AX$1,),))/VLOOKUP(EDATE(B76,-12),Data!$A:$AX,MATCH($AA$1,Data!$A$1:$AX$1,),)</f>
        <v/>
      </c>
      <c r="AB76" s="19" t="n"/>
    </row>
    <row r="77">
      <c r="B77" s="15" t="n">
        <v>42552</v>
      </c>
      <c r="C77" s="20">
        <f>IF(VLOOKUP(B77,Data!$A:$AX,MATCH($C$1,Data!$A$1:$AX$1,))=0,#N/A,(VLOOKUP(B77,Data!$A:$AX,MATCH($C$1,Data!$A$1:$AX$1,),)-VLOOKUP(EDATE(B77,-12),Data!$A:$AX,MATCH($C$1,Data!$A$1:$AX$1,),))/VLOOKUP(EDATE(B77,-12),Data!$A:$AX,MATCH($C$1,Data!$A$1:$AX$1,),))</f>
        <v/>
      </c>
      <c r="D77" s="20">
        <f>IF(VLOOKUP(B77,Data!$A:$AX,MATCH($D$1,Data!$A$1:$AX$1,))=0,#N/A,(VLOOKUP(B77,Data!$A:$AX,MATCH($D$1,Data!$A$1:$AX$1,),)-VLOOKUP(EDATE(B77,-12),Data!$A:$AX,MATCH($D$1,Data!$A$1:$AX$1,),))/VLOOKUP(EDATE(B77,-12),Data!$A:$AX,MATCH($D$1,Data!$A$1:$AX$1,),))</f>
        <v/>
      </c>
      <c r="E77" s="20">
        <f>IF(VLOOKUP(B77,Data!$A:$AX,MATCH($E$1,Data!$A$1:$AX$1,))=0,#N/A,(VLOOKUP(B77,Data!$A:$AX,MATCH($E$1,Data!$A$1:$AX$1,),)-VLOOKUP(EDATE(B77,-12),Data!$A:$AX,MATCH($E$1,Data!$A$1:$AX$1,),))/VLOOKUP(EDATE(B77,-12),Data!$A:$AX,MATCH($E$1,Data!$A$1:$AX$1,),))</f>
        <v/>
      </c>
      <c r="F77" s="20">
        <f>IF(VLOOKUP(B77,Data!$A:$AX,MATCH($F$1,Data!$A$1:$AX$1,))=0,#N/A,(VLOOKUP(B77,Data!$A:$AX,MATCH($F$1,Data!$A$1:$AX$1,),)-VLOOKUP(EDATE(B77,-12),Data!$A:$AX,MATCH($F$1,Data!$A$1:$AX$1,),))/VLOOKUP(EDATE(B77,-12),Data!$A:$AX,MATCH($F$1,Data!$A$1:$AX$1,),))</f>
        <v/>
      </c>
      <c r="G77" s="20">
        <f>IF(VLOOKUP(B77,Data!$A:$AX,MATCH($G$1,Data!$A$1:$AX$1,))=0,#N/A,(VLOOKUP(B77,Data!$A:$AX,MATCH($G$1,Data!$A$1:$AX$1,),)-VLOOKUP(EDATE(B77,-12),Data!$A:$AX,MATCH($G$1,Data!$A$1:$AX$1,),))/VLOOKUP(EDATE(B77,-12),Data!$A:$AX,MATCH($G$1,Data!$A$1:$AX$1,),))</f>
        <v/>
      </c>
      <c r="H77" s="20">
        <f>IF(VLOOKUP(B77,Data!$A:$AX,MATCH($H$1,Data!$A$1:$AX$1,))=0,#N/A,(VLOOKUP(B77,Data!$A:$AX,MATCH($H$1,Data!$A$1:$AX$1,),)-VLOOKUP(EDATE(B77,-12),Data!$A:$AX,MATCH($H$1,Data!$A$1:$AX$1,),))/VLOOKUP(EDATE(B77,-12),Data!$A:$AX,MATCH($H$1,Data!$A$1:$AX$1,),))</f>
        <v/>
      </c>
      <c r="I77" s="20">
        <f>IF(VLOOKUP(B77,Data!$A:$AX,MATCH($I$1,Data!$A$1:$AX$1,))=0,#N/A,(VLOOKUP(B77,Data!$A:$AX,MATCH($I$1,Data!$A$1:$AX$1,),)-VLOOKUP(EDATE(B77,-12),Data!$A:$AX,MATCH($I$1,Data!$A$1:$AX$1,),))/VLOOKUP(EDATE(B77,-12),Data!$A:$AX,MATCH($I$1,Data!$A$1:$AX$1,),))</f>
        <v/>
      </c>
      <c r="J77" s="20">
        <f>IF(VLOOKUP(B77,Data!$A:$AX,MATCH($J$1,Data!$A$1:$AX$1,))=0,#N/A,(VLOOKUP(B77,Data!$A:$AX,MATCH($J$1,Data!$A$1:$AX$1,),)-VLOOKUP(EDATE(B77,-12),Data!$A:$AX,MATCH($J$1,Data!$A$1:$AX$1,),))/VLOOKUP(EDATE(B77,-12),Data!$A:$AX,MATCH($J$1,Data!$A$1:$AX$1,),))</f>
        <v/>
      </c>
      <c r="K77" s="20">
        <f>IF(VLOOKUP(B77,Data!$A:$AX,MATCH($K$1,Data!$A$1:$AX$1,))=0,#N/A,(VLOOKUP(B77,Data!$A:$AX,MATCH($K$1,Data!$A$1:$AX$1,),)-VLOOKUP(EDATE(B77,-12),Data!$A:$AX,MATCH($K$1,Data!$A$1:$AX$1,),))/VLOOKUP(EDATE(B77,-12),Data!$A:$AX,MATCH($K$1,Data!$A$1:$AX$1,),))</f>
        <v/>
      </c>
      <c r="L77" s="20">
        <f>IF(VLOOKUP(B77,Data!$A:$AX,MATCH($L$1,Data!$A$1:$AX$1,))=0,#N/A,(VLOOKUP(B77,Data!$A:$AX,MATCH($L$1,Data!$A$1:$AX$1,),)-VLOOKUP(EDATE(B77,-12),Data!$A:$AX,MATCH($L$1,Data!$A$1:$AX$1,),))/VLOOKUP(EDATE(B77,-12),Data!$A:$AX,MATCH($L$1,Data!$A$1:$AX$1,),))</f>
        <v/>
      </c>
      <c r="M77" s="20">
        <f>IF(VLOOKUP(B77,Data!$A:$AX,MATCH($M$1,Data!$A$1:$AX$1,))=0,#N/A,(VLOOKUP(B77,Data!$A:$AX,MATCH($M$1,Data!$A$1:$AX$1,),)-VLOOKUP(EDATE(B77,-12),Data!$A:$AX,MATCH($M$1,Data!$A$1:$AX$1,),))/VLOOKUP(EDATE(B77,-12),Data!$A:$AX,MATCH($M$1,Data!$A$1:$AX$1,),))</f>
        <v/>
      </c>
      <c r="N77" s="20">
        <f>(VLOOKUP(B77,Data!$A:$AX,MATCH($N$1,Data!$A$1:$AX$1,),)-VLOOKUP(EDATE(B77,-12),Data!$A:$AX,MATCH($N$1,Data!$A$1:$AX$1,),))/VLOOKUP(EDATE(B77,-12),Data!$A:$AX,MATCH($N$1,Data!$A$1:$AX$1,),)</f>
        <v/>
      </c>
      <c r="O77" s="20">
        <f>IF(VLOOKUP(B77,Data!$A:$AX,MATCH($O$1,Data!$A$1:$AX$1,))=0,#N/A,(VLOOKUP(B77,Data!$A:$AX,MATCH($O$1,Data!$A$1:$AX$1,),)-VLOOKUP(EDATE(B77,-12),Data!$A:$AX,MATCH($O$1,Data!$A$1:$AX$1,),))/VLOOKUP(EDATE(B77,-12),Data!$A:$AX,MATCH($O$1,Data!$A$1:$AX$1,),))</f>
        <v/>
      </c>
      <c r="P77" s="20">
        <f>IF(VLOOKUP(B77,Data!$A:$AX,MATCH($P$1,Data!$A$1:$AX$1,))=0,#N/A,(VLOOKUP(B77,Data!$A:$AX,MATCH($P$1,Data!$A$1:$AX$1,),)-VLOOKUP(EDATE(B77,-12),Data!$A:$AX,MATCH($P$1,Data!$A$1:$AX$1,),))/VLOOKUP(EDATE(B77,-12),Data!$A:$AX,MATCH($P$1,Data!$A$1:$AX$1,),))</f>
        <v/>
      </c>
      <c r="Q77" s="20">
        <f>(VLOOKUP(B77,Data!$A:$AX,MATCH($Q$1,Data!$A$1:$AX$1,),)-VLOOKUP(EDATE(B77,-12),Data!$A:$AX,MATCH($Q$1,Data!$A$1:$AX$1,),))/VLOOKUP(EDATE(B77,-12),Data!$A:$AX,MATCH($Q$1,Data!$A$1:$AX$1,),)</f>
        <v/>
      </c>
      <c r="R77" s="20">
        <f>IF(VLOOKUP(B77,Data!$A:$AX,MATCH($R$1,Data!$A$1:$AX$1,))=0,#N/A,(VLOOKUP(B77,Data!$A:$AX,MATCH($R$1,Data!$A$1:$AX$1,),)-VLOOKUP(EDATE(B77,-12),Data!$A:$AX,MATCH($R$1,Data!$A$1:$AX$1,),))/VLOOKUP(EDATE(B77,-12),Data!$A:$AX,MATCH($R$1,Data!$A$1:$AX$1,),))</f>
        <v/>
      </c>
      <c r="S77" s="20">
        <f>IF(VLOOKUP(B77,Data!$A:$AX,MATCH($S$1,Data!$A$1:$AX$1,))=0,#N/A,(VLOOKUP(B77,Data!$A:$AX,MATCH($S$1,Data!$A$1:$AX$1,),)-VLOOKUP(EDATE(B77,-12),Data!$A:$AX,MATCH($S$1,Data!$A$1:$AX$1,),))/VLOOKUP(EDATE(B77,-12),Data!$A:$AX,MATCH($S$1,Data!$A$1:$AX$1,),))</f>
        <v/>
      </c>
      <c r="T77" s="20">
        <f>IF(VLOOKUP(B77,Data!$A:$AX,MATCH($T$1,Data!$A$1:$AX$1,))=0,#N/A,(VLOOKUP(B77,Data!$A:$AX,MATCH($T$1,Data!$A$1:$AX$1,),)-VLOOKUP(EDATE(B77,-12),Data!$A:$AX,MATCH($T$1,Data!$A$1:$AX$1,),))/VLOOKUP(EDATE(B77,-12),Data!$A:$AX,MATCH($T$1,Data!$A$1:$AX$1,),))</f>
        <v/>
      </c>
      <c r="U77" s="20">
        <f>IF(VLOOKUP(B77,Data!$A:$AX,MATCH($U$1,Data!$A$1:$AX$1,))=0,#N/A,(VLOOKUP(B77,Data!$A:$AX,MATCH($U$1,Data!$A$1:$AX$1,),)-VLOOKUP(EDATE(B77,-12),Data!$A:$AX,MATCH($U$1,Data!$A$1:$AX$1,),))/VLOOKUP(EDATE(B77,-12),Data!$A:$AX,MATCH($U$1,Data!$A$1:$AX$1,),))</f>
        <v/>
      </c>
      <c r="V77" s="20">
        <f>(VLOOKUP(B77,Data!$A:$AX,MATCH($V$1,Data!$A$1:$AX$1,),)-VLOOKUP(EDATE(B77,-12),Data!$A:$AX,MATCH($V$1,Data!$A$1:$AX$1,),))/VLOOKUP(EDATE(B77,-12),Data!$A:$AX,MATCH($V$1,Data!$A$1:$AX$1,),)</f>
        <v/>
      </c>
      <c r="W77" s="20">
        <f>IF(VLOOKUP(B77,Data!$A:$AX,MATCH($W$1,Data!$A$1:$AX$1,))=0,#N/A,(VLOOKUP(B77,Data!$A:$AX,MATCH($W$1,Data!$A$1:$AX$1,),)-VLOOKUP(EDATE(B77,-12),Data!$A:$AX,MATCH($W$1,Data!$A$1:$AX$1,),))/VLOOKUP(EDATE(B77,-12),Data!$A:$AX,MATCH($W$1,Data!$A$1:$AX$1,),))</f>
        <v/>
      </c>
      <c r="X77" s="20">
        <f>IF(VLOOKUP(B77,Data!$A:$AX,MATCH($X$1,Data!$A$1:$AX$1,))=0,#N/A,(VLOOKUP(B77,Data!$A:$AX,MATCH($X$1,Data!$A$1:$AX$1,),)-VLOOKUP(EDATE(B77,-12),Data!$A:$AX,MATCH($X$1,Data!$A$1:$AX$1,),))/VLOOKUP(EDATE(B77,-12),Data!$A:$AX,MATCH($X$1,Data!$A$1:$AX$1,),))</f>
        <v/>
      </c>
      <c r="Y77" s="20">
        <f>IF(VLOOKUP(B77,Data!$A:$AX,MATCH($Y$1,Data!$A$1:$AX$1,))=0,#N/A,(VLOOKUP(B77,Data!$A:$AX,MATCH($Y$1,Data!$A$1:$AX$1,),)-VLOOKUP(EDATE(B77,-12),Data!$A:$AX,MATCH($Y$1,Data!$A$1:$AX$1,),))/VLOOKUP(EDATE(B77,-12),Data!$A:$AX,MATCH($Y$1,Data!$A$1:$AX$1,),))</f>
        <v/>
      </c>
      <c r="Z77" s="20">
        <f>(VLOOKUP(B77,Data!$A:$AX,MATCH($Z$1,Data!$A$1:$AX$1,),)-VLOOKUP(EDATE(B77,-12),Data!$A:$AX,MATCH($Z$1,Data!$A$1:$AX$1,),))/VLOOKUP(EDATE(B77,-12),Data!$A:$AX,MATCH($Z$1,Data!$A$1:$AX$1,),)</f>
        <v/>
      </c>
      <c r="AA77" s="20">
        <f>(VLOOKUP(B77,Data!$A:$AX,MATCH($AA$1,Data!$A$1:$AX$1,),)-VLOOKUP(EDATE(B77,-12),Data!$A:$AX,MATCH($AA$1,Data!$A$1:$AX$1,),))/VLOOKUP(EDATE(B77,-12),Data!$A:$AX,MATCH($AA$1,Data!$A$1:$AX$1,),)</f>
        <v/>
      </c>
      <c r="AB77" s="19" t="n"/>
    </row>
    <row r="78">
      <c r="B78" s="15" t="n">
        <v>42583</v>
      </c>
      <c r="C78" s="20">
        <f>IF(VLOOKUP(B78,Data!$A:$AX,MATCH($C$1,Data!$A$1:$AX$1,))=0,#N/A,(VLOOKUP(B78,Data!$A:$AX,MATCH($C$1,Data!$A$1:$AX$1,),)-VLOOKUP(EDATE(B78,-12),Data!$A:$AX,MATCH($C$1,Data!$A$1:$AX$1,),))/VLOOKUP(EDATE(B78,-12),Data!$A:$AX,MATCH($C$1,Data!$A$1:$AX$1,),))</f>
        <v/>
      </c>
      <c r="D78" s="20">
        <f>IF(VLOOKUP(B78,Data!$A:$AX,MATCH($D$1,Data!$A$1:$AX$1,))=0,#N/A,(VLOOKUP(B78,Data!$A:$AX,MATCH($D$1,Data!$A$1:$AX$1,),)-VLOOKUP(EDATE(B78,-12),Data!$A:$AX,MATCH($D$1,Data!$A$1:$AX$1,),))/VLOOKUP(EDATE(B78,-12),Data!$A:$AX,MATCH($D$1,Data!$A$1:$AX$1,),))</f>
        <v/>
      </c>
      <c r="E78" s="20">
        <f>IF(VLOOKUP(B78,Data!$A:$AX,MATCH($E$1,Data!$A$1:$AX$1,))=0,#N/A,(VLOOKUP(B78,Data!$A:$AX,MATCH($E$1,Data!$A$1:$AX$1,),)-VLOOKUP(EDATE(B78,-12),Data!$A:$AX,MATCH($E$1,Data!$A$1:$AX$1,),))/VLOOKUP(EDATE(B78,-12),Data!$A:$AX,MATCH($E$1,Data!$A$1:$AX$1,),))</f>
        <v/>
      </c>
      <c r="F78" s="20">
        <f>IF(VLOOKUP(B78,Data!$A:$AX,MATCH($F$1,Data!$A$1:$AX$1,))=0,#N/A,(VLOOKUP(B78,Data!$A:$AX,MATCH($F$1,Data!$A$1:$AX$1,),)-VLOOKUP(EDATE(B78,-12),Data!$A:$AX,MATCH($F$1,Data!$A$1:$AX$1,),))/VLOOKUP(EDATE(B78,-12),Data!$A:$AX,MATCH($F$1,Data!$A$1:$AX$1,),))</f>
        <v/>
      </c>
      <c r="G78" s="20">
        <f>IF(VLOOKUP(B78,Data!$A:$AX,MATCH($G$1,Data!$A$1:$AX$1,))=0,#N/A,(VLOOKUP(B78,Data!$A:$AX,MATCH($G$1,Data!$A$1:$AX$1,),)-VLOOKUP(EDATE(B78,-12),Data!$A:$AX,MATCH($G$1,Data!$A$1:$AX$1,),))/VLOOKUP(EDATE(B78,-12),Data!$A:$AX,MATCH($G$1,Data!$A$1:$AX$1,),))</f>
        <v/>
      </c>
      <c r="H78" s="20">
        <f>IF(VLOOKUP(B78,Data!$A:$AX,MATCH($H$1,Data!$A$1:$AX$1,))=0,#N/A,(VLOOKUP(B78,Data!$A:$AX,MATCH($H$1,Data!$A$1:$AX$1,),)-VLOOKUP(EDATE(B78,-12),Data!$A:$AX,MATCH($H$1,Data!$A$1:$AX$1,),))/VLOOKUP(EDATE(B78,-12),Data!$A:$AX,MATCH($H$1,Data!$A$1:$AX$1,),))</f>
        <v/>
      </c>
      <c r="I78" s="20">
        <f>IF(VLOOKUP(B78,Data!$A:$AX,MATCH($I$1,Data!$A$1:$AX$1,))=0,#N/A,(VLOOKUP(B78,Data!$A:$AX,MATCH($I$1,Data!$A$1:$AX$1,),)-VLOOKUP(EDATE(B78,-12),Data!$A:$AX,MATCH($I$1,Data!$A$1:$AX$1,),))/VLOOKUP(EDATE(B78,-12),Data!$A:$AX,MATCH($I$1,Data!$A$1:$AX$1,),))</f>
        <v/>
      </c>
      <c r="J78" s="20">
        <f>IF(VLOOKUP(B78,Data!$A:$AX,MATCH($J$1,Data!$A$1:$AX$1,))=0,#N/A,(VLOOKUP(B78,Data!$A:$AX,MATCH($J$1,Data!$A$1:$AX$1,),)-VLOOKUP(EDATE(B78,-12),Data!$A:$AX,MATCH($J$1,Data!$A$1:$AX$1,),))/VLOOKUP(EDATE(B78,-12),Data!$A:$AX,MATCH($J$1,Data!$A$1:$AX$1,),))</f>
        <v/>
      </c>
      <c r="K78" s="20">
        <f>IF(VLOOKUP(B78,Data!$A:$AX,MATCH($K$1,Data!$A$1:$AX$1,))=0,#N/A,(VLOOKUP(B78,Data!$A:$AX,MATCH($K$1,Data!$A$1:$AX$1,),)-VLOOKUP(EDATE(B78,-12),Data!$A:$AX,MATCH($K$1,Data!$A$1:$AX$1,),))/VLOOKUP(EDATE(B78,-12),Data!$A:$AX,MATCH($K$1,Data!$A$1:$AX$1,),))</f>
        <v/>
      </c>
      <c r="L78" s="20">
        <f>IF(VLOOKUP(B78,Data!$A:$AX,MATCH($L$1,Data!$A$1:$AX$1,))=0,#N/A,(VLOOKUP(B78,Data!$A:$AX,MATCH($L$1,Data!$A$1:$AX$1,),)-VLOOKUP(EDATE(B78,-12),Data!$A:$AX,MATCH($L$1,Data!$A$1:$AX$1,),))/VLOOKUP(EDATE(B78,-12),Data!$A:$AX,MATCH($L$1,Data!$A$1:$AX$1,),))</f>
        <v/>
      </c>
      <c r="M78" s="20">
        <f>IF(VLOOKUP(B78,Data!$A:$AX,MATCH($M$1,Data!$A$1:$AX$1,))=0,#N/A,(VLOOKUP(B78,Data!$A:$AX,MATCH($M$1,Data!$A$1:$AX$1,),)-VLOOKUP(EDATE(B78,-12),Data!$A:$AX,MATCH($M$1,Data!$A$1:$AX$1,),))/VLOOKUP(EDATE(B78,-12),Data!$A:$AX,MATCH($M$1,Data!$A$1:$AX$1,),))</f>
        <v/>
      </c>
      <c r="N78" s="20">
        <f>(VLOOKUP(B78,Data!$A:$AX,MATCH($N$1,Data!$A$1:$AX$1,),)-VLOOKUP(EDATE(B78,-12),Data!$A:$AX,MATCH($N$1,Data!$A$1:$AX$1,),))/VLOOKUP(EDATE(B78,-12),Data!$A:$AX,MATCH($N$1,Data!$A$1:$AX$1,),)</f>
        <v/>
      </c>
      <c r="O78" s="20">
        <f>IF(VLOOKUP(B78,Data!$A:$AX,MATCH($O$1,Data!$A$1:$AX$1,))=0,#N/A,(VLOOKUP(B78,Data!$A:$AX,MATCH($O$1,Data!$A$1:$AX$1,),)-VLOOKUP(EDATE(B78,-12),Data!$A:$AX,MATCH($O$1,Data!$A$1:$AX$1,),))/VLOOKUP(EDATE(B78,-12),Data!$A:$AX,MATCH($O$1,Data!$A$1:$AX$1,),))</f>
        <v/>
      </c>
      <c r="P78" s="20">
        <f>IF(VLOOKUP(B78,Data!$A:$AX,MATCH($P$1,Data!$A$1:$AX$1,))=0,#N/A,(VLOOKUP(B78,Data!$A:$AX,MATCH($P$1,Data!$A$1:$AX$1,),)-VLOOKUP(EDATE(B78,-12),Data!$A:$AX,MATCH($P$1,Data!$A$1:$AX$1,),))/VLOOKUP(EDATE(B78,-12),Data!$A:$AX,MATCH($P$1,Data!$A$1:$AX$1,),))</f>
        <v/>
      </c>
      <c r="Q78" s="20">
        <f>(VLOOKUP(B78,Data!$A:$AX,MATCH($Q$1,Data!$A$1:$AX$1,),)-VLOOKUP(EDATE(B78,-12),Data!$A:$AX,MATCH($Q$1,Data!$A$1:$AX$1,),))/VLOOKUP(EDATE(B78,-12),Data!$A:$AX,MATCH($Q$1,Data!$A$1:$AX$1,),)</f>
        <v/>
      </c>
      <c r="R78" s="20">
        <f>IF(VLOOKUP(B78,Data!$A:$AX,MATCH($R$1,Data!$A$1:$AX$1,))=0,#N/A,(VLOOKUP(B78,Data!$A:$AX,MATCH($R$1,Data!$A$1:$AX$1,),)-VLOOKUP(EDATE(B78,-12),Data!$A:$AX,MATCH($R$1,Data!$A$1:$AX$1,),))/VLOOKUP(EDATE(B78,-12),Data!$A:$AX,MATCH($R$1,Data!$A$1:$AX$1,),))</f>
        <v/>
      </c>
      <c r="S78" s="20">
        <f>IF(VLOOKUP(B78,Data!$A:$AX,MATCH($S$1,Data!$A$1:$AX$1,))=0,#N/A,(VLOOKUP(B78,Data!$A:$AX,MATCH($S$1,Data!$A$1:$AX$1,),)-VLOOKUP(EDATE(B78,-12),Data!$A:$AX,MATCH($S$1,Data!$A$1:$AX$1,),))/VLOOKUP(EDATE(B78,-12),Data!$A:$AX,MATCH($S$1,Data!$A$1:$AX$1,),))</f>
        <v/>
      </c>
      <c r="T78" s="20">
        <f>IF(VLOOKUP(B78,Data!$A:$AX,MATCH($T$1,Data!$A$1:$AX$1,))=0,#N/A,(VLOOKUP(B78,Data!$A:$AX,MATCH($T$1,Data!$A$1:$AX$1,),)-VLOOKUP(EDATE(B78,-12),Data!$A:$AX,MATCH($T$1,Data!$A$1:$AX$1,),))/VLOOKUP(EDATE(B78,-12),Data!$A:$AX,MATCH($T$1,Data!$A$1:$AX$1,),))</f>
        <v/>
      </c>
      <c r="U78" s="20">
        <f>IF(VLOOKUP(B78,Data!$A:$AX,MATCH($U$1,Data!$A$1:$AX$1,))=0,#N/A,(VLOOKUP(B78,Data!$A:$AX,MATCH($U$1,Data!$A$1:$AX$1,),)-VLOOKUP(EDATE(B78,-12),Data!$A:$AX,MATCH($U$1,Data!$A$1:$AX$1,),))/VLOOKUP(EDATE(B78,-12),Data!$A:$AX,MATCH($U$1,Data!$A$1:$AX$1,),))</f>
        <v/>
      </c>
      <c r="V78" s="20">
        <f>(VLOOKUP(B78,Data!$A:$AX,MATCH($V$1,Data!$A$1:$AX$1,),)-VLOOKUP(EDATE(B78,-12),Data!$A:$AX,MATCH($V$1,Data!$A$1:$AX$1,),))/VLOOKUP(EDATE(B78,-12),Data!$A:$AX,MATCH($V$1,Data!$A$1:$AX$1,),)</f>
        <v/>
      </c>
      <c r="W78" s="20">
        <f>IF(VLOOKUP(B78,Data!$A:$AX,MATCH($W$1,Data!$A$1:$AX$1,))=0,#N/A,(VLOOKUP(B78,Data!$A:$AX,MATCH($W$1,Data!$A$1:$AX$1,),)-VLOOKUP(EDATE(B78,-12),Data!$A:$AX,MATCH($W$1,Data!$A$1:$AX$1,),))/VLOOKUP(EDATE(B78,-12),Data!$A:$AX,MATCH($W$1,Data!$A$1:$AX$1,),))</f>
        <v/>
      </c>
      <c r="X78" s="20">
        <f>IF(VLOOKUP(B78,Data!$A:$AX,MATCH($X$1,Data!$A$1:$AX$1,))=0,#N/A,(VLOOKUP(B78,Data!$A:$AX,MATCH($X$1,Data!$A$1:$AX$1,),)-VLOOKUP(EDATE(B78,-12),Data!$A:$AX,MATCH($X$1,Data!$A$1:$AX$1,),))/VLOOKUP(EDATE(B78,-12),Data!$A:$AX,MATCH($X$1,Data!$A$1:$AX$1,),))</f>
        <v/>
      </c>
      <c r="Y78" s="20">
        <f>IF(VLOOKUP(B78,Data!$A:$AX,MATCH($Y$1,Data!$A$1:$AX$1,))=0,#N/A,(VLOOKUP(B78,Data!$A:$AX,MATCH($Y$1,Data!$A$1:$AX$1,),)-VLOOKUP(EDATE(B78,-12),Data!$A:$AX,MATCH($Y$1,Data!$A$1:$AX$1,),))/VLOOKUP(EDATE(B78,-12),Data!$A:$AX,MATCH($Y$1,Data!$A$1:$AX$1,),))</f>
        <v/>
      </c>
      <c r="Z78" s="20">
        <f>(VLOOKUP(B78,Data!$A:$AX,MATCH($Z$1,Data!$A$1:$AX$1,),)-VLOOKUP(EDATE(B78,-12),Data!$A:$AX,MATCH($Z$1,Data!$A$1:$AX$1,),))/VLOOKUP(EDATE(B78,-12),Data!$A:$AX,MATCH($Z$1,Data!$A$1:$AX$1,),)</f>
        <v/>
      </c>
      <c r="AA78" s="20">
        <f>(VLOOKUP(B78,Data!$A:$AX,MATCH($AA$1,Data!$A$1:$AX$1,),)-VLOOKUP(EDATE(B78,-12),Data!$A:$AX,MATCH($AA$1,Data!$A$1:$AX$1,),))/VLOOKUP(EDATE(B78,-12),Data!$A:$AX,MATCH($AA$1,Data!$A$1:$AX$1,),)</f>
        <v/>
      </c>
      <c r="AB78" s="19" t="n"/>
    </row>
    <row r="79">
      <c r="B79" s="15" t="n">
        <v>42614</v>
      </c>
      <c r="C79" s="20">
        <f>IF(VLOOKUP(B79,Data!$A:$AX,MATCH($C$1,Data!$A$1:$AX$1,))=0,#N/A,(VLOOKUP(B79,Data!$A:$AX,MATCH($C$1,Data!$A$1:$AX$1,),)-VLOOKUP(EDATE(B79,-12),Data!$A:$AX,MATCH($C$1,Data!$A$1:$AX$1,),))/VLOOKUP(EDATE(B79,-12),Data!$A:$AX,MATCH($C$1,Data!$A$1:$AX$1,),))</f>
        <v/>
      </c>
      <c r="D79" s="20">
        <f>IF(VLOOKUP(B79,Data!$A:$AX,MATCH($D$1,Data!$A$1:$AX$1,))=0,#N/A,(VLOOKUP(B79,Data!$A:$AX,MATCH($D$1,Data!$A$1:$AX$1,),)-VLOOKUP(EDATE(B79,-12),Data!$A:$AX,MATCH($D$1,Data!$A$1:$AX$1,),))/VLOOKUP(EDATE(B79,-12),Data!$A:$AX,MATCH($D$1,Data!$A$1:$AX$1,),))</f>
        <v/>
      </c>
      <c r="E79" s="20">
        <f>IF(VLOOKUP(B79,Data!$A:$AX,MATCH($E$1,Data!$A$1:$AX$1,))=0,#N/A,(VLOOKUP(B79,Data!$A:$AX,MATCH($E$1,Data!$A$1:$AX$1,),)-VLOOKUP(EDATE(B79,-12),Data!$A:$AX,MATCH($E$1,Data!$A$1:$AX$1,),))/VLOOKUP(EDATE(B79,-12),Data!$A:$AX,MATCH($E$1,Data!$A$1:$AX$1,),))</f>
        <v/>
      </c>
      <c r="F79" s="20">
        <f>IF(VLOOKUP(B79,Data!$A:$AX,MATCH($F$1,Data!$A$1:$AX$1,))=0,#N/A,(VLOOKUP(B79,Data!$A:$AX,MATCH($F$1,Data!$A$1:$AX$1,),)-VLOOKUP(EDATE(B79,-12),Data!$A:$AX,MATCH($F$1,Data!$A$1:$AX$1,),))/VLOOKUP(EDATE(B79,-12),Data!$A:$AX,MATCH($F$1,Data!$A$1:$AX$1,),))</f>
        <v/>
      </c>
      <c r="G79" s="20">
        <f>IF(VLOOKUP(B79,Data!$A:$AX,MATCH($G$1,Data!$A$1:$AX$1,))=0,#N/A,(VLOOKUP(B79,Data!$A:$AX,MATCH($G$1,Data!$A$1:$AX$1,),)-VLOOKUP(EDATE(B79,-12),Data!$A:$AX,MATCH($G$1,Data!$A$1:$AX$1,),))/VLOOKUP(EDATE(B79,-12),Data!$A:$AX,MATCH($G$1,Data!$A$1:$AX$1,),))</f>
        <v/>
      </c>
      <c r="H79" s="20">
        <f>IF(VLOOKUP(B79,Data!$A:$AX,MATCH($H$1,Data!$A$1:$AX$1,))=0,#N/A,(VLOOKUP(B79,Data!$A:$AX,MATCH($H$1,Data!$A$1:$AX$1,),)-VLOOKUP(EDATE(B79,-12),Data!$A:$AX,MATCH($H$1,Data!$A$1:$AX$1,),))/VLOOKUP(EDATE(B79,-12),Data!$A:$AX,MATCH($H$1,Data!$A$1:$AX$1,),))</f>
        <v/>
      </c>
      <c r="I79" s="20">
        <f>IF(VLOOKUP(B79,Data!$A:$AX,MATCH($I$1,Data!$A$1:$AX$1,))=0,#N/A,(VLOOKUP(B79,Data!$A:$AX,MATCH($I$1,Data!$A$1:$AX$1,),)-VLOOKUP(EDATE(B79,-12),Data!$A:$AX,MATCH($I$1,Data!$A$1:$AX$1,),))/VLOOKUP(EDATE(B79,-12),Data!$A:$AX,MATCH($I$1,Data!$A$1:$AX$1,),))</f>
        <v/>
      </c>
      <c r="J79" s="20">
        <f>IF(VLOOKUP(B79,Data!$A:$AX,MATCH($J$1,Data!$A$1:$AX$1,))=0,#N/A,(VLOOKUP(B79,Data!$A:$AX,MATCH($J$1,Data!$A$1:$AX$1,),)-VLOOKUP(EDATE(B79,-12),Data!$A:$AX,MATCH($J$1,Data!$A$1:$AX$1,),))/VLOOKUP(EDATE(B79,-12),Data!$A:$AX,MATCH($J$1,Data!$A$1:$AX$1,),))</f>
        <v/>
      </c>
      <c r="K79" s="20">
        <f>IF(VLOOKUP(B79,Data!$A:$AX,MATCH($K$1,Data!$A$1:$AX$1,))=0,#N/A,(VLOOKUP(B79,Data!$A:$AX,MATCH($K$1,Data!$A$1:$AX$1,),)-VLOOKUP(EDATE(B79,-12),Data!$A:$AX,MATCH($K$1,Data!$A$1:$AX$1,),))/VLOOKUP(EDATE(B79,-12),Data!$A:$AX,MATCH($K$1,Data!$A$1:$AX$1,),))</f>
        <v/>
      </c>
      <c r="L79" s="20">
        <f>IF(VLOOKUP(B79,Data!$A:$AX,MATCH($L$1,Data!$A$1:$AX$1,))=0,#N/A,(VLOOKUP(B79,Data!$A:$AX,MATCH($L$1,Data!$A$1:$AX$1,),)-VLOOKUP(EDATE(B79,-12),Data!$A:$AX,MATCH($L$1,Data!$A$1:$AX$1,),))/VLOOKUP(EDATE(B79,-12),Data!$A:$AX,MATCH($L$1,Data!$A$1:$AX$1,),))</f>
        <v/>
      </c>
      <c r="M79" s="20">
        <f>IF(VLOOKUP(B79,Data!$A:$AX,MATCH($M$1,Data!$A$1:$AX$1,))=0,#N/A,(VLOOKUP(B79,Data!$A:$AX,MATCH($M$1,Data!$A$1:$AX$1,),)-VLOOKUP(EDATE(B79,-12),Data!$A:$AX,MATCH($M$1,Data!$A$1:$AX$1,),))/VLOOKUP(EDATE(B79,-12),Data!$A:$AX,MATCH($M$1,Data!$A$1:$AX$1,),))</f>
        <v/>
      </c>
      <c r="N79" s="20">
        <f>(VLOOKUP(B79,Data!$A:$AX,MATCH($N$1,Data!$A$1:$AX$1,),)-VLOOKUP(EDATE(B79,-12),Data!$A:$AX,MATCH($N$1,Data!$A$1:$AX$1,),))/VLOOKUP(EDATE(B79,-12),Data!$A:$AX,MATCH($N$1,Data!$A$1:$AX$1,),)</f>
        <v/>
      </c>
      <c r="O79" s="20">
        <f>IF(VLOOKUP(B79,Data!$A:$AX,MATCH($O$1,Data!$A$1:$AX$1,))=0,#N/A,(VLOOKUP(B79,Data!$A:$AX,MATCH($O$1,Data!$A$1:$AX$1,),)-VLOOKUP(EDATE(B79,-12),Data!$A:$AX,MATCH($O$1,Data!$A$1:$AX$1,),))/VLOOKUP(EDATE(B79,-12),Data!$A:$AX,MATCH($O$1,Data!$A$1:$AX$1,),))</f>
        <v/>
      </c>
      <c r="P79" s="20">
        <f>IF(VLOOKUP(B79,Data!$A:$AX,MATCH($P$1,Data!$A$1:$AX$1,))=0,#N/A,(VLOOKUP(B79,Data!$A:$AX,MATCH($P$1,Data!$A$1:$AX$1,),)-VLOOKUP(EDATE(B79,-12),Data!$A:$AX,MATCH($P$1,Data!$A$1:$AX$1,),))/VLOOKUP(EDATE(B79,-12),Data!$A:$AX,MATCH($P$1,Data!$A$1:$AX$1,),))</f>
        <v/>
      </c>
      <c r="Q79" s="20">
        <f>(VLOOKUP(B79,Data!$A:$AX,MATCH($Q$1,Data!$A$1:$AX$1,),)-VLOOKUP(EDATE(B79,-12),Data!$A:$AX,MATCH($Q$1,Data!$A$1:$AX$1,),))/VLOOKUP(EDATE(B79,-12),Data!$A:$AX,MATCH($Q$1,Data!$A$1:$AX$1,),)</f>
        <v/>
      </c>
      <c r="R79" s="20">
        <f>IF(VLOOKUP(B79,Data!$A:$AX,MATCH($R$1,Data!$A$1:$AX$1,))=0,#N/A,(VLOOKUP(B79,Data!$A:$AX,MATCH($R$1,Data!$A$1:$AX$1,),)-VLOOKUP(EDATE(B79,-12),Data!$A:$AX,MATCH($R$1,Data!$A$1:$AX$1,),))/VLOOKUP(EDATE(B79,-12),Data!$A:$AX,MATCH($R$1,Data!$A$1:$AX$1,),))</f>
        <v/>
      </c>
      <c r="S79" s="20">
        <f>IF(VLOOKUP(B79,Data!$A:$AX,MATCH($S$1,Data!$A$1:$AX$1,))=0,#N/A,(VLOOKUP(B79,Data!$A:$AX,MATCH($S$1,Data!$A$1:$AX$1,),)-VLOOKUP(EDATE(B79,-12),Data!$A:$AX,MATCH($S$1,Data!$A$1:$AX$1,),))/VLOOKUP(EDATE(B79,-12),Data!$A:$AX,MATCH($S$1,Data!$A$1:$AX$1,),))</f>
        <v/>
      </c>
      <c r="T79" s="20">
        <f>IF(VLOOKUP(B79,Data!$A:$AX,MATCH($T$1,Data!$A$1:$AX$1,))=0,#N/A,(VLOOKUP(B79,Data!$A:$AX,MATCH($T$1,Data!$A$1:$AX$1,),)-VLOOKUP(EDATE(B79,-12),Data!$A:$AX,MATCH($T$1,Data!$A$1:$AX$1,),))/VLOOKUP(EDATE(B79,-12),Data!$A:$AX,MATCH($T$1,Data!$A$1:$AX$1,),))</f>
        <v/>
      </c>
      <c r="U79" s="20">
        <f>IF(VLOOKUP(B79,Data!$A:$AX,MATCH($U$1,Data!$A$1:$AX$1,))=0,#N/A,(VLOOKUP(B79,Data!$A:$AX,MATCH($U$1,Data!$A$1:$AX$1,),)-VLOOKUP(EDATE(B79,-12),Data!$A:$AX,MATCH($U$1,Data!$A$1:$AX$1,),))/VLOOKUP(EDATE(B79,-12),Data!$A:$AX,MATCH($U$1,Data!$A$1:$AX$1,),))</f>
        <v/>
      </c>
      <c r="V79" s="20">
        <f>(VLOOKUP(B79,Data!$A:$AX,MATCH($V$1,Data!$A$1:$AX$1,),)-VLOOKUP(EDATE(B79,-12),Data!$A:$AX,MATCH($V$1,Data!$A$1:$AX$1,),))/VLOOKUP(EDATE(B79,-12),Data!$A:$AX,MATCH($V$1,Data!$A$1:$AX$1,),)</f>
        <v/>
      </c>
      <c r="W79" s="20">
        <f>IF(VLOOKUP(B79,Data!$A:$AX,MATCH($W$1,Data!$A$1:$AX$1,))=0,#N/A,(VLOOKUP(B79,Data!$A:$AX,MATCH($W$1,Data!$A$1:$AX$1,),)-VLOOKUP(EDATE(B79,-12),Data!$A:$AX,MATCH($W$1,Data!$A$1:$AX$1,),))/VLOOKUP(EDATE(B79,-12),Data!$A:$AX,MATCH($W$1,Data!$A$1:$AX$1,),))</f>
        <v/>
      </c>
      <c r="X79" s="20">
        <f>IF(VLOOKUP(B79,Data!$A:$AX,MATCH($X$1,Data!$A$1:$AX$1,))=0,#N/A,(VLOOKUP(B79,Data!$A:$AX,MATCH($X$1,Data!$A$1:$AX$1,),)-VLOOKUP(EDATE(B79,-12),Data!$A:$AX,MATCH($X$1,Data!$A$1:$AX$1,),))/VLOOKUP(EDATE(B79,-12),Data!$A:$AX,MATCH($X$1,Data!$A$1:$AX$1,),))</f>
        <v/>
      </c>
      <c r="Y79" s="20">
        <f>IF(VLOOKUP(B79,Data!$A:$AX,MATCH($Y$1,Data!$A$1:$AX$1,))=0,#N/A,(VLOOKUP(B79,Data!$A:$AX,MATCH($Y$1,Data!$A$1:$AX$1,),)-VLOOKUP(EDATE(B79,-12),Data!$A:$AX,MATCH($Y$1,Data!$A$1:$AX$1,),))/VLOOKUP(EDATE(B79,-12),Data!$A:$AX,MATCH($Y$1,Data!$A$1:$AX$1,),))</f>
        <v/>
      </c>
      <c r="Z79" s="20">
        <f>(VLOOKUP(B79,Data!$A:$AX,MATCH($Z$1,Data!$A$1:$AX$1,),)-VLOOKUP(EDATE(B79,-12),Data!$A:$AX,MATCH($Z$1,Data!$A$1:$AX$1,),))/VLOOKUP(EDATE(B79,-12),Data!$A:$AX,MATCH($Z$1,Data!$A$1:$AX$1,),)</f>
        <v/>
      </c>
      <c r="AA79" s="20">
        <f>(VLOOKUP(B79,Data!$A:$AX,MATCH($AA$1,Data!$A$1:$AX$1,),)-VLOOKUP(EDATE(B79,-12),Data!$A:$AX,MATCH($AA$1,Data!$A$1:$AX$1,),))/VLOOKUP(EDATE(B79,-12),Data!$A:$AX,MATCH($AA$1,Data!$A$1:$AX$1,),)</f>
        <v/>
      </c>
      <c r="AB79" s="19" t="n"/>
      <c r="AF79" s="78" t="inlineStr">
        <is>
          <t>`</t>
        </is>
      </c>
    </row>
    <row r="80">
      <c r="B80" s="15" t="n">
        <v>42644</v>
      </c>
      <c r="C80" s="20">
        <f>IF(VLOOKUP(B80,Data!$A:$AX,MATCH($C$1,Data!$A$1:$AX$1,))=0,#N/A,(VLOOKUP(B80,Data!$A:$AX,MATCH($C$1,Data!$A$1:$AX$1,),)-VLOOKUP(EDATE(B80,-12),Data!$A:$AX,MATCH($C$1,Data!$A$1:$AX$1,),))/VLOOKUP(EDATE(B80,-12),Data!$A:$AX,MATCH($C$1,Data!$A$1:$AX$1,),))</f>
        <v/>
      </c>
      <c r="D80" s="20">
        <f>IF(VLOOKUP(B80,Data!$A:$AX,MATCH($D$1,Data!$A$1:$AX$1,))=0,#N/A,(VLOOKUP(B80,Data!$A:$AX,MATCH($D$1,Data!$A$1:$AX$1,),)-VLOOKUP(EDATE(B80,-12),Data!$A:$AX,MATCH($D$1,Data!$A$1:$AX$1,),))/VLOOKUP(EDATE(B80,-12),Data!$A:$AX,MATCH($D$1,Data!$A$1:$AX$1,),))</f>
        <v/>
      </c>
      <c r="E80" s="20">
        <f>IF(VLOOKUP(B80,Data!$A:$AX,MATCH($E$1,Data!$A$1:$AX$1,))=0,#N/A,(VLOOKUP(B80,Data!$A:$AX,MATCH($E$1,Data!$A$1:$AX$1,),)-VLOOKUP(EDATE(B80,-12),Data!$A:$AX,MATCH($E$1,Data!$A$1:$AX$1,),))/VLOOKUP(EDATE(B80,-12),Data!$A:$AX,MATCH($E$1,Data!$A$1:$AX$1,),))</f>
        <v/>
      </c>
      <c r="F80" s="20">
        <f>IF(VLOOKUP(B80,Data!$A:$AX,MATCH($F$1,Data!$A$1:$AX$1,))=0,#N/A,(VLOOKUP(B80,Data!$A:$AX,MATCH($F$1,Data!$A$1:$AX$1,),)-VLOOKUP(EDATE(B80,-12),Data!$A:$AX,MATCH($F$1,Data!$A$1:$AX$1,),))/VLOOKUP(EDATE(B80,-12),Data!$A:$AX,MATCH($F$1,Data!$A$1:$AX$1,),))</f>
        <v/>
      </c>
      <c r="G80" s="20">
        <f>IF(VLOOKUP(B80,Data!$A:$AX,MATCH($G$1,Data!$A$1:$AX$1,))=0,#N/A,(VLOOKUP(B80,Data!$A:$AX,MATCH($G$1,Data!$A$1:$AX$1,),)-VLOOKUP(EDATE(B80,-12),Data!$A:$AX,MATCH($G$1,Data!$A$1:$AX$1,),))/VLOOKUP(EDATE(B80,-12),Data!$A:$AX,MATCH($G$1,Data!$A$1:$AX$1,),))</f>
        <v/>
      </c>
      <c r="H80" s="20">
        <f>IF(VLOOKUP(B80,Data!$A:$AX,MATCH($H$1,Data!$A$1:$AX$1,))=0,#N/A,(VLOOKUP(B80,Data!$A:$AX,MATCH($H$1,Data!$A$1:$AX$1,),)-VLOOKUP(EDATE(B80,-12),Data!$A:$AX,MATCH($H$1,Data!$A$1:$AX$1,),))/VLOOKUP(EDATE(B80,-12),Data!$A:$AX,MATCH($H$1,Data!$A$1:$AX$1,),))</f>
        <v/>
      </c>
      <c r="I80" s="20">
        <f>IF(VLOOKUP(B80,Data!$A:$AX,MATCH($I$1,Data!$A$1:$AX$1,))=0,#N/A,(VLOOKUP(B80,Data!$A:$AX,MATCH($I$1,Data!$A$1:$AX$1,),)-VLOOKUP(EDATE(B80,-12),Data!$A:$AX,MATCH($I$1,Data!$A$1:$AX$1,),))/VLOOKUP(EDATE(B80,-12),Data!$A:$AX,MATCH($I$1,Data!$A$1:$AX$1,),))</f>
        <v/>
      </c>
      <c r="J80" s="20">
        <f>IF(VLOOKUP(B80,Data!$A:$AX,MATCH($J$1,Data!$A$1:$AX$1,))=0,#N/A,(VLOOKUP(B80,Data!$A:$AX,MATCH($J$1,Data!$A$1:$AX$1,),)-VLOOKUP(EDATE(B80,-12),Data!$A:$AX,MATCH($J$1,Data!$A$1:$AX$1,),))/VLOOKUP(EDATE(B80,-12),Data!$A:$AX,MATCH($J$1,Data!$A$1:$AX$1,),))</f>
        <v/>
      </c>
      <c r="K80" s="20">
        <f>IF(VLOOKUP(B80,Data!$A:$AX,MATCH($K$1,Data!$A$1:$AX$1,))=0,#N/A,(VLOOKUP(B80,Data!$A:$AX,MATCH($K$1,Data!$A$1:$AX$1,),)-VLOOKUP(EDATE(B80,-12),Data!$A:$AX,MATCH($K$1,Data!$A$1:$AX$1,),))/VLOOKUP(EDATE(B80,-12),Data!$A:$AX,MATCH($K$1,Data!$A$1:$AX$1,),))</f>
        <v/>
      </c>
      <c r="L80" s="20">
        <f>IF(VLOOKUP(B80,Data!$A:$AX,MATCH($L$1,Data!$A$1:$AX$1,))=0,#N/A,(VLOOKUP(B80,Data!$A:$AX,MATCH($L$1,Data!$A$1:$AX$1,),)-VLOOKUP(EDATE(B80,-12),Data!$A:$AX,MATCH($L$1,Data!$A$1:$AX$1,),))/VLOOKUP(EDATE(B80,-12),Data!$A:$AX,MATCH($L$1,Data!$A$1:$AX$1,),))</f>
        <v/>
      </c>
      <c r="M80" s="20">
        <f>IF(VLOOKUP(B80,Data!$A:$AX,MATCH($M$1,Data!$A$1:$AX$1,))=0,#N/A,(VLOOKUP(B80,Data!$A:$AX,MATCH($M$1,Data!$A$1:$AX$1,),)-VLOOKUP(EDATE(B80,-12),Data!$A:$AX,MATCH($M$1,Data!$A$1:$AX$1,),))/VLOOKUP(EDATE(B80,-12),Data!$A:$AX,MATCH($M$1,Data!$A$1:$AX$1,),))</f>
        <v/>
      </c>
      <c r="N80" s="20">
        <f>(VLOOKUP(B80,Data!$A:$AX,MATCH($N$1,Data!$A$1:$AX$1,),)-VLOOKUP(EDATE(B80,-12),Data!$A:$AX,MATCH($N$1,Data!$A$1:$AX$1,),))/VLOOKUP(EDATE(B80,-12),Data!$A:$AX,MATCH($N$1,Data!$A$1:$AX$1,),)</f>
        <v/>
      </c>
      <c r="O80" s="20">
        <f>IF(VLOOKUP(B80,Data!$A:$AX,MATCH($O$1,Data!$A$1:$AX$1,))=0,#N/A,(VLOOKUP(B80,Data!$A:$AX,MATCH($O$1,Data!$A$1:$AX$1,),)-VLOOKUP(EDATE(B80,-12),Data!$A:$AX,MATCH($O$1,Data!$A$1:$AX$1,),))/VLOOKUP(EDATE(B80,-12),Data!$A:$AX,MATCH($O$1,Data!$A$1:$AX$1,),))</f>
        <v/>
      </c>
      <c r="P80" s="20">
        <f>IF(VLOOKUP(B80,Data!$A:$AX,MATCH($P$1,Data!$A$1:$AX$1,))=0,#N/A,(VLOOKUP(B80,Data!$A:$AX,MATCH($P$1,Data!$A$1:$AX$1,),)-VLOOKUP(EDATE(B80,-12),Data!$A:$AX,MATCH($P$1,Data!$A$1:$AX$1,),))/VLOOKUP(EDATE(B80,-12),Data!$A:$AX,MATCH($P$1,Data!$A$1:$AX$1,),))</f>
        <v/>
      </c>
      <c r="Q80" s="20">
        <f>(VLOOKUP(B80,Data!$A:$AX,MATCH($Q$1,Data!$A$1:$AX$1,),)-VLOOKUP(EDATE(B80,-12),Data!$A:$AX,MATCH($Q$1,Data!$A$1:$AX$1,),))/VLOOKUP(EDATE(B80,-12),Data!$A:$AX,MATCH($Q$1,Data!$A$1:$AX$1,),)</f>
        <v/>
      </c>
      <c r="R80" s="20">
        <f>IF(VLOOKUP(B80,Data!$A:$AX,MATCH($R$1,Data!$A$1:$AX$1,))=0,#N/A,(VLOOKUP(B80,Data!$A:$AX,MATCH($R$1,Data!$A$1:$AX$1,),)-VLOOKUP(EDATE(B80,-12),Data!$A:$AX,MATCH($R$1,Data!$A$1:$AX$1,),))/VLOOKUP(EDATE(B80,-12),Data!$A:$AX,MATCH($R$1,Data!$A$1:$AX$1,),))</f>
        <v/>
      </c>
      <c r="S80" s="20">
        <f>IF(VLOOKUP(B80,Data!$A:$AX,MATCH($S$1,Data!$A$1:$AX$1,))=0,#N/A,(VLOOKUP(B80,Data!$A:$AX,MATCH($S$1,Data!$A$1:$AX$1,),)-VLOOKUP(EDATE(B80,-12),Data!$A:$AX,MATCH($S$1,Data!$A$1:$AX$1,),))/VLOOKUP(EDATE(B80,-12),Data!$A:$AX,MATCH($S$1,Data!$A$1:$AX$1,),))</f>
        <v/>
      </c>
      <c r="T80" s="20">
        <f>IF(VLOOKUP(B80,Data!$A:$AX,MATCH($T$1,Data!$A$1:$AX$1,))=0,#N/A,(VLOOKUP(B80,Data!$A:$AX,MATCH($T$1,Data!$A$1:$AX$1,),)-VLOOKUP(EDATE(B80,-12),Data!$A:$AX,MATCH($T$1,Data!$A$1:$AX$1,),))/VLOOKUP(EDATE(B80,-12),Data!$A:$AX,MATCH($T$1,Data!$A$1:$AX$1,),))</f>
        <v/>
      </c>
      <c r="U80" s="20">
        <f>IF(VLOOKUP(B80,Data!$A:$AX,MATCH($U$1,Data!$A$1:$AX$1,))=0,#N/A,(VLOOKUP(B80,Data!$A:$AX,MATCH($U$1,Data!$A$1:$AX$1,),)-VLOOKUP(EDATE(B80,-12),Data!$A:$AX,MATCH($U$1,Data!$A$1:$AX$1,),))/VLOOKUP(EDATE(B80,-12),Data!$A:$AX,MATCH($U$1,Data!$A$1:$AX$1,),))</f>
        <v/>
      </c>
      <c r="V80" s="20">
        <f>(VLOOKUP(B80,Data!$A:$AX,MATCH($V$1,Data!$A$1:$AX$1,),)-VLOOKUP(EDATE(B80,-12),Data!$A:$AX,MATCH($V$1,Data!$A$1:$AX$1,),))/VLOOKUP(EDATE(B80,-12),Data!$A:$AX,MATCH($V$1,Data!$A$1:$AX$1,),)</f>
        <v/>
      </c>
      <c r="W80" s="20">
        <f>IF(VLOOKUP(B80,Data!$A:$AX,MATCH($W$1,Data!$A$1:$AX$1,))=0,#N/A,(VLOOKUP(B80,Data!$A:$AX,MATCH($W$1,Data!$A$1:$AX$1,),)-VLOOKUP(EDATE(B80,-12),Data!$A:$AX,MATCH($W$1,Data!$A$1:$AX$1,),))/VLOOKUP(EDATE(B80,-12),Data!$A:$AX,MATCH($W$1,Data!$A$1:$AX$1,),))</f>
        <v/>
      </c>
      <c r="X80" s="20">
        <f>IF(VLOOKUP(B80,Data!$A:$AX,MATCH($X$1,Data!$A$1:$AX$1,))=0,#N/A,(VLOOKUP(B80,Data!$A:$AX,MATCH($X$1,Data!$A$1:$AX$1,),)-VLOOKUP(EDATE(B80,-12),Data!$A:$AX,MATCH($X$1,Data!$A$1:$AX$1,),))/VLOOKUP(EDATE(B80,-12),Data!$A:$AX,MATCH($X$1,Data!$A$1:$AX$1,),))</f>
        <v/>
      </c>
      <c r="Y80" s="20">
        <f>IF(VLOOKUP(B80,Data!$A:$AX,MATCH($Y$1,Data!$A$1:$AX$1,))=0,#N/A,(VLOOKUP(B80,Data!$A:$AX,MATCH($Y$1,Data!$A$1:$AX$1,),)-VLOOKUP(EDATE(B80,-12),Data!$A:$AX,MATCH($Y$1,Data!$A$1:$AX$1,),))/VLOOKUP(EDATE(B80,-12),Data!$A:$AX,MATCH($Y$1,Data!$A$1:$AX$1,),))</f>
        <v/>
      </c>
      <c r="Z80" s="20">
        <f>(VLOOKUP(B80,Data!$A:$AX,MATCH($Z$1,Data!$A$1:$AX$1,),)-VLOOKUP(EDATE(B80,-12),Data!$A:$AX,MATCH($Z$1,Data!$A$1:$AX$1,),))/VLOOKUP(EDATE(B80,-12),Data!$A:$AX,MATCH($Z$1,Data!$A$1:$AX$1,),)</f>
        <v/>
      </c>
      <c r="AA80" s="20">
        <f>(VLOOKUP(B80,Data!$A:$AX,MATCH($AA$1,Data!$A$1:$AX$1,),)-VLOOKUP(EDATE(B80,-12),Data!$A:$AX,MATCH($AA$1,Data!$A$1:$AX$1,),))/VLOOKUP(EDATE(B80,-12),Data!$A:$AX,MATCH($AA$1,Data!$A$1:$AX$1,),)</f>
        <v/>
      </c>
      <c r="AB80" s="19" t="n"/>
    </row>
    <row r="81">
      <c r="B81" s="15" t="n">
        <v>42675</v>
      </c>
      <c r="C81" s="20">
        <f>IF(VLOOKUP(B81,Data!$A:$AX,MATCH($C$1,Data!$A$1:$AX$1,))=0,#N/A,(VLOOKUP(B81,Data!$A:$AX,MATCH($C$1,Data!$A$1:$AX$1,),)-VLOOKUP(EDATE(B81,-12),Data!$A:$AX,MATCH($C$1,Data!$A$1:$AX$1,),))/VLOOKUP(EDATE(B81,-12),Data!$A:$AX,MATCH($C$1,Data!$A$1:$AX$1,),))</f>
        <v/>
      </c>
      <c r="D81" s="20">
        <f>IF(VLOOKUP(B81,Data!$A:$AX,MATCH($D$1,Data!$A$1:$AX$1,))=0,#N/A,(VLOOKUP(B81,Data!$A:$AX,MATCH($D$1,Data!$A$1:$AX$1,),)-VLOOKUP(EDATE(B81,-12),Data!$A:$AX,MATCH($D$1,Data!$A$1:$AX$1,),))/VLOOKUP(EDATE(B81,-12),Data!$A:$AX,MATCH($D$1,Data!$A$1:$AX$1,),))</f>
        <v/>
      </c>
      <c r="E81" s="20">
        <f>IF(VLOOKUP(B81,Data!$A:$AX,MATCH($E$1,Data!$A$1:$AX$1,))=0,#N/A,(VLOOKUP(B81,Data!$A:$AX,MATCH($E$1,Data!$A$1:$AX$1,),)-VLOOKUP(EDATE(B81,-12),Data!$A:$AX,MATCH($E$1,Data!$A$1:$AX$1,),))/VLOOKUP(EDATE(B81,-12),Data!$A:$AX,MATCH($E$1,Data!$A$1:$AX$1,),))</f>
        <v/>
      </c>
      <c r="F81" s="20">
        <f>IF(VLOOKUP(B81,Data!$A:$AX,MATCH($F$1,Data!$A$1:$AX$1,))=0,#N/A,(VLOOKUP(B81,Data!$A:$AX,MATCH($F$1,Data!$A$1:$AX$1,),)-VLOOKUP(EDATE(B81,-12),Data!$A:$AX,MATCH($F$1,Data!$A$1:$AX$1,),))/VLOOKUP(EDATE(B81,-12),Data!$A:$AX,MATCH($F$1,Data!$A$1:$AX$1,),))</f>
        <v/>
      </c>
      <c r="G81" s="20">
        <f>IF(VLOOKUP(B81,Data!$A:$AX,MATCH($G$1,Data!$A$1:$AX$1,))=0,#N/A,(VLOOKUP(B81,Data!$A:$AX,MATCH($G$1,Data!$A$1:$AX$1,),)-VLOOKUP(EDATE(B81,-12),Data!$A:$AX,MATCH($G$1,Data!$A$1:$AX$1,),))/VLOOKUP(EDATE(B81,-12),Data!$A:$AX,MATCH($G$1,Data!$A$1:$AX$1,),))</f>
        <v/>
      </c>
      <c r="H81" s="20">
        <f>IF(VLOOKUP(B81,Data!$A:$AX,MATCH($H$1,Data!$A$1:$AX$1,))=0,#N/A,(VLOOKUP(B81,Data!$A:$AX,MATCH($H$1,Data!$A$1:$AX$1,),)-VLOOKUP(EDATE(B81,-12),Data!$A:$AX,MATCH($H$1,Data!$A$1:$AX$1,),))/VLOOKUP(EDATE(B81,-12),Data!$A:$AX,MATCH($H$1,Data!$A$1:$AX$1,),))</f>
        <v/>
      </c>
      <c r="I81" s="20">
        <f>IF(VLOOKUP(B81,Data!$A:$AX,MATCH($I$1,Data!$A$1:$AX$1,))=0,#N/A,(VLOOKUP(B81,Data!$A:$AX,MATCH($I$1,Data!$A$1:$AX$1,),)-VLOOKUP(EDATE(B81,-12),Data!$A:$AX,MATCH($I$1,Data!$A$1:$AX$1,),))/VLOOKUP(EDATE(B81,-12),Data!$A:$AX,MATCH($I$1,Data!$A$1:$AX$1,),))</f>
        <v/>
      </c>
      <c r="J81" s="20">
        <f>IF(VLOOKUP(B81,Data!$A:$AX,MATCH($J$1,Data!$A$1:$AX$1,))=0,#N/A,(VLOOKUP(B81,Data!$A:$AX,MATCH($J$1,Data!$A$1:$AX$1,),)-VLOOKUP(EDATE(B81,-12),Data!$A:$AX,MATCH($J$1,Data!$A$1:$AX$1,),))/VLOOKUP(EDATE(B81,-12),Data!$A:$AX,MATCH($J$1,Data!$A$1:$AX$1,),))</f>
        <v/>
      </c>
      <c r="K81" s="20">
        <f>IF(VLOOKUP(B81,Data!$A:$AX,MATCH($K$1,Data!$A$1:$AX$1,))=0,#N/A,(VLOOKUP(B81,Data!$A:$AX,MATCH($K$1,Data!$A$1:$AX$1,),)-VLOOKUP(EDATE(B81,-12),Data!$A:$AX,MATCH($K$1,Data!$A$1:$AX$1,),))/VLOOKUP(EDATE(B81,-12),Data!$A:$AX,MATCH($K$1,Data!$A$1:$AX$1,),))</f>
        <v/>
      </c>
      <c r="L81" s="20">
        <f>IF(VLOOKUP(B81,Data!$A:$AX,MATCH($L$1,Data!$A$1:$AX$1,))=0,#N/A,(VLOOKUP(B81,Data!$A:$AX,MATCH($L$1,Data!$A$1:$AX$1,),)-VLOOKUP(EDATE(B81,-12),Data!$A:$AX,MATCH($L$1,Data!$A$1:$AX$1,),))/VLOOKUP(EDATE(B81,-12),Data!$A:$AX,MATCH($L$1,Data!$A$1:$AX$1,),))</f>
        <v/>
      </c>
      <c r="M81" s="20">
        <f>IF(VLOOKUP(B81,Data!$A:$AX,MATCH($M$1,Data!$A$1:$AX$1,))=0,#N/A,(VLOOKUP(B81,Data!$A:$AX,MATCH($M$1,Data!$A$1:$AX$1,),)-VLOOKUP(EDATE(B81,-12),Data!$A:$AX,MATCH($M$1,Data!$A$1:$AX$1,),))/VLOOKUP(EDATE(B81,-12),Data!$A:$AX,MATCH($M$1,Data!$A$1:$AX$1,),))</f>
        <v/>
      </c>
      <c r="N81" s="20">
        <f>(VLOOKUP(B81,Data!$A:$AX,MATCH($N$1,Data!$A$1:$AX$1,),)-VLOOKUP(EDATE(B81,-12),Data!$A:$AX,MATCH($N$1,Data!$A$1:$AX$1,),))/VLOOKUP(EDATE(B81,-12),Data!$A:$AX,MATCH($N$1,Data!$A$1:$AX$1,),)</f>
        <v/>
      </c>
      <c r="O81" s="20">
        <f>IF(VLOOKUP(B81,Data!$A:$AX,MATCH($O$1,Data!$A$1:$AX$1,))=0,#N/A,(VLOOKUP(B81,Data!$A:$AX,MATCH($O$1,Data!$A$1:$AX$1,),)-VLOOKUP(EDATE(B81,-12),Data!$A:$AX,MATCH($O$1,Data!$A$1:$AX$1,),))/VLOOKUP(EDATE(B81,-12),Data!$A:$AX,MATCH($O$1,Data!$A$1:$AX$1,),))</f>
        <v/>
      </c>
      <c r="P81" s="20">
        <f>IF(VLOOKUP(B81,Data!$A:$AX,MATCH($P$1,Data!$A$1:$AX$1,))=0,#N/A,(VLOOKUP(B81,Data!$A:$AX,MATCH($P$1,Data!$A$1:$AX$1,),)-VLOOKUP(EDATE(B81,-12),Data!$A:$AX,MATCH($P$1,Data!$A$1:$AX$1,),))/VLOOKUP(EDATE(B81,-12),Data!$A:$AX,MATCH($P$1,Data!$A$1:$AX$1,),))</f>
        <v/>
      </c>
      <c r="Q81" s="20">
        <f>(VLOOKUP(B81,Data!$A:$AX,MATCH($Q$1,Data!$A$1:$AX$1,),)-VLOOKUP(EDATE(B81,-12),Data!$A:$AX,MATCH($Q$1,Data!$A$1:$AX$1,),))/VLOOKUP(EDATE(B81,-12),Data!$A:$AX,MATCH($Q$1,Data!$A$1:$AX$1,),)</f>
        <v/>
      </c>
      <c r="R81" s="20">
        <f>IF(VLOOKUP(B81,Data!$A:$AX,MATCH($R$1,Data!$A$1:$AX$1,))=0,#N/A,(VLOOKUP(B81,Data!$A:$AX,MATCH($R$1,Data!$A$1:$AX$1,),)-VLOOKUP(EDATE(B81,-12),Data!$A:$AX,MATCH($R$1,Data!$A$1:$AX$1,),))/VLOOKUP(EDATE(B81,-12),Data!$A:$AX,MATCH($R$1,Data!$A$1:$AX$1,),))</f>
        <v/>
      </c>
      <c r="S81" s="20">
        <f>IF(VLOOKUP(B81,Data!$A:$AX,MATCH($S$1,Data!$A$1:$AX$1,))=0,#N/A,(VLOOKUP(B81,Data!$A:$AX,MATCH($S$1,Data!$A$1:$AX$1,),)-VLOOKUP(EDATE(B81,-12),Data!$A:$AX,MATCH($S$1,Data!$A$1:$AX$1,),))/VLOOKUP(EDATE(B81,-12),Data!$A:$AX,MATCH($S$1,Data!$A$1:$AX$1,),))</f>
        <v/>
      </c>
      <c r="T81" s="20">
        <f>IF(VLOOKUP(B81,Data!$A:$AX,MATCH($T$1,Data!$A$1:$AX$1,))=0,#N/A,(VLOOKUP(B81,Data!$A:$AX,MATCH($T$1,Data!$A$1:$AX$1,),)-VLOOKUP(EDATE(B81,-12),Data!$A:$AX,MATCH($T$1,Data!$A$1:$AX$1,),))/VLOOKUP(EDATE(B81,-12),Data!$A:$AX,MATCH($T$1,Data!$A$1:$AX$1,),))</f>
        <v/>
      </c>
      <c r="U81" s="20">
        <f>IF(VLOOKUP(B81,Data!$A:$AX,MATCH($U$1,Data!$A$1:$AX$1,))=0,#N/A,(VLOOKUP(B81,Data!$A:$AX,MATCH($U$1,Data!$A$1:$AX$1,),)-VLOOKUP(EDATE(B81,-12),Data!$A:$AX,MATCH($U$1,Data!$A$1:$AX$1,),))/VLOOKUP(EDATE(B81,-12),Data!$A:$AX,MATCH($U$1,Data!$A$1:$AX$1,),))</f>
        <v/>
      </c>
      <c r="V81" s="20">
        <f>(VLOOKUP(B81,Data!$A:$AX,MATCH($V$1,Data!$A$1:$AX$1,),)-VLOOKUP(EDATE(B81,-12),Data!$A:$AX,MATCH($V$1,Data!$A$1:$AX$1,),))/VLOOKUP(EDATE(B81,-12),Data!$A:$AX,MATCH($V$1,Data!$A$1:$AX$1,),)</f>
        <v/>
      </c>
      <c r="W81" s="20">
        <f>IF(VLOOKUP(B81,Data!$A:$AX,MATCH($W$1,Data!$A$1:$AX$1,))=0,#N/A,(VLOOKUP(B81,Data!$A:$AX,MATCH($W$1,Data!$A$1:$AX$1,),)-VLOOKUP(EDATE(B81,-12),Data!$A:$AX,MATCH($W$1,Data!$A$1:$AX$1,),))/VLOOKUP(EDATE(B81,-12),Data!$A:$AX,MATCH($W$1,Data!$A$1:$AX$1,),))</f>
        <v/>
      </c>
      <c r="X81" s="20">
        <f>IF(VLOOKUP(B81,Data!$A:$AX,MATCH($X$1,Data!$A$1:$AX$1,))=0,#N/A,(VLOOKUP(B81,Data!$A:$AX,MATCH($X$1,Data!$A$1:$AX$1,),)-VLOOKUP(EDATE(B81,-12),Data!$A:$AX,MATCH($X$1,Data!$A$1:$AX$1,),))/VLOOKUP(EDATE(B81,-12),Data!$A:$AX,MATCH($X$1,Data!$A$1:$AX$1,),))</f>
        <v/>
      </c>
      <c r="Y81" s="20">
        <f>IF(VLOOKUP(B81,Data!$A:$AX,MATCH($Y$1,Data!$A$1:$AX$1,))=0,#N/A,(VLOOKUP(B81,Data!$A:$AX,MATCH($Y$1,Data!$A$1:$AX$1,),)-VLOOKUP(EDATE(B81,-12),Data!$A:$AX,MATCH($Y$1,Data!$A$1:$AX$1,),))/VLOOKUP(EDATE(B81,-12),Data!$A:$AX,MATCH($Y$1,Data!$A$1:$AX$1,),))</f>
        <v/>
      </c>
      <c r="Z81" s="20">
        <f>(VLOOKUP(B81,Data!$A:$AX,MATCH($Z$1,Data!$A$1:$AX$1,),)-VLOOKUP(EDATE(B81,-12),Data!$A:$AX,MATCH($Z$1,Data!$A$1:$AX$1,),))/VLOOKUP(EDATE(B81,-12),Data!$A:$AX,MATCH($Z$1,Data!$A$1:$AX$1,),)</f>
        <v/>
      </c>
      <c r="AA81" s="20">
        <f>(VLOOKUP(B81,Data!$A:$AX,MATCH($AA$1,Data!$A$1:$AX$1,),)-VLOOKUP(EDATE(B81,-12),Data!$A:$AX,MATCH($AA$1,Data!$A$1:$AX$1,),))/VLOOKUP(EDATE(B81,-12),Data!$A:$AX,MATCH($AA$1,Data!$A$1:$AX$1,),)</f>
        <v/>
      </c>
      <c r="AB81" s="19" t="n"/>
    </row>
    <row r="82">
      <c r="B82" s="15" t="n">
        <v>42705</v>
      </c>
      <c r="C82" s="20">
        <f>IF(VLOOKUP(B82,Data!$A:$AX,MATCH($C$1,Data!$A$1:$AX$1,))=0,#N/A,(VLOOKUP(B82,Data!$A:$AX,MATCH($C$1,Data!$A$1:$AX$1,),)-VLOOKUP(EDATE(B82,-12),Data!$A:$AX,MATCH($C$1,Data!$A$1:$AX$1,),))/VLOOKUP(EDATE(B82,-12),Data!$A:$AX,MATCH($C$1,Data!$A$1:$AX$1,),))</f>
        <v/>
      </c>
      <c r="D82" s="20">
        <f>IF(VLOOKUP(B82,Data!$A:$AX,MATCH($D$1,Data!$A$1:$AX$1,))=0,#N/A,(VLOOKUP(B82,Data!$A:$AX,MATCH($D$1,Data!$A$1:$AX$1,),)-VLOOKUP(EDATE(B82,-12),Data!$A:$AX,MATCH($D$1,Data!$A$1:$AX$1,),))/VLOOKUP(EDATE(B82,-12),Data!$A:$AX,MATCH($D$1,Data!$A$1:$AX$1,),))</f>
        <v/>
      </c>
      <c r="E82" s="20">
        <f>IF(VLOOKUP(B82,Data!$A:$AX,MATCH($E$1,Data!$A$1:$AX$1,))=0,#N/A,(VLOOKUP(B82,Data!$A:$AX,MATCH($E$1,Data!$A$1:$AX$1,),)-VLOOKUP(EDATE(B82,-12),Data!$A:$AX,MATCH($E$1,Data!$A$1:$AX$1,),))/VLOOKUP(EDATE(B82,-12),Data!$A:$AX,MATCH($E$1,Data!$A$1:$AX$1,),))</f>
        <v/>
      </c>
      <c r="F82" s="20">
        <f>IF(VLOOKUP(B82,Data!$A:$AX,MATCH($F$1,Data!$A$1:$AX$1,))=0,#N/A,(VLOOKUP(B82,Data!$A:$AX,MATCH($F$1,Data!$A$1:$AX$1,),)-VLOOKUP(EDATE(B82,-12),Data!$A:$AX,MATCH($F$1,Data!$A$1:$AX$1,),))/VLOOKUP(EDATE(B82,-12),Data!$A:$AX,MATCH($F$1,Data!$A$1:$AX$1,),))</f>
        <v/>
      </c>
      <c r="G82" s="20">
        <f>IF(VLOOKUP(B82,Data!$A:$AX,MATCH($G$1,Data!$A$1:$AX$1,))=0,#N/A,(VLOOKUP(B82,Data!$A:$AX,MATCH($G$1,Data!$A$1:$AX$1,),)-VLOOKUP(EDATE(B82,-12),Data!$A:$AX,MATCH($G$1,Data!$A$1:$AX$1,),))/VLOOKUP(EDATE(B82,-12),Data!$A:$AX,MATCH($G$1,Data!$A$1:$AX$1,),))</f>
        <v/>
      </c>
      <c r="H82" s="20">
        <f>IF(VLOOKUP(B82,Data!$A:$AX,MATCH($H$1,Data!$A$1:$AX$1,))=0,#N/A,(VLOOKUP(B82,Data!$A:$AX,MATCH($H$1,Data!$A$1:$AX$1,),)-VLOOKUP(EDATE(B82,-12),Data!$A:$AX,MATCH($H$1,Data!$A$1:$AX$1,),))/VLOOKUP(EDATE(B82,-12),Data!$A:$AX,MATCH($H$1,Data!$A$1:$AX$1,),))</f>
        <v/>
      </c>
      <c r="I82" s="20">
        <f>IF(VLOOKUP(B82,Data!$A:$AX,MATCH($I$1,Data!$A$1:$AX$1,))=0,#N/A,(VLOOKUP(B82,Data!$A:$AX,MATCH($I$1,Data!$A$1:$AX$1,),)-VLOOKUP(EDATE(B82,-12),Data!$A:$AX,MATCH($I$1,Data!$A$1:$AX$1,),))/VLOOKUP(EDATE(B82,-12),Data!$A:$AX,MATCH($I$1,Data!$A$1:$AX$1,),))</f>
        <v/>
      </c>
      <c r="J82" s="20">
        <f>IF(VLOOKUP(B82,Data!$A:$AX,MATCH($J$1,Data!$A$1:$AX$1,))=0,#N/A,(VLOOKUP(B82,Data!$A:$AX,MATCH($J$1,Data!$A$1:$AX$1,),)-VLOOKUP(EDATE(B82,-12),Data!$A:$AX,MATCH($J$1,Data!$A$1:$AX$1,),))/VLOOKUP(EDATE(B82,-12),Data!$A:$AX,MATCH($J$1,Data!$A$1:$AX$1,),))</f>
        <v/>
      </c>
      <c r="K82" s="20">
        <f>IF(VLOOKUP(B82,Data!$A:$AX,MATCH($K$1,Data!$A$1:$AX$1,))=0,#N/A,(VLOOKUP(B82,Data!$A:$AX,MATCH($K$1,Data!$A$1:$AX$1,),)-VLOOKUP(EDATE(B82,-12),Data!$A:$AX,MATCH($K$1,Data!$A$1:$AX$1,),))/VLOOKUP(EDATE(B82,-12),Data!$A:$AX,MATCH($K$1,Data!$A$1:$AX$1,),))</f>
        <v/>
      </c>
      <c r="L82" s="20">
        <f>IF(VLOOKUP(B82,Data!$A:$AX,MATCH($L$1,Data!$A$1:$AX$1,))=0,#N/A,(VLOOKUP(B82,Data!$A:$AX,MATCH($L$1,Data!$A$1:$AX$1,),)-VLOOKUP(EDATE(B82,-12),Data!$A:$AX,MATCH($L$1,Data!$A$1:$AX$1,),))/VLOOKUP(EDATE(B82,-12),Data!$A:$AX,MATCH($L$1,Data!$A$1:$AX$1,),))</f>
        <v/>
      </c>
      <c r="M82" s="20">
        <f>IF(VLOOKUP(B82,Data!$A:$AX,MATCH($M$1,Data!$A$1:$AX$1,))=0,#N/A,(VLOOKUP(B82,Data!$A:$AX,MATCH($M$1,Data!$A$1:$AX$1,),)-VLOOKUP(EDATE(B82,-12),Data!$A:$AX,MATCH($M$1,Data!$A$1:$AX$1,),))/VLOOKUP(EDATE(B82,-12),Data!$A:$AX,MATCH($M$1,Data!$A$1:$AX$1,),))</f>
        <v/>
      </c>
      <c r="N82" s="20">
        <f>(VLOOKUP(B82,Data!$A:$AX,MATCH($N$1,Data!$A$1:$AX$1,),)-VLOOKUP(EDATE(B82,-12),Data!$A:$AX,MATCH($N$1,Data!$A$1:$AX$1,),))/VLOOKUP(EDATE(B82,-12),Data!$A:$AX,MATCH($N$1,Data!$A$1:$AX$1,),)</f>
        <v/>
      </c>
      <c r="O82" s="20">
        <f>IF(VLOOKUP(B82,Data!$A:$AX,MATCH($O$1,Data!$A$1:$AX$1,))=0,#N/A,(VLOOKUP(B82,Data!$A:$AX,MATCH($O$1,Data!$A$1:$AX$1,),)-VLOOKUP(EDATE(B82,-12),Data!$A:$AX,MATCH($O$1,Data!$A$1:$AX$1,),))/VLOOKUP(EDATE(B82,-12),Data!$A:$AX,MATCH($O$1,Data!$A$1:$AX$1,),))</f>
        <v/>
      </c>
      <c r="P82" s="20">
        <f>IF(VLOOKUP(B82,Data!$A:$AX,MATCH($P$1,Data!$A$1:$AX$1,))=0,#N/A,(VLOOKUP(B82,Data!$A:$AX,MATCH($P$1,Data!$A$1:$AX$1,),)-VLOOKUP(EDATE(B82,-12),Data!$A:$AX,MATCH($P$1,Data!$A$1:$AX$1,),))/VLOOKUP(EDATE(B82,-12),Data!$A:$AX,MATCH($P$1,Data!$A$1:$AX$1,),))</f>
        <v/>
      </c>
      <c r="Q82" s="20">
        <f>(VLOOKUP(B82,Data!$A:$AX,MATCH($Q$1,Data!$A$1:$AX$1,),)-VLOOKUP(EDATE(B82,-12),Data!$A:$AX,MATCH($Q$1,Data!$A$1:$AX$1,),))/VLOOKUP(EDATE(B82,-12),Data!$A:$AX,MATCH($Q$1,Data!$A$1:$AX$1,),)</f>
        <v/>
      </c>
      <c r="R82" s="20">
        <f>IF(VLOOKUP(B82,Data!$A:$AX,MATCH($R$1,Data!$A$1:$AX$1,))=0,#N/A,(VLOOKUP(B82,Data!$A:$AX,MATCH($R$1,Data!$A$1:$AX$1,),)-VLOOKUP(EDATE(B82,-12),Data!$A:$AX,MATCH($R$1,Data!$A$1:$AX$1,),))/VLOOKUP(EDATE(B82,-12),Data!$A:$AX,MATCH($R$1,Data!$A$1:$AX$1,),))</f>
        <v/>
      </c>
      <c r="S82" s="20">
        <f>IF(VLOOKUP(B82,Data!$A:$AX,MATCH($S$1,Data!$A$1:$AX$1,))=0,#N/A,(VLOOKUP(B82,Data!$A:$AX,MATCH($S$1,Data!$A$1:$AX$1,),)-VLOOKUP(EDATE(B82,-12),Data!$A:$AX,MATCH($S$1,Data!$A$1:$AX$1,),))/VLOOKUP(EDATE(B82,-12),Data!$A:$AX,MATCH($S$1,Data!$A$1:$AX$1,),))</f>
        <v/>
      </c>
      <c r="T82" s="20">
        <f>IF(VLOOKUP(B82,Data!$A:$AX,MATCH($T$1,Data!$A$1:$AX$1,))=0,#N/A,(VLOOKUP(B82,Data!$A:$AX,MATCH($T$1,Data!$A$1:$AX$1,),)-VLOOKUP(EDATE(B82,-12),Data!$A:$AX,MATCH($T$1,Data!$A$1:$AX$1,),))/VLOOKUP(EDATE(B82,-12),Data!$A:$AX,MATCH($T$1,Data!$A$1:$AX$1,),))</f>
        <v/>
      </c>
      <c r="U82" s="20">
        <f>IF(VLOOKUP(B82,Data!$A:$AX,MATCH($U$1,Data!$A$1:$AX$1,))=0,#N/A,(VLOOKUP(B82,Data!$A:$AX,MATCH($U$1,Data!$A$1:$AX$1,),)-VLOOKUP(EDATE(B82,-12),Data!$A:$AX,MATCH($U$1,Data!$A$1:$AX$1,),))/VLOOKUP(EDATE(B82,-12),Data!$A:$AX,MATCH($U$1,Data!$A$1:$AX$1,),))</f>
        <v/>
      </c>
      <c r="V82" s="20">
        <f>(VLOOKUP(B82,Data!$A:$AX,MATCH($V$1,Data!$A$1:$AX$1,),)-VLOOKUP(EDATE(B82,-12),Data!$A:$AX,MATCH($V$1,Data!$A$1:$AX$1,),))/VLOOKUP(EDATE(B82,-12),Data!$A:$AX,MATCH($V$1,Data!$A$1:$AX$1,),)</f>
        <v/>
      </c>
      <c r="W82" s="20">
        <f>IF(VLOOKUP(B82,Data!$A:$AX,MATCH($W$1,Data!$A$1:$AX$1,))=0,#N/A,(VLOOKUP(B82,Data!$A:$AX,MATCH($W$1,Data!$A$1:$AX$1,),)-VLOOKUP(EDATE(B82,-12),Data!$A:$AX,MATCH($W$1,Data!$A$1:$AX$1,),))/VLOOKUP(EDATE(B82,-12),Data!$A:$AX,MATCH($W$1,Data!$A$1:$AX$1,),))</f>
        <v/>
      </c>
      <c r="X82" s="20">
        <f>IF(VLOOKUP(B82,Data!$A:$AX,MATCH($X$1,Data!$A$1:$AX$1,))=0,#N/A,(VLOOKUP(B82,Data!$A:$AX,MATCH($X$1,Data!$A$1:$AX$1,),)-VLOOKUP(EDATE(B82,-12),Data!$A:$AX,MATCH($X$1,Data!$A$1:$AX$1,),))/VLOOKUP(EDATE(B82,-12),Data!$A:$AX,MATCH($X$1,Data!$A$1:$AX$1,),))</f>
        <v/>
      </c>
      <c r="Y82" s="20">
        <f>IF(VLOOKUP(B82,Data!$A:$AX,MATCH($Y$1,Data!$A$1:$AX$1,))=0,#N/A,(VLOOKUP(B82,Data!$A:$AX,MATCH($Y$1,Data!$A$1:$AX$1,),)-VLOOKUP(EDATE(B82,-12),Data!$A:$AX,MATCH($Y$1,Data!$A$1:$AX$1,),))/VLOOKUP(EDATE(B82,-12),Data!$A:$AX,MATCH($Y$1,Data!$A$1:$AX$1,),))</f>
        <v/>
      </c>
      <c r="Z82" s="20">
        <f>(VLOOKUP(B82,Data!$A:$AX,MATCH($Z$1,Data!$A$1:$AX$1,),)-VLOOKUP(EDATE(B82,-12),Data!$A:$AX,MATCH($Z$1,Data!$A$1:$AX$1,),))/VLOOKUP(EDATE(B82,-12),Data!$A:$AX,MATCH($Z$1,Data!$A$1:$AX$1,),)</f>
        <v/>
      </c>
      <c r="AA82" s="20">
        <f>(VLOOKUP(B82,Data!$A:$AX,MATCH($AA$1,Data!$A$1:$AX$1,),)-VLOOKUP(EDATE(B82,-12),Data!$A:$AX,MATCH($AA$1,Data!$A$1:$AX$1,),))/VLOOKUP(EDATE(B82,-12),Data!$A:$AX,MATCH($AA$1,Data!$A$1:$AX$1,),)</f>
        <v/>
      </c>
      <c r="AB82" s="19" t="n"/>
    </row>
    <row r="83">
      <c r="B83" s="15" t="n">
        <v>42736</v>
      </c>
      <c r="C83" s="20">
        <f>IF(VLOOKUP(B83,Data!$A:$AX,MATCH($C$1,Data!$A$1:$AX$1,))=0,#N/A,(VLOOKUP(B83,Data!$A:$AX,MATCH($C$1,Data!$A$1:$AX$1,),)-VLOOKUP(EDATE(B83,-12),Data!$A:$AX,MATCH($C$1,Data!$A$1:$AX$1,),))/VLOOKUP(EDATE(B83,-12),Data!$A:$AX,MATCH($C$1,Data!$A$1:$AX$1,),))</f>
        <v/>
      </c>
      <c r="D83" s="20">
        <f>IF(VLOOKUP(B83,Data!$A:$AX,MATCH($D$1,Data!$A$1:$AX$1,))=0,#N/A,(VLOOKUP(B83,Data!$A:$AX,MATCH($D$1,Data!$A$1:$AX$1,),)-VLOOKUP(EDATE(B83,-12),Data!$A:$AX,MATCH($D$1,Data!$A$1:$AX$1,),))/VLOOKUP(EDATE(B83,-12),Data!$A:$AX,MATCH($D$1,Data!$A$1:$AX$1,),))</f>
        <v/>
      </c>
      <c r="E83" s="20">
        <f>IF(VLOOKUP(B83,Data!$A:$AX,MATCH($E$1,Data!$A$1:$AX$1,))=0,#N/A,(VLOOKUP(B83,Data!$A:$AX,MATCH($E$1,Data!$A$1:$AX$1,),)-VLOOKUP(EDATE(B83,-12),Data!$A:$AX,MATCH($E$1,Data!$A$1:$AX$1,),))/VLOOKUP(EDATE(B83,-12),Data!$A:$AX,MATCH($E$1,Data!$A$1:$AX$1,),))</f>
        <v/>
      </c>
      <c r="F83" s="20">
        <f>IF(VLOOKUP(B83,Data!$A:$AX,MATCH($F$1,Data!$A$1:$AX$1,))=0,#N/A,(VLOOKUP(B83,Data!$A:$AX,MATCH($F$1,Data!$A$1:$AX$1,),)-VLOOKUP(EDATE(B83,-12),Data!$A:$AX,MATCH($F$1,Data!$A$1:$AX$1,),))/VLOOKUP(EDATE(B83,-12),Data!$A:$AX,MATCH($F$1,Data!$A$1:$AX$1,),))</f>
        <v/>
      </c>
      <c r="G83" s="20">
        <f>IF(VLOOKUP(B83,Data!$A:$AX,MATCH($G$1,Data!$A$1:$AX$1,))=0,#N/A,(VLOOKUP(B83,Data!$A:$AX,MATCH($G$1,Data!$A$1:$AX$1,),)-VLOOKUP(EDATE(B83,-12),Data!$A:$AX,MATCH($G$1,Data!$A$1:$AX$1,),))/VLOOKUP(EDATE(B83,-12),Data!$A:$AX,MATCH($G$1,Data!$A$1:$AX$1,),))</f>
        <v/>
      </c>
      <c r="H83" s="20">
        <f>IF(VLOOKUP(B83,Data!$A:$AX,MATCH($H$1,Data!$A$1:$AX$1,))=0,#N/A,(VLOOKUP(B83,Data!$A:$AX,MATCH($H$1,Data!$A$1:$AX$1,),)-VLOOKUP(EDATE(B83,-12),Data!$A:$AX,MATCH($H$1,Data!$A$1:$AX$1,),))/VLOOKUP(EDATE(B83,-12),Data!$A:$AX,MATCH($H$1,Data!$A$1:$AX$1,),))</f>
        <v/>
      </c>
      <c r="I83" s="20">
        <f>IF(VLOOKUP(B83,Data!$A:$AX,MATCH($I$1,Data!$A$1:$AX$1,))=0,#N/A,(VLOOKUP(B83,Data!$A:$AX,MATCH($I$1,Data!$A$1:$AX$1,),)-VLOOKUP(EDATE(B83,-12),Data!$A:$AX,MATCH($I$1,Data!$A$1:$AX$1,),))/VLOOKUP(EDATE(B83,-12),Data!$A:$AX,MATCH($I$1,Data!$A$1:$AX$1,),))</f>
        <v/>
      </c>
      <c r="J83" s="20">
        <f>IF(VLOOKUP(B83,Data!$A:$AX,MATCH($J$1,Data!$A$1:$AX$1,))=0,#N/A,(VLOOKUP(B83,Data!$A:$AX,MATCH($J$1,Data!$A$1:$AX$1,),)-VLOOKUP(EDATE(B83,-12),Data!$A:$AX,MATCH($J$1,Data!$A$1:$AX$1,),))/VLOOKUP(EDATE(B83,-12),Data!$A:$AX,MATCH($J$1,Data!$A$1:$AX$1,),))</f>
        <v/>
      </c>
      <c r="K83" s="20">
        <f>IF(VLOOKUP(B83,Data!$A:$AX,MATCH($K$1,Data!$A$1:$AX$1,))=0,#N/A,(VLOOKUP(B83,Data!$A:$AX,MATCH($K$1,Data!$A$1:$AX$1,),)-VLOOKUP(EDATE(B83,-12),Data!$A:$AX,MATCH($K$1,Data!$A$1:$AX$1,),))/VLOOKUP(EDATE(B83,-12),Data!$A:$AX,MATCH($K$1,Data!$A$1:$AX$1,),))</f>
        <v/>
      </c>
      <c r="L83" s="20">
        <f>IF(VLOOKUP(B83,Data!$A:$AX,MATCH($L$1,Data!$A$1:$AX$1,))=0,#N/A,(VLOOKUP(B83,Data!$A:$AX,MATCH($L$1,Data!$A$1:$AX$1,),)-VLOOKUP(EDATE(B83,-12),Data!$A:$AX,MATCH($L$1,Data!$A$1:$AX$1,),))/VLOOKUP(EDATE(B83,-12),Data!$A:$AX,MATCH($L$1,Data!$A$1:$AX$1,),))</f>
        <v/>
      </c>
      <c r="M83" s="20">
        <f>IF(VLOOKUP(B83,Data!$A:$AX,MATCH($M$1,Data!$A$1:$AX$1,))=0,#N/A,(VLOOKUP(B83,Data!$A:$AX,MATCH($M$1,Data!$A$1:$AX$1,),)-VLOOKUP(EDATE(B83,-12),Data!$A:$AX,MATCH($M$1,Data!$A$1:$AX$1,),))/VLOOKUP(EDATE(B83,-12),Data!$A:$AX,MATCH($M$1,Data!$A$1:$AX$1,),))</f>
        <v/>
      </c>
      <c r="N83" s="20">
        <f>(VLOOKUP(B83,Data!$A:$AX,MATCH($N$1,Data!$A$1:$AX$1,),)-VLOOKUP(EDATE(B83,-12),Data!$A:$AX,MATCH($N$1,Data!$A$1:$AX$1,),))/VLOOKUP(EDATE(B83,-12),Data!$A:$AX,MATCH($N$1,Data!$A$1:$AX$1,),)</f>
        <v/>
      </c>
      <c r="O83" s="20">
        <f>IF(VLOOKUP(B83,Data!$A:$AX,MATCH($O$1,Data!$A$1:$AX$1,))=0,#N/A,(VLOOKUP(B83,Data!$A:$AX,MATCH($O$1,Data!$A$1:$AX$1,),)-VLOOKUP(EDATE(B83,-12),Data!$A:$AX,MATCH($O$1,Data!$A$1:$AX$1,),))/VLOOKUP(EDATE(B83,-12),Data!$A:$AX,MATCH($O$1,Data!$A$1:$AX$1,),))</f>
        <v/>
      </c>
      <c r="P83" s="20">
        <f>IF(VLOOKUP(B83,Data!$A:$AX,MATCH($P$1,Data!$A$1:$AX$1,))=0,#N/A,(VLOOKUP(B83,Data!$A:$AX,MATCH($P$1,Data!$A$1:$AX$1,),)-VLOOKUP(EDATE(B83,-12),Data!$A:$AX,MATCH($P$1,Data!$A$1:$AX$1,),))/VLOOKUP(EDATE(B83,-12),Data!$A:$AX,MATCH($P$1,Data!$A$1:$AX$1,),))</f>
        <v/>
      </c>
      <c r="Q83" s="20">
        <f>(VLOOKUP(B83,Data!$A:$AX,MATCH($Q$1,Data!$A$1:$AX$1,),)-VLOOKUP(EDATE(B83,-12),Data!$A:$AX,MATCH($Q$1,Data!$A$1:$AX$1,),))/VLOOKUP(EDATE(B83,-12),Data!$A:$AX,MATCH($Q$1,Data!$A$1:$AX$1,),)</f>
        <v/>
      </c>
      <c r="R83" s="20">
        <f>IF(VLOOKUP(B83,Data!$A:$AX,MATCH($R$1,Data!$A$1:$AX$1,))=0,#N/A,(VLOOKUP(B83,Data!$A:$AX,MATCH($R$1,Data!$A$1:$AX$1,),)-VLOOKUP(EDATE(B83,-12),Data!$A:$AX,MATCH($R$1,Data!$A$1:$AX$1,),))/VLOOKUP(EDATE(B83,-12),Data!$A:$AX,MATCH($R$1,Data!$A$1:$AX$1,),))</f>
        <v/>
      </c>
      <c r="S83" s="20">
        <f>IF(VLOOKUP(B83,Data!$A:$AX,MATCH($S$1,Data!$A$1:$AX$1,))=0,#N/A,(VLOOKUP(B83,Data!$A:$AX,MATCH($S$1,Data!$A$1:$AX$1,),)-VLOOKUP(EDATE(B83,-12),Data!$A:$AX,MATCH($S$1,Data!$A$1:$AX$1,),))/VLOOKUP(EDATE(B83,-12),Data!$A:$AX,MATCH($S$1,Data!$A$1:$AX$1,),))</f>
        <v/>
      </c>
      <c r="T83" s="20">
        <f>IF(VLOOKUP(B83,Data!$A:$AX,MATCH($T$1,Data!$A$1:$AX$1,))=0,#N/A,(VLOOKUP(B83,Data!$A:$AX,MATCH($T$1,Data!$A$1:$AX$1,),)-VLOOKUP(EDATE(B83,-12),Data!$A:$AX,MATCH($T$1,Data!$A$1:$AX$1,),))/VLOOKUP(EDATE(B83,-12),Data!$A:$AX,MATCH($T$1,Data!$A$1:$AX$1,),))</f>
        <v/>
      </c>
      <c r="U83" s="20">
        <f>IF(VLOOKUP(B83,Data!$A:$AX,MATCH($U$1,Data!$A$1:$AX$1,))=0,#N/A,(VLOOKUP(B83,Data!$A:$AX,MATCH($U$1,Data!$A$1:$AX$1,),)-VLOOKUP(EDATE(B83,-12),Data!$A:$AX,MATCH($U$1,Data!$A$1:$AX$1,),))/VLOOKUP(EDATE(B83,-12),Data!$A:$AX,MATCH($U$1,Data!$A$1:$AX$1,),))</f>
        <v/>
      </c>
      <c r="V83" s="20">
        <f>(VLOOKUP(B83,Data!$A:$AX,MATCH($V$1,Data!$A$1:$AX$1,),)-VLOOKUP(EDATE(B83,-12),Data!$A:$AX,MATCH($V$1,Data!$A$1:$AX$1,),))/VLOOKUP(EDATE(B83,-12),Data!$A:$AX,MATCH($V$1,Data!$A$1:$AX$1,),)</f>
        <v/>
      </c>
      <c r="W83" s="20">
        <f>IF(VLOOKUP(B83,Data!$A:$AX,MATCH($W$1,Data!$A$1:$AX$1,))=0,#N/A,(VLOOKUP(B83,Data!$A:$AX,MATCH($W$1,Data!$A$1:$AX$1,),)-VLOOKUP(EDATE(B83,-12),Data!$A:$AX,MATCH($W$1,Data!$A$1:$AX$1,),))/VLOOKUP(EDATE(B83,-12),Data!$A:$AX,MATCH($W$1,Data!$A$1:$AX$1,),))</f>
        <v/>
      </c>
      <c r="X83" s="20">
        <f>IF(VLOOKUP(B83,Data!$A:$AX,MATCH($X$1,Data!$A$1:$AX$1,))=0,#N/A,(VLOOKUP(B83,Data!$A:$AX,MATCH($X$1,Data!$A$1:$AX$1,),)-VLOOKUP(EDATE(B83,-12),Data!$A:$AX,MATCH($X$1,Data!$A$1:$AX$1,),))/VLOOKUP(EDATE(B83,-12),Data!$A:$AX,MATCH($X$1,Data!$A$1:$AX$1,),))</f>
        <v/>
      </c>
      <c r="Y83" s="20">
        <f>IF(VLOOKUP(B83,Data!$A:$AX,MATCH($Y$1,Data!$A$1:$AX$1,))=0,#N/A,(VLOOKUP(B83,Data!$A:$AX,MATCH($Y$1,Data!$A$1:$AX$1,),)-VLOOKUP(EDATE(B83,-12),Data!$A:$AX,MATCH($Y$1,Data!$A$1:$AX$1,),))/VLOOKUP(EDATE(B83,-12),Data!$A:$AX,MATCH($Y$1,Data!$A$1:$AX$1,),))</f>
        <v/>
      </c>
      <c r="Z83" s="20">
        <f>(VLOOKUP(B83,Data!$A:$AX,MATCH($Z$1,Data!$A$1:$AX$1,),)-VLOOKUP(EDATE(B83,-12),Data!$A:$AX,MATCH($Z$1,Data!$A$1:$AX$1,),))/VLOOKUP(EDATE(B83,-12),Data!$A:$AX,MATCH($Z$1,Data!$A$1:$AX$1,),)</f>
        <v/>
      </c>
      <c r="AA83" s="20">
        <f>(VLOOKUP(B83,Data!$A:$AX,MATCH($AA$1,Data!$A$1:$AX$1,),)-VLOOKUP(EDATE(B83,-12),Data!$A:$AX,MATCH($AA$1,Data!$A$1:$AX$1,),))/VLOOKUP(EDATE(B83,-12),Data!$A:$AX,MATCH($AA$1,Data!$A$1:$AX$1,),)</f>
        <v/>
      </c>
      <c r="AB83" s="19" t="n"/>
    </row>
    <row r="84">
      <c r="B84" s="15" t="n">
        <v>42767</v>
      </c>
      <c r="C84" s="20">
        <f>IF(VLOOKUP(B84,Data!$A:$AX,MATCH($C$1,Data!$A$1:$AX$1,))=0,#N/A,(VLOOKUP(B84,Data!$A:$AX,MATCH($C$1,Data!$A$1:$AX$1,),)-VLOOKUP(EDATE(B84,-12),Data!$A:$AX,MATCH($C$1,Data!$A$1:$AX$1,),))/VLOOKUP(EDATE(B84,-12),Data!$A:$AX,MATCH($C$1,Data!$A$1:$AX$1,),))</f>
        <v/>
      </c>
      <c r="D84" s="20">
        <f>IF(VLOOKUP(B84,Data!$A:$AX,MATCH($D$1,Data!$A$1:$AX$1,))=0,#N/A,(VLOOKUP(B84,Data!$A:$AX,MATCH($D$1,Data!$A$1:$AX$1,),)-VLOOKUP(EDATE(B84,-12),Data!$A:$AX,MATCH($D$1,Data!$A$1:$AX$1,),))/VLOOKUP(EDATE(B84,-12),Data!$A:$AX,MATCH($D$1,Data!$A$1:$AX$1,),))</f>
        <v/>
      </c>
      <c r="E84" s="20">
        <f>IF(VLOOKUP(B84,Data!$A:$AX,MATCH($E$1,Data!$A$1:$AX$1,))=0,#N/A,(VLOOKUP(B84,Data!$A:$AX,MATCH($E$1,Data!$A$1:$AX$1,),)-VLOOKUP(EDATE(B84,-12),Data!$A:$AX,MATCH($E$1,Data!$A$1:$AX$1,),))/VLOOKUP(EDATE(B84,-12),Data!$A:$AX,MATCH($E$1,Data!$A$1:$AX$1,),))</f>
        <v/>
      </c>
      <c r="F84" s="20">
        <f>IF(VLOOKUP(B84,Data!$A:$AX,MATCH($F$1,Data!$A$1:$AX$1,))=0,#N/A,(VLOOKUP(B84,Data!$A:$AX,MATCH($F$1,Data!$A$1:$AX$1,),)-VLOOKUP(EDATE(B84,-12),Data!$A:$AX,MATCH($F$1,Data!$A$1:$AX$1,),))/VLOOKUP(EDATE(B84,-12),Data!$A:$AX,MATCH($F$1,Data!$A$1:$AX$1,),))</f>
        <v/>
      </c>
      <c r="G84" s="20">
        <f>IF(VLOOKUP(B84,Data!$A:$AX,MATCH($G$1,Data!$A$1:$AX$1,))=0,#N/A,(VLOOKUP(B84,Data!$A:$AX,MATCH($G$1,Data!$A$1:$AX$1,),)-VLOOKUP(EDATE(B84,-12),Data!$A:$AX,MATCH($G$1,Data!$A$1:$AX$1,),))/VLOOKUP(EDATE(B84,-12),Data!$A:$AX,MATCH($G$1,Data!$A$1:$AX$1,),))</f>
        <v/>
      </c>
      <c r="H84" s="20">
        <f>IF(VLOOKUP(B84,Data!$A:$AX,MATCH($H$1,Data!$A$1:$AX$1,))=0,#N/A,(VLOOKUP(B84,Data!$A:$AX,MATCH($H$1,Data!$A$1:$AX$1,),)-VLOOKUP(EDATE(B84,-12),Data!$A:$AX,MATCH($H$1,Data!$A$1:$AX$1,),))/VLOOKUP(EDATE(B84,-12),Data!$A:$AX,MATCH($H$1,Data!$A$1:$AX$1,),))</f>
        <v/>
      </c>
      <c r="I84" s="20">
        <f>IF(VLOOKUP(B84,Data!$A:$AX,MATCH($I$1,Data!$A$1:$AX$1,))=0,#N/A,(VLOOKUP(B84,Data!$A:$AX,MATCH($I$1,Data!$A$1:$AX$1,),)-VLOOKUP(EDATE(B84,-12),Data!$A:$AX,MATCH($I$1,Data!$A$1:$AX$1,),))/VLOOKUP(EDATE(B84,-12),Data!$A:$AX,MATCH($I$1,Data!$A$1:$AX$1,),))</f>
        <v/>
      </c>
      <c r="J84" s="20">
        <f>IF(VLOOKUP(B84,Data!$A:$AX,MATCH($J$1,Data!$A$1:$AX$1,))=0,#N/A,(VLOOKUP(B84,Data!$A:$AX,MATCH($J$1,Data!$A$1:$AX$1,),)-VLOOKUP(EDATE(B84,-12),Data!$A:$AX,MATCH($J$1,Data!$A$1:$AX$1,),))/VLOOKUP(EDATE(B84,-12),Data!$A:$AX,MATCH($J$1,Data!$A$1:$AX$1,),))</f>
        <v/>
      </c>
      <c r="K84" s="20">
        <f>IF(VLOOKUP(B84,Data!$A:$AX,MATCH($K$1,Data!$A$1:$AX$1,))=0,#N/A,(VLOOKUP(B84,Data!$A:$AX,MATCH($K$1,Data!$A$1:$AX$1,),)-VLOOKUP(EDATE(B84,-12),Data!$A:$AX,MATCH($K$1,Data!$A$1:$AX$1,),))/VLOOKUP(EDATE(B84,-12),Data!$A:$AX,MATCH($K$1,Data!$A$1:$AX$1,),))</f>
        <v/>
      </c>
      <c r="L84" s="20">
        <f>IF(VLOOKUP(B84,Data!$A:$AX,MATCH($L$1,Data!$A$1:$AX$1,))=0,#N/A,(VLOOKUP(B84,Data!$A:$AX,MATCH($L$1,Data!$A$1:$AX$1,),)-VLOOKUP(EDATE(B84,-12),Data!$A:$AX,MATCH($L$1,Data!$A$1:$AX$1,),))/VLOOKUP(EDATE(B84,-12),Data!$A:$AX,MATCH($L$1,Data!$A$1:$AX$1,),))</f>
        <v/>
      </c>
      <c r="M84" s="20">
        <f>IF(VLOOKUP(B84,Data!$A:$AX,MATCH($M$1,Data!$A$1:$AX$1,))=0,#N/A,(VLOOKUP(B84,Data!$A:$AX,MATCH($M$1,Data!$A$1:$AX$1,),)-VLOOKUP(EDATE(B84,-12),Data!$A:$AX,MATCH($M$1,Data!$A$1:$AX$1,),))/VLOOKUP(EDATE(B84,-12),Data!$A:$AX,MATCH($M$1,Data!$A$1:$AX$1,),))</f>
        <v/>
      </c>
      <c r="N84" s="20">
        <f>(VLOOKUP(B84,Data!$A:$AX,MATCH($N$1,Data!$A$1:$AX$1,),)-VLOOKUP(EDATE(B84,-12),Data!$A:$AX,MATCH($N$1,Data!$A$1:$AX$1,),))/VLOOKUP(EDATE(B84,-12),Data!$A:$AX,MATCH($N$1,Data!$A$1:$AX$1,),)</f>
        <v/>
      </c>
      <c r="O84" s="20">
        <f>IF(VLOOKUP(B84,Data!$A:$AX,MATCH($O$1,Data!$A$1:$AX$1,))=0,#N/A,(VLOOKUP(B84,Data!$A:$AX,MATCH($O$1,Data!$A$1:$AX$1,),)-VLOOKUP(EDATE(B84,-12),Data!$A:$AX,MATCH($O$1,Data!$A$1:$AX$1,),))/VLOOKUP(EDATE(B84,-12),Data!$A:$AX,MATCH($O$1,Data!$A$1:$AX$1,),))</f>
        <v/>
      </c>
      <c r="P84" s="20">
        <f>IF(VLOOKUP(B84,Data!$A:$AX,MATCH($P$1,Data!$A$1:$AX$1,))=0,#N/A,(VLOOKUP(B84,Data!$A:$AX,MATCH($P$1,Data!$A$1:$AX$1,),)-VLOOKUP(EDATE(B84,-12),Data!$A:$AX,MATCH($P$1,Data!$A$1:$AX$1,),))/VLOOKUP(EDATE(B84,-12),Data!$A:$AX,MATCH($P$1,Data!$A$1:$AX$1,),))</f>
        <v/>
      </c>
      <c r="Q84" s="20">
        <f>(VLOOKUP(B84,Data!$A:$AX,MATCH($Q$1,Data!$A$1:$AX$1,),)-VLOOKUP(EDATE(B84,-12),Data!$A:$AX,MATCH($Q$1,Data!$A$1:$AX$1,),))/VLOOKUP(EDATE(B84,-12),Data!$A:$AX,MATCH($Q$1,Data!$A$1:$AX$1,),)</f>
        <v/>
      </c>
      <c r="R84" s="20">
        <f>IF(VLOOKUP(B84,Data!$A:$AX,MATCH($R$1,Data!$A$1:$AX$1,))=0,#N/A,(VLOOKUP(B84,Data!$A:$AX,MATCH($R$1,Data!$A$1:$AX$1,),)-VLOOKUP(EDATE(B84,-12),Data!$A:$AX,MATCH($R$1,Data!$A$1:$AX$1,),))/VLOOKUP(EDATE(B84,-12),Data!$A:$AX,MATCH($R$1,Data!$A$1:$AX$1,),))</f>
        <v/>
      </c>
      <c r="S84" s="20">
        <f>IF(VLOOKUP(B84,Data!$A:$AX,MATCH($S$1,Data!$A$1:$AX$1,))=0,#N/A,(VLOOKUP(B84,Data!$A:$AX,MATCH($S$1,Data!$A$1:$AX$1,),)-VLOOKUP(EDATE(B84,-12),Data!$A:$AX,MATCH($S$1,Data!$A$1:$AX$1,),))/VLOOKUP(EDATE(B84,-12),Data!$A:$AX,MATCH($S$1,Data!$A$1:$AX$1,),))</f>
        <v/>
      </c>
      <c r="T84" s="20">
        <f>IF(VLOOKUP(B84,Data!$A:$AX,MATCH($T$1,Data!$A$1:$AX$1,))=0,#N/A,(VLOOKUP(B84,Data!$A:$AX,MATCH($T$1,Data!$A$1:$AX$1,),)-VLOOKUP(EDATE(B84,-12),Data!$A:$AX,MATCH($T$1,Data!$A$1:$AX$1,),))/VLOOKUP(EDATE(B84,-12),Data!$A:$AX,MATCH($T$1,Data!$A$1:$AX$1,),))</f>
        <v/>
      </c>
      <c r="U84" s="20">
        <f>IF(VLOOKUP(B84,Data!$A:$AX,MATCH($U$1,Data!$A$1:$AX$1,))=0,#N/A,(VLOOKUP(B84,Data!$A:$AX,MATCH($U$1,Data!$A$1:$AX$1,),)-VLOOKUP(EDATE(B84,-12),Data!$A:$AX,MATCH($U$1,Data!$A$1:$AX$1,),))/VLOOKUP(EDATE(B84,-12),Data!$A:$AX,MATCH($U$1,Data!$A$1:$AX$1,),))</f>
        <v/>
      </c>
      <c r="V84" s="20">
        <f>(VLOOKUP(B84,Data!$A:$AX,MATCH($V$1,Data!$A$1:$AX$1,),)-VLOOKUP(EDATE(B84,-12),Data!$A:$AX,MATCH($V$1,Data!$A$1:$AX$1,),))/VLOOKUP(EDATE(B84,-12),Data!$A:$AX,MATCH($V$1,Data!$A$1:$AX$1,),)</f>
        <v/>
      </c>
      <c r="W84" s="20">
        <f>IF(VLOOKUP(B84,Data!$A:$AX,MATCH($W$1,Data!$A$1:$AX$1,))=0,#N/A,(VLOOKUP(B84,Data!$A:$AX,MATCH($W$1,Data!$A$1:$AX$1,),)-VLOOKUP(EDATE(B84,-12),Data!$A:$AX,MATCH($W$1,Data!$A$1:$AX$1,),))/VLOOKUP(EDATE(B84,-12),Data!$A:$AX,MATCH($W$1,Data!$A$1:$AX$1,),))</f>
        <v/>
      </c>
      <c r="X84" s="20">
        <f>IF(VLOOKUP(B84,Data!$A:$AX,MATCH($X$1,Data!$A$1:$AX$1,))=0,#N/A,(VLOOKUP(B84,Data!$A:$AX,MATCH($X$1,Data!$A$1:$AX$1,),)-VLOOKUP(EDATE(B84,-12),Data!$A:$AX,MATCH($X$1,Data!$A$1:$AX$1,),))/VLOOKUP(EDATE(B84,-12),Data!$A:$AX,MATCH($X$1,Data!$A$1:$AX$1,),))</f>
        <v/>
      </c>
      <c r="Y84" s="20">
        <f>IF(VLOOKUP(B84,Data!$A:$AX,MATCH($Y$1,Data!$A$1:$AX$1,))=0,#N/A,(VLOOKUP(B84,Data!$A:$AX,MATCH($Y$1,Data!$A$1:$AX$1,),)-VLOOKUP(EDATE(B84,-12),Data!$A:$AX,MATCH($Y$1,Data!$A$1:$AX$1,),))/VLOOKUP(EDATE(B84,-12),Data!$A:$AX,MATCH($Y$1,Data!$A$1:$AX$1,),))</f>
        <v/>
      </c>
      <c r="Z84" s="20">
        <f>(VLOOKUP(B84,Data!$A:$AX,MATCH($Z$1,Data!$A$1:$AX$1,),)-VLOOKUP(EDATE(B84,-12),Data!$A:$AX,MATCH($Z$1,Data!$A$1:$AX$1,),))/VLOOKUP(EDATE(B84,-12),Data!$A:$AX,MATCH($Z$1,Data!$A$1:$AX$1,),)</f>
        <v/>
      </c>
      <c r="AA84" s="20">
        <f>(VLOOKUP(B84,Data!$A:$AX,MATCH($AA$1,Data!$A$1:$AX$1,),)-VLOOKUP(EDATE(B84,-12),Data!$A:$AX,MATCH($AA$1,Data!$A$1:$AX$1,),))/VLOOKUP(EDATE(B84,-12),Data!$A:$AX,MATCH($AA$1,Data!$A$1:$AX$1,),)</f>
        <v/>
      </c>
      <c r="AB84" s="19" t="n"/>
    </row>
    <row r="85">
      <c r="B85" s="15" t="n">
        <v>42795</v>
      </c>
      <c r="C85" s="20">
        <f>IF(VLOOKUP(B85,Data!$A:$AX,MATCH($C$1,Data!$A$1:$AX$1,))=0,#N/A,(VLOOKUP(B85,Data!$A:$AX,MATCH($C$1,Data!$A$1:$AX$1,),)-VLOOKUP(EDATE(B85,-12),Data!$A:$AX,MATCH($C$1,Data!$A$1:$AX$1,),))/VLOOKUP(EDATE(B85,-12),Data!$A:$AX,MATCH($C$1,Data!$A$1:$AX$1,),))</f>
        <v/>
      </c>
      <c r="D85" s="20">
        <f>IF(VLOOKUP(B85,Data!$A:$AX,MATCH($D$1,Data!$A$1:$AX$1,))=0,#N/A,(VLOOKUP(B85,Data!$A:$AX,MATCH($D$1,Data!$A$1:$AX$1,),)-VLOOKUP(EDATE(B85,-12),Data!$A:$AX,MATCH($D$1,Data!$A$1:$AX$1,),))/VLOOKUP(EDATE(B85,-12),Data!$A:$AX,MATCH($D$1,Data!$A$1:$AX$1,),))</f>
        <v/>
      </c>
      <c r="E85" s="20">
        <f>IF(VLOOKUP(B85,Data!$A:$AX,MATCH($E$1,Data!$A$1:$AX$1,))=0,#N/A,(VLOOKUP(B85,Data!$A:$AX,MATCH($E$1,Data!$A$1:$AX$1,),)-VLOOKUP(EDATE(B85,-12),Data!$A:$AX,MATCH($E$1,Data!$A$1:$AX$1,),))/VLOOKUP(EDATE(B85,-12),Data!$A:$AX,MATCH($E$1,Data!$A$1:$AX$1,),))</f>
        <v/>
      </c>
      <c r="F85" s="20">
        <f>IF(VLOOKUP(B85,Data!$A:$AX,MATCH($F$1,Data!$A$1:$AX$1,))=0,#N/A,(VLOOKUP(B85,Data!$A:$AX,MATCH($F$1,Data!$A$1:$AX$1,),)-VLOOKUP(EDATE(B85,-12),Data!$A:$AX,MATCH($F$1,Data!$A$1:$AX$1,),))/VLOOKUP(EDATE(B85,-12),Data!$A:$AX,MATCH($F$1,Data!$A$1:$AX$1,),))</f>
        <v/>
      </c>
      <c r="G85" s="20">
        <f>IF(VLOOKUP(B85,Data!$A:$AX,MATCH($G$1,Data!$A$1:$AX$1,))=0,#N/A,(VLOOKUP(B85,Data!$A:$AX,MATCH($G$1,Data!$A$1:$AX$1,),)-VLOOKUP(EDATE(B85,-12),Data!$A:$AX,MATCH($G$1,Data!$A$1:$AX$1,),))/VLOOKUP(EDATE(B85,-12),Data!$A:$AX,MATCH($G$1,Data!$A$1:$AX$1,),))</f>
        <v/>
      </c>
      <c r="H85" s="20">
        <f>IF(VLOOKUP(B85,Data!$A:$AX,MATCH($H$1,Data!$A$1:$AX$1,))=0,#N/A,(VLOOKUP(B85,Data!$A:$AX,MATCH($H$1,Data!$A$1:$AX$1,),)-VLOOKUP(EDATE(B85,-12),Data!$A:$AX,MATCH($H$1,Data!$A$1:$AX$1,),))/VLOOKUP(EDATE(B85,-12),Data!$A:$AX,MATCH($H$1,Data!$A$1:$AX$1,),))</f>
        <v/>
      </c>
      <c r="I85" s="20">
        <f>IF(VLOOKUP(B85,Data!$A:$AX,MATCH($I$1,Data!$A$1:$AX$1,))=0,#N/A,(VLOOKUP(B85,Data!$A:$AX,MATCH($I$1,Data!$A$1:$AX$1,),)-VLOOKUP(EDATE(B85,-12),Data!$A:$AX,MATCH($I$1,Data!$A$1:$AX$1,),))/VLOOKUP(EDATE(B85,-12),Data!$A:$AX,MATCH($I$1,Data!$A$1:$AX$1,),))</f>
        <v/>
      </c>
      <c r="J85" s="20">
        <f>IF(VLOOKUP(B85,Data!$A:$AX,MATCH($J$1,Data!$A$1:$AX$1,))=0,#N/A,(VLOOKUP(B85,Data!$A:$AX,MATCH($J$1,Data!$A$1:$AX$1,),)-VLOOKUP(EDATE(B85,-12),Data!$A:$AX,MATCH($J$1,Data!$A$1:$AX$1,),))/VLOOKUP(EDATE(B85,-12),Data!$A:$AX,MATCH($J$1,Data!$A$1:$AX$1,),))</f>
        <v/>
      </c>
      <c r="K85" s="20">
        <f>IF(VLOOKUP(B85,Data!$A:$AX,MATCH($K$1,Data!$A$1:$AX$1,))=0,#N/A,(VLOOKUP(B85,Data!$A:$AX,MATCH($K$1,Data!$A$1:$AX$1,),)-VLOOKUP(EDATE(B85,-12),Data!$A:$AX,MATCH($K$1,Data!$A$1:$AX$1,),))/VLOOKUP(EDATE(B85,-12),Data!$A:$AX,MATCH($K$1,Data!$A$1:$AX$1,),))</f>
        <v/>
      </c>
      <c r="L85" s="20">
        <f>IF(VLOOKUP(B85,Data!$A:$AX,MATCH($L$1,Data!$A$1:$AX$1,))=0,#N/A,(VLOOKUP(B85,Data!$A:$AX,MATCH($L$1,Data!$A$1:$AX$1,),)-VLOOKUP(EDATE(B85,-12),Data!$A:$AX,MATCH($L$1,Data!$A$1:$AX$1,),))/VLOOKUP(EDATE(B85,-12),Data!$A:$AX,MATCH($L$1,Data!$A$1:$AX$1,),))</f>
        <v/>
      </c>
      <c r="M85" s="20">
        <f>IF(VLOOKUP(B85,Data!$A:$AX,MATCH($M$1,Data!$A$1:$AX$1,))=0,#N/A,(VLOOKUP(B85,Data!$A:$AX,MATCH($M$1,Data!$A$1:$AX$1,),)-VLOOKUP(EDATE(B85,-12),Data!$A:$AX,MATCH($M$1,Data!$A$1:$AX$1,),))/VLOOKUP(EDATE(B85,-12),Data!$A:$AX,MATCH($M$1,Data!$A$1:$AX$1,),))</f>
        <v/>
      </c>
      <c r="N85" s="20">
        <f>(VLOOKUP(B85,Data!$A:$AX,MATCH($N$1,Data!$A$1:$AX$1,),)-VLOOKUP(EDATE(B85,-12),Data!$A:$AX,MATCH($N$1,Data!$A$1:$AX$1,),))/VLOOKUP(EDATE(B85,-12),Data!$A:$AX,MATCH($N$1,Data!$A$1:$AX$1,),)</f>
        <v/>
      </c>
      <c r="O85" s="20">
        <f>IF(VLOOKUP(B85,Data!$A:$AX,MATCH($O$1,Data!$A$1:$AX$1,))=0,#N/A,(VLOOKUP(B85,Data!$A:$AX,MATCH($O$1,Data!$A$1:$AX$1,),)-VLOOKUP(EDATE(B85,-12),Data!$A:$AX,MATCH($O$1,Data!$A$1:$AX$1,),))/VLOOKUP(EDATE(B85,-12),Data!$A:$AX,MATCH($O$1,Data!$A$1:$AX$1,),))</f>
        <v/>
      </c>
      <c r="P85" s="20">
        <f>IF(VLOOKUP(B85,Data!$A:$AX,MATCH($P$1,Data!$A$1:$AX$1,))=0,#N/A,(VLOOKUP(B85,Data!$A:$AX,MATCH($P$1,Data!$A$1:$AX$1,),)-VLOOKUP(EDATE(B85,-12),Data!$A:$AX,MATCH($P$1,Data!$A$1:$AX$1,),))/VLOOKUP(EDATE(B85,-12),Data!$A:$AX,MATCH($P$1,Data!$A$1:$AX$1,),))</f>
        <v/>
      </c>
      <c r="Q85" s="20">
        <f>(VLOOKUP(B85,Data!$A:$AX,MATCH($Q$1,Data!$A$1:$AX$1,),)-VLOOKUP(EDATE(B85,-12),Data!$A:$AX,MATCH($Q$1,Data!$A$1:$AX$1,),))/VLOOKUP(EDATE(B85,-12),Data!$A:$AX,MATCH($Q$1,Data!$A$1:$AX$1,),)</f>
        <v/>
      </c>
      <c r="R85" s="20">
        <f>IF(VLOOKUP(B85,Data!$A:$AX,MATCH($R$1,Data!$A$1:$AX$1,))=0,#N/A,(VLOOKUP(B85,Data!$A:$AX,MATCH($R$1,Data!$A$1:$AX$1,),)-VLOOKUP(EDATE(B85,-12),Data!$A:$AX,MATCH($R$1,Data!$A$1:$AX$1,),))/VLOOKUP(EDATE(B85,-12),Data!$A:$AX,MATCH($R$1,Data!$A$1:$AX$1,),))</f>
        <v/>
      </c>
      <c r="S85" s="20">
        <f>IF(VLOOKUP(B85,Data!$A:$AX,MATCH($S$1,Data!$A$1:$AX$1,))=0,#N/A,(VLOOKUP(B85,Data!$A:$AX,MATCH($S$1,Data!$A$1:$AX$1,),)-VLOOKUP(EDATE(B85,-12),Data!$A:$AX,MATCH($S$1,Data!$A$1:$AX$1,),))/VLOOKUP(EDATE(B85,-12),Data!$A:$AX,MATCH($S$1,Data!$A$1:$AX$1,),))</f>
        <v/>
      </c>
      <c r="T85" s="20">
        <f>IF(VLOOKUP(B85,Data!$A:$AX,MATCH($T$1,Data!$A$1:$AX$1,))=0,#N/A,(VLOOKUP(B85,Data!$A:$AX,MATCH($T$1,Data!$A$1:$AX$1,),)-VLOOKUP(EDATE(B85,-12),Data!$A:$AX,MATCH($T$1,Data!$A$1:$AX$1,),))/VLOOKUP(EDATE(B85,-12),Data!$A:$AX,MATCH($T$1,Data!$A$1:$AX$1,),))</f>
        <v/>
      </c>
      <c r="U85" s="20">
        <f>IF(VLOOKUP(B85,Data!$A:$AX,MATCH($U$1,Data!$A$1:$AX$1,))=0,#N/A,(VLOOKUP(B85,Data!$A:$AX,MATCH($U$1,Data!$A$1:$AX$1,),)-VLOOKUP(EDATE(B85,-12),Data!$A:$AX,MATCH($U$1,Data!$A$1:$AX$1,),))/VLOOKUP(EDATE(B85,-12),Data!$A:$AX,MATCH($U$1,Data!$A$1:$AX$1,),))</f>
        <v/>
      </c>
      <c r="V85" s="20">
        <f>(VLOOKUP(B85,Data!$A:$AX,MATCH($V$1,Data!$A$1:$AX$1,),)-VLOOKUP(EDATE(B85,-12),Data!$A:$AX,MATCH($V$1,Data!$A$1:$AX$1,),))/VLOOKUP(EDATE(B85,-12),Data!$A:$AX,MATCH($V$1,Data!$A$1:$AX$1,),)</f>
        <v/>
      </c>
      <c r="W85" s="20">
        <f>IF(VLOOKUP(B85,Data!$A:$AX,MATCH($W$1,Data!$A$1:$AX$1,))=0,#N/A,(VLOOKUP(B85,Data!$A:$AX,MATCH($W$1,Data!$A$1:$AX$1,),)-VLOOKUP(EDATE(B85,-12),Data!$A:$AX,MATCH($W$1,Data!$A$1:$AX$1,),))/VLOOKUP(EDATE(B85,-12),Data!$A:$AX,MATCH($W$1,Data!$A$1:$AX$1,),))</f>
        <v/>
      </c>
      <c r="X85" s="20">
        <f>IF(VLOOKUP(B85,Data!$A:$AX,MATCH($X$1,Data!$A$1:$AX$1,))=0,#N/A,(VLOOKUP(B85,Data!$A:$AX,MATCH($X$1,Data!$A$1:$AX$1,),)-VLOOKUP(EDATE(B85,-12),Data!$A:$AX,MATCH($X$1,Data!$A$1:$AX$1,),))/VLOOKUP(EDATE(B85,-12),Data!$A:$AX,MATCH($X$1,Data!$A$1:$AX$1,),))</f>
        <v/>
      </c>
      <c r="Y85" s="20">
        <f>IF(VLOOKUP(B85,Data!$A:$AX,MATCH($Y$1,Data!$A$1:$AX$1,))=0,#N/A,(VLOOKUP(B85,Data!$A:$AX,MATCH($Y$1,Data!$A$1:$AX$1,),)-VLOOKUP(EDATE(B85,-12),Data!$A:$AX,MATCH($Y$1,Data!$A$1:$AX$1,),))/VLOOKUP(EDATE(B85,-12),Data!$A:$AX,MATCH($Y$1,Data!$A$1:$AX$1,),))</f>
        <v/>
      </c>
      <c r="Z85" s="20">
        <f>(VLOOKUP(B85,Data!$A:$AX,MATCH($Z$1,Data!$A$1:$AX$1,),)-VLOOKUP(EDATE(B85,-12),Data!$A:$AX,MATCH($Z$1,Data!$A$1:$AX$1,),))/VLOOKUP(EDATE(B85,-12),Data!$A:$AX,MATCH($Z$1,Data!$A$1:$AX$1,),)</f>
        <v/>
      </c>
      <c r="AA85" s="20">
        <f>(VLOOKUP(B85,Data!$A:$AX,MATCH($AA$1,Data!$A$1:$AX$1,),)-VLOOKUP(EDATE(B85,-12),Data!$A:$AX,MATCH($AA$1,Data!$A$1:$AX$1,),))/VLOOKUP(EDATE(B85,-12),Data!$A:$AX,MATCH($AA$1,Data!$A$1:$AX$1,),)</f>
        <v/>
      </c>
      <c r="AB85" s="19" t="n"/>
    </row>
    <row r="86">
      <c r="B86" s="15" t="n">
        <v>42826</v>
      </c>
      <c r="C86" s="20">
        <f>IF(VLOOKUP(B86,Data!$A:$AX,MATCH($C$1,Data!$A$1:$AX$1,))=0,#N/A,(VLOOKUP(B86,Data!$A:$AX,MATCH($C$1,Data!$A$1:$AX$1,),)-VLOOKUP(EDATE(B86,-12),Data!$A:$AX,MATCH($C$1,Data!$A$1:$AX$1,),))/VLOOKUP(EDATE(B86,-12),Data!$A:$AX,MATCH($C$1,Data!$A$1:$AX$1,),))</f>
        <v/>
      </c>
      <c r="D86" s="20">
        <f>IF(VLOOKUP(B86,Data!$A:$AX,MATCH($D$1,Data!$A$1:$AX$1,))=0,#N/A,(VLOOKUP(B86,Data!$A:$AX,MATCH($D$1,Data!$A$1:$AX$1,),)-VLOOKUP(EDATE(B86,-12),Data!$A:$AX,MATCH($D$1,Data!$A$1:$AX$1,),))/VLOOKUP(EDATE(B86,-12),Data!$A:$AX,MATCH($D$1,Data!$A$1:$AX$1,),))</f>
        <v/>
      </c>
      <c r="E86" s="20">
        <f>IF(VLOOKUP(B86,Data!$A:$AX,MATCH($E$1,Data!$A$1:$AX$1,))=0,#N/A,(VLOOKUP(B86,Data!$A:$AX,MATCH($E$1,Data!$A$1:$AX$1,),)-VLOOKUP(EDATE(B86,-12),Data!$A:$AX,MATCH($E$1,Data!$A$1:$AX$1,),))/VLOOKUP(EDATE(B86,-12),Data!$A:$AX,MATCH($E$1,Data!$A$1:$AX$1,),))</f>
        <v/>
      </c>
      <c r="F86" s="20">
        <f>IF(VLOOKUP(B86,Data!$A:$AX,MATCH($F$1,Data!$A$1:$AX$1,))=0,#N/A,(VLOOKUP(B86,Data!$A:$AX,MATCH($F$1,Data!$A$1:$AX$1,),)-VLOOKUP(EDATE(B86,-12),Data!$A:$AX,MATCH($F$1,Data!$A$1:$AX$1,),))/VLOOKUP(EDATE(B86,-12),Data!$A:$AX,MATCH($F$1,Data!$A$1:$AX$1,),))</f>
        <v/>
      </c>
      <c r="G86" s="20">
        <f>IF(VLOOKUP(B86,Data!$A:$AX,MATCH($G$1,Data!$A$1:$AX$1,))=0,#N/A,(VLOOKUP(B86,Data!$A:$AX,MATCH($G$1,Data!$A$1:$AX$1,),)-VLOOKUP(EDATE(B86,-12),Data!$A:$AX,MATCH($G$1,Data!$A$1:$AX$1,),))/VLOOKUP(EDATE(B86,-12),Data!$A:$AX,MATCH($G$1,Data!$A$1:$AX$1,),))</f>
        <v/>
      </c>
      <c r="H86" s="20">
        <f>IF(VLOOKUP(B86,Data!$A:$AX,MATCH($H$1,Data!$A$1:$AX$1,))=0,#N/A,(VLOOKUP(B86,Data!$A:$AX,MATCH($H$1,Data!$A$1:$AX$1,),)-VLOOKUP(EDATE(B86,-12),Data!$A:$AX,MATCH($H$1,Data!$A$1:$AX$1,),))/VLOOKUP(EDATE(B86,-12),Data!$A:$AX,MATCH($H$1,Data!$A$1:$AX$1,),))</f>
        <v/>
      </c>
      <c r="I86" s="20">
        <f>IF(VLOOKUP(B86,Data!$A:$AX,MATCH($I$1,Data!$A$1:$AX$1,))=0,#N/A,(VLOOKUP(B86,Data!$A:$AX,MATCH($I$1,Data!$A$1:$AX$1,),)-VLOOKUP(EDATE(B86,-12),Data!$A:$AX,MATCH($I$1,Data!$A$1:$AX$1,),))/VLOOKUP(EDATE(B86,-12),Data!$A:$AX,MATCH($I$1,Data!$A$1:$AX$1,),))</f>
        <v/>
      </c>
      <c r="J86" s="20">
        <f>IF(VLOOKUP(B86,Data!$A:$AX,MATCH($J$1,Data!$A$1:$AX$1,))=0,#N/A,(VLOOKUP(B86,Data!$A:$AX,MATCH($J$1,Data!$A$1:$AX$1,),)-VLOOKUP(EDATE(B86,-12),Data!$A:$AX,MATCH($J$1,Data!$A$1:$AX$1,),))/VLOOKUP(EDATE(B86,-12),Data!$A:$AX,MATCH($J$1,Data!$A$1:$AX$1,),))</f>
        <v/>
      </c>
      <c r="K86" s="20">
        <f>IF(VLOOKUP(B86,Data!$A:$AX,MATCH($K$1,Data!$A$1:$AX$1,))=0,#N/A,(VLOOKUP(B86,Data!$A:$AX,MATCH($K$1,Data!$A$1:$AX$1,),)-VLOOKUP(EDATE(B86,-12),Data!$A:$AX,MATCH($K$1,Data!$A$1:$AX$1,),))/VLOOKUP(EDATE(B86,-12),Data!$A:$AX,MATCH($K$1,Data!$A$1:$AX$1,),))</f>
        <v/>
      </c>
      <c r="L86" s="20">
        <f>IF(VLOOKUP(B86,Data!$A:$AX,MATCH($L$1,Data!$A$1:$AX$1,))=0,#N/A,(VLOOKUP(B86,Data!$A:$AX,MATCH($L$1,Data!$A$1:$AX$1,),)-VLOOKUP(EDATE(B86,-12),Data!$A:$AX,MATCH($L$1,Data!$A$1:$AX$1,),))/VLOOKUP(EDATE(B86,-12),Data!$A:$AX,MATCH($L$1,Data!$A$1:$AX$1,),))</f>
        <v/>
      </c>
      <c r="M86" s="20">
        <f>IF(VLOOKUP(B86,Data!$A:$AX,MATCH($M$1,Data!$A$1:$AX$1,))=0,#N/A,(VLOOKUP(B86,Data!$A:$AX,MATCH($M$1,Data!$A$1:$AX$1,),)-VLOOKUP(EDATE(B86,-12),Data!$A:$AX,MATCH($M$1,Data!$A$1:$AX$1,),))/VLOOKUP(EDATE(B86,-12),Data!$A:$AX,MATCH($M$1,Data!$A$1:$AX$1,),))</f>
        <v/>
      </c>
      <c r="N86" s="20">
        <f>(VLOOKUP(B86,Data!$A:$AX,MATCH($N$1,Data!$A$1:$AX$1,),)-VLOOKUP(EDATE(B86,-12),Data!$A:$AX,MATCH($N$1,Data!$A$1:$AX$1,),))/VLOOKUP(EDATE(B86,-12),Data!$A:$AX,MATCH($N$1,Data!$A$1:$AX$1,),)</f>
        <v/>
      </c>
      <c r="O86" s="20">
        <f>IF(VLOOKUP(B86,Data!$A:$AX,MATCH($O$1,Data!$A$1:$AX$1,))=0,#N/A,(VLOOKUP(B86,Data!$A:$AX,MATCH($O$1,Data!$A$1:$AX$1,),)-VLOOKUP(EDATE(B86,-12),Data!$A:$AX,MATCH($O$1,Data!$A$1:$AX$1,),))/VLOOKUP(EDATE(B86,-12),Data!$A:$AX,MATCH($O$1,Data!$A$1:$AX$1,),))</f>
        <v/>
      </c>
      <c r="P86" s="20">
        <f>IF(VLOOKUP(B86,Data!$A:$AX,MATCH($P$1,Data!$A$1:$AX$1,))=0,#N/A,(VLOOKUP(B86,Data!$A:$AX,MATCH($P$1,Data!$A$1:$AX$1,),)-VLOOKUP(EDATE(B86,-12),Data!$A:$AX,MATCH($P$1,Data!$A$1:$AX$1,),))/VLOOKUP(EDATE(B86,-12),Data!$A:$AX,MATCH($P$1,Data!$A$1:$AX$1,),))</f>
        <v/>
      </c>
      <c r="Q86" s="20">
        <f>(VLOOKUP(B86,Data!$A:$AX,MATCH($Q$1,Data!$A$1:$AX$1,),)-VLOOKUP(EDATE(B86,-12),Data!$A:$AX,MATCH($Q$1,Data!$A$1:$AX$1,),))/VLOOKUP(EDATE(B86,-12),Data!$A:$AX,MATCH($Q$1,Data!$A$1:$AX$1,),)</f>
        <v/>
      </c>
      <c r="R86" s="20">
        <f>IF(VLOOKUP(B86,Data!$A:$AX,MATCH($R$1,Data!$A$1:$AX$1,))=0,#N/A,(VLOOKUP(B86,Data!$A:$AX,MATCH($R$1,Data!$A$1:$AX$1,),)-VLOOKUP(EDATE(B86,-12),Data!$A:$AX,MATCH($R$1,Data!$A$1:$AX$1,),))/VLOOKUP(EDATE(B86,-12),Data!$A:$AX,MATCH($R$1,Data!$A$1:$AX$1,),))</f>
        <v/>
      </c>
      <c r="S86" s="20">
        <f>IF(VLOOKUP(B86,Data!$A:$AX,MATCH($S$1,Data!$A$1:$AX$1,))=0,#N/A,(VLOOKUP(B86,Data!$A:$AX,MATCH($S$1,Data!$A$1:$AX$1,),)-VLOOKUP(EDATE(B86,-12),Data!$A:$AX,MATCH($S$1,Data!$A$1:$AX$1,),))/VLOOKUP(EDATE(B86,-12),Data!$A:$AX,MATCH($S$1,Data!$A$1:$AX$1,),))</f>
        <v/>
      </c>
      <c r="T86" s="20">
        <f>IF(VLOOKUP(B86,Data!$A:$AX,MATCH($T$1,Data!$A$1:$AX$1,))=0,#N/A,(VLOOKUP(B86,Data!$A:$AX,MATCH($T$1,Data!$A$1:$AX$1,),)-VLOOKUP(EDATE(B86,-12),Data!$A:$AX,MATCH($T$1,Data!$A$1:$AX$1,),))/VLOOKUP(EDATE(B86,-12),Data!$A:$AX,MATCH($T$1,Data!$A$1:$AX$1,),))</f>
        <v/>
      </c>
      <c r="U86" s="20">
        <f>IF(VLOOKUP(B86,Data!$A:$AX,MATCH($U$1,Data!$A$1:$AX$1,))=0,#N/A,(VLOOKUP(B86,Data!$A:$AX,MATCH($U$1,Data!$A$1:$AX$1,),)-VLOOKUP(EDATE(B86,-12),Data!$A:$AX,MATCH($U$1,Data!$A$1:$AX$1,),))/VLOOKUP(EDATE(B86,-12),Data!$A:$AX,MATCH($U$1,Data!$A$1:$AX$1,),))</f>
        <v/>
      </c>
      <c r="V86" s="20">
        <f>(VLOOKUP(B86,Data!$A:$AX,MATCH($V$1,Data!$A$1:$AX$1,),)-VLOOKUP(EDATE(B86,-12),Data!$A:$AX,MATCH($V$1,Data!$A$1:$AX$1,),))/VLOOKUP(EDATE(B86,-12),Data!$A:$AX,MATCH($V$1,Data!$A$1:$AX$1,),)</f>
        <v/>
      </c>
      <c r="W86" s="20">
        <f>IF(VLOOKUP(B86,Data!$A:$AX,MATCH($W$1,Data!$A$1:$AX$1,))=0,#N/A,(VLOOKUP(B86,Data!$A:$AX,MATCH($W$1,Data!$A$1:$AX$1,),)-VLOOKUP(EDATE(B86,-12),Data!$A:$AX,MATCH($W$1,Data!$A$1:$AX$1,),))/VLOOKUP(EDATE(B86,-12),Data!$A:$AX,MATCH($W$1,Data!$A$1:$AX$1,),))</f>
        <v/>
      </c>
      <c r="X86" s="20">
        <f>IF(VLOOKUP(B86,Data!$A:$AX,MATCH($X$1,Data!$A$1:$AX$1,))=0,#N/A,(VLOOKUP(B86,Data!$A:$AX,MATCH($X$1,Data!$A$1:$AX$1,),)-VLOOKUP(EDATE(B86,-12),Data!$A:$AX,MATCH($X$1,Data!$A$1:$AX$1,),))/VLOOKUP(EDATE(B86,-12),Data!$A:$AX,MATCH($X$1,Data!$A$1:$AX$1,),))</f>
        <v/>
      </c>
      <c r="Y86" s="20">
        <f>IF(VLOOKUP(B86,Data!$A:$AX,MATCH($Y$1,Data!$A$1:$AX$1,))=0,#N/A,(VLOOKUP(B86,Data!$A:$AX,MATCH($Y$1,Data!$A$1:$AX$1,),)-VLOOKUP(EDATE(B86,-12),Data!$A:$AX,MATCH($Y$1,Data!$A$1:$AX$1,),))/VLOOKUP(EDATE(B86,-12),Data!$A:$AX,MATCH($Y$1,Data!$A$1:$AX$1,),))</f>
        <v/>
      </c>
      <c r="Z86" s="20">
        <f>(VLOOKUP(B86,Data!$A:$AX,MATCH($Z$1,Data!$A$1:$AX$1,),)-VLOOKUP(EDATE(B86,-12),Data!$A:$AX,MATCH($Z$1,Data!$A$1:$AX$1,),))/VLOOKUP(EDATE(B86,-12),Data!$A:$AX,MATCH($Z$1,Data!$A$1:$AX$1,),)</f>
        <v/>
      </c>
      <c r="AA86" s="20">
        <f>(VLOOKUP(B86,Data!$A:$AX,MATCH($AA$1,Data!$A$1:$AX$1,),)-VLOOKUP(EDATE(B86,-12),Data!$A:$AX,MATCH($AA$1,Data!$A$1:$AX$1,),))/VLOOKUP(EDATE(B86,-12),Data!$A:$AX,MATCH($AA$1,Data!$A$1:$AX$1,),)</f>
        <v/>
      </c>
      <c r="AB86" s="19" t="n"/>
    </row>
    <row r="87">
      <c r="B87" s="15" t="n">
        <v>42856</v>
      </c>
      <c r="C87" s="20">
        <f>IF(VLOOKUP(B87,Data!$A:$AX,MATCH($C$1,Data!$A$1:$AX$1,))=0,#N/A,(VLOOKUP(B87,Data!$A:$AX,MATCH($C$1,Data!$A$1:$AX$1,),)-VLOOKUP(EDATE(B87,-12),Data!$A:$AX,MATCH($C$1,Data!$A$1:$AX$1,),))/VLOOKUP(EDATE(B87,-12),Data!$A:$AX,MATCH($C$1,Data!$A$1:$AX$1,),))</f>
        <v/>
      </c>
      <c r="D87" s="20">
        <f>IF(VLOOKUP(B87,Data!$A:$AX,MATCH($D$1,Data!$A$1:$AX$1,))=0,#N/A,(VLOOKUP(B87,Data!$A:$AX,MATCH($D$1,Data!$A$1:$AX$1,),)-VLOOKUP(EDATE(B87,-12),Data!$A:$AX,MATCH($D$1,Data!$A$1:$AX$1,),))/VLOOKUP(EDATE(B87,-12),Data!$A:$AX,MATCH($D$1,Data!$A$1:$AX$1,),))</f>
        <v/>
      </c>
      <c r="E87" s="20">
        <f>IF(VLOOKUP(B87,Data!$A:$AX,MATCH($E$1,Data!$A$1:$AX$1,))=0,#N/A,(VLOOKUP(B87,Data!$A:$AX,MATCH($E$1,Data!$A$1:$AX$1,),)-VLOOKUP(EDATE(B87,-12),Data!$A:$AX,MATCH($E$1,Data!$A$1:$AX$1,),))/VLOOKUP(EDATE(B87,-12),Data!$A:$AX,MATCH($E$1,Data!$A$1:$AX$1,),))</f>
        <v/>
      </c>
      <c r="F87" s="20">
        <f>IF(VLOOKUP(B87,Data!$A:$AX,MATCH($F$1,Data!$A$1:$AX$1,))=0,#N/A,(VLOOKUP(B87,Data!$A:$AX,MATCH($F$1,Data!$A$1:$AX$1,),)-VLOOKUP(EDATE(B87,-12),Data!$A:$AX,MATCH($F$1,Data!$A$1:$AX$1,),))/VLOOKUP(EDATE(B87,-12),Data!$A:$AX,MATCH($F$1,Data!$A$1:$AX$1,),))</f>
        <v/>
      </c>
      <c r="G87" s="20">
        <f>IF(VLOOKUP(B87,Data!$A:$AX,MATCH($G$1,Data!$A$1:$AX$1,))=0,#N/A,(VLOOKUP(B87,Data!$A:$AX,MATCH($G$1,Data!$A$1:$AX$1,),)-VLOOKUP(EDATE(B87,-12),Data!$A:$AX,MATCH($G$1,Data!$A$1:$AX$1,),))/VLOOKUP(EDATE(B87,-12),Data!$A:$AX,MATCH($G$1,Data!$A$1:$AX$1,),))</f>
        <v/>
      </c>
      <c r="H87" s="20">
        <f>IF(VLOOKUP(B87,Data!$A:$AX,MATCH($H$1,Data!$A$1:$AX$1,))=0,#N/A,(VLOOKUP(B87,Data!$A:$AX,MATCH($H$1,Data!$A$1:$AX$1,),)-VLOOKUP(EDATE(B87,-12),Data!$A:$AX,MATCH($H$1,Data!$A$1:$AX$1,),))/VLOOKUP(EDATE(B87,-12),Data!$A:$AX,MATCH($H$1,Data!$A$1:$AX$1,),))</f>
        <v/>
      </c>
      <c r="I87" s="20">
        <f>IF(VLOOKUP(B87,Data!$A:$AX,MATCH($I$1,Data!$A$1:$AX$1,))=0,#N/A,(VLOOKUP(B87,Data!$A:$AX,MATCH($I$1,Data!$A$1:$AX$1,),)-VLOOKUP(EDATE(B87,-12),Data!$A:$AX,MATCH($I$1,Data!$A$1:$AX$1,),))/VLOOKUP(EDATE(B87,-12),Data!$A:$AX,MATCH($I$1,Data!$A$1:$AX$1,),))</f>
        <v/>
      </c>
      <c r="J87" s="20">
        <f>IF(VLOOKUP(B87,Data!$A:$AX,MATCH($J$1,Data!$A$1:$AX$1,))=0,#N/A,(VLOOKUP(B87,Data!$A:$AX,MATCH($J$1,Data!$A$1:$AX$1,),)-VLOOKUP(EDATE(B87,-12),Data!$A:$AX,MATCH($J$1,Data!$A$1:$AX$1,),))/VLOOKUP(EDATE(B87,-12),Data!$A:$AX,MATCH($J$1,Data!$A$1:$AX$1,),))</f>
        <v/>
      </c>
      <c r="K87" s="20">
        <f>IF(VLOOKUP(B87,Data!$A:$AX,MATCH($K$1,Data!$A$1:$AX$1,))=0,#N/A,(VLOOKUP(B87,Data!$A:$AX,MATCH($K$1,Data!$A$1:$AX$1,),)-VLOOKUP(EDATE(B87,-12),Data!$A:$AX,MATCH($K$1,Data!$A$1:$AX$1,),))/VLOOKUP(EDATE(B87,-12),Data!$A:$AX,MATCH($K$1,Data!$A$1:$AX$1,),))</f>
        <v/>
      </c>
      <c r="L87" s="20">
        <f>IF(VLOOKUP(B87,Data!$A:$AX,MATCH($L$1,Data!$A$1:$AX$1,))=0,#N/A,(VLOOKUP(B87,Data!$A:$AX,MATCH($L$1,Data!$A$1:$AX$1,),)-VLOOKUP(EDATE(B87,-12),Data!$A:$AX,MATCH($L$1,Data!$A$1:$AX$1,),))/VLOOKUP(EDATE(B87,-12),Data!$A:$AX,MATCH($L$1,Data!$A$1:$AX$1,),))</f>
        <v/>
      </c>
      <c r="M87" s="20">
        <f>IF(VLOOKUP(B87,Data!$A:$AX,MATCH($M$1,Data!$A$1:$AX$1,))=0,#N/A,(VLOOKUP(B87,Data!$A:$AX,MATCH($M$1,Data!$A$1:$AX$1,),)-VLOOKUP(EDATE(B87,-12),Data!$A:$AX,MATCH($M$1,Data!$A$1:$AX$1,),))/VLOOKUP(EDATE(B87,-12),Data!$A:$AX,MATCH($M$1,Data!$A$1:$AX$1,),))</f>
        <v/>
      </c>
      <c r="N87" s="20">
        <f>(VLOOKUP(B87,Data!$A:$AX,MATCH($N$1,Data!$A$1:$AX$1,),)-VLOOKUP(EDATE(B87,-12),Data!$A:$AX,MATCH($N$1,Data!$A$1:$AX$1,),))/VLOOKUP(EDATE(B87,-12),Data!$A:$AX,MATCH($N$1,Data!$A$1:$AX$1,),)</f>
        <v/>
      </c>
      <c r="O87" s="20">
        <f>IF(VLOOKUP(B87,Data!$A:$AX,MATCH($O$1,Data!$A$1:$AX$1,))=0,#N/A,(VLOOKUP(B87,Data!$A:$AX,MATCH($O$1,Data!$A$1:$AX$1,),)-VLOOKUP(EDATE(B87,-12),Data!$A:$AX,MATCH($O$1,Data!$A$1:$AX$1,),))/VLOOKUP(EDATE(B87,-12),Data!$A:$AX,MATCH($O$1,Data!$A$1:$AX$1,),))</f>
        <v/>
      </c>
      <c r="P87" s="20">
        <f>IF(VLOOKUP(B87,Data!$A:$AX,MATCH($P$1,Data!$A$1:$AX$1,))=0,#N/A,(VLOOKUP(B87,Data!$A:$AX,MATCH($P$1,Data!$A$1:$AX$1,),)-VLOOKUP(EDATE(B87,-12),Data!$A:$AX,MATCH($P$1,Data!$A$1:$AX$1,),))/VLOOKUP(EDATE(B87,-12),Data!$A:$AX,MATCH($P$1,Data!$A$1:$AX$1,),))</f>
        <v/>
      </c>
      <c r="Q87" s="20">
        <f>(VLOOKUP(B87,Data!$A:$AX,MATCH($Q$1,Data!$A$1:$AX$1,),)-VLOOKUP(EDATE(B87,-12),Data!$A:$AX,MATCH($Q$1,Data!$A$1:$AX$1,),))/VLOOKUP(EDATE(B87,-12),Data!$A:$AX,MATCH($Q$1,Data!$A$1:$AX$1,),)</f>
        <v/>
      </c>
      <c r="R87" s="20">
        <f>IF(VLOOKUP(B87,Data!$A:$AX,MATCH($R$1,Data!$A$1:$AX$1,))=0,#N/A,(VLOOKUP(B87,Data!$A:$AX,MATCH($R$1,Data!$A$1:$AX$1,),)-VLOOKUP(EDATE(B87,-12),Data!$A:$AX,MATCH($R$1,Data!$A$1:$AX$1,),))/VLOOKUP(EDATE(B87,-12),Data!$A:$AX,MATCH($R$1,Data!$A$1:$AX$1,),))</f>
        <v/>
      </c>
      <c r="S87" s="20">
        <f>IF(VLOOKUP(B87,Data!$A:$AX,MATCH($S$1,Data!$A$1:$AX$1,))=0,#N/A,(VLOOKUP(B87,Data!$A:$AX,MATCH($S$1,Data!$A$1:$AX$1,),)-VLOOKUP(EDATE(B87,-12),Data!$A:$AX,MATCH($S$1,Data!$A$1:$AX$1,),))/VLOOKUP(EDATE(B87,-12),Data!$A:$AX,MATCH($S$1,Data!$A$1:$AX$1,),))</f>
        <v/>
      </c>
      <c r="T87" s="20">
        <f>IF(VLOOKUP(B87,Data!$A:$AX,MATCH($T$1,Data!$A$1:$AX$1,))=0,#N/A,(VLOOKUP(B87,Data!$A:$AX,MATCH($T$1,Data!$A$1:$AX$1,),)-VLOOKUP(EDATE(B87,-12),Data!$A:$AX,MATCH($T$1,Data!$A$1:$AX$1,),))/VLOOKUP(EDATE(B87,-12),Data!$A:$AX,MATCH($T$1,Data!$A$1:$AX$1,),))</f>
        <v/>
      </c>
      <c r="U87" s="20">
        <f>IF(VLOOKUP(B87,Data!$A:$AX,MATCH($U$1,Data!$A$1:$AX$1,))=0,#N/A,(VLOOKUP(B87,Data!$A:$AX,MATCH($U$1,Data!$A$1:$AX$1,),)-VLOOKUP(EDATE(B87,-12),Data!$A:$AX,MATCH($U$1,Data!$A$1:$AX$1,),))/VLOOKUP(EDATE(B87,-12),Data!$A:$AX,MATCH($U$1,Data!$A$1:$AX$1,),))</f>
        <v/>
      </c>
      <c r="V87" s="20">
        <f>(VLOOKUP(B87,Data!$A:$AX,MATCH($V$1,Data!$A$1:$AX$1,),)-VLOOKUP(EDATE(B87,-12),Data!$A:$AX,MATCH($V$1,Data!$A$1:$AX$1,),))/VLOOKUP(EDATE(B87,-12),Data!$A:$AX,MATCH($V$1,Data!$A$1:$AX$1,),)</f>
        <v/>
      </c>
      <c r="W87" s="20">
        <f>IF(VLOOKUP(B87,Data!$A:$AX,MATCH($W$1,Data!$A$1:$AX$1,))=0,#N/A,(VLOOKUP(B87,Data!$A:$AX,MATCH($W$1,Data!$A$1:$AX$1,),)-VLOOKUP(EDATE(B87,-12),Data!$A:$AX,MATCH($W$1,Data!$A$1:$AX$1,),))/VLOOKUP(EDATE(B87,-12),Data!$A:$AX,MATCH($W$1,Data!$A$1:$AX$1,),))</f>
        <v/>
      </c>
      <c r="X87" s="20">
        <f>IF(VLOOKUP(B87,Data!$A:$AX,MATCH($X$1,Data!$A$1:$AX$1,))=0,#N/A,(VLOOKUP(B87,Data!$A:$AX,MATCH($X$1,Data!$A$1:$AX$1,),)-VLOOKUP(EDATE(B87,-12),Data!$A:$AX,MATCH($X$1,Data!$A$1:$AX$1,),))/VLOOKUP(EDATE(B87,-12),Data!$A:$AX,MATCH($X$1,Data!$A$1:$AX$1,),))</f>
        <v/>
      </c>
      <c r="Y87" s="20">
        <f>IF(VLOOKUP(B87,Data!$A:$AX,MATCH($Y$1,Data!$A$1:$AX$1,))=0,#N/A,(VLOOKUP(B87,Data!$A:$AX,MATCH($Y$1,Data!$A$1:$AX$1,),)-VLOOKUP(EDATE(B87,-12),Data!$A:$AX,MATCH($Y$1,Data!$A$1:$AX$1,),))/VLOOKUP(EDATE(B87,-12),Data!$A:$AX,MATCH($Y$1,Data!$A$1:$AX$1,),))</f>
        <v/>
      </c>
      <c r="Z87" s="20">
        <f>(VLOOKUP(B87,Data!$A:$AX,MATCH($Z$1,Data!$A$1:$AX$1,),)-VLOOKUP(EDATE(B87,-12),Data!$A:$AX,MATCH($Z$1,Data!$A$1:$AX$1,),))/VLOOKUP(EDATE(B87,-12),Data!$A:$AX,MATCH($Z$1,Data!$A$1:$AX$1,),)</f>
        <v/>
      </c>
      <c r="AA87" s="20">
        <f>(VLOOKUP(B87,Data!$A:$AX,MATCH($AA$1,Data!$A$1:$AX$1,),)-VLOOKUP(EDATE(B87,-12),Data!$A:$AX,MATCH($AA$1,Data!$A$1:$AX$1,),))/VLOOKUP(EDATE(B87,-12),Data!$A:$AX,MATCH($AA$1,Data!$A$1:$AX$1,),)</f>
        <v/>
      </c>
      <c r="AB87" s="19" t="n"/>
    </row>
    <row r="88">
      <c r="B88" s="15" t="n">
        <v>42887</v>
      </c>
      <c r="C88" s="20">
        <f>IF(VLOOKUP(B88,Data!$A:$AX,MATCH($C$1,Data!$A$1:$AX$1,))=0,#N/A,(VLOOKUP(B88,Data!$A:$AX,MATCH($C$1,Data!$A$1:$AX$1,),)-VLOOKUP(EDATE(B88,-12),Data!$A:$AX,MATCH($C$1,Data!$A$1:$AX$1,),))/VLOOKUP(EDATE(B88,-12),Data!$A:$AX,MATCH($C$1,Data!$A$1:$AX$1,),))</f>
        <v/>
      </c>
      <c r="D88" s="20">
        <f>IF(VLOOKUP(B88,Data!$A:$AX,MATCH($D$1,Data!$A$1:$AX$1,))=0,#N/A,(VLOOKUP(B88,Data!$A:$AX,MATCH($D$1,Data!$A$1:$AX$1,),)-VLOOKUP(EDATE(B88,-12),Data!$A:$AX,MATCH($D$1,Data!$A$1:$AX$1,),))/VLOOKUP(EDATE(B88,-12),Data!$A:$AX,MATCH($D$1,Data!$A$1:$AX$1,),))</f>
        <v/>
      </c>
      <c r="E88" s="20">
        <f>IF(VLOOKUP(B88,Data!$A:$AX,MATCH($E$1,Data!$A$1:$AX$1,))=0,#N/A,(VLOOKUP(B88,Data!$A:$AX,MATCH($E$1,Data!$A$1:$AX$1,),)-VLOOKUP(EDATE(B88,-12),Data!$A:$AX,MATCH($E$1,Data!$A$1:$AX$1,),))/VLOOKUP(EDATE(B88,-12),Data!$A:$AX,MATCH($E$1,Data!$A$1:$AX$1,),))</f>
        <v/>
      </c>
      <c r="F88" s="20">
        <f>IF(VLOOKUP(B88,Data!$A:$AX,MATCH($F$1,Data!$A$1:$AX$1,))=0,#N/A,(VLOOKUP(B88,Data!$A:$AX,MATCH($F$1,Data!$A$1:$AX$1,),)-VLOOKUP(EDATE(B88,-12),Data!$A:$AX,MATCH($F$1,Data!$A$1:$AX$1,),))/VLOOKUP(EDATE(B88,-12),Data!$A:$AX,MATCH($F$1,Data!$A$1:$AX$1,),))</f>
        <v/>
      </c>
      <c r="G88" s="20">
        <f>IF(VLOOKUP(B88,Data!$A:$AX,MATCH($G$1,Data!$A$1:$AX$1,))=0,#N/A,(VLOOKUP(B88,Data!$A:$AX,MATCH($G$1,Data!$A$1:$AX$1,),)-VLOOKUP(EDATE(B88,-12),Data!$A:$AX,MATCH($G$1,Data!$A$1:$AX$1,),))/VLOOKUP(EDATE(B88,-12),Data!$A:$AX,MATCH($G$1,Data!$A$1:$AX$1,),))</f>
        <v/>
      </c>
      <c r="H88" s="20">
        <f>IF(VLOOKUP(B88,Data!$A:$AX,MATCH($H$1,Data!$A$1:$AX$1,))=0,#N/A,(VLOOKUP(B88,Data!$A:$AX,MATCH($H$1,Data!$A$1:$AX$1,),)-VLOOKUP(EDATE(B88,-12),Data!$A:$AX,MATCH($H$1,Data!$A$1:$AX$1,),))/VLOOKUP(EDATE(B88,-12),Data!$A:$AX,MATCH($H$1,Data!$A$1:$AX$1,),))</f>
        <v/>
      </c>
      <c r="I88" s="20">
        <f>IF(VLOOKUP(B88,Data!$A:$AX,MATCH($I$1,Data!$A$1:$AX$1,))=0,#N/A,(VLOOKUP(B88,Data!$A:$AX,MATCH($I$1,Data!$A$1:$AX$1,),)-VLOOKUP(EDATE(B88,-12),Data!$A:$AX,MATCH($I$1,Data!$A$1:$AX$1,),))/VLOOKUP(EDATE(B88,-12),Data!$A:$AX,MATCH($I$1,Data!$A$1:$AX$1,),))</f>
        <v/>
      </c>
      <c r="J88" s="20">
        <f>IF(VLOOKUP(B88,Data!$A:$AX,MATCH($J$1,Data!$A$1:$AX$1,))=0,#N/A,(VLOOKUP(B88,Data!$A:$AX,MATCH($J$1,Data!$A$1:$AX$1,),)-VLOOKUP(EDATE(B88,-12),Data!$A:$AX,MATCH($J$1,Data!$A$1:$AX$1,),))/VLOOKUP(EDATE(B88,-12),Data!$A:$AX,MATCH($J$1,Data!$A$1:$AX$1,),))</f>
        <v/>
      </c>
      <c r="K88" s="20">
        <f>IF(VLOOKUP(B88,Data!$A:$AX,MATCH($K$1,Data!$A$1:$AX$1,))=0,#N/A,(VLOOKUP(B88,Data!$A:$AX,MATCH($K$1,Data!$A$1:$AX$1,),)-VLOOKUP(EDATE(B88,-12),Data!$A:$AX,MATCH($K$1,Data!$A$1:$AX$1,),))/VLOOKUP(EDATE(B88,-12),Data!$A:$AX,MATCH($K$1,Data!$A$1:$AX$1,),))</f>
        <v/>
      </c>
      <c r="L88" s="20">
        <f>IF(VLOOKUP(B88,Data!$A:$AX,MATCH($L$1,Data!$A$1:$AX$1,))=0,#N/A,(VLOOKUP(B88,Data!$A:$AX,MATCH($L$1,Data!$A$1:$AX$1,),)-VLOOKUP(EDATE(B88,-12),Data!$A:$AX,MATCH($L$1,Data!$A$1:$AX$1,),))/VLOOKUP(EDATE(B88,-12),Data!$A:$AX,MATCH($L$1,Data!$A$1:$AX$1,),))</f>
        <v/>
      </c>
      <c r="M88" s="20">
        <f>IF(VLOOKUP(B88,Data!$A:$AX,MATCH($M$1,Data!$A$1:$AX$1,))=0,#N/A,(VLOOKUP(B88,Data!$A:$AX,MATCH($M$1,Data!$A$1:$AX$1,),)-VLOOKUP(EDATE(B88,-12),Data!$A:$AX,MATCH($M$1,Data!$A$1:$AX$1,),))/VLOOKUP(EDATE(B88,-12),Data!$A:$AX,MATCH($M$1,Data!$A$1:$AX$1,),))</f>
        <v/>
      </c>
      <c r="N88" s="20">
        <f>(VLOOKUP(B88,Data!$A:$AX,MATCH($N$1,Data!$A$1:$AX$1,),)-VLOOKUP(EDATE(B88,-12),Data!$A:$AX,MATCH($N$1,Data!$A$1:$AX$1,),))/VLOOKUP(EDATE(B88,-12),Data!$A:$AX,MATCH($N$1,Data!$A$1:$AX$1,),)</f>
        <v/>
      </c>
      <c r="O88" s="20">
        <f>IF(VLOOKUP(B88,Data!$A:$AX,MATCH($O$1,Data!$A$1:$AX$1,))=0,#N/A,(VLOOKUP(B88,Data!$A:$AX,MATCH($O$1,Data!$A$1:$AX$1,),)-VLOOKUP(EDATE(B88,-12),Data!$A:$AX,MATCH($O$1,Data!$A$1:$AX$1,),))/VLOOKUP(EDATE(B88,-12),Data!$A:$AX,MATCH($O$1,Data!$A$1:$AX$1,),))</f>
        <v/>
      </c>
      <c r="P88" s="20">
        <f>IF(VLOOKUP(B88,Data!$A:$AX,MATCH($P$1,Data!$A$1:$AX$1,))=0,#N/A,(VLOOKUP(B88,Data!$A:$AX,MATCH($P$1,Data!$A$1:$AX$1,),)-VLOOKUP(EDATE(B88,-12),Data!$A:$AX,MATCH($P$1,Data!$A$1:$AX$1,),))/VLOOKUP(EDATE(B88,-12),Data!$A:$AX,MATCH($P$1,Data!$A$1:$AX$1,),))</f>
        <v/>
      </c>
      <c r="Q88" s="20">
        <f>(VLOOKUP(B88,Data!$A:$AX,MATCH($Q$1,Data!$A$1:$AX$1,),)-VLOOKUP(EDATE(B88,-12),Data!$A:$AX,MATCH($Q$1,Data!$A$1:$AX$1,),))/VLOOKUP(EDATE(B88,-12),Data!$A:$AX,MATCH($Q$1,Data!$A$1:$AX$1,),)</f>
        <v/>
      </c>
      <c r="R88" s="20">
        <f>IF(VLOOKUP(B88,Data!$A:$AX,MATCH($R$1,Data!$A$1:$AX$1,))=0,#N/A,(VLOOKUP(B88,Data!$A:$AX,MATCH($R$1,Data!$A$1:$AX$1,),)-VLOOKUP(EDATE(B88,-12),Data!$A:$AX,MATCH($R$1,Data!$A$1:$AX$1,),))/VLOOKUP(EDATE(B88,-12),Data!$A:$AX,MATCH($R$1,Data!$A$1:$AX$1,),))</f>
        <v/>
      </c>
      <c r="S88" s="20">
        <f>IF(VLOOKUP(B88,Data!$A:$AX,MATCH($S$1,Data!$A$1:$AX$1,))=0,#N/A,(VLOOKUP(B88,Data!$A:$AX,MATCH($S$1,Data!$A$1:$AX$1,),)-VLOOKUP(EDATE(B88,-12),Data!$A:$AX,MATCH($S$1,Data!$A$1:$AX$1,),))/VLOOKUP(EDATE(B88,-12),Data!$A:$AX,MATCH($S$1,Data!$A$1:$AX$1,),))</f>
        <v/>
      </c>
      <c r="T88" s="20">
        <f>IF(VLOOKUP(B88,Data!$A:$AX,MATCH($T$1,Data!$A$1:$AX$1,))=0,#N/A,(VLOOKUP(B88,Data!$A:$AX,MATCH($T$1,Data!$A$1:$AX$1,),)-VLOOKUP(EDATE(B88,-12),Data!$A:$AX,MATCH($T$1,Data!$A$1:$AX$1,),))/VLOOKUP(EDATE(B88,-12),Data!$A:$AX,MATCH($T$1,Data!$A$1:$AX$1,),))</f>
        <v/>
      </c>
      <c r="U88" s="20">
        <f>IF(VLOOKUP(B88,Data!$A:$AX,MATCH($U$1,Data!$A$1:$AX$1,))=0,#N/A,(VLOOKUP(B88,Data!$A:$AX,MATCH($U$1,Data!$A$1:$AX$1,),)-VLOOKUP(EDATE(B88,-12),Data!$A:$AX,MATCH($U$1,Data!$A$1:$AX$1,),))/VLOOKUP(EDATE(B88,-12),Data!$A:$AX,MATCH($U$1,Data!$A$1:$AX$1,),))</f>
        <v/>
      </c>
      <c r="V88" s="20">
        <f>(VLOOKUP(B88,Data!$A:$AX,MATCH($V$1,Data!$A$1:$AX$1,),)-VLOOKUP(EDATE(B88,-12),Data!$A:$AX,MATCH($V$1,Data!$A$1:$AX$1,),))/VLOOKUP(EDATE(B88,-12),Data!$A:$AX,MATCH($V$1,Data!$A$1:$AX$1,),)</f>
        <v/>
      </c>
      <c r="W88" s="20">
        <f>IF(VLOOKUP(B88,Data!$A:$AX,MATCH($W$1,Data!$A$1:$AX$1,))=0,#N/A,(VLOOKUP(B88,Data!$A:$AX,MATCH($W$1,Data!$A$1:$AX$1,),)-VLOOKUP(EDATE(B88,-12),Data!$A:$AX,MATCH($W$1,Data!$A$1:$AX$1,),))/VLOOKUP(EDATE(B88,-12),Data!$A:$AX,MATCH($W$1,Data!$A$1:$AX$1,),))</f>
        <v/>
      </c>
      <c r="X88" s="20">
        <f>IF(VLOOKUP(B88,Data!$A:$AX,MATCH($X$1,Data!$A$1:$AX$1,))=0,#N/A,(VLOOKUP(B88,Data!$A:$AX,MATCH($X$1,Data!$A$1:$AX$1,),)-VLOOKUP(EDATE(B88,-12),Data!$A:$AX,MATCH($X$1,Data!$A$1:$AX$1,),))/VLOOKUP(EDATE(B88,-12),Data!$A:$AX,MATCH($X$1,Data!$A$1:$AX$1,),))</f>
        <v/>
      </c>
      <c r="Y88" s="20">
        <f>IF(VLOOKUP(B88,Data!$A:$AX,MATCH($Y$1,Data!$A$1:$AX$1,))=0,#N/A,(VLOOKUP(B88,Data!$A:$AX,MATCH($Y$1,Data!$A$1:$AX$1,),)-VLOOKUP(EDATE(B88,-12),Data!$A:$AX,MATCH($Y$1,Data!$A$1:$AX$1,),))/VLOOKUP(EDATE(B88,-12),Data!$A:$AX,MATCH($Y$1,Data!$A$1:$AX$1,),))</f>
        <v/>
      </c>
      <c r="Z88" s="20">
        <f>(VLOOKUP(B88,Data!$A:$AX,MATCH($Z$1,Data!$A$1:$AX$1,),)-VLOOKUP(EDATE(B88,-12),Data!$A:$AX,MATCH($Z$1,Data!$A$1:$AX$1,),))/VLOOKUP(EDATE(B88,-12),Data!$A:$AX,MATCH($Z$1,Data!$A$1:$AX$1,),)</f>
        <v/>
      </c>
      <c r="AA88" s="20">
        <f>(VLOOKUP(B88,Data!$A:$AX,MATCH($AA$1,Data!$A$1:$AX$1,),)-VLOOKUP(EDATE(B88,-12),Data!$A:$AX,MATCH($AA$1,Data!$A$1:$AX$1,),))/VLOOKUP(EDATE(B88,-12),Data!$A:$AX,MATCH($AA$1,Data!$A$1:$AX$1,),)</f>
        <v/>
      </c>
      <c r="AB88" s="19" t="n"/>
    </row>
    <row r="89">
      <c r="B89" s="15" t="n">
        <v>42917</v>
      </c>
      <c r="C89" s="20">
        <f>IF(VLOOKUP(B89,Data!$A:$AX,MATCH($C$1,Data!$A$1:$AX$1,))=0,#N/A,(VLOOKUP(B89,Data!$A:$AX,MATCH($C$1,Data!$A$1:$AX$1,),)-VLOOKUP(EDATE(B89,-12),Data!$A:$AX,MATCH($C$1,Data!$A$1:$AX$1,),))/VLOOKUP(EDATE(B89,-12),Data!$A:$AX,MATCH($C$1,Data!$A$1:$AX$1,),))</f>
        <v/>
      </c>
      <c r="D89" s="20">
        <f>IF(VLOOKUP(B89,Data!$A:$AX,MATCH($D$1,Data!$A$1:$AX$1,))=0,#N/A,(VLOOKUP(B89,Data!$A:$AX,MATCH($D$1,Data!$A$1:$AX$1,),)-VLOOKUP(EDATE(B89,-12),Data!$A:$AX,MATCH($D$1,Data!$A$1:$AX$1,),))/VLOOKUP(EDATE(B89,-12),Data!$A:$AX,MATCH($D$1,Data!$A$1:$AX$1,),))</f>
        <v/>
      </c>
      <c r="E89" s="20">
        <f>IF(VLOOKUP(B89,Data!$A:$AX,MATCH($E$1,Data!$A$1:$AX$1,))=0,#N/A,(VLOOKUP(B89,Data!$A:$AX,MATCH($E$1,Data!$A$1:$AX$1,),)-VLOOKUP(EDATE(B89,-12),Data!$A:$AX,MATCH($E$1,Data!$A$1:$AX$1,),))/VLOOKUP(EDATE(B89,-12),Data!$A:$AX,MATCH($E$1,Data!$A$1:$AX$1,),))</f>
        <v/>
      </c>
      <c r="F89" s="20">
        <f>IF(VLOOKUP(B89,Data!$A:$AX,MATCH($F$1,Data!$A$1:$AX$1,))=0,#N/A,(VLOOKUP(B89,Data!$A:$AX,MATCH($F$1,Data!$A$1:$AX$1,),)-VLOOKUP(EDATE(B89,-12),Data!$A:$AX,MATCH($F$1,Data!$A$1:$AX$1,),))/VLOOKUP(EDATE(B89,-12),Data!$A:$AX,MATCH($F$1,Data!$A$1:$AX$1,),))</f>
        <v/>
      </c>
      <c r="G89" s="20">
        <f>IF(VLOOKUP(B89,Data!$A:$AX,MATCH($G$1,Data!$A$1:$AX$1,))=0,#N/A,(VLOOKUP(B89,Data!$A:$AX,MATCH($G$1,Data!$A$1:$AX$1,),)-VLOOKUP(EDATE(B89,-12),Data!$A:$AX,MATCH($G$1,Data!$A$1:$AX$1,),))/VLOOKUP(EDATE(B89,-12),Data!$A:$AX,MATCH($G$1,Data!$A$1:$AX$1,),))</f>
        <v/>
      </c>
      <c r="H89" s="20">
        <f>IF(VLOOKUP(B89,Data!$A:$AX,MATCH($H$1,Data!$A$1:$AX$1,))=0,#N/A,(VLOOKUP(B89,Data!$A:$AX,MATCH($H$1,Data!$A$1:$AX$1,),)-VLOOKUP(EDATE(B89,-12),Data!$A:$AX,MATCH($H$1,Data!$A$1:$AX$1,),))/VLOOKUP(EDATE(B89,-12),Data!$A:$AX,MATCH($H$1,Data!$A$1:$AX$1,),))</f>
        <v/>
      </c>
      <c r="I89" s="20">
        <f>IF(VLOOKUP(B89,Data!$A:$AX,MATCH($I$1,Data!$A$1:$AX$1,))=0,#N/A,(VLOOKUP(B89,Data!$A:$AX,MATCH($I$1,Data!$A$1:$AX$1,),)-VLOOKUP(EDATE(B89,-12),Data!$A:$AX,MATCH($I$1,Data!$A$1:$AX$1,),))/VLOOKUP(EDATE(B89,-12),Data!$A:$AX,MATCH($I$1,Data!$A$1:$AX$1,),))</f>
        <v/>
      </c>
      <c r="J89" s="20">
        <f>IF(VLOOKUP(B89,Data!$A:$AX,MATCH($J$1,Data!$A$1:$AX$1,))=0,#N/A,(VLOOKUP(B89,Data!$A:$AX,MATCH($J$1,Data!$A$1:$AX$1,),)-VLOOKUP(EDATE(B89,-12),Data!$A:$AX,MATCH($J$1,Data!$A$1:$AX$1,),))/VLOOKUP(EDATE(B89,-12),Data!$A:$AX,MATCH($J$1,Data!$A$1:$AX$1,),))</f>
        <v/>
      </c>
      <c r="K89" s="20">
        <f>IF(VLOOKUP(B89,Data!$A:$AX,MATCH($K$1,Data!$A$1:$AX$1,))=0,#N/A,(VLOOKUP(B89,Data!$A:$AX,MATCH($K$1,Data!$A$1:$AX$1,),)-VLOOKUP(EDATE(B89,-12),Data!$A:$AX,MATCH($K$1,Data!$A$1:$AX$1,),))/VLOOKUP(EDATE(B89,-12),Data!$A:$AX,MATCH($K$1,Data!$A$1:$AX$1,),))</f>
        <v/>
      </c>
      <c r="L89" s="20">
        <f>IF(VLOOKUP(B89,Data!$A:$AX,MATCH($L$1,Data!$A$1:$AX$1,))=0,#N/A,(VLOOKUP(B89,Data!$A:$AX,MATCH($L$1,Data!$A$1:$AX$1,),)-VLOOKUP(EDATE(B89,-12),Data!$A:$AX,MATCH($L$1,Data!$A$1:$AX$1,),))/VLOOKUP(EDATE(B89,-12),Data!$A:$AX,MATCH($L$1,Data!$A$1:$AX$1,),))</f>
        <v/>
      </c>
      <c r="M89" s="20">
        <f>IF(VLOOKUP(B89,Data!$A:$AX,MATCH($M$1,Data!$A$1:$AX$1,))=0,#N/A,(VLOOKUP(B89,Data!$A:$AX,MATCH($M$1,Data!$A$1:$AX$1,),)-VLOOKUP(EDATE(B89,-12),Data!$A:$AX,MATCH($M$1,Data!$A$1:$AX$1,),))/VLOOKUP(EDATE(B89,-12),Data!$A:$AX,MATCH($M$1,Data!$A$1:$AX$1,),))</f>
        <v/>
      </c>
      <c r="N89" s="20">
        <f>(VLOOKUP(B89,Data!$A:$AX,MATCH($N$1,Data!$A$1:$AX$1,),)-VLOOKUP(EDATE(B89,-12),Data!$A:$AX,MATCH($N$1,Data!$A$1:$AX$1,),))/VLOOKUP(EDATE(B89,-12),Data!$A:$AX,MATCH($N$1,Data!$A$1:$AX$1,),)</f>
        <v/>
      </c>
      <c r="O89" s="20">
        <f>IF(VLOOKUP(B89,Data!$A:$AX,MATCH($O$1,Data!$A$1:$AX$1,))=0,#N/A,(VLOOKUP(B89,Data!$A:$AX,MATCH($O$1,Data!$A$1:$AX$1,),)-VLOOKUP(EDATE(B89,-12),Data!$A:$AX,MATCH($O$1,Data!$A$1:$AX$1,),))/VLOOKUP(EDATE(B89,-12),Data!$A:$AX,MATCH($O$1,Data!$A$1:$AX$1,),))</f>
        <v/>
      </c>
      <c r="P89" s="20">
        <f>IF(VLOOKUP(B89,Data!$A:$AX,MATCH($P$1,Data!$A$1:$AX$1,))=0,#N/A,(VLOOKUP(B89,Data!$A:$AX,MATCH($P$1,Data!$A$1:$AX$1,),)-VLOOKUP(EDATE(B89,-12),Data!$A:$AX,MATCH($P$1,Data!$A$1:$AX$1,),))/VLOOKUP(EDATE(B89,-12),Data!$A:$AX,MATCH($P$1,Data!$A$1:$AX$1,),))</f>
        <v/>
      </c>
      <c r="Q89" s="20">
        <f>(VLOOKUP(B89,Data!$A:$AX,MATCH($Q$1,Data!$A$1:$AX$1,),)-VLOOKUP(EDATE(B89,-12),Data!$A:$AX,MATCH($Q$1,Data!$A$1:$AX$1,),))/VLOOKUP(EDATE(B89,-12),Data!$A:$AX,MATCH($Q$1,Data!$A$1:$AX$1,),)</f>
        <v/>
      </c>
      <c r="R89" s="20">
        <f>IF(VLOOKUP(B89,Data!$A:$AX,MATCH($R$1,Data!$A$1:$AX$1,))=0,#N/A,(VLOOKUP(B89,Data!$A:$AX,MATCH($R$1,Data!$A$1:$AX$1,),)-VLOOKUP(EDATE(B89,-12),Data!$A:$AX,MATCH($R$1,Data!$A$1:$AX$1,),))/VLOOKUP(EDATE(B89,-12),Data!$A:$AX,MATCH($R$1,Data!$A$1:$AX$1,),))</f>
        <v/>
      </c>
      <c r="S89" s="20">
        <f>IF(VLOOKUP(B89,Data!$A:$AX,MATCH($S$1,Data!$A$1:$AX$1,))=0,#N/A,(VLOOKUP(B89,Data!$A:$AX,MATCH($S$1,Data!$A$1:$AX$1,),)-VLOOKUP(EDATE(B89,-12),Data!$A:$AX,MATCH($S$1,Data!$A$1:$AX$1,),))/VLOOKUP(EDATE(B89,-12),Data!$A:$AX,MATCH($S$1,Data!$A$1:$AX$1,),))</f>
        <v/>
      </c>
      <c r="T89" s="20">
        <f>IF(VLOOKUP(B89,Data!$A:$AX,MATCH($T$1,Data!$A$1:$AX$1,))=0,#N/A,(VLOOKUP(B89,Data!$A:$AX,MATCH($T$1,Data!$A$1:$AX$1,),)-VLOOKUP(EDATE(B89,-12),Data!$A:$AX,MATCH($T$1,Data!$A$1:$AX$1,),))/VLOOKUP(EDATE(B89,-12),Data!$A:$AX,MATCH($T$1,Data!$A$1:$AX$1,),))</f>
        <v/>
      </c>
      <c r="U89" s="20">
        <f>IF(VLOOKUP(B89,Data!$A:$AX,MATCH($U$1,Data!$A$1:$AX$1,))=0,#N/A,(VLOOKUP(B89,Data!$A:$AX,MATCH($U$1,Data!$A$1:$AX$1,),)-VLOOKUP(EDATE(B89,-12),Data!$A:$AX,MATCH($U$1,Data!$A$1:$AX$1,),))/VLOOKUP(EDATE(B89,-12),Data!$A:$AX,MATCH($U$1,Data!$A$1:$AX$1,),))</f>
        <v/>
      </c>
      <c r="V89" s="20">
        <f>(VLOOKUP(B89,Data!$A:$AX,MATCH($V$1,Data!$A$1:$AX$1,),)-VLOOKUP(EDATE(B89,-12),Data!$A:$AX,MATCH($V$1,Data!$A$1:$AX$1,),))/VLOOKUP(EDATE(B89,-12),Data!$A:$AX,MATCH($V$1,Data!$A$1:$AX$1,),)</f>
        <v/>
      </c>
      <c r="W89" s="20">
        <f>IF(VLOOKUP(B89,Data!$A:$AX,MATCH($W$1,Data!$A$1:$AX$1,))=0,#N/A,(VLOOKUP(B89,Data!$A:$AX,MATCH($W$1,Data!$A$1:$AX$1,),)-VLOOKUP(EDATE(B89,-12),Data!$A:$AX,MATCH($W$1,Data!$A$1:$AX$1,),))/VLOOKUP(EDATE(B89,-12),Data!$A:$AX,MATCH($W$1,Data!$A$1:$AX$1,),))</f>
        <v/>
      </c>
      <c r="X89" s="20">
        <f>IF(VLOOKUP(B89,Data!$A:$AX,MATCH($X$1,Data!$A$1:$AX$1,))=0,#N/A,(VLOOKUP(B89,Data!$A:$AX,MATCH($X$1,Data!$A$1:$AX$1,),)-VLOOKUP(EDATE(B89,-12),Data!$A:$AX,MATCH($X$1,Data!$A$1:$AX$1,),))/VLOOKUP(EDATE(B89,-12),Data!$A:$AX,MATCH($X$1,Data!$A$1:$AX$1,),))</f>
        <v/>
      </c>
      <c r="Y89" s="20">
        <f>IF(VLOOKUP(B89,Data!$A:$AX,MATCH($Y$1,Data!$A$1:$AX$1,))=0,#N/A,(VLOOKUP(B89,Data!$A:$AX,MATCH($Y$1,Data!$A$1:$AX$1,),)-VLOOKUP(EDATE(B89,-12),Data!$A:$AX,MATCH($Y$1,Data!$A$1:$AX$1,),))/VLOOKUP(EDATE(B89,-12),Data!$A:$AX,MATCH($Y$1,Data!$A$1:$AX$1,),))</f>
        <v/>
      </c>
      <c r="Z89" s="20">
        <f>(VLOOKUP(B89,Data!$A:$AX,MATCH($Z$1,Data!$A$1:$AX$1,),)-VLOOKUP(EDATE(B89,-12),Data!$A:$AX,MATCH($Z$1,Data!$A$1:$AX$1,),))/VLOOKUP(EDATE(B89,-12),Data!$A:$AX,MATCH($Z$1,Data!$A$1:$AX$1,),)</f>
        <v/>
      </c>
      <c r="AA89" s="20">
        <f>(VLOOKUP(B89,Data!$A:$AX,MATCH($AA$1,Data!$A$1:$AX$1,),)-VLOOKUP(EDATE(B89,-12),Data!$A:$AX,MATCH($AA$1,Data!$A$1:$AX$1,),))/VLOOKUP(EDATE(B89,-12),Data!$A:$AX,MATCH($AA$1,Data!$A$1:$AX$1,),)</f>
        <v/>
      </c>
      <c r="AB89" s="19" t="n"/>
    </row>
    <row r="90">
      <c r="B90" s="15" t="n">
        <v>42948</v>
      </c>
      <c r="C90" s="20">
        <f>IF(VLOOKUP(B90,Data!$A:$AX,MATCH($C$1,Data!$A$1:$AX$1,))=0,#N/A,(VLOOKUP(B90,Data!$A:$AX,MATCH($C$1,Data!$A$1:$AX$1,),)-VLOOKUP(EDATE(B90,-12),Data!$A:$AX,MATCH($C$1,Data!$A$1:$AX$1,),))/VLOOKUP(EDATE(B90,-12),Data!$A:$AX,MATCH($C$1,Data!$A$1:$AX$1,),))</f>
        <v/>
      </c>
      <c r="D90" s="20">
        <f>IF(VLOOKUP(B90,Data!$A:$AX,MATCH($D$1,Data!$A$1:$AX$1,))=0,#N/A,(VLOOKUP(B90,Data!$A:$AX,MATCH($D$1,Data!$A$1:$AX$1,),)-VLOOKUP(EDATE(B90,-12),Data!$A:$AX,MATCH($D$1,Data!$A$1:$AX$1,),))/VLOOKUP(EDATE(B90,-12),Data!$A:$AX,MATCH($D$1,Data!$A$1:$AX$1,),))</f>
        <v/>
      </c>
      <c r="E90" s="20">
        <f>IF(VLOOKUP(B90,Data!$A:$AX,MATCH($E$1,Data!$A$1:$AX$1,))=0,#N/A,(VLOOKUP(B90,Data!$A:$AX,MATCH($E$1,Data!$A$1:$AX$1,),)-VLOOKUP(EDATE(B90,-12),Data!$A:$AX,MATCH($E$1,Data!$A$1:$AX$1,),))/VLOOKUP(EDATE(B90,-12),Data!$A:$AX,MATCH($E$1,Data!$A$1:$AX$1,),))</f>
        <v/>
      </c>
      <c r="F90" s="20">
        <f>IF(VLOOKUP(B90,Data!$A:$AX,MATCH($F$1,Data!$A$1:$AX$1,))=0,#N/A,(VLOOKUP(B90,Data!$A:$AX,MATCH($F$1,Data!$A$1:$AX$1,),)-VLOOKUP(EDATE(B90,-12),Data!$A:$AX,MATCH($F$1,Data!$A$1:$AX$1,),))/VLOOKUP(EDATE(B90,-12),Data!$A:$AX,MATCH($F$1,Data!$A$1:$AX$1,),))</f>
        <v/>
      </c>
      <c r="G90" s="20">
        <f>IF(VLOOKUP(B90,Data!$A:$AX,MATCH($G$1,Data!$A$1:$AX$1,))=0,#N/A,(VLOOKUP(B90,Data!$A:$AX,MATCH($G$1,Data!$A$1:$AX$1,),)-VLOOKUP(EDATE(B90,-12),Data!$A:$AX,MATCH($G$1,Data!$A$1:$AX$1,),))/VLOOKUP(EDATE(B90,-12),Data!$A:$AX,MATCH($G$1,Data!$A$1:$AX$1,),))</f>
        <v/>
      </c>
      <c r="H90" s="20">
        <f>IF(VLOOKUP(B90,Data!$A:$AX,MATCH($H$1,Data!$A$1:$AX$1,))=0,#N/A,(VLOOKUP(B90,Data!$A:$AX,MATCH($H$1,Data!$A$1:$AX$1,),)-VLOOKUP(EDATE(B90,-12),Data!$A:$AX,MATCH($H$1,Data!$A$1:$AX$1,),))/VLOOKUP(EDATE(B90,-12),Data!$A:$AX,MATCH($H$1,Data!$A$1:$AX$1,),))</f>
        <v/>
      </c>
      <c r="I90" s="20">
        <f>IF(VLOOKUP(B90,Data!$A:$AX,MATCH($I$1,Data!$A$1:$AX$1,))=0,#N/A,(VLOOKUP(B90,Data!$A:$AX,MATCH($I$1,Data!$A$1:$AX$1,),)-VLOOKUP(EDATE(B90,-12),Data!$A:$AX,MATCH($I$1,Data!$A$1:$AX$1,),))/VLOOKUP(EDATE(B90,-12),Data!$A:$AX,MATCH($I$1,Data!$A$1:$AX$1,),))</f>
        <v/>
      </c>
      <c r="J90" s="20">
        <f>IF(VLOOKUP(B90,Data!$A:$AX,MATCH($J$1,Data!$A$1:$AX$1,))=0,#N/A,(VLOOKUP(B90,Data!$A:$AX,MATCH($J$1,Data!$A$1:$AX$1,),)-VLOOKUP(EDATE(B90,-12),Data!$A:$AX,MATCH($J$1,Data!$A$1:$AX$1,),))/VLOOKUP(EDATE(B90,-12),Data!$A:$AX,MATCH($J$1,Data!$A$1:$AX$1,),))</f>
        <v/>
      </c>
      <c r="K90" s="20">
        <f>IF(VLOOKUP(B90,Data!$A:$AX,MATCH($K$1,Data!$A$1:$AX$1,))=0,#N/A,(VLOOKUP(B90,Data!$A:$AX,MATCH($K$1,Data!$A$1:$AX$1,),)-VLOOKUP(EDATE(B90,-12),Data!$A:$AX,MATCH($K$1,Data!$A$1:$AX$1,),))/VLOOKUP(EDATE(B90,-12),Data!$A:$AX,MATCH($K$1,Data!$A$1:$AX$1,),))</f>
        <v/>
      </c>
      <c r="L90" s="20">
        <f>IF(VLOOKUP(B90,Data!$A:$AX,MATCH($L$1,Data!$A$1:$AX$1,))=0,#N/A,(VLOOKUP(B90,Data!$A:$AX,MATCH($L$1,Data!$A$1:$AX$1,),)-VLOOKUP(EDATE(B90,-12),Data!$A:$AX,MATCH($L$1,Data!$A$1:$AX$1,),))/VLOOKUP(EDATE(B90,-12),Data!$A:$AX,MATCH($L$1,Data!$A$1:$AX$1,),))</f>
        <v/>
      </c>
      <c r="M90" s="20">
        <f>IF(VLOOKUP(B90,Data!$A:$AX,MATCH($M$1,Data!$A$1:$AX$1,))=0,#N/A,(VLOOKUP(B90,Data!$A:$AX,MATCH($M$1,Data!$A$1:$AX$1,),)-VLOOKUP(EDATE(B90,-12),Data!$A:$AX,MATCH($M$1,Data!$A$1:$AX$1,),))/VLOOKUP(EDATE(B90,-12),Data!$A:$AX,MATCH($M$1,Data!$A$1:$AX$1,),))</f>
        <v/>
      </c>
      <c r="N90" s="20">
        <f>(VLOOKUP(B90,Data!$A:$AX,MATCH($N$1,Data!$A$1:$AX$1,),)-VLOOKUP(EDATE(B90,-12),Data!$A:$AX,MATCH($N$1,Data!$A$1:$AX$1,),))/VLOOKUP(EDATE(B90,-12),Data!$A:$AX,MATCH($N$1,Data!$A$1:$AX$1,),)</f>
        <v/>
      </c>
      <c r="O90" s="20">
        <f>IF(VLOOKUP(B90,Data!$A:$AX,MATCH($O$1,Data!$A$1:$AX$1,))=0,#N/A,(VLOOKUP(B90,Data!$A:$AX,MATCH($O$1,Data!$A$1:$AX$1,),)-VLOOKUP(EDATE(B90,-12),Data!$A:$AX,MATCH($O$1,Data!$A$1:$AX$1,),))/VLOOKUP(EDATE(B90,-12),Data!$A:$AX,MATCH($O$1,Data!$A$1:$AX$1,),))</f>
        <v/>
      </c>
      <c r="P90" s="20">
        <f>IF(VLOOKUP(B90,Data!$A:$AX,MATCH($P$1,Data!$A$1:$AX$1,))=0,#N/A,(VLOOKUP(B90,Data!$A:$AX,MATCH($P$1,Data!$A$1:$AX$1,),)-VLOOKUP(EDATE(B90,-12),Data!$A:$AX,MATCH($P$1,Data!$A$1:$AX$1,),))/VLOOKUP(EDATE(B90,-12),Data!$A:$AX,MATCH($P$1,Data!$A$1:$AX$1,),))</f>
        <v/>
      </c>
      <c r="Q90" s="20">
        <f>(VLOOKUP(B90,Data!$A:$AX,MATCH($Q$1,Data!$A$1:$AX$1,),)-VLOOKUP(EDATE(B90,-12),Data!$A:$AX,MATCH($Q$1,Data!$A$1:$AX$1,),))/VLOOKUP(EDATE(B90,-12),Data!$A:$AX,MATCH($Q$1,Data!$A$1:$AX$1,),)</f>
        <v/>
      </c>
      <c r="R90" s="20">
        <f>IF(VLOOKUP(B90,Data!$A:$AX,MATCH($R$1,Data!$A$1:$AX$1,))=0,#N/A,(VLOOKUP(B90,Data!$A:$AX,MATCH($R$1,Data!$A$1:$AX$1,),)-VLOOKUP(EDATE(B90,-12),Data!$A:$AX,MATCH($R$1,Data!$A$1:$AX$1,),))/VLOOKUP(EDATE(B90,-12),Data!$A:$AX,MATCH($R$1,Data!$A$1:$AX$1,),))</f>
        <v/>
      </c>
      <c r="S90" s="20">
        <f>IF(VLOOKUP(B90,Data!$A:$AX,MATCH($S$1,Data!$A$1:$AX$1,))=0,#N/A,(VLOOKUP(B90,Data!$A:$AX,MATCH($S$1,Data!$A$1:$AX$1,),)-VLOOKUP(EDATE(B90,-12),Data!$A:$AX,MATCH($S$1,Data!$A$1:$AX$1,),))/VLOOKUP(EDATE(B90,-12),Data!$A:$AX,MATCH($S$1,Data!$A$1:$AX$1,),))</f>
        <v/>
      </c>
      <c r="T90" s="20">
        <f>IF(VLOOKUP(B90,Data!$A:$AX,MATCH($T$1,Data!$A$1:$AX$1,))=0,#N/A,(VLOOKUP(B90,Data!$A:$AX,MATCH($T$1,Data!$A$1:$AX$1,),)-VLOOKUP(EDATE(B90,-12),Data!$A:$AX,MATCH($T$1,Data!$A$1:$AX$1,),))/VLOOKUP(EDATE(B90,-12),Data!$A:$AX,MATCH($T$1,Data!$A$1:$AX$1,),))</f>
        <v/>
      </c>
      <c r="U90" s="20">
        <f>IF(VLOOKUP(B90,Data!$A:$AX,MATCH($U$1,Data!$A$1:$AX$1,))=0,#N/A,(VLOOKUP(B90,Data!$A:$AX,MATCH($U$1,Data!$A$1:$AX$1,),)-VLOOKUP(EDATE(B90,-12),Data!$A:$AX,MATCH($U$1,Data!$A$1:$AX$1,),))/VLOOKUP(EDATE(B90,-12),Data!$A:$AX,MATCH($U$1,Data!$A$1:$AX$1,),))</f>
        <v/>
      </c>
      <c r="V90" s="20">
        <f>(VLOOKUP(B90,Data!$A:$AX,MATCH($V$1,Data!$A$1:$AX$1,),)-VLOOKUP(EDATE(B90,-12),Data!$A:$AX,MATCH($V$1,Data!$A$1:$AX$1,),))/VLOOKUP(EDATE(B90,-12),Data!$A:$AX,MATCH($V$1,Data!$A$1:$AX$1,),)</f>
        <v/>
      </c>
      <c r="W90" s="20">
        <f>IF(VLOOKUP(B90,Data!$A:$AX,MATCH($W$1,Data!$A$1:$AX$1,))=0,#N/A,(VLOOKUP(B90,Data!$A:$AX,MATCH($W$1,Data!$A$1:$AX$1,),)-VLOOKUP(EDATE(B90,-12),Data!$A:$AX,MATCH($W$1,Data!$A$1:$AX$1,),))/VLOOKUP(EDATE(B90,-12),Data!$A:$AX,MATCH($W$1,Data!$A$1:$AX$1,),))</f>
        <v/>
      </c>
      <c r="X90" s="20">
        <f>IF(VLOOKUP(B90,Data!$A:$AX,MATCH($X$1,Data!$A$1:$AX$1,))=0,#N/A,(VLOOKUP(B90,Data!$A:$AX,MATCH($X$1,Data!$A$1:$AX$1,),)-VLOOKUP(EDATE(B90,-12),Data!$A:$AX,MATCH($X$1,Data!$A$1:$AX$1,),))/VLOOKUP(EDATE(B90,-12),Data!$A:$AX,MATCH($X$1,Data!$A$1:$AX$1,),))</f>
        <v/>
      </c>
      <c r="Y90" s="20">
        <f>IF(VLOOKUP(B90,Data!$A:$AX,MATCH($Y$1,Data!$A$1:$AX$1,))=0,#N/A,(VLOOKUP(B90,Data!$A:$AX,MATCH($Y$1,Data!$A$1:$AX$1,),)-VLOOKUP(EDATE(B90,-12),Data!$A:$AX,MATCH($Y$1,Data!$A$1:$AX$1,),))/VLOOKUP(EDATE(B90,-12),Data!$A:$AX,MATCH($Y$1,Data!$A$1:$AX$1,),))</f>
        <v/>
      </c>
      <c r="Z90" s="20">
        <f>(VLOOKUP(B90,Data!$A:$AX,MATCH($Z$1,Data!$A$1:$AX$1,),)-VLOOKUP(EDATE(B90,-12),Data!$A:$AX,MATCH($Z$1,Data!$A$1:$AX$1,),))/VLOOKUP(EDATE(B90,-12),Data!$A:$AX,MATCH($Z$1,Data!$A$1:$AX$1,),)</f>
        <v/>
      </c>
      <c r="AA90" s="20">
        <f>(VLOOKUP(B90,Data!$A:$AX,MATCH($AA$1,Data!$A$1:$AX$1,),)-VLOOKUP(EDATE(B90,-12),Data!$A:$AX,MATCH($AA$1,Data!$A$1:$AX$1,),))/VLOOKUP(EDATE(B90,-12),Data!$A:$AX,MATCH($AA$1,Data!$A$1:$AX$1,),)</f>
        <v/>
      </c>
      <c r="AB90" s="19" t="n"/>
    </row>
    <row r="91">
      <c r="B91" s="15" t="n">
        <v>42979</v>
      </c>
      <c r="C91" s="20">
        <f>IF(VLOOKUP(B91,Data!$A:$AX,MATCH($C$1,Data!$A$1:$AX$1,))=0,#N/A,(VLOOKUP(B91,Data!$A:$AX,MATCH($C$1,Data!$A$1:$AX$1,),)-VLOOKUP(EDATE(B91,-12),Data!$A:$AX,MATCH($C$1,Data!$A$1:$AX$1,),))/VLOOKUP(EDATE(B91,-12),Data!$A:$AX,MATCH($C$1,Data!$A$1:$AX$1,),))</f>
        <v/>
      </c>
      <c r="D91" s="20">
        <f>IF(VLOOKUP(B91,Data!$A:$AX,MATCH($D$1,Data!$A$1:$AX$1,))=0,#N/A,(VLOOKUP(B91,Data!$A:$AX,MATCH($D$1,Data!$A$1:$AX$1,),)-VLOOKUP(EDATE(B91,-12),Data!$A:$AX,MATCH($D$1,Data!$A$1:$AX$1,),))/VLOOKUP(EDATE(B91,-12),Data!$A:$AX,MATCH($D$1,Data!$A$1:$AX$1,),))</f>
        <v/>
      </c>
      <c r="E91" s="20">
        <f>IF(VLOOKUP(B91,Data!$A:$AX,MATCH($E$1,Data!$A$1:$AX$1,))=0,#N/A,(VLOOKUP(B91,Data!$A:$AX,MATCH($E$1,Data!$A$1:$AX$1,),)-VLOOKUP(EDATE(B91,-12),Data!$A:$AX,MATCH($E$1,Data!$A$1:$AX$1,),))/VLOOKUP(EDATE(B91,-12),Data!$A:$AX,MATCH($E$1,Data!$A$1:$AX$1,),))</f>
        <v/>
      </c>
      <c r="F91" s="20">
        <f>IF(VLOOKUP(B91,Data!$A:$AX,MATCH($F$1,Data!$A$1:$AX$1,))=0,#N/A,(VLOOKUP(B91,Data!$A:$AX,MATCH($F$1,Data!$A$1:$AX$1,),)-VLOOKUP(EDATE(B91,-12),Data!$A:$AX,MATCH($F$1,Data!$A$1:$AX$1,),))/VLOOKUP(EDATE(B91,-12),Data!$A:$AX,MATCH($F$1,Data!$A$1:$AX$1,),))</f>
        <v/>
      </c>
      <c r="G91" s="20">
        <f>IF(VLOOKUP(B91,Data!$A:$AX,MATCH($G$1,Data!$A$1:$AX$1,))=0,#N/A,(VLOOKUP(B91,Data!$A:$AX,MATCH($G$1,Data!$A$1:$AX$1,),)-VLOOKUP(EDATE(B91,-12),Data!$A:$AX,MATCH($G$1,Data!$A$1:$AX$1,),))/VLOOKUP(EDATE(B91,-12),Data!$A:$AX,MATCH($G$1,Data!$A$1:$AX$1,),))</f>
        <v/>
      </c>
      <c r="H91" s="20">
        <f>IF(VLOOKUP(B91,Data!$A:$AX,MATCH($H$1,Data!$A$1:$AX$1,))=0,#N/A,(VLOOKUP(B91,Data!$A:$AX,MATCH($H$1,Data!$A$1:$AX$1,),)-VLOOKUP(EDATE(B91,-12),Data!$A:$AX,MATCH($H$1,Data!$A$1:$AX$1,),))/VLOOKUP(EDATE(B91,-12),Data!$A:$AX,MATCH($H$1,Data!$A$1:$AX$1,),))</f>
        <v/>
      </c>
      <c r="I91" s="20">
        <f>IF(VLOOKUP(B91,Data!$A:$AX,MATCH($I$1,Data!$A$1:$AX$1,))=0,#N/A,(VLOOKUP(B91,Data!$A:$AX,MATCH($I$1,Data!$A$1:$AX$1,),)-VLOOKUP(EDATE(B91,-12),Data!$A:$AX,MATCH($I$1,Data!$A$1:$AX$1,),))/VLOOKUP(EDATE(B91,-12),Data!$A:$AX,MATCH($I$1,Data!$A$1:$AX$1,),))</f>
        <v/>
      </c>
      <c r="J91" s="20">
        <f>IF(VLOOKUP(B91,Data!$A:$AX,MATCH($J$1,Data!$A$1:$AX$1,))=0,#N/A,(VLOOKUP(B91,Data!$A:$AX,MATCH($J$1,Data!$A$1:$AX$1,),)-VLOOKUP(EDATE(B91,-12),Data!$A:$AX,MATCH($J$1,Data!$A$1:$AX$1,),))/VLOOKUP(EDATE(B91,-12),Data!$A:$AX,MATCH($J$1,Data!$A$1:$AX$1,),))</f>
        <v/>
      </c>
      <c r="K91" s="20">
        <f>IF(VLOOKUP(B91,Data!$A:$AX,MATCH($K$1,Data!$A$1:$AX$1,))=0,#N/A,(VLOOKUP(B91,Data!$A:$AX,MATCH($K$1,Data!$A$1:$AX$1,),)-VLOOKUP(EDATE(B91,-12),Data!$A:$AX,MATCH($K$1,Data!$A$1:$AX$1,),))/VLOOKUP(EDATE(B91,-12),Data!$A:$AX,MATCH($K$1,Data!$A$1:$AX$1,),))</f>
        <v/>
      </c>
      <c r="L91" s="20">
        <f>IF(VLOOKUP(B91,Data!$A:$AX,MATCH($L$1,Data!$A$1:$AX$1,))=0,#N/A,(VLOOKUP(B91,Data!$A:$AX,MATCH($L$1,Data!$A$1:$AX$1,),)-VLOOKUP(EDATE(B91,-12),Data!$A:$AX,MATCH($L$1,Data!$A$1:$AX$1,),))/VLOOKUP(EDATE(B91,-12),Data!$A:$AX,MATCH($L$1,Data!$A$1:$AX$1,),))</f>
        <v/>
      </c>
      <c r="M91" s="20">
        <f>IF(VLOOKUP(B91,Data!$A:$AX,MATCH($M$1,Data!$A$1:$AX$1,))=0,#N/A,(VLOOKUP(B91,Data!$A:$AX,MATCH($M$1,Data!$A$1:$AX$1,),)-VLOOKUP(EDATE(B91,-12),Data!$A:$AX,MATCH($M$1,Data!$A$1:$AX$1,),))/VLOOKUP(EDATE(B91,-12),Data!$A:$AX,MATCH($M$1,Data!$A$1:$AX$1,),))</f>
        <v/>
      </c>
      <c r="N91" s="20">
        <f>(VLOOKUP(B91,Data!$A:$AX,MATCH($N$1,Data!$A$1:$AX$1,),)-VLOOKUP(EDATE(B91,-12),Data!$A:$AX,MATCH($N$1,Data!$A$1:$AX$1,),))/VLOOKUP(EDATE(B91,-12),Data!$A:$AX,MATCH($N$1,Data!$A$1:$AX$1,),)</f>
        <v/>
      </c>
      <c r="O91" s="20">
        <f>IF(VLOOKUP(B91,Data!$A:$AX,MATCH($O$1,Data!$A$1:$AX$1,))=0,#N/A,(VLOOKUP(B91,Data!$A:$AX,MATCH($O$1,Data!$A$1:$AX$1,),)-VLOOKUP(EDATE(B91,-12),Data!$A:$AX,MATCH($O$1,Data!$A$1:$AX$1,),))/VLOOKUP(EDATE(B91,-12),Data!$A:$AX,MATCH($O$1,Data!$A$1:$AX$1,),))</f>
        <v/>
      </c>
      <c r="P91" s="20">
        <f>IF(VLOOKUP(B91,Data!$A:$AX,MATCH($P$1,Data!$A$1:$AX$1,))=0,#N/A,(VLOOKUP(B91,Data!$A:$AX,MATCH($P$1,Data!$A$1:$AX$1,),)-VLOOKUP(EDATE(B91,-12),Data!$A:$AX,MATCH($P$1,Data!$A$1:$AX$1,),))/VLOOKUP(EDATE(B91,-12),Data!$A:$AX,MATCH($P$1,Data!$A$1:$AX$1,),))</f>
        <v/>
      </c>
      <c r="Q91" s="20">
        <f>(VLOOKUP(B91,Data!$A:$AX,MATCH($Q$1,Data!$A$1:$AX$1,),)-VLOOKUP(EDATE(B91,-12),Data!$A:$AX,MATCH($Q$1,Data!$A$1:$AX$1,),))/VLOOKUP(EDATE(B91,-12),Data!$A:$AX,MATCH($Q$1,Data!$A$1:$AX$1,),)</f>
        <v/>
      </c>
      <c r="R91" s="20">
        <f>IF(VLOOKUP(B91,Data!$A:$AX,MATCH($R$1,Data!$A$1:$AX$1,))=0,#N/A,(VLOOKUP(B91,Data!$A:$AX,MATCH($R$1,Data!$A$1:$AX$1,),)-VLOOKUP(EDATE(B91,-12),Data!$A:$AX,MATCH($R$1,Data!$A$1:$AX$1,),))/VLOOKUP(EDATE(B91,-12),Data!$A:$AX,MATCH($R$1,Data!$A$1:$AX$1,),))</f>
        <v/>
      </c>
      <c r="S91" s="20">
        <f>IF(VLOOKUP(B91,Data!$A:$AX,MATCH($S$1,Data!$A$1:$AX$1,))=0,#N/A,(VLOOKUP(B91,Data!$A:$AX,MATCH($S$1,Data!$A$1:$AX$1,),)-VLOOKUP(EDATE(B91,-12),Data!$A:$AX,MATCH($S$1,Data!$A$1:$AX$1,),))/VLOOKUP(EDATE(B91,-12),Data!$A:$AX,MATCH($S$1,Data!$A$1:$AX$1,),))</f>
        <v/>
      </c>
      <c r="T91" s="20">
        <f>IF(VLOOKUP(B91,Data!$A:$AX,MATCH($T$1,Data!$A$1:$AX$1,))=0,#N/A,(VLOOKUP(B91,Data!$A:$AX,MATCH($T$1,Data!$A$1:$AX$1,),)-VLOOKUP(EDATE(B91,-12),Data!$A:$AX,MATCH($T$1,Data!$A$1:$AX$1,),))/VLOOKUP(EDATE(B91,-12),Data!$A:$AX,MATCH($T$1,Data!$A$1:$AX$1,),))</f>
        <v/>
      </c>
      <c r="U91" s="20">
        <f>IF(VLOOKUP(B91,Data!$A:$AX,MATCH($U$1,Data!$A$1:$AX$1,))=0,#N/A,(VLOOKUP(B91,Data!$A:$AX,MATCH($U$1,Data!$A$1:$AX$1,),)-VLOOKUP(EDATE(B91,-12),Data!$A:$AX,MATCH($U$1,Data!$A$1:$AX$1,),))/VLOOKUP(EDATE(B91,-12),Data!$A:$AX,MATCH($U$1,Data!$A$1:$AX$1,),))</f>
        <v/>
      </c>
      <c r="V91" s="20">
        <f>(VLOOKUP(B91,Data!$A:$AX,MATCH($V$1,Data!$A$1:$AX$1,),)-VLOOKUP(EDATE(B91,-12),Data!$A:$AX,MATCH($V$1,Data!$A$1:$AX$1,),))/VLOOKUP(EDATE(B91,-12),Data!$A:$AX,MATCH($V$1,Data!$A$1:$AX$1,),)</f>
        <v/>
      </c>
      <c r="W91" s="20">
        <f>IF(VLOOKUP(B91,Data!$A:$AX,MATCH($W$1,Data!$A$1:$AX$1,))=0,#N/A,(VLOOKUP(B91,Data!$A:$AX,MATCH($W$1,Data!$A$1:$AX$1,),)-VLOOKUP(EDATE(B91,-12),Data!$A:$AX,MATCH($W$1,Data!$A$1:$AX$1,),))/VLOOKUP(EDATE(B91,-12),Data!$A:$AX,MATCH($W$1,Data!$A$1:$AX$1,),))</f>
        <v/>
      </c>
      <c r="X91" s="20">
        <f>IF(VLOOKUP(B91,Data!$A:$AX,MATCH($X$1,Data!$A$1:$AX$1,))=0,#N/A,(VLOOKUP(B91,Data!$A:$AX,MATCH($X$1,Data!$A$1:$AX$1,),)-VLOOKUP(EDATE(B91,-12),Data!$A:$AX,MATCH($X$1,Data!$A$1:$AX$1,),))/VLOOKUP(EDATE(B91,-12),Data!$A:$AX,MATCH($X$1,Data!$A$1:$AX$1,),))</f>
        <v/>
      </c>
      <c r="Y91" s="20">
        <f>IF(VLOOKUP(B91,Data!$A:$AX,MATCH($Y$1,Data!$A$1:$AX$1,))=0,#N/A,(VLOOKUP(B91,Data!$A:$AX,MATCH($Y$1,Data!$A$1:$AX$1,),)-VLOOKUP(EDATE(B91,-12),Data!$A:$AX,MATCH($Y$1,Data!$A$1:$AX$1,),))/VLOOKUP(EDATE(B91,-12),Data!$A:$AX,MATCH($Y$1,Data!$A$1:$AX$1,),))</f>
        <v/>
      </c>
      <c r="Z91" s="20">
        <f>(VLOOKUP(B91,Data!$A:$AX,MATCH($Z$1,Data!$A$1:$AX$1,),)-VLOOKUP(EDATE(B91,-12),Data!$A:$AX,MATCH($Z$1,Data!$A$1:$AX$1,),))/VLOOKUP(EDATE(B91,-12),Data!$A:$AX,MATCH($Z$1,Data!$A$1:$AX$1,),)</f>
        <v/>
      </c>
      <c r="AA91" s="20">
        <f>(VLOOKUP(B91,Data!$A:$AX,MATCH($AA$1,Data!$A$1:$AX$1,),)-VLOOKUP(EDATE(B91,-12),Data!$A:$AX,MATCH($AA$1,Data!$A$1:$AX$1,),))/VLOOKUP(EDATE(B91,-12),Data!$A:$AX,MATCH($AA$1,Data!$A$1:$AX$1,),)</f>
        <v/>
      </c>
      <c r="AB91" s="19" t="n"/>
    </row>
    <row r="92">
      <c r="B92" s="15" t="n">
        <v>43009</v>
      </c>
      <c r="C92" s="20">
        <f>IF(VLOOKUP(B92,Data!$A:$AX,MATCH($C$1,Data!$A$1:$AX$1,))=0,#N/A,(VLOOKUP(B92,Data!$A:$AX,MATCH($C$1,Data!$A$1:$AX$1,),)-VLOOKUP(EDATE(B92,-12),Data!$A:$AX,MATCH($C$1,Data!$A$1:$AX$1,),))/VLOOKUP(EDATE(B92,-12),Data!$A:$AX,MATCH($C$1,Data!$A$1:$AX$1,),))</f>
        <v/>
      </c>
      <c r="D92" s="20">
        <f>IF(VLOOKUP(B92,Data!$A:$AX,MATCH($D$1,Data!$A$1:$AX$1,))=0,#N/A,(VLOOKUP(B92,Data!$A:$AX,MATCH($D$1,Data!$A$1:$AX$1,),)-VLOOKUP(EDATE(B92,-12),Data!$A:$AX,MATCH($D$1,Data!$A$1:$AX$1,),))/VLOOKUP(EDATE(B92,-12),Data!$A:$AX,MATCH($D$1,Data!$A$1:$AX$1,),))</f>
        <v/>
      </c>
      <c r="E92" s="20">
        <f>IF(VLOOKUP(B92,Data!$A:$AX,MATCH($E$1,Data!$A$1:$AX$1,))=0,#N/A,(VLOOKUP(B92,Data!$A:$AX,MATCH($E$1,Data!$A$1:$AX$1,),)-VLOOKUP(EDATE(B92,-12),Data!$A:$AX,MATCH($E$1,Data!$A$1:$AX$1,),))/VLOOKUP(EDATE(B92,-12),Data!$A:$AX,MATCH($E$1,Data!$A$1:$AX$1,),))</f>
        <v/>
      </c>
      <c r="F92" s="20">
        <f>IF(VLOOKUP(B92,Data!$A:$AX,MATCH($F$1,Data!$A$1:$AX$1,))=0,#N/A,(VLOOKUP(B92,Data!$A:$AX,MATCH($F$1,Data!$A$1:$AX$1,),)-VLOOKUP(EDATE(B92,-12),Data!$A:$AX,MATCH($F$1,Data!$A$1:$AX$1,),))/VLOOKUP(EDATE(B92,-12),Data!$A:$AX,MATCH($F$1,Data!$A$1:$AX$1,),))</f>
        <v/>
      </c>
      <c r="G92" s="20">
        <f>IF(VLOOKUP(B92,Data!$A:$AX,MATCH($G$1,Data!$A$1:$AX$1,))=0,#N/A,(VLOOKUP(B92,Data!$A:$AX,MATCH($G$1,Data!$A$1:$AX$1,),)-VLOOKUP(EDATE(B92,-12),Data!$A:$AX,MATCH($G$1,Data!$A$1:$AX$1,),))/VLOOKUP(EDATE(B92,-12),Data!$A:$AX,MATCH($G$1,Data!$A$1:$AX$1,),))</f>
        <v/>
      </c>
      <c r="H92" s="20">
        <f>IF(VLOOKUP(B92,Data!$A:$AX,MATCH($H$1,Data!$A$1:$AX$1,))=0,#N/A,(VLOOKUP(B92,Data!$A:$AX,MATCH($H$1,Data!$A$1:$AX$1,),)-VLOOKUP(EDATE(B92,-12),Data!$A:$AX,MATCH($H$1,Data!$A$1:$AX$1,),))/VLOOKUP(EDATE(B92,-12),Data!$A:$AX,MATCH($H$1,Data!$A$1:$AX$1,),))</f>
        <v/>
      </c>
      <c r="I92" s="20">
        <f>IF(VLOOKUP(B92,Data!$A:$AX,MATCH($I$1,Data!$A$1:$AX$1,))=0,#N/A,(VLOOKUP(B92,Data!$A:$AX,MATCH($I$1,Data!$A$1:$AX$1,),)-VLOOKUP(EDATE(B92,-12),Data!$A:$AX,MATCH($I$1,Data!$A$1:$AX$1,),))/VLOOKUP(EDATE(B92,-12),Data!$A:$AX,MATCH($I$1,Data!$A$1:$AX$1,),))</f>
        <v/>
      </c>
      <c r="J92" s="20">
        <f>IF(VLOOKUP(B92,Data!$A:$AX,MATCH($J$1,Data!$A$1:$AX$1,))=0,#N/A,(VLOOKUP(B92,Data!$A:$AX,MATCH($J$1,Data!$A$1:$AX$1,),)-VLOOKUP(EDATE(B92,-12),Data!$A:$AX,MATCH($J$1,Data!$A$1:$AX$1,),))/VLOOKUP(EDATE(B92,-12),Data!$A:$AX,MATCH($J$1,Data!$A$1:$AX$1,),))</f>
        <v/>
      </c>
      <c r="K92" s="20">
        <f>IF(VLOOKUP(B92,Data!$A:$AX,MATCH($K$1,Data!$A$1:$AX$1,))=0,#N/A,(VLOOKUP(B92,Data!$A:$AX,MATCH($K$1,Data!$A$1:$AX$1,),)-VLOOKUP(EDATE(B92,-12),Data!$A:$AX,MATCH($K$1,Data!$A$1:$AX$1,),))/VLOOKUP(EDATE(B92,-12),Data!$A:$AX,MATCH($K$1,Data!$A$1:$AX$1,),))</f>
        <v/>
      </c>
      <c r="L92" s="20">
        <f>IF(VLOOKUP(B92,Data!$A:$AX,MATCH($L$1,Data!$A$1:$AX$1,))=0,#N/A,(VLOOKUP(B92,Data!$A:$AX,MATCH($L$1,Data!$A$1:$AX$1,),)-VLOOKUP(EDATE(B92,-12),Data!$A:$AX,MATCH($L$1,Data!$A$1:$AX$1,),))/VLOOKUP(EDATE(B92,-12),Data!$A:$AX,MATCH($L$1,Data!$A$1:$AX$1,),))</f>
        <v/>
      </c>
      <c r="M92" s="20">
        <f>IF(VLOOKUP(B92,Data!$A:$AX,MATCH($M$1,Data!$A$1:$AX$1,))=0,#N/A,(VLOOKUP(B92,Data!$A:$AX,MATCH($M$1,Data!$A$1:$AX$1,),)-VLOOKUP(EDATE(B92,-12),Data!$A:$AX,MATCH($M$1,Data!$A$1:$AX$1,),))/VLOOKUP(EDATE(B92,-12),Data!$A:$AX,MATCH($M$1,Data!$A$1:$AX$1,),))</f>
        <v/>
      </c>
      <c r="N92" s="20">
        <f>(VLOOKUP(B92,Data!$A:$AX,MATCH($N$1,Data!$A$1:$AX$1,),)-VLOOKUP(EDATE(B92,-12),Data!$A:$AX,MATCH($N$1,Data!$A$1:$AX$1,),))/VLOOKUP(EDATE(B92,-12),Data!$A:$AX,MATCH($N$1,Data!$A$1:$AX$1,),)</f>
        <v/>
      </c>
      <c r="O92" s="20">
        <f>IF(VLOOKUP(B92,Data!$A:$AX,MATCH($O$1,Data!$A$1:$AX$1,))=0,#N/A,(VLOOKUP(B92,Data!$A:$AX,MATCH($O$1,Data!$A$1:$AX$1,),)-VLOOKUP(EDATE(B92,-12),Data!$A:$AX,MATCH($O$1,Data!$A$1:$AX$1,),))/VLOOKUP(EDATE(B92,-12),Data!$A:$AX,MATCH($O$1,Data!$A$1:$AX$1,),))</f>
        <v/>
      </c>
      <c r="P92" s="20">
        <f>IF(VLOOKUP(B92,Data!$A:$AX,MATCH($P$1,Data!$A$1:$AX$1,))=0,#N/A,(VLOOKUP(B92,Data!$A:$AX,MATCH($P$1,Data!$A$1:$AX$1,),)-VLOOKUP(EDATE(B92,-12),Data!$A:$AX,MATCH($P$1,Data!$A$1:$AX$1,),))/VLOOKUP(EDATE(B92,-12),Data!$A:$AX,MATCH($P$1,Data!$A$1:$AX$1,),))</f>
        <v/>
      </c>
      <c r="Q92" s="20">
        <f>(VLOOKUP(B92,Data!$A:$AX,MATCH($Q$1,Data!$A$1:$AX$1,),)-VLOOKUP(EDATE(B92,-12),Data!$A:$AX,MATCH($Q$1,Data!$A$1:$AX$1,),))/VLOOKUP(EDATE(B92,-12),Data!$A:$AX,MATCH($Q$1,Data!$A$1:$AX$1,),)</f>
        <v/>
      </c>
      <c r="R92" s="20">
        <f>IF(VLOOKUP(B92,Data!$A:$AX,MATCH($R$1,Data!$A$1:$AX$1,))=0,#N/A,(VLOOKUP(B92,Data!$A:$AX,MATCH($R$1,Data!$A$1:$AX$1,),)-VLOOKUP(EDATE(B92,-12),Data!$A:$AX,MATCH($R$1,Data!$A$1:$AX$1,),))/VLOOKUP(EDATE(B92,-12),Data!$A:$AX,MATCH($R$1,Data!$A$1:$AX$1,),))</f>
        <v/>
      </c>
      <c r="S92" s="20">
        <f>IF(VLOOKUP(B92,Data!$A:$AX,MATCH($S$1,Data!$A$1:$AX$1,))=0,#N/A,(VLOOKUP(B92,Data!$A:$AX,MATCH($S$1,Data!$A$1:$AX$1,),)-VLOOKUP(EDATE(B92,-12),Data!$A:$AX,MATCH($S$1,Data!$A$1:$AX$1,),))/VLOOKUP(EDATE(B92,-12),Data!$A:$AX,MATCH($S$1,Data!$A$1:$AX$1,),))</f>
        <v/>
      </c>
      <c r="T92" s="20">
        <f>IF(VLOOKUP(B92,Data!$A:$AX,MATCH($T$1,Data!$A$1:$AX$1,))=0,#N/A,(VLOOKUP(B92,Data!$A:$AX,MATCH($T$1,Data!$A$1:$AX$1,),)-VLOOKUP(EDATE(B92,-12),Data!$A:$AX,MATCH($T$1,Data!$A$1:$AX$1,),))/VLOOKUP(EDATE(B92,-12),Data!$A:$AX,MATCH($T$1,Data!$A$1:$AX$1,),))</f>
        <v/>
      </c>
      <c r="U92" s="20">
        <f>IF(VLOOKUP(B92,Data!$A:$AX,MATCH($U$1,Data!$A$1:$AX$1,))=0,#N/A,(VLOOKUP(B92,Data!$A:$AX,MATCH($U$1,Data!$A$1:$AX$1,),)-VLOOKUP(EDATE(B92,-12),Data!$A:$AX,MATCH($U$1,Data!$A$1:$AX$1,),))/VLOOKUP(EDATE(B92,-12),Data!$A:$AX,MATCH($U$1,Data!$A$1:$AX$1,),))</f>
        <v/>
      </c>
      <c r="V92" s="20">
        <f>(VLOOKUP(B92,Data!$A:$AX,MATCH($V$1,Data!$A$1:$AX$1,),)-VLOOKUP(EDATE(B92,-12),Data!$A:$AX,MATCH($V$1,Data!$A$1:$AX$1,),))/VLOOKUP(EDATE(B92,-12),Data!$A:$AX,MATCH($V$1,Data!$A$1:$AX$1,),)</f>
        <v/>
      </c>
      <c r="W92" s="20">
        <f>IF(VLOOKUP(B92,Data!$A:$AX,MATCH($W$1,Data!$A$1:$AX$1,))=0,#N/A,(VLOOKUP(B92,Data!$A:$AX,MATCH($W$1,Data!$A$1:$AX$1,),)-VLOOKUP(EDATE(B92,-12),Data!$A:$AX,MATCH($W$1,Data!$A$1:$AX$1,),))/VLOOKUP(EDATE(B92,-12),Data!$A:$AX,MATCH($W$1,Data!$A$1:$AX$1,),))</f>
        <v/>
      </c>
      <c r="X92" s="20">
        <f>IF(VLOOKUP(B92,Data!$A:$AX,MATCH($X$1,Data!$A$1:$AX$1,))=0,#N/A,(VLOOKUP(B92,Data!$A:$AX,MATCH($X$1,Data!$A$1:$AX$1,),)-VLOOKUP(EDATE(B92,-12),Data!$A:$AX,MATCH($X$1,Data!$A$1:$AX$1,),))/VLOOKUP(EDATE(B92,-12),Data!$A:$AX,MATCH($X$1,Data!$A$1:$AX$1,),))</f>
        <v/>
      </c>
      <c r="Y92" s="20">
        <f>IF(VLOOKUP(B92,Data!$A:$AX,MATCH($Y$1,Data!$A$1:$AX$1,))=0,#N/A,(VLOOKUP(B92,Data!$A:$AX,MATCH($Y$1,Data!$A$1:$AX$1,),)-VLOOKUP(EDATE(B92,-12),Data!$A:$AX,MATCH($Y$1,Data!$A$1:$AX$1,),))/VLOOKUP(EDATE(B92,-12),Data!$A:$AX,MATCH($Y$1,Data!$A$1:$AX$1,),))</f>
        <v/>
      </c>
      <c r="Z92" s="20">
        <f>(VLOOKUP(B92,Data!$A:$AX,MATCH($Z$1,Data!$A$1:$AX$1,),)-VLOOKUP(EDATE(B92,-12),Data!$A:$AX,MATCH($Z$1,Data!$A$1:$AX$1,),))/VLOOKUP(EDATE(B92,-12),Data!$A:$AX,MATCH($Z$1,Data!$A$1:$AX$1,),)</f>
        <v/>
      </c>
      <c r="AA92" s="20">
        <f>(VLOOKUP(B92,Data!$A:$AX,MATCH($AA$1,Data!$A$1:$AX$1,),)-VLOOKUP(EDATE(B92,-12),Data!$A:$AX,MATCH($AA$1,Data!$A$1:$AX$1,),))/VLOOKUP(EDATE(B92,-12),Data!$A:$AX,MATCH($AA$1,Data!$A$1:$AX$1,),)</f>
        <v/>
      </c>
      <c r="AB92" s="19" t="n"/>
    </row>
    <row r="93">
      <c r="B93" s="15" t="n">
        <v>43040</v>
      </c>
      <c r="C93" s="20">
        <f>IF(VLOOKUP(B93,Data!$A:$AX,MATCH($C$1,Data!$A$1:$AX$1,))=0,#N/A,(VLOOKUP(B93,Data!$A:$AX,MATCH($C$1,Data!$A$1:$AX$1,),)-VLOOKUP(EDATE(B93,-12),Data!$A:$AX,MATCH($C$1,Data!$A$1:$AX$1,),))/VLOOKUP(EDATE(B93,-12),Data!$A:$AX,MATCH($C$1,Data!$A$1:$AX$1,),))</f>
        <v/>
      </c>
      <c r="D93" s="20">
        <f>IF(VLOOKUP(B93,Data!$A:$AX,MATCH($D$1,Data!$A$1:$AX$1,))=0,#N/A,(VLOOKUP(B93,Data!$A:$AX,MATCH($D$1,Data!$A$1:$AX$1,),)-VLOOKUP(EDATE(B93,-12),Data!$A:$AX,MATCH($D$1,Data!$A$1:$AX$1,),))/VLOOKUP(EDATE(B93,-12),Data!$A:$AX,MATCH($D$1,Data!$A$1:$AX$1,),))</f>
        <v/>
      </c>
      <c r="E93" s="20">
        <f>IF(VLOOKUP(B93,Data!$A:$AX,MATCH($E$1,Data!$A$1:$AX$1,))=0,#N/A,(VLOOKUP(B93,Data!$A:$AX,MATCH($E$1,Data!$A$1:$AX$1,),)-VLOOKUP(EDATE(B93,-12),Data!$A:$AX,MATCH($E$1,Data!$A$1:$AX$1,),))/VLOOKUP(EDATE(B93,-12),Data!$A:$AX,MATCH($E$1,Data!$A$1:$AX$1,),))</f>
        <v/>
      </c>
      <c r="F93" s="20">
        <f>IF(VLOOKUP(B93,Data!$A:$AX,MATCH($F$1,Data!$A$1:$AX$1,))=0,#N/A,(VLOOKUP(B93,Data!$A:$AX,MATCH($F$1,Data!$A$1:$AX$1,),)-VLOOKUP(EDATE(B93,-12),Data!$A:$AX,MATCH($F$1,Data!$A$1:$AX$1,),))/VLOOKUP(EDATE(B93,-12),Data!$A:$AX,MATCH($F$1,Data!$A$1:$AX$1,),))</f>
        <v/>
      </c>
      <c r="G93" s="20">
        <f>IF(VLOOKUP(B93,Data!$A:$AX,MATCH($G$1,Data!$A$1:$AX$1,))=0,#N/A,(VLOOKUP(B93,Data!$A:$AX,MATCH($G$1,Data!$A$1:$AX$1,),)-VLOOKUP(EDATE(B93,-12),Data!$A:$AX,MATCH($G$1,Data!$A$1:$AX$1,),))/VLOOKUP(EDATE(B93,-12),Data!$A:$AX,MATCH($G$1,Data!$A$1:$AX$1,),))</f>
        <v/>
      </c>
      <c r="H93" s="20">
        <f>IF(VLOOKUP(B93,Data!$A:$AX,MATCH($H$1,Data!$A$1:$AX$1,))=0,#N/A,(VLOOKUP(B93,Data!$A:$AX,MATCH($H$1,Data!$A$1:$AX$1,),)-VLOOKUP(EDATE(B93,-12),Data!$A:$AX,MATCH($H$1,Data!$A$1:$AX$1,),))/VLOOKUP(EDATE(B93,-12),Data!$A:$AX,MATCH($H$1,Data!$A$1:$AX$1,),))</f>
        <v/>
      </c>
      <c r="I93" s="20">
        <f>IF(VLOOKUP(B93,Data!$A:$AX,MATCH($I$1,Data!$A$1:$AX$1,))=0,#N/A,(VLOOKUP(B93,Data!$A:$AX,MATCH($I$1,Data!$A$1:$AX$1,),)-VLOOKUP(EDATE(B93,-12),Data!$A:$AX,MATCH($I$1,Data!$A$1:$AX$1,),))/VLOOKUP(EDATE(B93,-12),Data!$A:$AX,MATCH($I$1,Data!$A$1:$AX$1,),))</f>
        <v/>
      </c>
      <c r="J93" s="20">
        <f>IF(VLOOKUP(B93,Data!$A:$AX,MATCH($J$1,Data!$A$1:$AX$1,))=0,#N/A,(VLOOKUP(B93,Data!$A:$AX,MATCH($J$1,Data!$A$1:$AX$1,),)-VLOOKUP(EDATE(B93,-12),Data!$A:$AX,MATCH($J$1,Data!$A$1:$AX$1,),))/VLOOKUP(EDATE(B93,-12),Data!$A:$AX,MATCH($J$1,Data!$A$1:$AX$1,),))</f>
        <v/>
      </c>
      <c r="K93" s="20">
        <f>IF(VLOOKUP(B93,Data!$A:$AX,MATCH($K$1,Data!$A$1:$AX$1,))=0,#N/A,(VLOOKUP(B93,Data!$A:$AX,MATCH($K$1,Data!$A$1:$AX$1,),)-VLOOKUP(EDATE(B93,-12),Data!$A:$AX,MATCH($K$1,Data!$A$1:$AX$1,),))/VLOOKUP(EDATE(B93,-12),Data!$A:$AX,MATCH($K$1,Data!$A$1:$AX$1,),))</f>
        <v/>
      </c>
      <c r="L93" s="20">
        <f>IF(VLOOKUP(B93,Data!$A:$AX,MATCH($L$1,Data!$A$1:$AX$1,))=0,#N/A,(VLOOKUP(B93,Data!$A:$AX,MATCH($L$1,Data!$A$1:$AX$1,),)-VLOOKUP(EDATE(B93,-12),Data!$A:$AX,MATCH($L$1,Data!$A$1:$AX$1,),))/VLOOKUP(EDATE(B93,-12),Data!$A:$AX,MATCH($L$1,Data!$A$1:$AX$1,),))</f>
        <v/>
      </c>
      <c r="M93" s="20">
        <f>IF(VLOOKUP(B93,Data!$A:$AX,MATCH($M$1,Data!$A$1:$AX$1,))=0,#N/A,(VLOOKUP(B93,Data!$A:$AX,MATCH($M$1,Data!$A$1:$AX$1,),)-VLOOKUP(EDATE(B93,-12),Data!$A:$AX,MATCH($M$1,Data!$A$1:$AX$1,),))/VLOOKUP(EDATE(B93,-12),Data!$A:$AX,MATCH($M$1,Data!$A$1:$AX$1,),))</f>
        <v/>
      </c>
      <c r="N93" s="20">
        <f>(VLOOKUP(B93,Data!$A:$AX,MATCH($N$1,Data!$A$1:$AX$1,),)-VLOOKUP(EDATE(B93,-12),Data!$A:$AX,MATCH($N$1,Data!$A$1:$AX$1,),))/VLOOKUP(EDATE(B93,-12),Data!$A:$AX,MATCH($N$1,Data!$A$1:$AX$1,),)</f>
        <v/>
      </c>
      <c r="O93" s="20">
        <f>IF(VLOOKUP(B93,Data!$A:$AX,MATCH($O$1,Data!$A$1:$AX$1,))=0,#N/A,(VLOOKUP(B93,Data!$A:$AX,MATCH($O$1,Data!$A$1:$AX$1,),)-VLOOKUP(EDATE(B93,-12),Data!$A:$AX,MATCH($O$1,Data!$A$1:$AX$1,),))/VLOOKUP(EDATE(B93,-12),Data!$A:$AX,MATCH($O$1,Data!$A$1:$AX$1,),))</f>
        <v/>
      </c>
      <c r="P93" s="20">
        <f>IF(VLOOKUP(B93,Data!$A:$AX,MATCH($P$1,Data!$A$1:$AX$1,))=0,#N/A,(VLOOKUP(B93,Data!$A:$AX,MATCH($P$1,Data!$A$1:$AX$1,),)-VLOOKUP(EDATE(B93,-12),Data!$A:$AX,MATCH($P$1,Data!$A$1:$AX$1,),))/VLOOKUP(EDATE(B93,-12),Data!$A:$AX,MATCH($P$1,Data!$A$1:$AX$1,),))</f>
        <v/>
      </c>
      <c r="Q93" s="20">
        <f>(VLOOKUP(B93,Data!$A:$AX,MATCH($Q$1,Data!$A$1:$AX$1,),)-VLOOKUP(EDATE(B93,-12),Data!$A:$AX,MATCH($Q$1,Data!$A$1:$AX$1,),))/VLOOKUP(EDATE(B93,-12),Data!$A:$AX,MATCH($Q$1,Data!$A$1:$AX$1,),)</f>
        <v/>
      </c>
      <c r="R93" s="20">
        <f>IF(VLOOKUP(B93,Data!$A:$AX,MATCH($R$1,Data!$A$1:$AX$1,))=0,#N/A,(VLOOKUP(B93,Data!$A:$AX,MATCH($R$1,Data!$A$1:$AX$1,),)-VLOOKUP(EDATE(B93,-12),Data!$A:$AX,MATCH($R$1,Data!$A$1:$AX$1,),))/VLOOKUP(EDATE(B93,-12),Data!$A:$AX,MATCH($R$1,Data!$A$1:$AX$1,),))</f>
        <v/>
      </c>
      <c r="S93" s="20">
        <f>IF(VLOOKUP(B93,Data!$A:$AX,MATCH($S$1,Data!$A$1:$AX$1,))=0,#N/A,(VLOOKUP(B93,Data!$A:$AX,MATCH($S$1,Data!$A$1:$AX$1,),)-VLOOKUP(EDATE(B93,-12),Data!$A:$AX,MATCH($S$1,Data!$A$1:$AX$1,),))/VLOOKUP(EDATE(B93,-12),Data!$A:$AX,MATCH($S$1,Data!$A$1:$AX$1,),))</f>
        <v/>
      </c>
      <c r="T93" s="20">
        <f>IF(VLOOKUP(B93,Data!$A:$AX,MATCH($T$1,Data!$A$1:$AX$1,))=0,#N/A,(VLOOKUP(B93,Data!$A:$AX,MATCH($T$1,Data!$A$1:$AX$1,),)-VLOOKUP(EDATE(B93,-12),Data!$A:$AX,MATCH($T$1,Data!$A$1:$AX$1,),))/VLOOKUP(EDATE(B93,-12),Data!$A:$AX,MATCH($T$1,Data!$A$1:$AX$1,),))</f>
        <v/>
      </c>
      <c r="U93" s="20">
        <f>IF(VLOOKUP(B93,Data!$A:$AX,MATCH($U$1,Data!$A$1:$AX$1,))=0,#N/A,(VLOOKUP(B93,Data!$A:$AX,MATCH($U$1,Data!$A$1:$AX$1,),)-VLOOKUP(EDATE(B93,-12),Data!$A:$AX,MATCH($U$1,Data!$A$1:$AX$1,),))/VLOOKUP(EDATE(B93,-12),Data!$A:$AX,MATCH($U$1,Data!$A$1:$AX$1,),))</f>
        <v/>
      </c>
      <c r="V93" s="20">
        <f>(VLOOKUP(B93,Data!$A:$AX,MATCH($V$1,Data!$A$1:$AX$1,),)-VLOOKUP(EDATE(B93,-12),Data!$A:$AX,MATCH($V$1,Data!$A$1:$AX$1,),))/VLOOKUP(EDATE(B93,-12),Data!$A:$AX,MATCH($V$1,Data!$A$1:$AX$1,),)</f>
        <v/>
      </c>
      <c r="W93" s="20">
        <f>IF(VLOOKUP(B93,Data!$A:$AX,MATCH($W$1,Data!$A$1:$AX$1,))=0,#N/A,(VLOOKUP(B93,Data!$A:$AX,MATCH($W$1,Data!$A$1:$AX$1,),)-VLOOKUP(EDATE(B93,-12),Data!$A:$AX,MATCH($W$1,Data!$A$1:$AX$1,),))/VLOOKUP(EDATE(B93,-12),Data!$A:$AX,MATCH($W$1,Data!$A$1:$AX$1,),))</f>
        <v/>
      </c>
      <c r="X93" s="20">
        <f>IF(VLOOKUP(B93,Data!$A:$AX,MATCH($X$1,Data!$A$1:$AX$1,))=0,#N/A,(VLOOKUP(B93,Data!$A:$AX,MATCH($X$1,Data!$A$1:$AX$1,),)-VLOOKUP(EDATE(B93,-12),Data!$A:$AX,MATCH($X$1,Data!$A$1:$AX$1,),))/VLOOKUP(EDATE(B93,-12),Data!$A:$AX,MATCH($X$1,Data!$A$1:$AX$1,),))</f>
        <v/>
      </c>
      <c r="Y93" s="20">
        <f>IF(VLOOKUP(B93,Data!$A:$AX,MATCH($Y$1,Data!$A$1:$AX$1,))=0,#N/A,(VLOOKUP(B93,Data!$A:$AX,MATCH($Y$1,Data!$A$1:$AX$1,),)-VLOOKUP(EDATE(B93,-12),Data!$A:$AX,MATCH($Y$1,Data!$A$1:$AX$1,),))/VLOOKUP(EDATE(B93,-12),Data!$A:$AX,MATCH($Y$1,Data!$A$1:$AX$1,),))</f>
        <v/>
      </c>
      <c r="Z93" s="20">
        <f>(VLOOKUP(B93,Data!$A:$AX,MATCH($Z$1,Data!$A$1:$AX$1,),)-VLOOKUP(EDATE(B93,-12),Data!$A:$AX,MATCH($Z$1,Data!$A$1:$AX$1,),))/VLOOKUP(EDATE(B93,-12),Data!$A:$AX,MATCH($Z$1,Data!$A$1:$AX$1,),)</f>
        <v/>
      </c>
      <c r="AA93" s="20">
        <f>(VLOOKUP(B93,Data!$A:$AX,MATCH($AA$1,Data!$A$1:$AX$1,),)-VLOOKUP(EDATE(B93,-12),Data!$A:$AX,MATCH($AA$1,Data!$A$1:$AX$1,),))/VLOOKUP(EDATE(B93,-12),Data!$A:$AX,MATCH($AA$1,Data!$A$1:$AX$1,),)</f>
        <v/>
      </c>
      <c r="AB93" s="19" t="n"/>
    </row>
    <row r="94">
      <c r="B94" s="15" t="n">
        <v>43070</v>
      </c>
      <c r="C94" s="20">
        <f>IF(VLOOKUP(B94,Data!$A:$AX,MATCH($C$1,Data!$A$1:$AX$1,))=0,#N/A,(VLOOKUP(B94,Data!$A:$AX,MATCH($C$1,Data!$A$1:$AX$1,),)-VLOOKUP(EDATE(B94,-12),Data!$A:$AX,MATCH($C$1,Data!$A$1:$AX$1,),))/VLOOKUP(EDATE(B94,-12),Data!$A:$AX,MATCH($C$1,Data!$A$1:$AX$1,),))</f>
        <v/>
      </c>
      <c r="D94" s="20">
        <f>IF(VLOOKUP(B94,Data!$A:$AX,MATCH($D$1,Data!$A$1:$AX$1,))=0,#N/A,(VLOOKUP(B94,Data!$A:$AX,MATCH($D$1,Data!$A$1:$AX$1,),)-VLOOKUP(EDATE(B94,-12),Data!$A:$AX,MATCH($D$1,Data!$A$1:$AX$1,),))/VLOOKUP(EDATE(B94,-12),Data!$A:$AX,MATCH($D$1,Data!$A$1:$AX$1,),))</f>
        <v/>
      </c>
      <c r="E94" s="20">
        <f>IF(VLOOKUP(B94,Data!$A:$AX,MATCH($E$1,Data!$A$1:$AX$1,))=0,#N/A,(VLOOKUP(B94,Data!$A:$AX,MATCH($E$1,Data!$A$1:$AX$1,),)-VLOOKUP(EDATE(B94,-12),Data!$A:$AX,MATCH($E$1,Data!$A$1:$AX$1,),))/VLOOKUP(EDATE(B94,-12),Data!$A:$AX,MATCH($E$1,Data!$A$1:$AX$1,),))</f>
        <v/>
      </c>
      <c r="F94" s="20">
        <f>IF(VLOOKUP(B94,Data!$A:$AX,MATCH($F$1,Data!$A$1:$AX$1,))=0,#N/A,(VLOOKUP(B94,Data!$A:$AX,MATCH($F$1,Data!$A$1:$AX$1,),)-VLOOKUP(EDATE(B94,-12),Data!$A:$AX,MATCH($F$1,Data!$A$1:$AX$1,),))/VLOOKUP(EDATE(B94,-12),Data!$A:$AX,MATCH($F$1,Data!$A$1:$AX$1,),))</f>
        <v/>
      </c>
      <c r="G94" s="20">
        <f>IF(VLOOKUP(B94,Data!$A:$AX,MATCH($G$1,Data!$A$1:$AX$1,))=0,#N/A,(VLOOKUP(B94,Data!$A:$AX,MATCH($G$1,Data!$A$1:$AX$1,),)-VLOOKUP(EDATE(B94,-12),Data!$A:$AX,MATCH($G$1,Data!$A$1:$AX$1,),))/VLOOKUP(EDATE(B94,-12),Data!$A:$AX,MATCH($G$1,Data!$A$1:$AX$1,),))</f>
        <v/>
      </c>
      <c r="H94" s="20">
        <f>IF(VLOOKUP(B94,Data!$A:$AX,MATCH($H$1,Data!$A$1:$AX$1,))=0,#N/A,(VLOOKUP(B94,Data!$A:$AX,MATCH($H$1,Data!$A$1:$AX$1,),)-VLOOKUP(EDATE(B94,-12),Data!$A:$AX,MATCH($H$1,Data!$A$1:$AX$1,),))/VLOOKUP(EDATE(B94,-12),Data!$A:$AX,MATCH($H$1,Data!$A$1:$AX$1,),))</f>
        <v/>
      </c>
      <c r="I94" s="20">
        <f>IF(VLOOKUP(B94,Data!$A:$AX,MATCH($I$1,Data!$A$1:$AX$1,))=0,#N/A,(VLOOKUP(B94,Data!$A:$AX,MATCH($I$1,Data!$A$1:$AX$1,),)-VLOOKUP(EDATE(B94,-12),Data!$A:$AX,MATCH($I$1,Data!$A$1:$AX$1,),))/VLOOKUP(EDATE(B94,-12),Data!$A:$AX,MATCH($I$1,Data!$A$1:$AX$1,),))</f>
        <v/>
      </c>
      <c r="J94" s="20">
        <f>IF(VLOOKUP(B94,Data!$A:$AX,MATCH($J$1,Data!$A$1:$AX$1,))=0,#N/A,(VLOOKUP(B94,Data!$A:$AX,MATCH($J$1,Data!$A$1:$AX$1,),)-VLOOKUP(EDATE(B94,-12),Data!$A:$AX,MATCH($J$1,Data!$A$1:$AX$1,),))/VLOOKUP(EDATE(B94,-12),Data!$A:$AX,MATCH($J$1,Data!$A$1:$AX$1,),))</f>
        <v/>
      </c>
      <c r="K94" s="20">
        <f>IF(VLOOKUP(B94,Data!$A:$AX,MATCH($K$1,Data!$A$1:$AX$1,))=0,#N/A,(VLOOKUP(B94,Data!$A:$AX,MATCH($K$1,Data!$A$1:$AX$1,),)-VLOOKUP(EDATE(B94,-12),Data!$A:$AX,MATCH($K$1,Data!$A$1:$AX$1,),))/VLOOKUP(EDATE(B94,-12),Data!$A:$AX,MATCH($K$1,Data!$A$1:$AX$1,),))</f>
        <v/>
      </c>
      <c r="L94" s="20">
        <f>IF(VLOOKUP(B94,Data!$A:$AX,MATCH($L$1,Data!$A$1:$AX$1,))=0,#N/A,(VLOOKUP(B94,Data!$A:$AX,MATCH($L$1,Data!$A$1:$AX$1,),)-VLOOKUP(EDATE(B94,-12),Data!$A:$AX,MATCH($L$1,Data!$A$1:$AX$1,),))/VLOOKUP(EDATE(B94,-12),Data!$A:$AX,MATCH($L$1,Data!$A$1:$AX$1,),))</f>
        <v/>
      </c>
      <c r="M94" s="20">
        <f>IF(VLOOKUP(B94,Data!$A:$AX,MATCH($M$1,Data!$A$1:$AX$1,))=0,#N/A,(VLOOKUP(B94,Data!$A:$AX,MATCH($M$1,Data!$A$1:$AX$1,),)-VLOOKUP(EDATE(B94,-12),Data!$A:$AX,MATCH($M$1,Data!$A$1:$AX$1,),))/VLOOKUP(EDATE(B94,-12),Data!$A:$AX,MATCH($M$1,Data!$A$1:$AX$1,),))</f>
        <v/>
      </c>
      <c r="N94" s="20">
        <f>(VLOOKUP(B94,Data!$A:$AX,MATCH($N$1,Data!$A$1:$AX$1,),)-VLOOKUP(EDATE(B94,-12),Data!$A:$AX,MATCH($N$1,Data!$A$1:$AX$1,),))/VLOOKUP(EDATE(B94,-12),Data!$A:$AX,MATCH($N$1,Data!$A$1:$AX$1,),)</f>
        <v/>
      </c>
      <c r="O94" s="20">
        <f>IF(VLOOKUP(B94,Data!$A:$AX,MATCH($O$1,Data!$A$1:$AX$1,))=0,#N/A,(VLOOKUP(B94,Data!$A:$AX,MATCH($O$1,Data!$A$1:$AX$1,),)-VLOOKUP(EDATE(B94,-12),Data!$A:$AX,MATCH($O$1,Data!$A$1:$AX$1,),))/VLOOKUP(EDATE(B94,-12),Data!$A:$AX,MATCH($O$1,Data!$A$1:$AX$1,),))</f>
        <v/>
      </c>
      <c r="P94" s="20">
        <f>IF(VLOOKUP(B94,Data!$A:$AX,MATCH($P$1,Data!$A$1:$AX$1,))=0,#N/A,(VLOOKUP(B94,Data!$A:$AX,MATCH($P$1,Data!$A$1:$AX$1,),)-VLOOKUP(EDATE(B94,-12),Data!$A:$AX,MATCH($P$1,Data!$A$1:$AX$1,),))/VLOOKUP(EDATE(B94,-12),Data!$A:$AX,MATCH($P$1,Data!$A$1:$AX$1,),))</f>
        <v/>
      </c>
      <c r="Q94" s="20">
        <f>(VLOOKUP(B94,Data!$A:$AX,MATCH($Q$1,Data!$A$1:$AX$1,),)-VLOOKUP(EDATE(B94,-12),Data!$A:$AX,MATCH($Q$1,Data!$A$1:$AX$1,),))/VLOOKUP(EDATE(B94,-12),Data!$A:$AX,MATCH($Q$1,Data!$A$1:$AX$1,),)</f>
        <v/>
      </c>
      <c r="R94" s="20">
        <f>IF(VLOOKUP(B94,Data!$A:$AX,MATCH($R$1,Data!$A$1:$AX$1,))=0,#N/A,(VLOOKUP(B94,Data!$A:$AX,MATCH($R$1,Data!$A$1:$AX$1,),)-VLOOKUP(EDATE(B94,-12),Data!$A:$AX,MATCH($R$1,Data!$A$1:$AX$1,),))/VLOOKUP(EDATE(B94,-12),Data!$A:$AX,MATCH($R$1,Data!$A$1:$AX$1,),))</f>
        <v/>
      </c>
      <c r="S94" s="20">
        <f>IF(VLOOKUP(B94,Data!$A:$AX,MATCH($S$1,Data!$A$1:$AX$1,))=0,#N/A,(VLOOKUP(B94,Data!$A:$AX,MATCH($S$1,Data!$A$1:$AX$1,),)-VLOOKUP(EDATE(B94,-12),Data!$A:$AX,MATCH($S$1,Data!$A$1:$AX$1,),))/VLOOKUP(EDATE(B94,-12),Data!$A:$AX,MATCH($S$1,Data!$A$1:$AX$1,),))</f>
        <v/>
      </c>
      <c r="T94" s="20">
        <f>IF(VLOOKUP(B94,Data!$A:$AX,MATCH($T$1,Data!$A$1:$AX$1,))=0,#N/A,(VLOOKUP(B94,Data!$A:$AX,MATCH($T$1,Data!$A$1:$AX$1,),)-VLOOKUP(EDATE(B94,-12),Data!$A:$AX,MATCH($T$1,Data!$A$1:$AX$1,),))/VLOOKUP(EDATE(B94,-12),Data!$A:$AX,MATCH($T$1,Data!$A$1:$AX$1,),))</f>
        <v/>
      </c>
      <c r="U94" s="20">
        <f>IF(VLOOKUP(B94,Data!$A:$AX,MATCH($U$1,Data!$A$1:$AX$1,))=0,#N/A,(VLOOKUP(B94,Data!$A:$AX,MATCH($U$1,Data!$A$1:$AX$1,),)-VLOOKUP(EDATE(B94,-12),Data!$A:$AX,MATCH($U$1,Data!$A$1:$AX$1,),))/VLOOKUP(EDATE(B94,-12),Data!$A:$AX,MATCH($U$1,Data!$A$1:$AX$1,),))</f>
        <v/>
      </c>
      <c r="V94" s="20">
        <f>(VLOOKUP(B94,Data!$A:$AX,MATCH($V$1,Data!$A$1:$AX$1,),)-VLOOKUP(EDATE(B94,-12),Data!$A:$AX,MATCH($V$1,Data!$A$1:$AX$1,),))/VLOOKUP(EDATE(B94,-12),Data!$A:$AX,MATCH($V$1,Data!$A$1:$AX$1,),)</f>
        <v/>
      </c>
      <c r="W94" s="20">
        <f>IF(VLOOKUP(B94,Data!$A:$AX,MATCH($W$1,Data!$A$1:$AX$1,))=0,#N/A,(VLOOKUP(B94,Data!$A:$AX,MATCH($W$1,Data!$A$1:$AX$1,),)-VLOOKUP(EDATE(B94,-12),Data!$A:$AX,MATCH($W$1,Data!$A$1:$AX$1,),))/VLOOKUP(EDATE(B94,-12),Data!$A:$AX,MATCH($W$1,Data!$A$1:$AX$1,),))</f>
        <v/>
      </c>
      <c r="X94" s="20">
        <f>IF(VLOOKUP(B94,Data!$A:$AX,MATCH($X$1,Data!$A$1:$AX$1,))=0,#N/A,(VLOOKUP(B94,Data!$A:$AX,MATCH($X$1,Data!$A$1:$AX$1,),)-VLOOKUP(EDATE(B94,-12),Data!$A:$AX,MATCH($X$1,Data!$A$1:$AX$1,),))/VLOOKUP(EDATE(B94,-12),Data!$A:$AX,MATCH($X$1,Data!$A$1:$AX$1,),))</f>
        <v/>
      </c>
      <c r="Y94" s="20">
        <f>IF(VLOOKUP(B94,Data!$A:$AX,MATCH($Y$1,Data!$A$1:$AX$1,))=0,#N/A,(VLOOKUP(B94,Data!$A:$AX,MATCH($Y$1,Data!$A$1:$AX$1,),)-VLOOKUP(EDATE(B94,-12),Data!$A:$AX,MATCH($Y$1,Data!$A$1:$AX$1,),))/VLOOKUP(EDATE(B94,-12),Data!$A:$AX,MATCH($Y$1,Data!$A$1:$AX$1,),))</f>
        <v/>
      </c>
      <c r="Z94" s="20">
        <f>(VLOOKUP(B94,Data!$A:$AX,MATCH($Z$1,Data!$A$1:$AX$1,),)-VLOOKUP(EDATE(B94,-12),Data!$A:$AX,MATCH($Z$1,Data!$A$1:$AX$1,),))/VLOOKUP(EDATE(B94,-12),Data!$A:$AX,MATCH($Z$1,Data!$A$1:$AX$1,),)</f>
        <v/>
      </c>
      <c r="AA94" s="20">
        <f>(VLOOKUP(B94,Data!$A:$AX,MATCH($AA$1,Data!$A$1:$AX$1,),)-VLOOKUP(EDATE(B94,-12),Data!$A:$AX,MATCH($AA$1,Data!$A$1:$AX$1,),))/VLOOKUP(EDATE(B94,-12),Data!$A:$AX,MATCH($AA$1,Data!$A$1:$AX$1,),)</f>
        <v/>
      </c>
      <c r="AB94" s="19" t="n"/>
    </row>
    <row r="95">
      <c r="B95" s="15" t="n">
        <v>43101</v>
      </c>
      <c r="C95" s="20">
        <f>IF(VLOOKUP(B95,Data!$A:$AX,MATCH($C$1,Data!$A$1:$AX$1,))=0,#N/A,(VLOOKUP(B95,Data!$A:$AX,MATCH($C$1,Data!$A$1:$AX$1,),)-VLOOKUP(EDATE(B95,-12),Data!$A:$AX,MATCH($C$1,Data!$A$1:$AX$1,),))/VLOOKUP(EDATE(B95,-12),Data!$A:$AX,MATCH($C$1,Data!$A$1:$AX$1,),))</f>
        <v/>
      </c>
      <c r="D95" s="20">
        <f>IF(VLOOKUP(B95,Data!$A:$AX,MATCH($D$1,Data!$A$1:$AX$1,))=0,#N/A,(VLOOKUP(B95,Data!$A:$AX,MATCH($D$1,Data!$A$1:$AX$1,),)-VLOOKUP(EDATE(B95,-12),Data!$A:$AX,MATCH($D$1,Data!$A$1:$AX$1,),))/VLOOKUP(EDATE(B95,-12),Data!$A:$AX,MATCH($D$1,Data!$A$1:$AX$1,),))</f>
        <v/>
      </c>
      <c r="E95" s="20">
        <f>IF(VLOOKUP(B95,Data!$A:$AX,MATCH($E$1,Data!$A$1:$AX$1,))=0,#N/A,(VLOOKUP(B95,Data!$A:$AX,MATCH($E$1,Data!$A$1:$AX$1,),)-VLOOKUP(EDATE(B95,-12),Data!$A:$AX,MATCH($E$1,Data!$A$1:$AX$1,),))/VLOOKUP(EDATE(B95,-12),Data!$A:$AX,MATCH($E$1,Data!$A$1:$AX$1,),))</f>
        <v/>
      </c>
      <c r="F95" s="20">
        <f>IF(VLOOKUP(B95,Data!$A:$AX,MATCH($F$1,Data!$A$1:$AX$1,))=0,#N/A,(VLOOKUP(B95,Data!$A:$AX,MATCH($F$1,Data!$A$1:$AX$1,),)-VLOOKUP(EDATE(B95,-12),Data!$A:$AX,MATCH($F$1,Data!$A$1:$AX$1,),))/VLOOKUP(EDATE(B95,-12),Data!$A:$AX,MATCH($F$1,Data!$A$1:$AX$1,),))</f>
        <v/>
      </c>
      <c r="G95" s="20">
        <f>IF(VLOOKUP(B95,Data!$A:$AX,MATCH($G$1,Data!$A$1:$AX$1,))=0,#N/A,(VLOOKUP(B95,Data!$A:$AX,MATCH($G$1,Data!$A$1:$AX$1,),)-VLOOKUP(EDATE(B95,-12),Data!$A:$AX,MATCH($G$1,Data!$A$1:$AX$1,),))/VLOOKUP(EDATE(B95,-12),Data!$A:$AX,MATCH($G$1,Data!$A$1:$AX$1,),))</f>
        <v/>
      </c>
      <c r="H95" s="20">
        <f>IF(VLOOKUP(B95,Data!$A:$AX,MATCH($H$1,Data!$A$1:$AX$1,))=0,#N/A,(VLOOKUP(B95,Data!$A:$AX,MATCH($H$1,Data!$A$1:$AX$1,),)-VLOOKUP(EDATE(B95,-12),Data!$A:$AX,MATCH($H$1,Data!$A$1:$AX$1,),))/VLOOKUP(EDATE(B95,-12),Data!$A:$AX,MATCH($H$1,Data!$A$1:$AX$1,),))</f>
        <v/>
      </c>
      <c r="I95" s="20">
        <f>IF(VLOOKUP(B95,Data!$A:$AX,MATCH($I$1,Data!$A$1:$AX$1,))=0,#N/A,(VLOOKUP(B95,Data!$A:$AX,MATCH($I$1,Data!$A$1:$AX$1,),)-VLOOKUP(EDATE(B95,-12),Data!$A:$AX,MATCH($I$1,Data!$A$1:$AX$1,),))/VLOOKUP(EDATE(B95,-12),Data!$A:$AX,MATCH($I$1,Data!$A$1:$AX$1,),))</f>
        <v/>
      </c>
      <c r="J95" s="20">
        <f>IF(VLOOKUP(B95,Data!$A:$AX,MATCH($J$1,Data!$A$1:$AX$1,))=0,#N/A,(VLOOKUP(B95,Data!$A:$AX,MATCH($J$1,Data!$A$1:$AX$1,),)-VLOOKUP(EDATE(B95,-12),Data!$A:$AX,MATCH($J$1,Data!$A$1:$AX$1,),))/VLOOKUP(EDATE(B95,-12),Data!$A:$AX,MATCH($J$1,Data!$A$1:$AX$1,),))</f>
        <v/>
      </c>
      <c r="K95" s="20">
        <f>IF(VLOOKUP(B95,Data!$A:$AX,MATCH($K$1,Data!$A$1:$AX$1,))=0,#N/A,(VLOOKUP(B95,Data!$A:$AX,MATCH($K$1,Data!$A$1:$AX$1,),)-VLOOKUP(EDATE(B95,-12),Data!$A:$AX,MATCH($K$1,Data!$A$1:$AX$1,),))/VLOOKUP(EDATE(B95,-12),Data!$A:$AX,MATCH($K$1,Data!$A$1:$AX$1,),))</f>
        <v/>
      </c>
      <c r="L95" s="20">
        <f>IF(VLOOKUP(B95,Data!$A:$AX,MATCH($L$1,Data!$A$1:$AX$1,))=0,#N/A,(VLOOKUP(B95,Data!$A:$AX,MATCH($L$1,Data!$A$1:$AX$1,),)-VLOOKUP(EDATE(B95,-12),Data!$A:$AX,MATCH($L$1,Data!$A$1:$AX$1,),))/VLOOKUP(EDATE(B95,-12),Data!$A:$AX,MATCH($L$1,Data!$A$1:$AX$1,),))</f>
        <v/>
      </c>
      <c r="M95" s="20">
        <f>IF(VLOOKUP(B95,Data!$A:$AX,MATCH($M$1,Data!$A$1:$AX$1,))=0,#N/A,(VLOOKUP(B95,Data!$A:$AX,MATCH($M$1,Data!$A$1:$AX$1,),)-VLOOKUP(EDATE(B95,-12),Data!$A:$AX,MATCH($M$1,Data!$A$1:$AX$1,),))/VLOOKUP(EDATE(B95,-12),Data!$A:$AX,MATCH($M$1,Data!$A$1:$AX$1,),))</f>
        <v/>
      </c>
      <c r="N95" s="20">
        <f>(VLOOKUP(B95,Data!$A:$AX,MATCH($N$1,Data!$A$1:$AX$1,),)-VLOOKUP(EDATE(B95,-12),Data!$A:$AX,MATCH($N$1,Data!$A$1:$AX$1,),))/VLOOKUP(EDATE(B95,-12),Data!$A:$AX,MATCH($N$1,Data!$A$1:$AX$1,),)</f>
        <v/>
      </c>
      <c r="O95" s="20">
        <f>IF(VLOOKUP(B95,Data!$A:$AX,MATCH($O$1,Data!$A$1:$AX$1,))=0,#N/A,(VLOOKUP(B95,Data!$A:$AX,MATCH($O$1,Data!$A$1:$AX$1,),)-VLOOKUP(EDATE(B95,-12),Data!$A:$AX,MATCH($O$1,Data!$A$1:$AX$1,),))/VLOOKUP(EDATE(B95,-12),Data!$A:$AX,MATCH($O$1,Data!$A$1:$AX$1,),))</f>
        <v/>
      </c>
      <c r="P95" s="20">
        <f>IF(VLOOKUP(B95,Data!$A:$AX,MATCH($P$1,Data!$A$1:$AX$1,))=0,#N/A,(VLOOKUP(B95,Data!$A:$AX,MATCH($P$1,Data!$A$1:$AX$1,),)-VLOOKUP(EDATE(B95,-12),Data!$A:$AX,MATCH($P$1,Data!$A$1:$AX$1,),))/VLOOKUP(EDATE(B95,-12),Data!$A:$AX,MATCH($P$1,Data!$A$1:$AX$1,),))</f>
        <v/>
      </c>
      <c r="Q95" s="20">
        <f>(VLOOKUP(B95,Data!$A:$AX,MATCH($Q$1,Data!$A$1:$AX$1,),)-VLOOKUP(EDATE(B95,-12),Data!$A:$AX,MATCH($Q$1,Data!$A$1:$AX$1,),))/VLOOKUP(EDATE(B95,-12),Data!$A:$AX,MATCH($Q$1,Data!$A$1:$AX$1,),)</f>
        <v/>
      </c>
      <c r="R95" s="20">
        <f>IF(VLOOKUP(B95,Data!$A:$AX,MATCH($R$1,Data!$A$1:$AX$1,))=0,#N/A,(VLOOKUP(B95,Data!$A:$AX,MATCH($R$1,Data!$A$1:$AX$1,),)-VLOOKUP(EDATE(B95,-12),Data!$A:$AX,MATCH($R$1,Data!$A$1:$AX$1,),))/VLOOKUP(EDATE(B95,-12),Data!$A:$AX,MATCH($R$1,Data!$A$1:$AX$1,),))</f>
        <v/>
      </c>
      <c r="S95" s="20">
        <f>IF(VLOOKUP(B95,Data!$A:$AX,MATCH($S$1,Data!$A$1:$AX$1,))=0,#N/A,(VLOOKUP(B95,Data!$A:$AX,MATCH($S$1,Data!$A$1:$AX$1,),)-VLOOKUP(EDATE(B95,-12),Data!$A:$AX,MATCH($S$1,Data!$A$1:$AX$1,),))/VLOOKUP(EDATE(B95,-12),Data!$A:$AX,MATCH($S$1,Data!$A$1:$AX$1,),))</f>
        <v/>
      </c>
      <c r="T95" s="20">
        <f>IF(VLOOKUP(B95,Data!$A:$AX,MATCH($T$1,Data!$A$1:$AX$1,))=0,#N/A,(VLOOKUP(B95,Data!$A:$AX,MATCH($T$1,Data!$A$1:$AX$1,),)-VLOOKUP(EDATE(B95,-12),Data!$A:$AX,MATCH($T$1,Data!$A$1:$AX$1,),))/VLOOKUP(EDATE(B95,-12),Data!$A:$AX,MATCH($T$1,Data!$A$1:$AX$1,),))</f>
        <v/>
      </c>
      <c r="U95" s="20">
        <f>IF(VLOOKUP(B95,Data!$A:$AX,MATCH($U$1,Data!$A$1:$AX$1,))=0,#N/A,(VLOOKUP(B95,Data!$A:$AX,MATCH($U$1,Data!$A$1:$AX$1,),)-VLOOKUP(EDATE(B95,-12),Data!$A:$AX,MATCH($U$1,Data!$A$1:$AX$1,),))/VLOOKUP(EDATE(B95,-12),Data!$A:$AX,MATCH($U$1,Data!$A$1:$AX$1,),))</f>
        <v/>
      </c>
      <c r="V95" s="20">
        <f>(VLOOKUP(B95,Data!$A:$AX,MATCH($V$1,Data!$A$1:$AX$1,),)-VLOOKUP(EDATE(B95,-12),Data!$A:$AX,MATCH($V$1,Data!$A$1:$AX$1,),))/VLOOKUP(EDATE(B95,-12),Data!$A:$AX,MATCH($V$1,Data!$A$1:$AX$1,),)</f>
        <v/>
      </c>
      <c r="W95" s="20">
        <f>IF(VLOOKUP(B95,Data!$A:$AX,MATCH($W$1,Data!$A$1:$AX$1,))=0,#N/A,(VLOOKUP(B95,Data!$A:$AX,MATCH($W$1,Data!$A$1:$AX$1,),)-VLOOKUP(EDATE(B95,-12),Data!$A:$AX,MATCH($W$1,Data!$A$1:$AX$1,),))/VLOOKUP(EDATE(B95,-12),Data!$A:$AX,MATCH($W$1,Data!$A$1:$AX$1,),))</f>
        <v/>
      </c>
      <c r="X95" s="20">
        <f>IF(VLOOKUP(B95,Data!$A:$AX,MATCH($X$1,Data!$A$1:$AX$1,))=0,#N/A,(VLOOKUP(B95,Data!$A:$AX,MATCH($X$1,Data!$A$1:$AX$1,),)-VLOOKUP(EDATE(B95,-12),Data!$A:$AX,MATCH($X$1,Data!$A$1:$AX$1,),))/VLOOKUP(EDATE(B95,-12),Data!$A:$AX,MATCH($X$1,Data!$A$1:$AX$1,),))</f>
        <v/>
      </c>
      <c r="Y95" s="20">
        <f>IF(VLOOKUP(B95,Data!$A:$AX,MATCH($Y$1,Data!$A$1:$AX$1,))=0,#N/A,(VLOOKUP(B95,Data!$A:$AX,MATCH($Y$1,Data!$A$1:$AX$1,),)-VLOOKUP(EDATE(B95,-12),Data!$A:$AX,MATCH($Y$1,Data!$A$1:$AX$1,),))/VLOOKUP(EDATE(B95,-12),Data!$A:$AX,MATCH($Y$1,Data!$A$1:$AX$1,),))</f>
        <v/>
      </c>
      <c r="Z95" s="20">
        <f>(VLOOKUP(B95,Data!$A:$AX,MATCH($Z$1,Data!$A$1:$AX$1,),)-VLOOKUP(EDATE(B95,-12),Data!$A:$AX,MATCH($Z$1,Data!$A$1:$AX$1,),))/VLOOKUP(EDATE(B95,-12),Data!$A:$AX,MATCH($Z$1,Data!$A$1:$AX$1,),)</f>
        <v/>
      </c>
      <c r="AA95" s="20">
        <f>(VLOOKUP(B95,Data!$A:$AX,MATCH($AA$1,Data!$A$1:$AX$1,),)-VLOOKUP(EDATE(B95,-12),Data!$A:$AX,MATCH($AA$1,Data!$A$1:$AX$1,),))/VLOOKUP(EDATE(B95,-12),Data!$A:$AX,MATCH($AA$1,Data!$A$1:$AX$1,),)</f>
        <v/>
      </c>
      <c r="AB95" s="19" t="n"/>
    </row>
    <row r="96">
      <c r="B96" s="15" t="n">
        <v>43132</v>
      </c>
      <c r="C96" s="20">
        <f>IF(VLOOKUP(B96,Data!$A:$AX,MATCH($C$1,Data!$A$1:$AX$1,))=0,#N/A,(VLOOKUP(B96,Data!$A:$AX,MATCH($C$1,Data!$A$1:$AX$1,),)-VLOOKUP(EDATE(B96,-12),Data!$A:$AX,MATCH($C$1,Data!$A$1:$AX$1,),))/VLOOKUP(EDATE(B96,-12),Data!$A:$AX,MATCH($C$1,Data!$A$1:$AX$1,),))</f>
        <v/>
      </c>
      <c r="D96" s="20">
        <f>IF(VLOOKUP(B96,Data!$A:$AX,MATCH($D$1,Data!$A$1:$AX$1,))=0,#N/A,(VLOOKUP(B96,Data!$A:$AX,MATCH($D$1,Data!$A$1:$AX$1,),)-VLOOKUP(EDATE(B96,-12),Data!$A:$AX,MATCH($D$1,Data!$A$1:$AX$1,),))/VLOOKUP(EDATE(B96,-12),Data!$A:$AX,MATCH($D$1,Data!$A$1:$AX$1,),))</f>
        <v/>
      </c>
      <c r="E96" s="20">
        <f>IF(VLOOKUP(B96,Data!$A:$AX,MATCH($E$1,Data!$A$1:$AX$1,))=0,#N/A,(VLOOKUP(B96,Data!$A:$AX,MATCH($E$1,Data!$A$1:$AX$1,),)-VLOOKUP(EDATE(B96,-12),Data!$A:$AX,MATCH($E$1,Data!$A$1:$AX$1,),))/VLOOKUP(EDATE(B96,-12),Data!$A:$AX,MATCH($E$1,Data!$A$1:$AX$1,),))</f>
        <v/>
      </c>
      <c r="F96" s="20">
        <f>IF(VLOOKUP(B96,Data!$A:$AX,MATCH($F$1,Data!$A$1:$AX$1,))=0,#N/A,(VLOOKUP(B96,Data!$A:$AX,MATCH($F$1,Data!$A$1:$AX$1,),)-VLOOKUP(EDATE(B96,-12),Data!$A:$AX,MATCH($F$1,Data!$A$1:$AX$1,),))/VLOOKUP(EDATE(B96,-12),Data!$A:$AX,MATCH($F$1,Data!$A$1:$AX$1,),))</f>
        <v/>
      </c>
      <c r="G96" s="20">
        <f>IF(VLOOKUP(B96,Data!$A:$AX,MATCH($G$1,Data!$A$1:$AX$1,))=0,#N/A,(VLOOKUP(B96,Data!$A:$AX,MATCH($G$1,Data!$A$1:$AX$1,),)-VLOOKUP(EDATE(B96,-12),Data!$A:$AX,MATCH($G$1,Data!$A$1:$AX$1,),))/VLOOKUP(EDATE(B96,-12),Data!$A:$AX,MATCH($G$1,Data!$A$1:$AX$1,),))</f>
        <v/>
      </c>
      <c r="H96" s="20">
        <f>IF(VLOOKUP(B96,Data!$A:$AX,MATCH($H$1,Data!$A$1:$AX$1,))=0,#N/A,(VLOOKUP(B96,Data!$A:$AX,MATCH($H$1,Data!$A$1:$AX$1,),)-VLOOKUP(EDATE(B96,-12),Data!$A:$AX,MATCH($H$1,Data!$A$1:$AX$1,),))/VLOOKUP(EDATE(B96,-12),Data!$A:$AX,MATCH($H$1,Data!$A$1:$AX$1,),))</f>
        <v/>
      </c>
      <c r="I96" s="20">
        <f>IF(VLOOKUP(B96,Data!$A:$AX,MATCH($I$1,Data!$A$1:$AX$1,))=0,#N/A,(VLOOKUP(B96,Data!$A:$AX,MATCH($I$1,Data!$A$1:$AX$1,),)-VLOOKUP(EDATE(B96,-12),Data!$A:$AX,MATCH($I$1,Data!$A$1:$AX$1,),))/VLOOKUP(EDATE(B96,-12),Data!$A:$AX,MATCH($I$1,Data!$A$1:$AX$1,),))</f>
        <v/>
      </c>
      <c r="J96" s="20">
        <f>IF(VLOOKUP(B96,Data!$A:$AX,MATCH($J$1,Data!$A$1:$AX$1,))=0,#N/A,(VLOOKUP(B96,Data!$A:$AX,MATCH($J$1,Data!$A$1:$AX$1,),)-VLOOKUP(EDATE(B96,-12),Data!$A:$AX,MATCH($J$1,Data!$A$1:$AX$1,),))/VLOOKUP(EDATE(B96,-12),Data!$A:$AX,MATCH($J$1,Data!$A$1:$AX$1,),))</f>
        <v/>
      </c>
      <c r="K96" s="20">
        <f>IF(VLOOKUP(B96,Data!$A:$AX,MATCH($K$1,Data!$A$1:$AX$1,))=0,#N/A,(VLOOKUP(B96,Data!$A:$AX,MATCH($K$1,Data!$A$1:$AX$1,),)-VLOOKUP(EDATE(B96,-12),Data!$A:$AX,MATCH($K$1,Data!$A$1:$AX$1,),))/VLOOKUP(EDATE(B96,-12),Data!$A:$AX,MATCH($K$1,Data!$A$1:$AX$1,),))</f>
        <v/>
      </c>
      <c r="L96" s="20">
        <f>IF(VLOOKUP(B96,Data!$A:$AX,MATCH($L$1,Data!$A$1:$AX$1,))=0,#N/A,(VLOOKUP(B96,Data!$A:$AX,MATCH($L$1,Data!$A$1:$AX$1,),)-VLOOKUP(EDATE(B96,-12),Data!$A:$AX,MATCH($L$1,Data!$A$1:$AX$1,),))/VLOOKUP(EDATE(B96,-12),Data!$A:$AX,MATCH($L$1,Data!$A$1:$AX$1,),))</f>
        <v/>
      </c>
      <c r="M96" s="20">
        <f>IF(VLOOKUP(B96,Data!$A:$AX,MATCH($M$1,Data!$A$1:$AX$1,))=0,#N/A,(VLOOKUP(B96,Data!$A:$AX,MATCH($M$1,Data!$A$1:$AX$1,),)-VLOOKUP(EDATE(B96,-12),Data!$A:$AX,MATCH($M$1,Data!$A$1:$AX$1,),))/VLOOKUP(EDATE(B96,-12),Data!$A:$AX,MATCH($M$1,Data!$A$1:$AX$1,),))</f>
        <v/>
      </c>
      <c r="N96" s="20">
        <f>(VLOOKUP(B96,Data!$A:$AX,MATCH($N$1,Data!$A$1:$AX$1,),)-VLOOKUP(EDATE(B96,-12),Data!$A:$AX,MATCH($N$1,Data!$A$1:$AX$1,),))/VLOOKUP(EDATE(B96,-12),Data!$A:$AX,MATCH($N$1,Data!$A$1:$AX$1,),)</f>
        <v/>
      </c>
      <c r="O96" s="20">
        <f>IF(VLOOKUP(B96,Data!$A:$AX,MATCH($O$1,Data!$A$1:$AX$1,))=0,#N/A,(VLOOKUP(B96,Data!$A:$AX,MATCH($O$1,Data!$A$1:$AX$1,),)-VLOOKUP(EDATE(B96,-12),Data!$A:$AX,MATCH($O$1,Data!$A$1:$AX$1,),))/VLOOKUP(EDATE(B96,-12),Data!$A:$AX,MATCH($O$1,Data!$A$1:$AX$1,),))</f>
        <v/>
      </c>
      <c r="P96" s="20">
        <f>IF(VLOOKUP(B96,Data!$A:$AX,MATCH($P$1,Data!$A$1:$AX$1,))=0,#N/A,(VLOOKUP(B96,Data!$A:$AX,MATCH($P$1,Data!$A$1:$AX$1,),)-VLOOKUP(EDATE(B96,-12),Data!$A:$AX,MATCH($P$1,Data!$A$1:$AX$1,),))/VLOOKUP(EDATE(B96,-12),Data!$A:$AX,MATCH($P$1,Data!$A$1:$AX$1,),))</f>
        <v/>
      </c>
      <c r="Q96" s="20">
        <f>(VLOOKUP(B96,Data!$A:$AX,MATCH($Q$1,Data!$A$1:$AX$1,),)-VLOOKUP(EDATE(B96,-12),Data!$A:$AX,MATCH($Q$1,Data!$A$1:$AX$1,),))/VLOOKUP(EDATE(B96,-12),Data!$A:$AX,MATCH($Q$1,Data!$A$1:$AX$1,),)</f>
        <v/>
      </c>
      <c r="R96" s="20">
        <f>IF(VLOOKUP(B96,Data!$A:$AX,MATCH($R$1,Data!$A$1:$AX$1,))=0,#N/A,(VLOOKUP(B96,Data!$A:$AX,MATCH($R$1,Data!$A$1:$AX$1,),)-VLOOKUP(EDATE(B96,-12),Data!$A:$AX,MATCH($R$1,Data!$A$1:$AX$1,),))/VLOOKUP(EDATE(B96,-12),Data!$A:$AX,MATCH($R$1,Data!$A$1:$AX$1,),))</f>
        <v/>
      </c>
      <c r="S96" s="20">
        <f>IF(VLOOKUP(B96,Data!$A:$AX,MATCH($S$1,Data!$A$1:$AX$1,))=0,#N/A,(VLOOKUP(B96,Data!$A:$AX,MATCH($S$1,Data!$A$1:$AX$1,),)-VLOOKUP(EDATE(B96,-12),Data!$A:$AX,MATCH($S$1,Data!$A$1:$AX$1,),))/VLOOKUP(EDATE(B96,-12),Data!$A:$AX,MATCH($S$1,Data!$A$1:$AX$1,),))</f>
        <v/>
      </c>
      <c r="T96" s="20">
        <f>IF(VLOOKUP(B96,Data!$A:$AX,MATCH($T$1,Data!$A$1:$AX$1,))=0,#N/A,(VLOOKUP(B96,Data!$A:$AX,MATCH($T$1,Data!$A$1:$AX$1,),)-VLOOKUP(EDATE(B96,-12),Data!$A:$AX,MATCH($T$1,Data!$A$1:$AX$1,),))/VLOOKUP(EDATE(B96,-12),Data!$A:$AX,MATCH($T$1,Data!$A$1:$AX$1,),))</f>
        <v/>
      </c>
      <c r="U96" s="20">
        <f>IF(VLOOKUP(B96,Data!$A:$AX,MATCH($U$1,Data!$A$1:$AX$1,))=0,#N/A,(VLOOKUP(B96,Data!$A:$AX,MATCH($U$1,Data!$A$1:$AX$1,),)-VLOOKUP(EDATE(B96,-12),Data!$A:$AX,MATCH($U$1,Data!$A$1:$AX$1,),))/VLOOKUP(EDATE(B96,-12),Data!$A:$AX,MATCH($U$1,Data!$A$1:$AX$1,),))</f>
        <v/>
      </c>
      <c r="V96" s="20">
        <f>(VLOOKUP(B96,Data!$A:$AX,MATCH($V$1,Data!$A$1:$AX$1,),)-VLOOKUP(EDATE(B96,-12),Data!$A:$AX,MATCH($V$1,Data!$A$1:$AX$1,),))/VLOOKUP(EDATE(B96,-12),Data!$A:$AX,MATCH($V$1,Data!$A$1:$AX$1,),)</f>
        <v/>
      </c>
      <c r="W96" s="20">
        <f>IF(VLOOKUP(B96,Data!$A:$AX,MATCH($W$1,Data!$A$1:$AX$1,))=0,#N/A,(VLOOKUP(B96,Data!$A:$AX,MATCH($W$1,Data!$A$1:$AX$1,),)-VLOOKUP(EDATE(B96,-12),Data!$A:$AX,MATCH($W$1,Data!$A$1:$AX$1,),))/VLOOKUP(EDATE(B96,-12),Data!$A:$AX,MATCH($W$1,Data!$A$1:$AX$1,),))</f>
        <v/>
      </c>
      <c r="X96" s="20">
        <f>IF(VLOOKUP(B96,Data!$A:$AX,MATCH($X$1,Data!$A$1:$AX$1,))=0,#N/A,(VLOOKUP(B96,Data!$A:$AX,MATCH($X$1,Data!$A$1:$AX$1,),)-VLOOKUP(EDATE(B96,-12),Data!$A:$AX,MATCH($X$1,Data!$A$1:$AX$1,),))/VLOOKUP(EDATE(B96,-12),Data!$A:$AX,MATCH($X$1,Data!$A$1:$AX$1,),))</f>
        <v/>
      </c>
      <c r="Y96" s="20">
        <f>IF(VLOOKUP(B96,Data!$A:$AX,MATCH($Y$1,Data!$A$1:$AX$1,))=0,#N/A,(VLOOKUP(B96,Data!$A:$AX,MATCH($Y$1,Data!$A$1:$AX$1,),)-VLOOKUP(EDATE(B96,-12),Data!$A:$AX,MATCH($Y$1,Data!$A$1:$AX$1,),))/VLOOKUP(EDATE(B96,-12),Data!$A:$AX,MATCH($Y$1,Data!$A$1:$AX$1,),))</f>
        <v/>
      </c>
      <c r="Z96" s="20">
        <f>(VLOOKUP(B96,Data!$A:$AX,MATCH($Z$1,Data!$A$1:$AX$1,),)-VLOOKUP(EDATE(B96,-12),Data!$A:$AX,MATCH($Z$1,Data!$A$1:$AX$1,),))/VLOOKUP(EDATE(B96,-12),Data!$A:$AX,MATCH($Z$1,Data!$A$1:$AX$1,),)</f>
        <v/>
      </c>
      <c r="AA96" s="20">
        <f>(VLOOKUP(B96,Data!$A:$AX,MATCH($AA$1,Data!$A$1:$AX$1,),)-VLOOKUP(EDATE(B96,-12),Data!$A:$AX,MATCH($AA$1,Data!$A$1:$AX$1,),))/VLOOKUP(EDATE(B96,-12),Data!$A:$AX,MATCH($AA$1,Data!$A$1:$AX$1,),)</f>
        <v/>
      </c>
      <c r="AB96" s="19" t="n"/>
    </row>
    <row r="97" customFormat="1" s="78">
      <c r="B97" s="15" t="n">
        <v>43160</v>
      </c>
      <c r="C97" s="20">
        <f>IF(VLOOKUP(B97,Data!$A:$AX,MATCH($C$1,Data!$A$1:$AX$1,))=0,#N/A,(VLOOKUP(B97,Data!$A:$AX,MATCH($C$1,Data!$A$1:$AX$1,),)-VLOOKUP(EDATE(B97,-12),Data!$A:$AX,MATCH($C$1,Data!$A$1:$AX$1,),))/VLOOKUP(EDATE(B97,-12),Data!$A:$AX,MATCH($C$1,Data!$A$1:$AX$1,),))</f>
        <v/>
      </c>
      <c r="D97" s="20">
        <f>IF(VLOOKUP(B97,Data!$A:$AX,MATCH($D$1,Data!$A$1:$AX$1,))=0,#N/A,(VLOOKUP(B97,Data!$A:$AX,MATCH($D$1,Data!$A$1:$AX$1,),)-VLOOKUP(EDATE(B97,-12),Data!$A:$AX,MATCH($D$1,Data!$A$1:$AX$1,),))/VLOOKUP(EDATE(B97,-12),Data!$A:$AX,MATCH($D$1,Data!$A$1:$AX$1,),))</f>
        <v/>
      </c>
      <c r="E97" s="20">
        <f>IF(VLOOKUP(B97,Data!$A:$AX,MATCH($E$1,Data!$A$1:$AX$1,))=0,#N/A,(VLOOKUP(B97,Data!$A:$AX,MATCH($E$1,Data!$A$1:$AX$1,),)-VLOOKUP(EDATE(B97,-12),Data!$A:$AX,MATCH($E$1,Data!$A$1:$AX$1,),))/VLOOKUP(EDATE(B97,-12),Data!$A:$AX,MATCH($E$1,Data!$A$1:$AX$1,),))</f>
        <v/>
      </c>
      <c r="F97" s="20">
        <f>IF(VLOOKUP(B97,Data!$A:$AX,MATCH($F$1,Data!$A$1:$AX$1,))=0,#N/A,(VLOOKUP(B97,Data!$A:$AX,MATCH($F$1,Data!$A$1:$AX$1,),)-VLOOKUP(EDATE(B97,-12),Data!$A:$AX,MATCH($F$1,Data!$A$1:$AX$1,),))/VLOOKUP(EDATE(B97,-12),Data!$A:$AX,MATCH($F$1,Data!$A$1:$AX$1,),))</f>
        <v/>
      </c>
      <c r="G97" s="20">
        <f>IF(VLOOKUP(B97,Data!$A:$AX,MATCH($G$1,Data!$A$1:$AX$1,))=0,#N/A,(VLOOKUP(B97,Data!$A:$AX,MATCH($G$1,Data!$A$1:$AX$1,),)-VLOOKUP(EDATE(B97,-12),Data!$A:$AX,MATCH($G$1,Data!$A$1:$AX$1,),))/VLOOKUP(EDATE(B97,-12),Data!$A:$AX,MATCH($G$1,Data!$A$1:$AX$1,),))</f>
        <v/>
      </c>
      <c r="H97" s="20">
        <f>IF(VLOOKUP(B97,Data!$A:$AX,MATCH($H$1,Data!$A$1:$AX$1,))=0,#N/A,(VLOOKUP(B97,Data!$A:$AX,MATCH($H$1,Data!$A$1:$AX$1,),)-VLOOKUP(EDATE(B97,-12),Data!$A:$AX,MATCH($H$1,Data!$A$1:$AX$1,),))/VLOOKUP(EDATE(B97,-12),Data!$A:$AX,MATCH($H$1,Data!$A$1:$AX$1,),))</f>
        <v/>
      </c>
      <c r="I97" s="20">
        <f>IF(VLOOKUP(B97,Data!$A:$AX,MATCH($I$1,Data!$A$1:$AX$1,))=0,#N/A,(VLOOKUP(B97,Data!$A:$AX,MATCH($I$1,Data!$A$1:$AX$1,),)-VLOOKUP(EDATE(B97,-12),Data!$A:$AX,MATCH($I$1,Data!$A$1:$AX$1,),))/VLOOKUP(EDATE(B97,-12),Data!$A:$AX,MATCH($I$1,Data!$A$1:$AX$1,),))</f>
        <v/>
      </c>
      <c r="J97" s="20">
        <f>IF(VLOOKUP(B97,Data!$A:$AX,MATCH($J$1,Data!$A$1:$AX$1,))=0,#N/A,(VLOOKUP(B97,Data!$A:$AX,MATCH($J$1,Data!$A$1:$AX$1,),)-VLOOKUP(EDATE(B97,-12),Data!$A:$AX,MATCH($J$1,Data!$A$1:$AX$1,),))/VLOOKUP(EDATE(B97,-12),Data!$A:$AX,MATCH($J$1,Data!$A$1:$AX$1,),))</f>
        <v/>
      </c>
      <c r="K97" s="20">
        <f>IF(VLOOKUP(B97,Data!$A:$AX,MATCH($K$1,Data!$A$1:$AX$1,))=0,#N/A,(VLOOKUP(B97,Data!$A:$AX,MATCH($K$1,Data!$A$1:$AX$1,),)-VLOOKUP(EDATE(B97,-12),Data!$A:$AX,MATCH($K$1,Data!$A$1:$AX$1,),))/VLOOKUP(EDATE(B97,-12),Data!$A:$AX,MATCH($K$1,Data!$A$1:$AX$1,),))</f>
        <v/>
      </c>
      <c r="L97" s="20">
        <f>IF(VLOOKUP(B97,Data!$A:$AX,MATCH($L$1,Data!$A$1:$AX$1,))=0,#N/A,(VLOOKUP(B97,Data!$A:$AX,MATCH($L$1,Data!$A$1:$AX$1,),)-VLOOKUP(EDATE(B97,-12),Data!$A:$AX,MATCH($L$1,Data!$A$1:$AX$1,),))/VLOOKUP(EDATE(B97,-12),Data!$A:$AX,MATCH($L$1,Data!$A$1:$AX$1,),))</f>
        <v/>
      </c>
      <c r="M97" s="20">
        <f>IF(VLOOKUP(B97,Data!$A:$AX,MATCH($M$1,Data!$A$1:$AX$1,))=0,#N/A,(VLOOKUP(B97,Data!$A:$AX,MATCH($M$1,Data!$A$1:$AX$1,),)-VLOOKUP(EDATE(B97,-12),Data!$A:$AX,MATCH($M$1,Data!$A$1:$AX$1,),))/VLOOKUP(EDATE(B97,-12),Data!$A:$AX,MATCH($M$1,Data!$A$1:$AX$1,),))</f>
        <v/>
      </c>
      <c r="N97" s="20">
        <f>(VLOOKUP(B97,Data!$A:$AX,MATCH($N$1,Data!$A$1:$AX$1,),)-VLOOKUP(EDATE(B97,-12),Data!$A:$AX,MATCH($N$1,Data!$A$1:$AX$1,),))/VLOOKUP(EDATE(B97,-12),Data!$A:$AX,MATCH($N$1,Data!$A$1:$AX$1,),)</f>
        <v/>
      </c>
      <c r="O97" s="20">
        <f>IF(VLOOKUP(B97,Data!$A:$AX,MATCH($O$1,Data!$A$1:$AX$1,))=0,#N/A,(VLOOKUP(B97,Data!$A:$AX,MATCH($O$1,Data!$A$1:$AX$1,),)-VLOOKUP(EDATE(B97,-12),Data!$A:$AX,MATCH($O$1,Data!$A$1:$AX$1,),))/VLOOKUP(EDATE(B97,-12),Data!$A:$AX,MATCH($O$1,Data!$A$1:$AX$1,),))</f>
        <v/>
      </c>
      <c r="P97" s="20">
        <f>IF(VLOOKUP(B97,Data!$A:$AX,MATCH($P$1,Data!$A$1:$AX$1,))=0,#N/A,(VLOOKUP(B97,Data!$A:$AX,MATCH($P$1,Data!$A$1:$AX$1,),)-VLOOKUP(EDATE(B97,-12),Data!$A:$AX,MATCH($P$1,Data!$A$1:$AX$1,),))/VLOOKUP(EDATE(B97,-12),Data!$A:$AX,MATCH($P$1,Data!$A$1:$AX$1,),))</f>
        <v/>
      </c>
      <c r="Q97" s="20">
        <f>(VLOOKUP(B97,Data!$A:$AX,MATCH($Q$1,Data!$A$1:$AX$1,),)-VLOOKUP(EDATE(B97,-12),Data!$A:$AX,MATCH($Q$1,Data!$A$1:$AX$1,),))/VLOOKUP(EDATE(B97,-12),Data!$A:$AX,MATCH($Q$1,Data!$A$1:$AX$1,),)</f>
        <v/>
      </c>
      <c r="R97" s="20">
        <f>IF(VLOOKUP(B97,Data!$A:$AX,MATCH($R$1,Data!$A$1:$AX$1,))=0,#N/A,(VLOOKUP(B97,Data!$A:$AX,MATCH($R$1,Data!$A$1:$AX$1,),)-VLOOKUP(EDATE(B97,-12),Data!$A:$AX,MATCH($R$1,Data!$A$1:$AX$1,),))/VLOOKUP(EDATE(B97,-12),Data!$A:$AX,MATCH($R$1,Data!$A$1:$AX$1,),))</f>
        <v/>
      </c>
      <c r="S97" s="20">
        <f>IF(VLOOKUP(B97,Data!$A:$AX,MATCH($S$1,Data!$A$1:$AX$1,))=0,#N/A,(VLOOKUP(B97,Data!$A:$AX,MATCH($S$1,Data!$A$1:$AX$1,),)-VLOOKUP(EDATE(B97,-12),Data!$A:$AX,MATCH($S$1,Data!$A$1:$AX$1,),))/VLOOKUP(EDATE(B97,-12),Data!$A:$AX,MATCH($S$1,Data!$A$1:$AX$1,),))</f>
        <v/>
      </c>
      <c r="T97" s="20">
        <f>IF(VLOOKUP(B97,Data!$A:$AX,MATCH($T$1,Data!$A$1:$AX$1,))=0,#N/A,(VLOOKUP(B97,Data!$A:$AX,MATCH($T$1,Data!$A$1:$AX$1,),)-VLOOKUP(EDATE(B97,-12),Data!$A:$AX,MATCH($T$1,Data!$A$1:$AX$1,),))/VLOOKUP(EDATE(B97,-12),Data!$A:$AX,MATCH($T$1,Data!$A$1:$AX$1,),))</f>
        <v/>
      </c>
      <c r="U97" s="20">
        <f>IF(VLOOKUP(B97,Data!$A:$AX,MATCH($U$1,Data!$A$1:$AX$1,))=0,#N/A,(VLOOKUP(B97,Data!$A:$AX,MATCH($U$1,Data!$A$1:$AX$1,),)-VLOOKUP(EDATE(B97,-12),Data!$A:$AX,MATCH($U$1,Data!$A$1:$AX$1,),))/VLOOKUP(EDATE(B97,-12),Data!$A:$AX,MATCH($U$1,Data!$A$1:$AX$1,),))</f>
        <v/>
      </c>
      <c r="V97" s="20">
        <f>(VLOOKUP(B97,Data!$A:$AX,MATCH($V$1,Data!$A$1:$AX$1,),)-VLOOKUP(EDATE(B97,-12),Data!$A:$AX,MATCH($V$1,Data!$A$1:$AX$1,),))/VLOOKUP(EDATE(B97,-12),Data!$A:$AX,MATCH($V$1,Data!$A$1:$AX$1,),)</f>
        <v/>
      </c>
      <c r="W97" s="20">
        <f>IF(VLOOKUP(B97,Data!$A:$AX,MATCH($W$1,Data!$A$1:$AX$1,))=0,#N/A,(VLOOKUP(B97,Data!$A:$AX,MATCH($W$1,Data!$A$1:$AX$1,),)-VLOOKUP(EDATE(B97,-12),Data!$A:$AX,MATCH($W$1,Data!$A$1:$AX$1,),))/VLOOKUP(EDATE(B97,-12),Data!$A:$AX,MATCH($W$1,Data!$A$1:$AX$1,),))</f>
        <v/>
      </c>
      <c r="X97" s="20">
        <f>IF(VLOOKUP(B97,Data!$A:$AX,MATCH($X$1,Data!$A$1:$AX$1,))=0,#N/A,(VLOOKUP(B97,Data!$A:$AX,MATCH($X$1,Data!$A$1:$AX$1,),)-VLOOKUP(EDATE(B97,-12),Data!$A:$AX,MATCH($X$1,Data!$A$1:$AX$1,),))/VLOOKUP(EDATE(B97,-12),Data!$A:$AX,MATCH($X$1,Data!$A$1:$AX$1,),))</f>
        <v/>
      </c>
      <c r="Y97" s="20">
        <f>IF(VLOOKUP(B97,Data!$A:$AX,MATCH($Y$1,Data!$A$1:$AX$1,))=0,#N/A,(VLOOKUP(B97,Data!$A:$AX,MATCH($Y$1,Data!$A$1:$AX$1,),)-VLOOKUP(EDATE(B97,-12),Data!$A:$AX,MATCH($Y$1,Data!$A$1:$AX$1,),))/VLOOKUP(EDATE(B97,-12),Data!$A:$AX,MATCH($Y$1,Data!$A$1:$AX$1,),))</f>
        <v/>
      </c>
      <c r="Z97" s="20">
        <f>(VLOOKUP(B97,Data!$A:$AX,MATCH($Z$1,Data!$A$1:$AX$1,),)-VLOOKUP(EDATE(B97,-12),Data!$A:$AX,MATCH($Z$1,Data!$A$1:$AX$1,),))/VLOOKUP(EDATE(B97,-12),Data!$A:$AX,MATCH($Z$1,Data!$A$1:$AX$1,),)</f>
        <v/>
      </c>
      <c r="AA97" s="20">
        <f>(VLOOKUP(B97,Data!$A:$AX,MATCH($AA$1,Data!$A$1:$AX$1,),)-VLOOKUP(EDATE(B97,-12),Data!$A:$AX,MATCH($AA$1,Data!$A$1:$AX$1,),))/VLOOKUP(EDATE(B97,-12),Data!$A:$AX,MATCH($AA$1,Data!$A$1:$AX$1,),)</f>
        <v/>
      </c>
      <c r="AB97" s="19" t="n"/>
    </row>
    <row r="98" customFormat="1" s="78">
      <c r="B98" s="15" t="n">
        <v>43191</v>
      </c>
      <c r="C98" s="20">
        <f>IF(VLOOKUP(B98,Data!$A:$AX,MATCH($C$1,Data!$A$1:$AX$1,))=0,#N/A,(VLOOKUP(B98,Data!$A:$AX,MATCH($C$1,Data!$A$1:$AX$1,),)-VLOOKUP(EDATE(B98,-12),Data!$A:$AX,MATCH($C$1,Data!$A$1:$AX$1,),))/VLOOKUP(EDATE(B98,-12),Data!$A:$AX,MATCH($C$1,Data!$A$1:$AX$1,),))</f>
        <v/>
      </c>
      <c r="D98" s="20">
        <f>IF(VLOOKUP(B98,Data!$A:$AX,MATCH($D$1,Data!$A$1:$AX$1,))=0,#N/A,(VLOOKUP(B98,Data!$A:$AX,MATCH($D$1,Data!$A$1:$AX$1,),)-VLOOKUP(EDATE(B98,-12),Data!$A:$AX,MATCH($D$1,Data!$A$1:$AX$1,),))/VLOOKUP(EDATE(B98,-12),Data!$A:$AX,MATCH($D$1,Data!$A$1:$AX$1,),))</f>
        <v/>
      </c>
      <c r="E98" s="20">
        <f>IF(VLOOKUP(B98,Data!$A:$AX,MATCH($E$1,Data!$A$1:$AX$1,))=0,#N/A,(VLOOKUP(B98,Data!$A:$AX,MATCH($E$1,Data!$A$1:$AX$1,),)-VLOOKUP(EDATE(B98,-12),Data!$A:$AX,MATCH($E$1,Data!$A$1:$AX$1,),))/VLOOKUP(EDATE(B98,-12),Data!$A:$AX,MATCH($E$1,Data!$A$1:$AX$1,),))</f>
        <v/>
      </c>
      <c r="F98" s="20">
        <f>IF(VLOOKUP(B98,Data!$A:$AX,MATCH($F$1,Data!$A$1:$AX$1,))=0,#N/A,(VLOOKUP(B98,Data!$A:$AX,MATCH($F$1,Data!$A$1:$AX$1,),)-VLOOKUP(EDATE(B98,-12),Data!$A:$AX,MATCH($F$1,Data!$A$1:$AX$1,),))/VLOOKUP(EDATE(B98,-12),Data!$A:$AX,MATCH($F$1,Data!$A$1:$AX$1,),))</f>
        <v/>
      </c>
      <c r="G98" s="20">
        <f>IF(VLOOKUP(B98,Data!$A:$AX,MATCH($G$1,Data!$A$1:$AX$1,))=0,#N/A,(VLOOKUP(B98,Data!$A:$AX,MATCH($G$1,Data!$A$1:$AX$1,),)-VLOOKUP(EDATE(B98,-12),Data!$A:$AX,MATCH($G$1,Data!$A$1:$AX$1,),))/VLOOKUP(EDATE(B98,-12),Data!$A:$AX,MATCH($G$1,Data!$A$1:$AX$1,),))</f>
        <v/>
      </c>
      <c r="H98" s="20">
        <f>IF(VLOOKUP(B98,Data!$A:$AX,MATCH($H$1,Data!$A$1:$AX$1,))=0,#N/A,(VLOOKUP(B98,Data!$A:$AX,MATCH($H$1,Data!$A$1:$AX$1,),)-VLOOKUP(EDATE(B98,-12),Data!$A:$AX,MATCH($H$1,Data!$A$1:$AX$1,),))/VLOOKUP(EDATE(B98,-12),Data!$A:$AX,MATCH($H$1,Data!$A$1:$AX$1,),))</f>
        <v/>
      </c>
      <c r="I98" s="20">
        <f>IF(VLOOKUP(B98,Data!$A:$AX,MATCH($I$1,Data!$A$1:$AX$1,))=0,#N/A,(VLOOKUP(B98,Data!$A:$AX,MATCH($I$1,Data!$A$1:$AX$1,),)-VLOOKUP(EDATE(B98,-12),Data!$A:$AX,MATCH($I$1,Data!$A$1:$AX$1,),))/VLOOKUP(EDATE(B98,-12),Data!$A:$AX,MATCH($I$1,Data!$A$1:$AX$1,),))</f>
        <v/>
      </c>
      <c r="J98" s="20">
        <f>IF(VLOOKUP(B98,Data!$A:$AX,MATCH($J$1,Data!$A$1:$AX$1,))=0,#N/A,(VLOOKUP(B98,Data!$A:$AX,MATCH($J$1,Data!$A$1:$AX$1,),)-VLOOKUP(EDATE(B98,-12),Data!$A:$AX,MATCH($J$1,Data!$A$1:$AX$1,),))/VLOOKUP(EDATE(B98,-12),Data!$A:$AX,MATCH($J$1,Data!$A$1:$AX$1,),))</f>
        <v/>
      </c>
      <c r="K98" s="20">
        <f>IF(VLOOKUP(B98,Data!$A:$AX,MATCH($K$1,Data!$A$1:$AX$1,))=0,#N/A,(VLOOKUP(B98,Data!$A:$AX,MATCH($K$1,Data!$A$1:$AX$1,),)-VLOOKUP(EDATE(B98,-12),Data!$A:$AX,MATCH($K$1,Data!$A$1:$AX$1,),))/VLOOKUP(EDATE(B98,-12),Data!$A:$AX,MATCH($K$1,Data!$A$1:$AX$1,),))</f>
        <v/>
      </c>
      <c r="L98" s="20">
        <f>IF(VLOOKUP(B98,Data!$A:$AX,MATCH($L$1,Data!$A$1:$AX$1,))=0,#N/A,(VLOOKUP(B98,Data!$A:$AX,MATCH($L$1,Data!$A$1:$AX$1,),)-VLOOKUP(EDATE(B98,-12),Data!$A:$AX,MATCH($L$1,Data!$A$1:$AX$1,),))/VLOOKUP(EDATE(B98,-12),Data!$A:$AX,MATCH($L$1,Data!$A$1:$AX$1,),))</f>
        <v/>
      </c>
      <c r="M98" s="20">
        <f>IF(VLOOKUP(B98,Data!$A:$AX,MATCH($M$1,Data!$A$1:$AX$1,))=0,#N/A,(VLOOKUP(B98,Data!$A:$AX,MATCH($M$1,Data!$A$1:$AX$1,),)-VLOOKUP(EDATE(B98,-12),Data!$A:$AX,MATCH($M$1,Data!$A$1:$AX$1,),))/VLOOKUP(EDATE(B98,-12),Data!$A:$AX,MATCH($M$1,Data!$A$1:$AX$1,),))</f>
        <v/>
      </c>
      <c r="N98" s="20">
        <f>(VLOOKUP(B98,Data!$A:$AX,MATCH($N$1,Data!$A$1:$AX$1,),)-VLOOKUP(EDATE(B98,-12),Data!$A:$AX,MATCH($N$1,Data!$A$1:$AX$1,),))/VLOOKUP(EDATE(B98,-12),Data!$A:$AX,MATCH($N$1,Data!$A$1:$AX$1,),)</f>
        <v/>
      </c>
      <c r="O98" s="20">
        <f>IF(VLOOKUP(B98,Data!$A:$AX,MATCH($O$1,Data!$A$1:$AX$1,))=0,#N/A,(VLOOKUP(B98,Data!$A:$AX,MATCH($O$1,Data!$A$1:$AX$1,),)-VLOOKUP(EDATE(B98,-12),Data!$A:$AX,MATCH($O$1,Data!$A$1:$AX$1,),))/VLOOKUP(EDATE(B98,-12),Data!$A:$AX,MATCH($O$1,Data!$A$1:$AX$1,),))</f>
        <v/>
      </c>
      <c r="P98" s="20">
        <f>IF(VLOOKUP(B98,Data!$A:$AX,MATCH($P$1,Data!$A$1:$AX$1,))=0,#N/A,(VLOOKUP(B98,Data!$A:$AX,MATCH($P$1,Data!$A$1:$AX$1,),)-VLOOKUP(EDATE(B98,-12),Data!$A:$AX,MATCH($P$1,Data!$A$1:$AX$1,),))/VLOOKUP(EDATE(B98,-12),Data!$A:$AX,MATCH($P$1,Data!$A$1:$AX$1,),))</f>
        <v/>
      </c>
      <c r="Q98" s="20">
        <f>(VLOOKUP(B98,Data!$A:$AX,MATCH($Q$1,Data!$A$1:$AX$1,),)-VLOOKUP(EDATE(B98,-12),Data!$A:$AX,MATCH($Q$1,Data!$A$1:$AX$1,),))/VLOOKUP(EDATE(B98,-12),Data!$A:$AX,MATCH($Q$1,Data!$A$1:$AX$1,),)</f>
        <v/>
      </c>
      <c r="R98" s="20">
        <f>IF(VLOOKUP(B98,Data!$A:$AX,MATCH($R$1,Data!$A$1:$AX$1,))=0,#N/A,(VLOOKUP(B98,Data!$A:$AX,MATCH($R$1,Data!$A$1:$AX$1,),)-VLOOKUP(EDATE(B98,-12),Data!$A:$AX,MATCH($R$1,Data!$A$1:$AX$1,),))/VLOOKUP(EDATE(B98,-12),Data!$A:$AX,MATCH($R$1,Data!$A$1:$AX$1,),))</f>
        <v/>
      </c>
      <c r="S98" s="20">
        <f>IF(VLOOKUP(B98,Data!$A:$AX,MATCH($S$1,Data!$A$1:$AX$1,))=0,#N/A,(VLOOKUP(B98,Data!$A:$AX,MATCH($S$1,Data!$A$1:$AX$1,),)-VLOOKUP(EDATE(B98,-12),Data!$A:$AX,MATCH($S$1,Data!$A$1:$AX$1,),))/VLOOKUP(EDATE(B98,-12),Data!$A:$AX,MATCH($S$1,Data!$A$1:$AX$1,),))</f>
        <v/>
      </c>
      <c r="T98" s="20">
        <f>IF(VLOOKUP(B98,Data!$A:$AX,MATCH($T$1,Data!$A$1:$AX$1,))=0,#N/A,(VLOOKUP(B98,Data!$A:$AX,MATCH($T$1,Data!$A$1:$AX$1,),)-VLOOKUP(EDATE(B98,-12),Data!$A:$AX,MATCH($T$1,Data!$A$1:$AX$1,),))/VLOOKUP(EDATE(B98,-12),Data!$A:$AX,MATCH($T$1,Data!$A$1:$AX$1,),))</f>
        <v/>
      </c>
      <c r="U98" s="20">
        <f>IF(VLOOKUP(B98,Data!$A:$AX,MATCH($U$1,Data!$A$1:$AX$1,))=0,#N/A,(VLOOKUP(B98,Data!$A:$AX,MATCH($U$1,Data!$A$1:$AX$1,),)-VLOOKUP(EDATE(B98,-12),Data!$A:$AX,MATCH($U$1,Data!$A$1:$AX$1,),))/VLOOKUP(EDATE(B98,-12),Data!$A:$AX,MATCH($U$1,Data!$A$1:$AX$1,),))</f>
        <v/>
      </c>
      <c r="V98" s="20">
        <f>(VLOOKUP(B98,Data!$A:$AX,MATCH($V$1,Data!$A$1:$AX$1,),)-VLOOKUP(EDATE(B98,-12),Data!$A:$AX,MATCH($V$1,Data!$A$1:$AX$1,),))/VLOOKUP(EDATE(B98,-12),Data!$A:$AX,MATCH($V$1,Data!$A$1:$AX$1,),)</f>
        <v/>
      </c>
      <c r="W98" s="20">
        <f>IF(VLOOKUP(B98,Data!$A:$AX,MATCH($W$1,Data!$A$1:$AX$1,))=0,#N/A,(VLOOKUP(B98,Data!$A:$AX,MATCH($W$1,Data!$A$1:$AX$1,),)-VLOOKUP(EDATE(B98,-12),Data!$A:$AX,MATCH($W$1,Data!$A$1:$AX$1,),))/VLOOKUP(EDATE(B98,-12),Data!$A:$AX,MATCH($W$1,Data!$A$1:$AX$1,),))</f>
        <v/>
      </c>
      <c r="X98" s="20">
        <f>IF(VLOOKUP(B98,Data!$A:$AX,MATCH($X$1,Data!$A$1:$AX$1,))=0,#N/A,(VLOOKUP(B98,Data!$A:$AX,MATCH($X$1,Data!$A$1:$AX$1,),)-VLOOKUP(EDATE(B98,-12),Data!$A:$AX,MATCH($X$1,Data!$A$1:$AX$1,),))/VLOOKUP(EDATE(B98,-12),Data!$A:$AX,MATCH($X$1,Data!$A$1:$AX$1,),))</f>
        <v/>
      </c>
      <c r="Y98" s="20">
        <f>IF(VLOOKUP(B98,Data!$A:$AX,MATCH($Y$1,Data!$A$1:$AX$1,))=0,#N/A,(VLOOKUP(B98,Data!$A:$AX,MATCH($Y$1,Data!$A$1:$AX$1,),)-VLOOKUP(EDATE(B98,-12),Data!$A:$AX,MATCH($Y$1,Data!$A$1:$AX$1,),))/VLOOKUP(EDATE(B98,-12),Data!$A:$AX,MATCH($Y$1,Data!$A$1:$AX$1,),))</f>
        <v/>
      </c>
      <c r="Z98" s="20">
        <f>(VLOOKUP(B98,Data!$A:$AX,MATCH($Z$1,Data!$A$1:$AX$1,),)-VLOOKUP(EDATE(B98,-12),Data!$A:$AX,MATCH($Z$1,Data!$A$1:$AX$1,),))/VLOOKUP(EDATE(B98,-12),Data!$A:$AX,MATCH($Z$1,Data!$A$1:$AX$1,),)</f>
        <v/>
      </c>
      <c r="AA98" s="20">
        <f>(VLOOKUP(B98,Data!$A:$AX,MATCH($AA$1,Data!$A$1:$AX$1,),)-VLOOKUP(EDATE(B98,-12),Data!$A:$AX,MATCH($AA$1,Data!$A$1:$AX$1,),))/VLOOKUP(EDATE(B98,-12),Data!$A:$AX,MATCH($AA$1,Data!$A$1:$AX$1,),)</f>
        <v/>
      </c>
      <c r="AB98" s="19" t="n"/>
    </row>
    <row r="99" customFormat="1" s="78">
      <c r="B99" s="15" t="n">
        <v>43221</v>
      </c>
      <c r="C99" s="20">
        <f>IF(VLOOKUP(B99,Data!$A:$AX,MATCH($C$1,Data!$A$1:$AX$1,))=0,#N/A,(VLOOKUP(B99,Data!$A:$AX,MATCH($C$1,Data!$A$1:$AX$1,),)-VLOOKUP(EDATE(B99,-12),Data!$A:$AX,MATCH($C$1,Data!$A$1:$AX$1,),))/VLOOKUP(EDATE(B99,-12),Data!$A:$AX,MATCH($C$1,Data!$A$1:$AX$1,),))</f>
        <v/>
      </c>
      <c r="D99" s="20">
        <f>IF(VLOOKUP(B99,Data!$A:$AX,MATCH($D$1,Data!$A$1:$AX$1,))=0,#N/A,(VLOOKUP(B99,Data!$A:$AX,MATCH($D$1,Data!$A$1:$AX$1,),)-VLOOKUP(EDATE(B99,-12),Data!$A:$AX,MATCH($D$1,Data!$A$1:$AX$1,),))/VLOOKUP(EDATE(B99,-12),Data!$A:$AX,MATCH($D$1,Data!$A$1:$AX$1,),))</f>
        <v/>
      </c>
      <c r="E99" s="20">
        <f>IF(VLOOKUP(B99,Data!$A:$AX,MATCH($E$1,Data!$A$1:$AX$1,))=0,#N/A,(VLOOKUP(B99,Data!$A:$AX,MATCH($E$1,Data!$A$1:$AX$1,),)-VLOOKUP(EDATE(B99,-12),Data!$A:$AX,MATCH($E$1,Data!$A$1:$AX$1,),))/VLOOKUP(EDATE(B99,-12),Data!$A:$AX,MATCH($E$1,Data!$A$1:$AX$1,),))</f>
        <v/>
      </c>
      <c r="F99" s="20">
        <f>IF(VLOOKUP(B99,Data!$A:$AX,MATCH($F$1,Data!$A$1:$AX$1,))=0,#N/A,(VLOOKUP(B99,Data!$A:$AX,MATCH($F$1,Data!$A$1:$AX$1,),)-VLOOKUP(EDATE(B99,-12),Data!$A:$AX,MATCH($F$1,Data!$A$1:$AX$1,),))/VLOOKUP(EDATE(B99,-12),Data!$A:$AX,MATCH($F$1,Data!$A$1:$AX$1,),))</f>
        <v/>
      </c>
      <c r="G99" s="20">
        <f>IF(VLOOKUP(B99,Data!$A:$AX,MATCH($G$1,Data!$A$1:$AX$1,))=0,#N/A,(VLOOKUP(B99,Data!$A:$AX,MATCH($G$1,Data!$A$1:$AX$1,),)-VLOOKUP(EDATE(B99,-12),Data!$A:$AX,MATCH($G$1,Data!$A$1:$AX$1,),))/VLOOKUP(EDATE(B99,-12),Data!$A:$AX,MATCH($G$1,Data!$A$1:$AX$1,),))</f>
        <v/>
      </c>
      <c r="H99" s="20">
        <f>IF(VLOOKUP(B99,Data!$A:$AX,MATCH($H$1,Data!$A$1:$AX$1,))=0,#N/A,(VLOOKUP(B99,Data!$A:$AX,MATCH($H$1,Data!$A$1:$AX$1,),)-VLOOKUP(EDATE(B99,-12),Data!$A:$AX,MATCH($H$1,Data!$A$1:$AX$1,),))/VLOOKUP(EDATE(B99,-12),Data!$A:$AX,MATCH($H$1,Data!$A$1:$AX$1,),))</f>
        <v/>
      </c>
      <c r="I99" s="20">
        <f>IF(VLOOKUP(B99,Data!$A:$AX,MATCH($I$1,Data!$A$1:$AX$1,))=0,#N/A,(VLOOKUP(B99,Data!$A:$AX,MATCH($I$1,Data!$A$1:$AX$1,),)-VLOOKUP(EDATE(B99,-12),Data!$A:$AX,MATCH($I$1,Data!$A$1:$AX$1,),))/VLOOKUP(EDATE(B99,-12),Data!$A:$AX,MATCH($I$1,Data!$A$1:$AX$1,),))</f>
        <v/>
      </c>
      <c r="J99" s="20">
        <f>IF(VLOOKUP(B99,Data!$A:$AX,MATCH($J$1,Data!$A$1:$AX$1,))=0,#N/A,(VLOOKUP(B99,Data!$A:$AX,MATCH($J$1,Data!$A$1:$AX$1,),)-VLOOKUP(EDATE(B99,-12),Data!$A:$AX,MATCH($J$1,Data!$A$1:$AX$1,),))/VLOOKUP(EDATE(B99,-12),Data!$A:$AX,MATCH($J$1,Data!$A$1:$AX$1,),))</f>
        <v/>
      </c>
      <c r="K99" s="20">
        <f>IF(VLOOKUP(B99,Data!$A:$AX,MATCH($K$1,Data!$A$1:$AX$1,))=0,#N/A,(VLOOKUP(B99,Data!$A:$AX,MATCH($K$1,Data!$A$1:$AX$1,),)-VLOOKUP(EDATE(B99,-12),Data!$A:$AX,MATCH($K$1,Data!$A$1:$AX$1,),))/VLOOKUP(EDATE(B99,-12),Data!$A:$AX,MATCH($K$1,Data!$A$1:$AX$1,),))</f>
        <v/>
      </c>
      <c r="L99" s="20">
        <f>IF(VLOOKUP(B99,Data!$A:$AX,MATCH($L$1,Data!$A$1:$AX$1,))=0,#N/A,(VLOOKUP(B99,Data!$A:$AX,MATCH($L$1,Data!$A$1:$AX$1,),)-VLOOKUP(EDATE(B99,-12),Data!$A:$AX,MATCH($L$1,Data!$A$1:$AX$1,),))/VLOOKUP(EDATE(B99,-12),Data!$A:$AX,MATCH($L$1,Data!$A$1:$AX$1,),))</f>
        <v/>
      </c>
      <c r="M99" s="20">
        <f>IF(VLOOKUP(B99,Data!$A:$AX,MATCH($M$1,Data!$A$1:$AX$1,))=0,#N/A,(VLOOKUP(B99,Data!$A:$AX,MATCH($M$1,Data!$A$1:$AX$1,),)-VLOOKUP(EDATE(B99,-12),Data!$A:$AX,MATCH($M$1,Data!$A$1:$AX$1,),))/VLOOKUP(EDATE(B99,-12),Data!$A:$AX,MATCH($M$1,Data!$A$1:$AX$1,),))</f>
        <v/>
      </c>
      <c r="N99" s="20">
        <f>(VLOOKUP(B99,Data!$A:$AX,MATCH($N$1,Data!$A$1:$AX$1,),)-VLOOKUP(EDATE(B99,-12),Data!$A:$AX,MATCH($N$1,Data!$A$1:$AX$1,),))/VLOOKUP(EDATE(B99,-12),Data!$A:$AX,MATCH($N$1,Data!$A$1:$AX$1,),)</f>
        <v/>
      </c>
      <c r="O99" s="20">
        <f>IF(VLOOKUP(B99,Data!$A:$AX,MATCH($O$1,Data!$A$1:$AX$1,))=0,#N/A,(VLOOKUP(B99,Data!$A:$AX,MATCH($O$1,Data!$A$1:$AX$1,),)-VLOOKUP(EDATE(B99,-12),Data!$A:$AX,MATCH($O$1,Data!$A$1:$AX$1,),))/VLOOKUP(EDATE(B99,-12),Data!$A:$AX,MATCH($O$1,Data!$A$1:$AX$1,),))</f>
        <v/>
      </c>
      <c r="P99" s="20">
        <f>IF(VLOOKUP(B99,Data!$A:$AX,MATCH($P$1,Data!$A$1:$AX$1,))=0,#N/A,(VLOOKUP(B99,Data!$A:$AX,MATCH($P$1,Data!$A$1:$AX$1,),)-VLOOKUP(EDATE(B99,-12),Data!$A:$AX,MATCH($P$1,Data!$A$1:$AX$1,),))/VLOOKUP(EDATE(B99,-12),Data!$A:$AX,MATCH($P$1,Data!$A$1:$AX$1,),))</f>
        <v/>
      </c>
      <c r="Q99" s="20">
        <f>(VLOOKUP(B99,Data!$A:$AX,MATCH($Q$1,Data!$A$1:$AX$1,),)-VLOOKUP(EDATE(B99,-12),Data!$A:$AX,MATCH($Q$1,Data!$A$1:$AX$1,),))/VLOOKUP(EDATE(B99,-12),Data!$A:$AX,MATCH($Q$1,Data!$A$1:$AX$1,),)</f>
        <v/>
      </c>
      <c r="R99" s="20">
        <f>IF(VLOOKUP(B99,Data!$A:$AX,MATCH($R$1,Data!$A$1:$AX$1,))=0,#N/A,(VLOOKUP(B99,Data!$A:$AX,MATCH($R$1,Data!$A$1:$AX$1,),)-VLOOKUP(EDATE(B99,-12),Data!$A:$AX,MATCH($R$1,Data!$A$1:$AX$1,),))/VLOOKUP(EDATE(B99,-12),Data!$A:$AX,MATCH($R$1,Data!$A$1:$AX$1,),))</f>
        <v/>
      </c>
      <c r="S99" s="20">
        <f>IF(VLOOKUP(B99,Data!$A:$AX,MATCH($S$1,Data!$A$1:$AX$1,))=0,#N/A,(VLOOKUP(B99,Data!$A:$AX,MATCH($S$1,Data!$A$1:$AX$1,),)-VLOOKUP(EDATE(B99,-12),Data!$A:$AX,MATCH($S$1,Data!$A$1:$AX$1,),))/VLOOKUP(EDATE(B99,-12),Data!$A:$AX,MATCH($S$1,Data!$A$1:$AX$1,),))</f>
        <v/>
      </c>
      <c r="T99" s="20">
        <f>IF(VLOOKUP(B99,Data!$A:$AX,MATCH($T$1,Data!$A$1:$AX$1,))=0,#N/A,(VLOOKUP(B99,Data!$A:$AX,MATCH($T$1,Data!$A$1:$AX$1,),)-VLOOKUP(EDATE(B99,-12),Data!$A:$AX,MATCH($T$1,Data!$A$1:$AX$1,),))/VLOOKUP(EDATE(B99,-12),Data!$A:$AX,MATCH($T$1,Data!$A$1:$AX$1,),))</f>
        <v/>
      </c>
      <c r="U99" s="20">
        <f>IF(VLOOKUP(B99,Data!$A:$AX,MATCH($U$1,Data!$A$1:$AX$1,))=0,#N/A,(VLOOKUP(B99,Data!$A:$AX,MATCH($U$1,Data!$A$1:$AX$1,),)-VLOOKUP(EDATE(B99,-12),Data!$A:$AX,MATCH($U$1,Data!$A$1:$AX$1,),))/VLOOKUP(EDATE(B99,-12),Data!$A:$AX,MATCH($U$1,Data!$A$1:$AX$1,),))</f>
        <v/>
      </c>
      <c r="V99" s="20">
        <f>(VLOOKUP(B99,Data!$A:$AX,MATCH($V$1,Data!$A$1:$AX$1,),)-VLOOKUP(EDATE(B99,-12),Data!$A:$AX,MATCH($V$1,Data!$A$1:$AX$1,),))/VLOOKUP(EDATE(B99,-12),Data!$A:$AX,MATCH($V$1,Data!$A$1:$AX$1,),)</f>
        <v/>
      </c>
      <c r="W99" s="20">
        <f>IF(VLOOKUP(B99,Data!$A:$AX,MATCH($W$1,Data!$A$1:$AX$1,))=0,#N/A,(VLOOKUP(B99,Data!$A:$AX,MATCH($W$1,Data!$A$1:$AX$1,),)-VLOOKUP(EDATE(B99,-12),Data!$A:$AX,MATCH($W$1,Data!$A$1:$AX$1,),))/VLOOKUP(EDATE(B99,-12),Data!$A:$AX,MATCH($W$1,Data!$A$1:$AX$1,),))</f>
        <v/>
      </c>
      <c r="X99" s="20">
        <f>IF(VLOOKUP(B99,Data!$A:$AX,MATCH($X$1,Data!$A$1:$AX$1,))=0,#N/A,(VLOOKUP(B99,Data!$A:$AX,MATCH($X$1,Data!$A$1:$AX$1,),)-VLOOKUP(EDATE(B99,-12),Data!$A:$AX,MATCH($X$1,Data!$A$1:$AX$1,),))/VLOOKUP(EDATE(B99,-12),Data!$A:$AX,MATCH($X$1,Data!$A$1:$AX$1,),))</f>
        <v/>
      </c>
      <c r="Y99" s="20">
        <f>IF(VLOOKUP(B99,Data!$A:$AX,MATCH($Y$1,Data!$A$1:$AX$1,))=0,#N/A,(VLOOKUP(B99,Data!$A:$AX,MATCH($Y$1,Data!$A$1:$AX$1,),)-VLOOKUP(EDATE(B99,-12),Data!$A:$AX,MATCH($Y$1,Data!$A$1:$AX$1,),))/VLOOKUP(EDATE(B99,-12),Data!$A:$AX,MATCH($Y$1,Data!$A$1:$AX$1,),))</f>
        <v/>
      </c>
      <c r="Z99" s="20">
        <f>(VLOOKUP(B99,Data!$A:$AX,MATCH($Z$1,Data!$A$1:$AX$1,),)-VLOOKUP(EDATE(B99,-12),Data!$A:$AX,MATCH($Z$1,Data!$A$1:$AX$1,),))/VLOOKUP(EDATE(B99,-12),Data!$A:$AX,MATCH($Z$1,Data!$A$1:$AX$1,),)</f>
        <v/>
      </c>
      <c r="AA99" s="20">
        <f>(VLOOKUP(B99,Data!$A:$AX,MATCH($AA$1,Data!$A$1:$AX$1,),)-VLOOKUP(EDATE(B99,-12),Data!$A:$AX,MATCH($AA$1,Data!$A$1:$AX$1,),))/VLOOKUP(EDATE(B99,-12),Data!$A:$AX,MATCH($AA$1,Data!$A$1:$AX$1,),)</f>
        <v/>
      </c>
    </row>
    <row r="100" customFormat="1" s="78">
      <c r="B100" s="15" t="n">
        <v>43252</v>
      </c>
      <c r="C100" s="20">
        <f>IF(VLOOKUP(B100,Data!$A:$AX,MATCH($C$1,Data!$A$1:$AX$1,))=0,#N/A,(VLOOKUP(B100,Data!$A:$AX,MATCH($C$1,Data!$A$1:$AX$1,),)-VLOOKUP(EDATE(B100,-12),Data!$A:$AX,MATCH($C$1,Data!$A$1:$AX$1,),))/VLOOKUP(EDATE(B100,-12),Data!$A:$AX,MATCH($C$1,Data!$A$1:$AX$1,),))</f>
        <v/>
      </c>
      <c r="D100" s="20">
        <f>IF(VLOOKUP(B100,Data!$A:$AX,MATCH($D$1,Data!$A$1:$AX$1,))=0,#N/A,(VLOOKUP(B100,Data!$A:$AX,MATCH($D$1,Data!$A$1:$AX$1,),)-VLOOKUP(EDATE(B100,-12),Data!$A:$AX,MATCH($D$1,Data!$A$1:$AX$1,),))/VLOOKUP(EDATE(B100,-12),Data!$A:$AX,MATCH($D$1,Data!$A$1:$AX$1,),))</f>
        <v/>
      </c>
      <c r="E100" s="20">
        <f>IF(VLOOKUP(B100,Data!$A:$AX,MATCH($E$1,Data!$A$1:$AX$1,))=0,#N/A,(VLOOKUP(B100,Data!$A:$AX,MATCH($E$1,Data!$A$1:$AX$1,),)-VLOOKUP(EDATE(B100,-12),Data!$A:$AX,MATCH($E$1,Data!$A$1:$AX$1,),))/VLOOKUP(EDATE(B100,-12),Data!$A:$AX,MATCH($E$1,Data!$A$1:$AX$1,),))</f>
        <v/>
      </c>
      <c r="F100" s="20">
        <f>IF(VLOOKUP(B100,Data!$A:$AX,MATCH($F$1,Data!$A$1:$AX$1,))=0,#N/A,(VLOOKUP(B100,Data!$A:$AX,MATCH($F$1,Data!$A$1:$AX$1,),)-VLOOKUP(EDATE(B100,-12),Data!$A:$AX,MATCH($F$1,Data!$A$1:$AX$1,),))/VLOOKUP(EDATE(B100,-12),Data!$A:$AX,MATCH($F$1,Data!$A$1:$AX$1,),))</f>
        <v/>
      </c>
      <c r="G100" s="20">
        <f>IF(VLOOKUP(B100,Data!$A:$AX,MATCH($G$1,Data!$A$1:$AX$1,))=0,#N/A,(VLOOKUP(B100,Data!$A:$AX,MATCH($G$1,Data!$A$1:$AX$1,),)-VLOOKUP(EDATE(B100,-12),Data!$A:$AX,MATCH($G$1,Data!$A$1:$AX$1,),))/VLOOKUP(EDATE(B100,-12),Data!$A:$AX,MATCH($G$1,Data!$A$1:$AX$1,),))</f>
        <v/>
      </c>
      <c r="H100" s="20">
        <f>IF(VLOOKUP(B100,Data!$A:$AX,MATCH($H$1,Data!$A$1:$AX$1,))=0,#N/A,(VLOOKUP(B100,Data!$A:$AX,MATCH($H$1,Data!$A$1:$AX$1,),)-VLOOKUP(EDATE(B100,-12),Data!$A:$AX,MATCH($H$1,Data!$A$1:$AX$1,),))/VLOOKUP(EDATE(B100,-12),Data!$A:$AX,MATCH($H$1,Data!$A$1:$AX$1,),))</f>
        <v/>
      </c>
      <c r="I100" s="20">
        <f>IF(VLOOKUP(B100,Data!$A:$AX,MATCH($I$1,Data!$A$1:$AX$1,))=0,#N/A,(VLOOKUP(B100,Data!$A:$AX,MATCH($I$1,Data!$A$1:$AX$1,),)-VLOOKUP(EDATE(B100,-12),Data!$A:$AX,MATCH($I$1,Data!$A$1:$AX$1,),))/VLOOKUP(EDATE(B100,-12),Data!$A:$AX,MATCH($I$1,Data!$A$1:$AX$1,),))</f>
        <v/>
      </c>
      <c r="J100" s="20">
        <f>IF(VLOOKUP(B100,Data!$A:$AX,MATCH($J$1,Data!$A$1:$AX$1,))=0,#N/A,(VLOOKUP(B100,Data!$A:$AX,MATCH($J$1,Data!$A$1:$AX$1,),)-VLOOKUP(EDATE(B100,-12),Data!$A:$AX,MATCH($J$1,Data!$A$1:$AX$1,),))/VLOOKUP(EDATE(B100,-12),Data!$A:$AX,MATCH($J$1,Data!$A$1:$AX$1,),))</f>
        <v/>
      </c>
      <c r="K100" s="20">
        <f>IF(VLOOKUP(B100,Data!$A:$AX,MATCH($K$1,Data!$A$1:$AX$1,))=0,#N/A,(VLOOKUP(B100,Data!$A:$AX,MATCH($K$1,Data!$A$1:$AX$1,),)-VLOOKUP(EDATE(B100,-12),Data!$A:$AX,MATCH($K$1,Data!$A$1:$AX$1,),))/VLOOKUP(EDATE(B100,-12),Data!$A:$AX,MATCH($K$1,Data!$A$1:$AX$1,),))</f>
        <v/>
      </c>
      <c r="L100" s="20">
        <f>IF(VLOOKUP(B100,Data!$A:$AX,MATCH($L$1,Data!$A$1:$AX$1,))=0,#N/A,(VLOOKUP(B100,Data!$A:$AX,MATCH($L$1,Data!$A$1:$AX$1,),)-VLOOKUP(EDATE(B100,-12),Data!$A:$AX,MATCH($L$1,Data!$A$1:$AX$1,),))/VLOOKUP(EDATE(B100,-12),Data!$A:$AX,MATCH($L$1,Data!$A$1:$AX$1,),))</f>
        <v/>
      </c>
      <c r="M100" s="20">
        <f>IF(VLOOKUP(B100,Data!$A:$AX,MATCH($M$1,Data!$A$1:$AX$1,))=0,#N/A,(VLOOKUP(B100,Data!$A:$AX,MATCH($M$1,Data!$A$1:$AX$1,),)-VLOOKUP(EDATE(B100,-12),Data!$A:$AX,MATCH($M$1,Data!$A$1:$AX$1,),))/VLOOKUP(EDATE(B100,-12),Data!$A:$AX,MATCH($M$1,Data!$A$1:$AX$1,),))</f>
        <v/>
      </c>
      <c r="N100" s="20">
        <f>(VLOOKUP(B100,Data!$A:$AX,MATCH($N$1,Data!$A$1:$AX$1,),)-VLOOKUP(EDATE(B100,-12),Data!$A:$AX,MATCH($N$1,Data!$A$1:$AX$1,),))/VLOOKUP(EDATE(B100,-12),Data!$A:$AX,MATCH($N$1,Data!$A$1:$AX$1,),)</f>
        <v/>
      </c>
      <c r="O100" s="20">
        <f>IF(VLOOKUP(B100,Data!$A:$AX,MATCH($O$1,Data!$A$1:$AX$1,))=0,#N/A,(VLOOKUP(B100,Data!$A:$AX,MATCH($O$1,Data!$A$1:$AX$1,),)-VLOOKUP(EDATE(B100,-12),Data!$A:$AX,MATCH($O$1,Data!$A$1:$AX$1,),))/VLOOKUP(EDATE(B100,-12),Data!$A:$AX,MATCH($O$1,Data!$A$1:$AX$1,),))</f>
        <v/>
      </c>
      <c r="P100" s="20">
        <f>IF(VLOOKUP(B100,Data!$A:$AX,MATCH($P$1,Data!$A$1:$AX$1,))=0,#N/A,(VLOOKUP(B100,Data!$A:$AX,MATCH($P$1,Data!$A$1:$AX$1,),)-VLOOKUP(EDATE(B100,-12),Data!$A:$AX,MATCH($P$1,Data!$A$1:$AX$1,),))/VLOOKUP(EDATE(B100,-12),Data!$A:$AX,MATCH($P$1,Data!$A$1:$AX$1,),))</f>
        <v/>
      </c>
      <c r="Q100" s="20">
        <f>(VLOOKUP(B100,Data!$A:$AX,MATCH($Q$1,Data!$A$1:$AX$1,),)-VLOOKUP(EDATE(B100,-12),Data!$A:$AX,MATCH($Q$1,Data!$A$1:$AX$1,),))/VLOOKUP(EDATE(B100,-12),Data!$A:$AX,MATCH($Q$1,Data!$A$1:$AX$1,),)</f>
        <v/>
      </c>
      <c r="R100" s="20">
        <f>IF(VLOOKUP(B100,Data!$A:$AX,MATCH($R$1,Data!$A$1:$AX$1,))=0,#N/A,(VLOOKUP(B100,Data!$A:$AX,MATCH($R$1,Data!$A$1:$AX$1,),)-VLOOKUP(EDATE(B100,-12),Data!$A:$AX,MATCH($R$1,Data!$A$1:$AX$1,),))/VLOOKUP(EDATE(B100,-12),Data!$A:$AX,MATCH($R$1,Data!$A$1:$AX$1,),))</f>
        <v/>
      </c>
      <c r="S100" s="20">
        <f>IF(VLOOKUP(B100,Data!$A:$AX,MATCH($S$1,Data!$A$1:$AX$1,))=0,#N/A,(VLOOKUP(B100,Data!$A:$AX,MATCH($S$1,Data!$A$1:$AX$1,),)-VLOOKUP(EDATE(B100,-12),Data!$A:$AX,MATCH($S$1,Data!$A$1:$AX$1,),))/VLOOKUP(EDATE(B100,-12),Data!$A:$AX,MATCH($S$1,Data!$A$1:$AX$1,),))</f>
        <v/>
      </c>
      <c r="T100" s="20">
        <f>IF(VLOOKUP(B100,Data!$A:$AX,MATCH($T$1,Data!$A$1:$AX$1,))=0,#N/A,(VLOOKUP(B100,Data!$A:$AX,MATCH($T$1,Data!$A$1:$AX$1,),)-VLOOKUP(EDATE(B100,-12),Data!$A:$AX,MATCH($T$1,Data!$A$1:$AX$1,),))/VLOOKUP(EDATE(B100,-12),Data!$A:$AX,MATCH($T$1,Data!$A$1:$AX$1,),))</f>
        <v/>
      </c>
      <c r="U100" s="20">
        <f>IF(VLOOKUP(B100,Data!$A:$AX,MATCH($U$1,Data!$A$1:$AX$1,))=0,#N/A,(VLOOKUP(B100,Data!$A:$AX,MATCH($U$1,Data!$A$1:$AX$1,),)-VLOOKUP(EDATE(B100,-12),Data!$A:$AX,MATCH($U$1,Data!$A$1:$AX$1,),))/VLOOKUP(EDATE(B100,-12),Data!$A:$AX,MATCH($U$1,Data!$A$1:$AX$1,),))</f>
        <v/>
      </c>
      <c r="V100" s="20">
        <f>(VLOOKUP(B100,Data!$A:$AX,MATCH($V$1,Data!$A$1:$AX$1,),)-VLOOKUP(EDATE(B100,-12),Data!$A:$AX,MATCH($V$1,Data!$A$1:$AX$1,),))/VLOOKUP(EDATE(B100,-12),Data!$A:$AX,MATCH($V$1,Data!$A$1:$AX$1,),)</f>
        <v/>
      </c>
      <c r="W100" s="20">
        <f>IF(VLOOKUP(B100,Data!$A:$AX,MATCH($W$1,Data!$A$1:$AX$1,))=0,#N/A,(VLOOKUP(B100,Data!$A:$AX,MATCH($W$1,Data!$A$1:$AX$1,),)-VLOOKUP(EDATE(B100,-12),Data!$A:$AX,MATCH($W$1,Data!$A$1:$AX$1,),))/VLOOKUP(EDATE(B100,-12),Data!$A:$AX,MATCH($W$1,Data!$A$1:$AX$1,),))</f>
        <v/>
      </c>
      <c r="X100" s="20">
        <f>IF(VLOOKUP(B100,Data!$A:$AX,MATCH($X$1,Data!$A$1:$AX$1,))=0,#N/A,(VLOOKUP(B100,Data!$A:$AX,MATCH($X$1,Data!$A$1:$AX$1,),)-VLOOKUP(EDATE(B100,-12),Data!$A:$AX,MATCH($X$1,Data!$A$1:$AX$1,),))/VLOOKUP(EDATE(B100,-12),Data!$A:$AX,MATCH($X$1,Data!$A$1:$AX$1,),))</f>
        <v/>
      </c>
      <c r="Y100" s="20">
        <f>IF(VLOOKUP(B100,Data!$A:$AX,MATCH($Y$1,Data!$A$1:$AX$1,))=0,#N/A,(VLOOKUP(B100,Data!$A:$AX,MATCH($Y$1,Data!$A$1:$AX$1,),)-VLOOKUP(EDATE(B100,-12),Data!$A:$AX,MATCH($Y$1,Data!$A$1:$AX$1,),))/VLOOKUP(EDATE(B100,-12),Data!$A:$AX,MATCH($Y$1,Data!$A$1:$AX$1,),))</f>
        <v/>
      </c>
      <c r="Z100" s="20">
        <f>(VLOOKUP(B100,Data!$A:$AX,MATCH($Z$1,Data!$A$1:$AX$1,),)-VLOOKUP(EDATE(B100,-12),Data!$A:$AX,MATCH($Z$1,Data!$A$1:$AX$1,),))/VLOOKUP(EDATE(B100,-12),Data!$A:$AX,MATCH($Z$1,Data!$A$1:$AX$1,),)</f>
        <v/>
      </c>
      <c r="AA100" s="20">
        <f>(VLOOKUP(B100,Data!$A:$AX,MATCH($AA$1,Data!$A$1:$AX$1,),)-VLOOKUP(EDATE(B100,-12),Data!$A:$AX,MATCH($AA$1,Data!$A$1:$AX$1,),))/VLOOKUP(EDATE(B100,-12),Data!$A:$AX,MATCH($AA$1,Data!$A$1:$AX$1,),)</f>
        <v/>
      </c>
    </row>
    <row r="101" customFormat="1" s="78">
      <c r="B101" s="15" t="n">
        <v>43282</v>
      </c>
      <c r="C101" s="20">
        <f>IF(VLOOKUP(B101,Data!$A:$AX,MATCH($C$1,Data!$A$1:$AX$1,))=0,#N/A,(VLOOKUP(B101,Data!$A:$AX,MATCH($C$1,Data!$A$1:$AX$1,),)-VLOOKUP(EDATE(B101,-12),Data!$A:$AX,MATCH($C$1,Data!$A$1:$AX$1,),))/VLOOKUP(EDATE(B101,-12),Data!$A:$AX,MATCH($C$1,Data!$A$1:$AX$1,),))</f>
        <v/>
      </c>
      <c r="D101" s="20">
        <f>IF(VLOOKUP(B101,Data!$A:$AX,MATCH($D$1,Data!$A$1:$AX$1,))=0,#N/A,(VLOOKUP(B101,Data!$A:$AX,MATCH($D$1,Data!$A$1:$AX$1,),)-VLOOKUP(EDATE(B101,-12),Data!$A:$AX,MATCH($D$1,Data!$A$1:$AX$1,),))/VLOOKUP(EDATE(B101,-12),Data!$A:$AX,MATCH($D$1,Data!$A$1:$AX$1,),))</f>
        <v/>
      </c>
      <c r="E101" s="20">
        <f>IF(VLOOKUP(B101,Data!$A:$AX,MATCH($E$1,Data!$A$1:$AX$1,))=0,#N/A,(VLOOKUP(B101,Data!$A:$AX,MATCH($E$1,Data!$A$1:$AX$1,),)-VLOOKUP(EDATE(B101,-12),Data!$A:$AX,MATCH($E$1,Data!$A$1:$AX$1,),))/VLOOKUP(EDATE(B101,-12),Data!$A:$AX,MATCH($E$1,Data!$A$1:$AX$1,),))</f>
        <v/>
      </c>
      <c r="F101" s="20">
        <f>IF(VLOOKUP(B101,Data!$A:$AX,MATCH($F$1,Data!$A$1:$AX$1,))=0,#N/A,(VLOOKUP(B101,Data!$A:$AX,MATCH($F$1,Data!$A$1:$AX$1,),)-VLOOKUP(EDATE(B101,-12),Data!$A:$AX,MATCH($F$1,Data!$A$1:$AX$1,),))/VLOOKUP(EDATE(B101,-12),Data!$A:$AX,MATCH($F$1,Data!$A$1:$AX$1,),))</f>
        <v/>
      </c>
      <c r="G101" s="20">
        <f>IF(VLOOKUP(B101,Data!$A:$AX,MATCH($G$1,Data!$A$1:$AX$1,))=0,#N/A,(VLOOKUP(B101,Data!$A:$AX,MATCH($G$1,Data!$A$1:$AX$1,),)-VLOOKUP(EDATE(B101,-12),Data!$A:$AX,MATCH($G$1,Data!$A$1:$AX$1,),))/VLOOKUP(EDATE(B101,-12),Data!$A:$AX,MATCH($G$1,Data!$A$1:$AX$1,),))</f>
        <v/>
      </c>
      <c r="H101" s="20">
        <f>IF(VLOOKUP(B101,Data!$A:$AX,MATCH($H$1,Data!$A$1:$AX$1,))=0,#N/A,(VLOOKUP(B101,Data!$A:$AX,MATCH($H$1,Data!$A$1:$AX$1,),)-VLOOKUP(EDATE(B101,-12),Data!$A:$AX,MATCH($H$1,Data!$A$1:$AX$1,),))/VLOOKUP(EDATE(B101,-12),Data!$A:$AX,MATCH($H$1,Data!$A$1:$AX$1,),))</f>
        <v/>
      </c>
      <c r="I101" s="20">
        <f>IF(VLOOKUP(B101,Data!$A:$AX,MATCH($I$1,Data!$A$1:$AX$1,))=0,#N/A,(VLOOKUP(B101,Data!$A:$AX,MATCH($I$1,Data!$A$1:$AX$1,),)-VLOOKUP(EDATE(B101,-12),Data!$A:$AX,MATCH($I$1,Data!$A$1:$AX$1,),))/VLOOKUP(EDATE(B101,-12),Data!$A:$AX,MATCH($I$1,Data!$A$1:$AX$1,),))</f>
        <v/>
      </c>
      <c r="J101" s="20">
        <f>IF(VLOOKUP(B101,Data!$A:$AX,MATCH($J$1,Data!$A$1:$AX$1,))=0,#N/A,(VLOOKUP(B101,Data!$A:$AX,MATCH($J$1,Data!$A$1:$AX$1,),)-VLOOKUP(EDATE(B101,-12),Data!$A:$AX,MATCH($J$1,Data!$A$1:$AX$1,),))/VLOOKUP(EDATE(B101,-12),Data!$A:$AX,MATCH($J$1,Data!$A$1:$AX$1,),))</f>
        <v/>
      </c>
      <c r="K101" s="20">
        <f>IF(VLOOKUP(B101,Data!$A:$AX,MATCH($K$1,Data!$A$1:$AX$1,))=0,#N/A,(VLOOKUP(B101,Data!$A:$AX,MATCH($K$1,Data!$A$1:$AX$1,),)-VLOOKUP(EDATE(B101,-12),Data!$A:$AX,MATCH($K$1,Data!$A$1:$AX$1,),))/VLOOKUP(EDATE(B101,-12),Data!$A:$AX,MATCH($K$1,Data!$A$1:$AX$1,),))</f>
        <v/>
      </c>
      <c r="L101" s="20">
        <f>IF(VLOOKUP(B101,Data!$A:$AX,MATCH($L$1,Data!$A$1:$AX$1,))=0,#N/A,(VLOOKUP(B101,Data!$A:$AX,MATCH($L$1,Data!$A$1:$AX$1,),)-VLOOKUP(EDATE(B101,-12),Data!$A:$AX,MATCH($L$1,Data!$A$1:$AX$1,),))/VLOOKUP(EDATE(B101,-12),Data!$A:$AX,MATCH($L$1,Data!$A$1:$AX$1,),))</f>
        <v/>
      </c>
      <c r="M101" s="20">
        <f>IF(VLOOKUP(B101,Data!$A:$AX,MATCH($M$1,Data!$A$1:$AX$1,))=0,#N/A,(VLOOKUP(B101,Data!$A:$AX,MATCH($M$1,Data!$A$1:$AX$1,),)-VLOOKUP(EDATE(B101,-12),Data!$A:$AX,MATCH($M$1,Data!$A$1:$AX$1,),))/VLOOKUP(EDATE(B101,-12),Data!$A:$AX,MATCH($M$1,Data!$A$1:$AX$1,),))</f>
        <v/>
      </c>
      <c r="N101" s="20">
        <f>(VLOOKUP(B101,Data!$A:$AX,MATCH($N$1,Data!$A$1:$AX$1,),)-VLOOKUP(EDATE(B101,-12),Data!$A:$AX,MATCH($N$1,Data!$A$1:$AX$1,),))/VLOOKUP(EDATE(B101,-12),Data!$A:$AX,MATCH($N$1,Data!$A$1:$AX$1,),)</f>
        <v/>
      </c>
      <c r="O101" s="20">
        <f>IF(VLOOKUP(B101,Data!$A:$AX,MATCH($O$1,Data!$A$1:$AX$1,))=0,#N/A,(VLOOKUP(B101,Data!$A:$AX,MATCH($O$1,Data!$A$1:$AX$1,),)-VLOOKUP(EDATE(B101,-12),Data!$A:$AX,MATCH($O$1,Data!$A$1:$AX$1,),))/VLOOKUP(EDATE(B101,-12),Data!$A:$AX,MATCH($O$1,Data!$A$1:$AX$1,),))</f>
        <v/>
      </c>
      <c r="P101" s="20">
        <f>IF(VLOOKUP(B101,Data!$A:$AX,MATCH($P$1,Data!$A$1:$AX$1,))=0,#N/A,(VLOOKUP(B101,Data!$A:$AX,MATCH($P$1,Data!$A$1:$AX$1,),)-VLOOKUP(EDATE(B101,-12),Data!$A:$AX,MATCH($P$1,Data!$A$1:$AX$1,),))/VLOOKUP(EDATE(B101,-12),Data!$A:$AX,MATCH($P$1,Data!$A$1:$AX$1,),))</f>
        <v/>
      </c>
      <c r="Q101" s="20">
        <f>(VLOOKUP(B101,Data!$A:$AX,MATCH($Q$1,Data!$A$1:$AX$1,),)-VLOOKUP(EDATE(B101,-12),Data!$A:$AX,MATCH($Q$1,Data!$A$1:$AX$1,),))/VLOOKUP(EDATE(B101,-12),Data!$A:$AX,MATCH($Q$1,Data!$A$1:$AX$1,),)</f>
        <v/>
      </c>
      <c r="R101" s="20">
        <f>IF(VLOOKUP(B101,Data!$A:$AX,MATCH($R$1,Data!$A$1:$AX$1,))=0,#N/A,(VLOOKUP(B101,Data!$A:$AX,MATCH($R$1,Data!$A$1:$AX$1,),)-VLOOKUP(EDATE(B101,-12),Data!$A:$AX,MATCH($R$1,Data!$A$1:$AX$1,),))/VLOOKUP(EDATE(B101,-12),Data!$A:$AX,MATCH($R$1,Data!$A$1:$AX$1,),))</f>
        <v/>
      </c>
      <c r="S101" s="20">
        <f>IF(VLOOKUP(B101,Data!$A:$AX,MATCH($S$1,Data!$A$1:$AX$1,))=0,#N/A,(VLOOKUP(B101,Data!$A:$AX,MATCH($S$1,Data!$A$1:$AX$1,),)-VLOOKUP(EDATE(B101,-12),Data!$A:$AX,MATCH($S$1,Data!$A$1:$AX$1,),))/VLOOKUP(EDATE(B101,-12),Data!$A:$AX,MATCH($S$1,Data!$A$1:$AX$1,),))</f>
        <v/>
      </c>
      <c r="T101" s="20">
        <f>IF(VLOOKUP(B101,Data!$A:$AX,MATCH($T$1,Data!$A$1:$AX$1,))=0,#N/A,(VLOOKUP(B101,Data!$A:$AX,MATCH($T$1,Data!$A$1:$AX$1,),)-VLOOKUP(EDATE(B101,-12),Data!$A:$AX,MATCH($T$1,Data!$A$1:$AX$1,),))/VLOOKUP(EDATE(B101,-12),Data!$A:$AX,MATCH($T$1,Data!$A$1:$AX$1,),))</f>
        <v/>
      </c>
      <c r="U101" s="20">
        <f>IF(VLOOKUP(B101,Data!$A:$AX,MATCH($U$1,Data!$A$1:$AX$1,))=0,#N/A,(VLOOKUP(B101,Data!$A:$AX,MATCH($U$1,Data!$A$1:$AX$1,),)-VLOOKUP(EDATE(B101,-12),Data!$A:$AX,MATCH($U$1,Data!$A$1:$AX$1,),))/VLOOKUP(EDATE(B101,-12),Data!$A:$AX,MATCH($U$1,Data!$A$1:$AX$1,),))</f>
        <v/>
      </c>
      <c r="V101" s="20">
        <f>(VLOOKUP(B101,Data!$A:$AX,MATCH($V$1,Data!$A$1:$AX$1,),)-VLOOKUP(EDATE(B101,-12),Data!$A:$AX,MATCH($V$1,Data!$A$1:$AX$1,),))/VLOOKUP(EDATE(B101,-12),Data!$A:$AX,MATCH($V$1,Data!$A$1:$AX$1,),)</f>
        <v/>
      </c>
      <c r="W101" s="20">
        <f>IF(VLOOKUP(B101,Data!$A:$AX,MATCH($W$1,Data!$A$1:$AX$1,))=0,#N/A,(VLOOKUP(B101,Data!$A:$AX,MATCH($W$1,Data!$A$1:$AX$1,),)-VLOOKUP(EDATE(B101,-12),Data!$A:$AX,MATCH($W$1,Data!$A$1:$AX$1,),))/VLOOKUP(EDATE(B101,-12),Data!$A:$AX,MATCH($W$1,Data!$A$1:$AX$1,),))</f>
        <v/>
      </c>
      <c r="X101" s="20">
        <f>IF(VLOOKUP(B101,Data!$A:$AX,MATCH($X$1,Data!$A$1:$AX$1,))=0,#N/A,(VLOOKUP(B101,Data!$A:$AX,MATCH($X$1,Data!$A$1:$AX$1,),)-VLOOKUP(EDATE(B101,-12),Data!$A:$AX,MATCH($X$1,Data!$A$1:$AX$1,),))/VLOOKUP(EDATE(B101,-12),Data!$A:$AX,MATCH($X$1,Data!$A$1:$AX$1,),))</f>
        <v/>
      </c>
      <c r="Y101" s="20">
        <f>IF(VLOOKUP(B101,Data!$A:$AX,MATCH($Y$1,Data!$A$1:$AX$1,))=0,#N/A,(VLOOKUP(B101,Data!$A:$AX,MATCH($Y$1,Data!$A$1:$AX$1,),)-VLOOKUP(EDATE(B101,-12),Data!$A:$AX,MATCH($Y$1,Data!$A$1:$AX$1,),))/VLOOKUP(EDATE(B101,-12),Data!$A:$AX,MATCH($Y$1,Data!$A$1:$AX$1,),))</f>
        <v/>
      </c>
      <c r="Z101" s="20">
        <f>(VLOOKUP(B101,Data!$A:$AX,MATCH($Z$1,Data!$A$1:$AX$1,),)-VLOOKUP(EDATE(B101,-12),Data!$A:$AX,MATCH($Z$1,Data!$A$1:$AX$1,),))/VLOOKUP(EDATE(B101,-12),Data!$A:$AX,MATCH($Z$1,Data!$A$1:$AX$1,),)</f>
        <v/>
      </c>
      <c r="AA101" s="20">
        <f>(VLOOKUP(B101,Data!$A:$AX,MATCH($AA$1,Data!$A$1:$AX$1,),)-VLOOKUP(EDATE(B101,-12),Data!$A:$AX,MATCH($AA$1,Data!$A$1:$AX$1,),))/VLOOKUP(EDATE(B101,-12),Data!$A:$AX,MATCH($AA$1,Data!$A$1:$AX$1,),)</f>
        <v/>
      </c>
    </row>
    <row r="102" customFormat="1" s="78">
      <c r="B102" s="15" t="n">
        <v>43313</v>
      </c>
      <c r="C102" s="20">
        <f>IF(VLOOKUP(B102,Data!$A:$AX,MATCH($C$1,Data!$A$1:$AX$1,))=0,#N/A,(VLOOKUP(B102,Data!$A:$AX,MATCH($C$1,Data!$A$1:$AX$1,),)-VLOOKUP(EDATE(B102,-12),Data!$A:$AX,MATCH($C$1,Data!$A$1:$AX$1,),))/VLOOKUP(EDATE(B102,-12),Data!$A:$AX,MATCH($C$1,Data!$A$1:$AX$1,),))</f>
        <v/>
      </c>
      <c r="D102" s="20">
        <f>IF(VLOOKUP(B102,Data!$A:$AX,MATCH($D$1,Data!$A$1:$AX$1,))=0,#N/A,(VLOOKUP(B102,Data!$A:$AX,MATCH($D$1,Data!$A$1:$AX$1,),)-VLOOKUP(EDATE(B102,-12),Data!$A:$AX,MATCH($D$1,Data!$A$1:$AX$1,),))/VLOOKUP(EDATE(B102,-12),Data!$A:$AX,MATCH($D$1,Data!$A$1:$AX$1,),))</f>
        <v/>
      </c>
      <c r="E102" s="20">
        <f>IF(VLOOKUP(B102,Data!$A:$AX,MATCH($E$1,Data!$A$1:$AX$1,))=0,#N/A,(VLOOKUP(B102,Data!$A:$AX,MATCH($E$1,Data!$A$1:$AX$1,),)-VLOOKUP(EDATE(B102,-12),Data!$A:$AX,MATCH($E$1,Data!$A$1:$AX$1,),))/VLOOKUP(EDATE(B102,-12),Data!$A:$AX,MATCH($E$1,Data!$A$1:$AX$1,),))</f>
        <v/>
      </c>
      <c r="F102" s="20">
        <f>IF(VLOOKUP(B102,Data!$A:$AX,MATCH($F$1,Data!$A$1:$AX$1,))=0,#N/A,(VLOOKUP(B102,Data!$A:$AX,MATCH($F$1,Data!$A$1:$AX$1,),)-VLOOKUP(EDATE(B102,-12),Data!$A:$AX,MATCH($F$1,Data!$A$1:$AX$1,),))/VLOOKUP(EDATE(B102,-12),Data!$A:$AX,MATCH($F$1,Data!$A$1:$AX$1,),))</f>
        <v/>
      </c>
      <c r="G102" s="20">
        <f>IF(VLOOKUP(B102,Data!$A:$AX,MATCH($G$1,Data!$A$1:$AX$1,))=0,#N/A,(VLOOKUP(B102,Data!$A:$AX,MATCH($G$1,Data!$A$1:$AX$1,),)-VLOOKUP(EDATE(B102,-12),Data!$A:$AX,MATCH($G$1,Data!$A$1:$AX$1,),))/VLOOKUP(EDATE(B102,-12),Data!$A:$AX,MATCH($G$1,Data!$A$1:$AX$1,),))</f>
        <v/>
      </c>
      <c r="H102" s="20">
        <f>IF(VLOOKUP(B102,Data!$A:$AX,MATCH($H$1,Data!$A$1:$AX$1,))=0,#N/A,(VLOOKUP(B102,Data!$A:$AX,MATCH($H$1,Data!$A$1:$AX$1,),)-VLOOKUP(EDATE(B102,-12),Data!$A:$AX,MATCH($H$1,Data!$A$1:$AX$1,),))/VLOOKUP(EDATE(B102,-12),Data!$A:$AX,MATCH($H$1,Data!$A$1:$AX$1,),))</f>
        <v/>
      </c>
      <c r="I102" s="20">
        <f>IF(VLOOKUP(B102,Data!$A:$AX,MATCH($I$1,Data!$A$1:$AX$1,))=0,#N/A,(VLOOKUP(B102,Data!$A:$AX,MATCH($I$1,Data!$A$1:$AX$1,),)-VLOOKUP(EDATE(B102,-12),Data!$A:$AX,MATCH($I$1,Data!$A$1:$AX$1,),))/VLOOKUP(EDATE(B102,-12),Data!$A:$AX,MATCH($I$1,Data!$A$1:$AX$1,),))</f>
        <v/>
      </c>
      <c r="J102" s="20">
        <f>IF(VLOOKUP(B102,Data!$A:$AX,MATCH($J$1,Data!$A$1:$AX$1,))=0,#N/A,(VLOOKUP(B102,Data!$A:$AX,MATCH($J$1,Data!$A$1:$AX$1,),)-VLOOKUP(EDATE(B102,-12),Data!$A:$AX,MATCH($J$1,Data!$A$1:$AX$1,),))/VLOOKUP(EDATE(B102,-12),Data!$A:$AX,MATCH($J$1,Data!$A$1:$AX$1,),))</f>
        <v/>
      </c>
      <c r="K102" s="20">
        <f>IF(VLOOKUP(B102,Data!$A:$AX,MATCH($K$1,Data!$A$1:$AX$1,))=0,#N/A,(VLOOKUP(B102,Data!$A:$AX,MATCH($K$1,Data!$A$1:$AX$1,),)-VLOOKUP(EDATE(B102,-12),Data!$A:$AX,MATCH($K$1,Data!$A$1:$AX$1,),))/VLOOKUP(EDATE(B102,-12),Data!$A:$AX,MATCH($K$1,Data!$A$1:$AX$1,),))</f>
        <v/>
      </c>
      <c r="L102" s="20">
        <f>IF(VLOOKUP(B102,Data!$A:$AX,MATCH($L$1,Data!$A$1:$AX$1,))=0,#N/A,(VLOOKUP(B102,Data!$A:$AX,MATCH($L$1,Data!$A$1:$AX$1,),)-VLOOKUP(EDATE(B102,-12),Data!$A:$AX,MATCH($L$1,Data!$A$1:$AX$1,),))/VLOOKUP(EDATE(B102,-12),Data!$A:$AX,MATCH($L$1,Data!$A$1:$AX$1,),))</f>
        <v/>
      </c>
      <c r="M102" s="20">
        <f>IF(VLOOKUP(B102,Data!$A:$AX,MATCH($M$1,Data!$A$1:$AX$1,))=0,#N/A,(VLOOKUP(B102,Data!$A:$AX,MATCH($M$1,Data!$A$1:$AX$1,),)-VLOOKUP(EDATE(B102,-12),Data!$A:$AX,MATCH($M$1,Data!$A$1:$AX$1,),))/VLOOKUP(EDATE(B102,-12),Data!$A:$AX,MATCH($M$1,Data!$A$1:$AX$1,),))</f>
        <v/>
      </c>
      <c r="N102" s="20">
        <f>(VLOOKUP(B102,Data!$A:$AX,MATCH($N$1,Data!$A$1:$AX$1,),)-VLOOKUP(EDATE(B102,-12),Data!$A:$AX,MATCH($N$1,Data!$A$1:$AX$1,),))/VLOOKUP(EDATE(B102,-12),Data!$A:$AX,MATCH($N$1,Data!$A$1:$AX$1,),)</f>
        <v/>
      </c>
      <c r="O102" s="20">
        <f>IF(VLOOKUP(B102,Data!$A:$AX,MATCH($O$1,Data!$A$1:$AX$1,))=0,#N/A,(VLOOKUP(B102,Data!$A:$AX,MATCH($O$1,Data!$A$1:$AX$1,),)-VLOOKUP(EDATE(B102,-12),Data!$A:$AX,MATCH($O$1,Data!$A$1:$AX$1,),))/VLOOKUP(EDATE(B102,-12),Data!$A:$AX,MATCH($O$1,Data!$A$1:$AX$1,),))</f>
        <v/>
      </c>
      <c r="P102" s="20">
        <f>IF(VLOOKUP(B102,Data!$A:$AX,MATCH($P$1,Data!$A$1:$AX$1,))=0,#N/A,(VLOOKUP(B102,Data!$A:$AX,MATCH($P$1,Data!$A$1:$AX$1,),)-VLOOKUP(EDATE(B102,-12),Data!$A:$AX,MATCH($P$1,Data!$A$1:$AX$1,),))/VLOOKUP(EDATE(B102,-12),Data!$A:$AX,MATCH($P$1,Data!$A$1:$AX$1,),))</f>
        <v/>
      </c>
      <c r="Q102" s="20">
        <f>(VLOOKUP(B102,Data!$A:$AX,MATCH($Q$1,Data!$A$1:$AX$1,),)-VLOOKUP(EDATE(B102,-12),Data!$A:$AX,MATCH($Q$1,Data!$A$1:$AX$1,),))/VLOOKUP(EDATE(B102,-12),Data!$A:$AX,MATCH($Q$1,Data!$A$1:$AX$1,),)</f>
        <v/>
      </c>
      <c r="R102" s="20">
        <f>IF(VLOOKUP(B102,Data!$A:$AX,MATCH($R$1,Data!$A$1:$AX$1,))=0,#N/A,(VLOOKUP(B102,Data!$A:$AX,MATCH($R$1,Data!$A$1:$AX$1,),)-VLOOKUP(EDATE(B102,-12),Data!$A:$AX,MATCH($R$1,Data!$A$1:$AX$1,),))/VLOOKUP(EDATE(B102,-12),Data!$A:$AX,MATCH($R$1,Data!$A$1:$AX$1,),))</f>
        <v/>
      </c>
      <c r="S102" s="20">
        <f>IF(VLOOKUP(B102,Data!$A:$AX,MATCH($S$1,Data!$A$1:$AX$1,))=0,#N/A,(VLOOKUP(B102,Data!$A:$AX,MATCH($S$1,Data!$A$1:$AX$1,),)-VLOOKUP(EDATE(B102,-12),Data!$A:$AX,MATCH($S$1,Data!$A$1:$AX$1,),))/VLOOKUP(EDATE(B102,-12),Data!$A:$AX,MATCH($S$1,Data!$A$1:$AX$1,),))</f>
        <v/>
      </c>
      <c r="T102" s="20">
        <f>IF(VLOOKUP(B102,Data!$A:$AX,MATCH($T$1,Data!$A$1:$AX$1,))=0,#N/A,(VLOOKUP(B102,Data!$A:$AX,MATCH($T$1,Data!$A$1:$AX$1,),)-VLOOKUP(EDATE(B102,-12),Data!$A:$AX,MATCH($T$1,Data!$A$1:$AX$1,),))/VLOOKUP(EDATE(B102,-12),Data!$A:$AX,MATCH($T$1,Data!$A$1:$AX$1,),))</f>
        <v/>
      </c>
      <c r="U102" s="20">
        <f>IF(VLOOKUP(B102,Data!$A:$AX,MATCH($U$1,Data!$A$1:$AX$1,))=0,#N/A,(VLOOKUP(B102,Data!$A:$AX,MATCH($U$1,Data!$A$1:$AX$1,),)-VLOOKUP(EDATE(B102,-12),Data!$A:$AX,MATCH($U$1,Data!$A$1:$AX$1,),))/VLOOKUP(EDATE(B102,-12),Data!$A:$AX,MATCH($U$1,Data!$A$1:$AX$1,),))</f>
        <v/>
      </c>
      <c r="V102" s="20">
        <f>(VLOOKUP(B102,Data!$A:$AX,MATCH($V$1,Data!$A$1:$AX$1,),)-VLOOKUP(EDATE(B102,-12),Data!$A:$AX,MATCH($V$1,Data!$A$1:$AX$1,),))/VLOOKUP(EDATE(B102,-12),Data!$A:$AX,MATCH($V$1,Data!$A$1:$AX$1,),)</f>
        <v/>
      </c>
      <c r="W102" s="20">
        <f>IF(VLOOKUP(B102,Data!$A:$AX,MATCH($W$1,Data!$A$1:$AX$1,))=0,#N/A,(VLOOKUP(B102,Data!$A:$AX,MATCH($W$1,Data!$A$1:$AX$1,),)-VLOOKUP(EDATE(B102,-12),Data!$A:$AX,MATCH($W$1,Data!$A$1:$AX$1,),))/VLOOKUP(EDATE(B102,-12),Data!$A:$AX,MATCH($W$1,Data!$A$1:$AX$1,),))</f>
        <v/>
      </c>
      <c r="X102" s="20">
        <f>IF(VLOOKUP(B102,Data!$A:$AX,MATCH($X$1,Data!$A$1:$AX$1,))=0,#N/A,(VLOOKUP(B102,Data!$A:$AX,MATCH($X$1,Data!$A$1:$AX$1,),)-VLOOKUP(EDATE(B102,-12),Data!$A:$AX,MATCH($X$1,Data!$A$1:$AX$1,),))/VLOOKUP(EDATE(B102,-12),Data!$A:$AX,MATCH($X$1,Data!$A$1:$AX$1,),))</f>
        <v/>
      </c>
      <c r="Y102" s="20">
        <f>IF(VLOOKUP(B102,Data!$A:$AX,MATCH($Y$1,Data!$A$1:$AX$1,))=0,#N/A,(VLOOKUP(B102,Data!$A:$AX,MATCH($Y$1,Data!$A$1:$AX$1,),)-VLOOKUP(EDATE(B102,-12),Data!$A:$AX,MATCH($Y$1,Data!$A$1:$AX$1,),))/VLOOKUP(EDATE(B102,-12),Data!$A:$AX,MATCH($Y$1,Data!$A$1:$AX$1,),))</f>
        <v/>
      </c>
      <c r="Z102" s="20">
        <f>(VLOOKUP(B102,Data!$A:$AX,MATCH($Z$1,Data!$A$1:$AX$1,),)-VLOOKUP(EDATE(B102,-12),Data!$A:$AX,MATCH($Z$1,Data!$A$1:$AX$1,),))/VLOOKUP(EDATE(B102,-12),Data!$A:$AX,MATCH($Z$1,Data!$A$1:$AX$1,),)</f>
        <v/>
      </c>
      <c r="AA102" s="20">
        <f>(VLOOKUP(B102,Data!$A:$AX,MATCH($AA$1,Data!$A$1:$AX$1,),)-VLOOKUP(EDATE(B102,-12),Data!$A:$AX,MATCH($AA$1,Data!$A$1:$AX$1,),))/VLOOKUP(EDATE(B102,-12),Data!$A:$AX,MATCH($AA$1,Data!$A$1:$AX$1,),)</f>
        <v/>
      </c>
    </row>
    <row r="103" customFormat="1" s="78">
      <c r="B103" s="15" t="n">
        <v>43344</v>
      </c>
      <c r="C103" s="20">
        <f>IF(VLOOKUP(B103,Data!$A:$AX,MATCH($C$1,Data!$A$1:$AX$1,))=0,#N/A,(VLOOKUP(B103,Data!$A:$AX,MATCH($C$1,Data!$A$1:$AX$1,),)-VLOOKUP(EDATE(B103,-12),Data!$A:$AX,MATCH($C$1,Data!$A$1:$AX$1,),))/VLOOKUP(EDATE(B103,-12),Data!$A:$AX,MATCH($C$1,Data!$A$1:$AX$1,),))</f>
        <v/>
      </c>
      <c r="D103" s="20">
        <f>IF(VLOOKUP(B103,Data!$A:$AX,MATCH($D$1,Data!$A$1:$AX$1,))=0,#N/A,(VLOOKUP(B103,Data!$A:$AX,MATCH($D$1,Data!$A$1:$AX$1,),)-VLOOKUP(EDATE(B103,-12),Data!$A:$AX,MATCH($D$1,Data!$A$1:$AX$1,),))/VLOOKUP(EDATE(B103,-12),Data!$A:$AX,MATCH($D$1,Data!$A$1:$AX$1,),))</f>
        <v/>
      </c>
      <c r="E103" s="20">
        <f>IF(VLOOKUP(B103,Data!$A:$AX,MATCH($E$1,Data!$A$1:$AX$1,))=0,#N/A,(VLOOKUP(B103,Data!$A:$AX,MATCH($E$1,Data!$A$1:$AX$1,),)-VLOOKUP(EDATE(B103,-12),Data!$A:$AX,MATCH($E$1,Data!$A$1:$AX$1,),))/VLOOKUP(EDATE(B103,-12),Data!$A:$AX,MATCH($E$1,Data!$A$1:$AX$1,),))</f>
        <v/>
      </c>
      <c r="F103" s="20">
        <f>IF(VLOOKUP(B103,Data!$A:$AX,MATCH($F$1,Data!$A$1:$AX$1,))=0,#N/A,(VLOOKUP(B103,Data!$A:$AX,MATCH($F$1,Data!$A$1:$AX$1,),)-VLOOKUP(EDATE(B103,-12),Data!$A:$AX,MATCH($F$1,Data!$A$1:$AX$1,),))/VLOOKUP(EDATE(B103,-12),Data!$A:$AX,MATCH($F$1,Data!$A$1:$AX$1,),))</f>
        <v/>
      </c>
      <c r="G103" s="20">
        <f>IF(VLOOKUP(B103,Data!$A:$AX,MATCH($G$1,Data!$A$1:$AX$1,))=0,#N/A,(VLOOKUP(B103,Data!$A:$AX,MATCH($G$1,Data!$A$1:$AX$1,),)-VLOOKUP(EDATE(B103,-12),Data!$A:$AX,MATCH($G$1,Data!$A$1:$AX$1,),))/VLOOKUP(EDATE(B103,-12),Data!$A:$AX,MATCH($G$1,Data!$A$1:$AX$1,),))</f>
        <v/>
      </c>
      <c r="H103" s="20">
        <f>IF(VLOOKUP(B103,Data!$A:$AX,MATCH($H$1,Data!$A$1:$AX$1,))=0,#N/A,(VLOOKUP(B103,Data!$A:$AX,MATCH($H$1,Data!$A$1:$AX$1,),)-VLOOKUP(EDATE(B103,-12),Data!$A:$AX,MATCH($H$1,Data!$A$1:$AX$1,),))/VLOOKUP(EDATE(B103,-12),Data!$A:$AX,MATCH($H$1,Data!$A$1:$AX$1,),))</f>
        <v/>
      </c>
      <c r="I103" s="20">
        <f>IF(VLOOKUP(B103,Data!$A:$AX,MATCH($I$1,Data!$A$1:$AX$1,))=0,#N/A,(VLOOKUP(B103,Data!$A:$AX,MATCH($I$1,Data!$A$1:$AX$1,),)-VLOOKUP(EDATE(B103,-12),Data!$A:$AX,MATCH($I$1,Data!$A$1:$AX$1,),))/VLOOKUP(EDATE(B103,-12),Data!$A:$AX,MATCH($I$1,Data!$A$1:$AX$1,),))</f>
        <v/>
      </c>
      <c r="J103" s="20">
        <f>IF(VLOOKUP(B103,Data!$A:$AX,MATCH($J$1,Data!$A$1:$AX$1,))=0,#N/A,(VLOOKUP(B103,Data!$A:$AX,MATCH($J$1,Data!$A$1:$AX$1,),)-VLOOKUP(EDATE(B103,-12),Data!$A:$AX,MATCH($J$1,Data!$A$1:$AX$1,),))/VLOOKUP(EDATE(B103,-12),Data!$A:$AX,MATCH($J$1,Data!$A$1:$AX$1,),))</f>
        <v/>
      </c>
      <c r="K103" s="20">
        <f>IF(VLOOKUP(B103,Data!$A:$AX,MATCH($K$1,Data!$A$1:$AX$1,))=0,#N/A,(VLOOKUP(B103,Data!$A:$AX,MATCH($K$1,Data!$A$1:$AX$1,),)-VLOOKUP(EDATE(B103,-12),Data!$A:$AX,MATCH($K$1,Data!$A$1:$AX$1,),))/VLOOKUP(EDATE(B103,-12),Data!$A:$AX,MATCH($K$1,Data!$A$1:$AX$1,),))</f>
        <v/>
      </c>
      <c r="L103" s="20">
        <f>IF(VLOOKUP(B103,Data!$A:$AX,MATCH($L$1,Data!$A$1:$AX$1,))=0,#N/A,(VLOOKUP(B103,Data!$A:$AX,MATCH($L$1,Data!$A$1:$AX$1,),)-VLOOKUP(EDATE(B103,-12),Data!$A:$AX,MATCH($L$1,Data!$A$1:$AX$1,),))/VLOOKUP(EDATE(B103,-12),Data!$A:$AX,MATCH($L$1,Data!$A$1:$AX$1,),))</f>
        <v/>
      </c>
      <c r="M103" s="20">
        <f>IF(VLOOKUP(B103,Data!$A:$AX,MATCH($M$1,Data!$A$1:$AX$1,))=0,#N/A,(VLOOKUP(B103,Data!$A:$AX,MATCH($M$1,Data!$A$1:$AX$1,),)-VLOOKUP(EDATE(B103,-12),Data!$A:$AX,MATCH($M$1,Data!$A$1:$AX$1,),))/VLOOKUP(EDATE(B103,-12),Data!$A:$AX,MATCH($M$1,Data!$A$1:$AX$1,),))</f>
        <v/>
      </c>
      <c r="N103" s="20">
        <f>(VLOOKUP(B103,Data!$A:$AX,MATCH($N$1,Data!$A$1:$AX$1,),)-VLOOKUP(EDATE(B103,-12),Data!$A:$AX,MATCH($N$1,Data!$A$1:$AX$1,),))/VLOOKUP(EDATE(B103,-12),Data!$A:$AX,MATCH($N$1,Data!$A$1:$AX$1,),)</f>
        <v/>
      </c>
      <c r="O103" s="20">
        <f>IF(VLOOKUP(B103,Data!$A:$AX,MATCH($O$1,Data!$A$1:$AX$1,))=0,#N/A,(VLOOKUP(B103,Data!$A:$AX,MATCH($O$1,Data!$A$1:$AX$1,),)-VLOOKUP(EDATE(B103,-12),Data!$A:$AX,MATCH($O$1,Data!$A$1:$AX$1,),))/VLOOKUP(EDATE(B103,-12),Data!$A:$AX,MATCH($O$1,Data!$A$1:$AX$1,),))</f>
        <v/>
      </c>
      <c r="P103" s="20">
        <f>IF(VLOOKUP(B103,Data!$A:$AX,MATCH($P$1,Data!$A$1:$AX$1,))=0,#N/A,(VLOOKUP(B103,Data!$A:$AX,MATCH($P$1,Data!$A$1:$AX$1,),)-VLOOKUP(EDATE(B103,-12),Data!$A:$AX,MATCH($P$1,Data!$A$1:$AX$1,),))/VLOOKUP(EDATE(B103,-12),Data!$A:$AX,MATCH($P$1,Data!$A$1:$AX$1,),))</f>
        <v/>
      </c>
      <c r="Q103" s="20">
        <f>(VLOOKUP(B103,Data!$A:$AX,MATCH($Q$1,Data!$A$1:$AX$1,),)-VLOOKUP(EDATE(B103,-12),Data!$A:$AX,MATCH($Q$1,Data!$A$1:$AX$1,),))/VLOOKUP(EDATE(B103,-12),Data!$A:$AX,MATCH($Q$1,Data!$A$1:$AX$1,),)</f>
        <v/>
      </c>
      <c r="R103" s="20">
        <f>IF(VLOOKUP(B103,Data!$A:$AX,MATCH($R$1,Data!$A$1:$AX$1,))=0,#N/A,(VLOOKUP(B103,Data!$A:$AX,MATCH($R$1,Data!$A$1:$AX$1,),)-VLOOKUP(EDATE(B103,-12),Data!$A:$AX,MATCH($R$1,Data!$A$1:$AX$1,),))/VLOOKUP(EDATE(B103,-12),Data!$A:$AX,MATCH($R$1,Data!$A$1:$AX$1,),))</f>
        <v/>
      </c>
      <c r="S103" s="20">
        <f>IF(VLOOKUP(B103,Data!$A:$AX,MATCH($S$1,Data!$A$1:$AX$1,))=0,#N/A,(VLOOKUP(B103,Data!$A:$AX,MATCH($S$1,Data!$A$1:$AX$1,),)-VLOOKUP(EDATE(B103,-12),Data!$A:$AX,MATCH($S$1,Data!$A$1:$AX$1,),))/VLOOKUP(EDATE(B103,-12),Data!$A:$AX,MATCH($S$1,Data!$A$1:$AX$1,),))</f>
        <v/>
      </c>
      <c r="T103" s="20">
        <f>IF(VLOOKUP(B103,Data!$A:$AX,MATCH($T$1,Data!$A$1:$AX$1,))=0,#N/A,(VLOOKUP(B103,Data!$A:$AX,MATCH($T$1,Data!$A$1:$AX$1,),)-VLOOKUP(EDATE(B103,-12),Data!$A:$AX,MATCH($T$1,Data!$A$1:$AX$1,),))/VLOOKUP(EDATE(B103,-12),Data!$A:$AX,MATCH($T$1,Data!$A$1:$AX$1,),))</f>
        <v/>
      </c>
      <c r="U103" s="20">
        <f>IF(VLOOKUP(B103,Data!$A:$AX,MATCH($U$1,Data!$A$1:$AX$1,))=0,#N/A,(VLOOKUP(B103,Data!$A:$AX,MATCH($U$1,Data!$A$1:$AX$1,),)-VLOOKUP(EDATE(B103,-12),Data!$A:$AX,MATCH($U$1,Data!$A$1:$AX$1,),))/VLOOKUP(EDATE(B103,-12),Data!$A:$AX,MATCH($U$1,Data!$A$1:$AX$1,),))</f>
        <v/>
      </c>
      <c r="V103" s="20">
        <f>(VLOOKUP(B103,Data!$A:$AX,MATCH($V$1,Data!$A$1:$AX$1,),)-VLOOKUP(EDATE(B103,-12),Data!$A:$AX,MATCH($V$1,Data!$A$1:$AX$1,),))/VLOOKUP(EDATE(B103,-12),Data!$A:$AX,MATCH($V$1,Data!$A$1:$AX$1,),)</f>
        <v/>
      </c>
      <c r="W103" s="20">
        <f>IF(VLOOKUP(B103,Data!$A:$AX,MATCH($W$1,Data!$A$1:$AX$1,))=0,#N/A,(VLOOKUP(B103,Data!$A:$AX,MATCH($W$1,Data!$A$1:$AX$1,),)-VLOOKUP(EDATE(B103,-12),Data!$A:$AX,MATCH($W$1,Data!$A$1:$AX$1,),))/VLOOKUP(EDATE(B103,-12),Data!$A:$AX,MATCH($W$1,Data!$A$1:$AX$1,),))</f>
        <v/>
      </c>
      <c r="X103" s="20">
        <f>IF(VLOOKUP(B103,Data!$A:$AX,MATCH($X$1,Data!$A$1:$AX$1,))=0,#N/A,(VLOOKUP(B103,Data!$A:$AX,MATCH($X$1,Data!$A$1:$AX$1,),)-VLOOKUP(EDATE(B103,-12),Data!$A:$AX,MATCH($X$1,Data!$A$1:$AX$1,),))/VLOOKUP(EDATE(B103,-12),Data!$A:$AX,MATCH($X$1,Data!$A$1:$AX$1,),))</f>
        <v/>
      </c>
      <c r="Y103" s="20">
        <f>IF(VLOOKUP(B103,Data!$A:$AX,MATCH($Y$1,Data!$A$1:$AX$1,))=0,#N/A,(VLOOKUP(B103,Data!$A:$AX,MATCH($Y$1,Data!$A$1:$AX$1,),)-VLOOKUP(EDATE(B103,-12),Data!$A:$AX,MATCH($Y$1,Data!$A$1:$AX$1,),))/VLOOKUP(EDATE(B103,-12),Data!$A:$AX,MATCH($Y$1,Data!$A$1:$AX$1,),))</f>
        <v/>
      </c>
      <c r="Z103" s="20">
        <f>(VLOOKUP(B103,Data!$A:$AX,MATCH($Z$1,Data!$A$1:$AX$1,),)-VLOOKUP(EDATE(B103,-12),Data!$A:$AX,MATCH($Z$1,Data!$A$1:$AX$1,),))/VLOOKUP(EDATE(B103,-12),Data!$A:$AX,MATCH($Z$1,Data!$A$1:$AX$1,),)</f>
        <v/>
      </c>
      <c r="AA103" s="20">
        <f>(VLOOKUP(B103,Data!$A:$AX,MATCH($AA$1,Data!$A$1:$AX$1,),)-VLOOKUP(EDATE(B103,-12),Data!$A:$AX,MATCH($AA$1,Data!$A$1:$AX$1,),))/VLOOKUP(EDATE(B103,-12),Data!$A:$AX,MATCH($AA$1,Data!$A$1:$AX$1,),)</f>
        <v/>
      </c>
    </row>
    <row r="104" customFormat="1" s="78">
      <c r="B104" s="15" t="n">
        <v>43374</v>
      </c>
      <c r="C104" s="20">
        <f>IF(VLOOKUP(B104,Data!$A:$AX,MATCH($C$1,Data!$A$1:$AX$1,))=0,#N/A,(VLOOKUP(B104,Data!$A:$AX,MATCH($C$1,Data!$A$1:$AX$1,),)-VLOOKUP(EDATE(B104,-12),Data!$A:$AX,MATCH($C$1,Data!$A$1:$AX$1,),))/VLOOKUP(EDATE(B104,-12),Data!$A:$AX,MATCH($C$1,Data!$A$1:$AX$1,),))</f>
        <v/>
      </c>
      <c r="D104" s="20">
        <f>IF(VLOOKUP(B104,Data!$A:$AX,MATCH($D$1,Data!$A$1:$AX$1,))=0,#N/A,(VLOOKUP(B104,Data!$A:$AX,MATCH($D$1,Data!$A$1:$AX$1,),)-VLOOKUP(EDATE(B104,-12),Data!$A:$AX,MATCH($D$1,Data!$A$1:$AX$1,),))/VLOOKUP(EDATE(B104,-12),Data!$A:$AX,MATCH($D$1,Data!$A$1:$AX$1,),))</f>
        <v/>
      </c>
      <c r="E104" s="20">
        <f>IF(VLOOKUP(B104,Data!$A:$AX,MATCH($E$1,Data!$A$1:$AX$1,))=0,#N/A,(VLOOKUP(B104,Data!$A:$AX,MATCH($E$1,Data!$A$1:$AX$1,),)-VLOOKUP(EDATE(B104,-12),Data!$A:$AX,MATCH($E$1,Data!$A$1:$AX$1,),))/VLOOKUP(EDATE(B104,-12),Data!$A:$AX,MATCH($E$1,Data!$A$1:$AX$1,),))</f>
        <v/>
      </c>
      <c r="F104" s="20">
        <f>IF(VLOOKUP(B104,Data!$A:$AX,MATCH($F$1,Data!$A$1:$AX$1,))=0,#N/A,(VLOOKUP(B104,Data!$A:$AX,MATCH($F$1,Data!$A$1:$AX$1,),)-VLOOKUP(EDATE(B104,-12),Data!$A:$AX,MATCH($F$1,Data!$A$1:$AX$1,),))/VLOOKUP(EDATE(B104,-12),Data!$A:$AX,MATCH($F$1,Data!$A$1:$AX$1,),))</f>
        <v/>
      </c>
      <c r="G104" s="20">
        <f>IF(VLOOKUP(B104,Data!$A:$AX,MATCH($G$1,Data!$A$1:$AX$1,))=0,#N/A,(VLOOKUP(B104,Data!$A:$AX,MATCH($G$1,Data!$A$1:$AX$1,),)-VLOOKUP(EDATE(B104,-12),Data!$A:$AX,MATCH($G$1,Data!$A$1:$AX$1,),))/VLOOKUP(EDATE(B104,-12),Data!$A:$AX,MATCH($G$1,Data!$A$1:$AX$1,),))</f>
        <v/>
      </c>
      <c r="H104" s="20">
        <f>IF(VLOOKUP(B104,Data!$A:$AX,MATCH($H$1,Data!$A$1:$AX$1,))=0,#N/A,(VLOOKUP(B104,Data!$A:$AX,MATCH($H$1,Data!$A$1:$AX$1,),)-VLOOKUP(EDATE(B104,-12),Data!$A:$AX,MATCH($H$1,Data!$A$1:$AX$1,),))/VLOOKUP(EDATE(B104,-12),Data!$A:$AX,MATCH($H$1,Data!$A$1:$AX$1,),))</f>
        <v/>
      </c>
      <c r="I104" s="20">
        <f>IF(VLOOKUP(B104,Data!$A:$AX,MATCH($I$1,Data!$A$1:$AX$1,))=0,#N/A,(VLOOKUP(B104,Data!$A:$AX,MATCH($I$1,Data!$A$1:$AX$1,),)-VLOOKUP(EDATE(B104,-12),Data!$A:$AX,MATCH($I$1,Data!$A$1:$AX$1,),))/VLOOKUP(EDATE(B104,-12),Data!$A:$AX,MATCH($I$1,Data!$A$1:$AX$1,),))</f>
        <v/>
      </c>
      <c r="J104" s="20">
        <f>IF(VLOOKUP(B104,Data!$A:$AX,MATCH($J$1,Data!$A$1:$AX$1,))=0,#N/A,(VLOOKUP(B104,Data!$A:$AX,MATCH($J$1,Data!$A$1:$AX$1,),)-VLOOKUP(EDATE(B104,-12),Data!$A:$AX,MATCH($J$1,Data!$A$1:$AX$1,),))/VLOOKUP(EDATE(B104,-12),Data!$A:$AX,MATCH($J$1,Data!$A$1:$AX$1,),))</f>
        <v/>
      </c>
      <c r="K104" s="20">
        <f>IF(VLOOKUP(B104,Data!$A:$AX,MATCH($K$1,Data!$A$1:$AX$1,))=0,#N/A,(VLOOKUP(B104,Data!$A:$AX,MATCH($K$1,Data!$A$1:$AX$1,),)-VLOOKUP(EDATE(B104,-12),Data!$A:$AX,MATCH($K$1,Data!$A$1:$AX$1,),))/VLOOKUP(EDATE(B104,-12),Data!$A:$AX,MATCH($K$1,Data!$A$1:$AX$1,),))</f>
        <v/>
      </c>
      <c r="L104" s="20">
        <f>IF(VLOOKUP(B104,Data!$A:$AX,MATCH($L$1,Data!$A$1:$AX$1,))=0,#N/A,(VLOOKUP(B104,Data!$A:$AX,MATCH($L$1,Data!$A$1:$AX$1,),)-VLOOKUP(EDATE(B104,-12),Data!$A:$AX,MATCH($L$1,Data!$A$1:$AX$1,),))/VLOOKUP(EDATE(B104,-12),Data!$A:$AX,MATCH($L$1,Data!$A$1:$AX$1,),))</f>
        <v/>
      </c>
      <c r="M104" s="20">
        <f>IF(VLOOKUP(B104,Data!$A:$AX,MATCH($M$1,Data!$A$1:$AX$1,))=0,#N/A,(VLOOKUP(B104,Data!$A:$AX,MATCH($M$1,Data!$A$1:$AX$1,),)-VLOOKUP(EDATE(B104,-12),Data!$A:$AX,MATCH($M$1,Data!$A$1:$AX$1,),))/VLOOKUP(EDATE(B104,-12),Data!$A:$AX,MATCH($M$1,Data!$A$1:$AX$1,),))</f>
        <v/>
      </c>
      <c r="N104" s="20">
        <f>(VLOOKUP(B104,Data!$A:$AX,MATCH($N$1,Data!$A$1:$AX$1,),)-VLOOKUP(EDATE(B104,-12),Data!$A:$AX,MATCH($N$1,Data!$A$1:$AX$1,),))/VLOOKUP(EDATE(B104,-12),Data!$A:$AX,MATCH($N$1,Data!$A$1:$AX$1,),)</f>
        <v/>
      </c>
      <c r="O104" s="20">
        <f>IF(VLOOKUP(B104,Data!$A:$AX,MATCH($O$1,Data!$A$1:$AX$1,))=0,#N/A,(VLOOKUP(B104,Data!$A:$AX,MATCH($O$1,Data!$A$1:$AX$1,),)-VLOOKUP(EDATE(B104,-12),Data!$A:$AX,MATCH($O$1,Data!$A$1:$AX$1,),))/VLOOKUP(EDATE(B104,-12),Data!$A:$AX,MATCH($O$1,Data!$A$1:$AX$1,),))</f>
        <v/>
      </c>
      <c r="P104" s="20">
        <f>IF(VLOOKUP(B104,Data!$A:$AX,MATCH($P$1,Data!$A$1:$AX$1,))=0,#N/A,(VLOOKUP(B104,Data!$A:$AX,MATCH($P$1,Data!$A$1:$AX$1,),)-VLOOKUP(EDATE(B104,-12),Data!$A:$AX,MATCH($P$1,Data!$A$1:$AX$1,),))/VLOOKUP(EDATE(B104,-12),Data!$A:$AX,MATCH($P$1,Data!$A$1:$AX$1,),))</f>
        <v/>
      </c>
      <c r="Q104" s="20">
        <f>(VLOOKUP(B104,Data!$A:$AX,MATCH($Q$1,Data!$A$1:$AX$1,),)-VLOOKUP(EDATE(B104,-12),Data!$A:$AX,MATCH($Q$1,Data!$A$1:$AX$1,),))/VLOOKUP(EDATE(B104,-12),Data!$A:$AX,MATCH($Q$1,Data!$A$1:$AX$1,),)</f>
        <v/>
      </c>
      <c r="R104" s="20">
        <f>IF(VLOOKUP(B104,Data!$A:$AX,MATCH($R$1,Data!$A$1:$AX$1,))=0,#N/A,(VLOOKUP(B104,Data!$A:$AX,MATCH($R$1,Data!$A$1:$AX$1,),)-VLOOKUP(EDATE(B104,-12),Data!$A:$AX,MATCH($R$1,Data!$A$1:$AX$1,),))/VLOOKUP(EDATE(B104,-12),Data!$A:$AX,MATCH($R$1,Data!$A$1:$AX$1,),))</f>
        <v/>
      </c>
      <c r="S104" s="20">
        <f>IF(VLOOKUP(B104,Data!$A:$AX,MATCH($S$1,Data!$A$1:$AX$1,))=0,#N/A,(VLOOKUP(B104,Data!$A:$AX,MATCH($S$1,Data!$A$1:$AX$1,),)-VLOOKUP(EDATE(B104,-12),Data!$A:$AX,MATCH($S$1,Data!$A$1:$AX$1,),))/VLOOKUP(EDATE(B104,-12),Data!$A:$AX,MATCH($S$1,Data!$A$1:$AX$1,),))</f>
        <v/>
      </c>
      <c r="T104" s="20">
        <f>IF(VLOOKUP(B104,Data!$A:$AX,MATCH($T$1,Data!$A$1:$AX$1,))=0,#N/A,(VLOOKUP(B104,Data!$A:$AX,MATCH($T$1,Data!$A$1:$AX$1,),)-VLOOKUP(EDATE(B104,-12),Data!$A:$AX,MATCH($T$1,Data!$A$1:$AX$1,),))/VLOOKUP(EDATE(B104,-12),Data!$A:$AX,MATCH($T$1,Data!$A$1:$AX$1,),))</f>
        <v/>
      </c>
      <c r="U104" s="20">
        <f>IF(VLOOKUP(B104,Data!$A:$AX,MATCH($U$1,Data!$A$1:$AX$1,))=0,#N/A,(VLOOKUP(B104,Data!$A:$AX,MATCH($U$1,Data!$A$1:$AX$1,),)-VLOOKUP(EDATE(B104,-12),Data!$A:$AX,MATCH($U$1,Data!$A$1:$AX$1,),))/VLOOKUP(EDATE(B104,-12),Data!$A:$AX,MATCH($U$1,Data!$A$1:$AX$1,),))</f>
        <v/>
      </c>
      <c r="V104" s="20">
        <f>(VLOOKUP(B104,Data!$A:$AX,MATCH($V$1,Data!$A$1:$AX$1,),)-VLOOKUP(EDATE(B104,-12),Data!$A:$AX,MATCH($V$1,Data!$A$1:$AX$1,),))/VLOOKUP(EDATE(B104,-12),Data!$A:$AX,MATCH($V$1,Data!$A$1:$AX$1,),)</f>
        <v/>
      </c>
      <c r="W104" s="20">
        <f>IF(VLOOKUP(B104,Data!$A:$AX,MATCH($W$1,Data!$A$1:$AX$1,))=0,#N/A,(VLOOKUP(B104,Data!$A:$AX,MATCH($W$1,Data!$A$1:$AX$1,),)-VLOOKUP(EDATE(B104,-12),Data!$A:$AX,MATCH($W$1,Data!$A$1:$AX$1,),))/VLOOKUP(EDATE(B104,-12),Data!$A:$AX,MATCH($W$1,Data!$A$1:$AX$1,),))</f>
        <v/>
      </c>
      <c r="X104" s="20">
        <f>IF(VLOOKUP(B104,Data!$A:$AX,MATCH($X$1,Data!$A$1:$AX$1,))=0,#N/A,(VLOOKUP(B104,Data!$A:$AX,MATCH($X$1,Data!$A$1:$AX$1,),)-VLOOKUP(EDATE(B104,-12),Data!$A:$AX,MATCH($X$1,Data!$A$1:$AX$1,),))/VLOOKUP(EDATE(B104,-12),Data!$A:$AX,MATCH($X$1,Data!$A$1:$AX$1,),))</f>
        <v/>
      </c>
      <c r="Y104" s="20">
        <f>IF(VLOOKUP(B104,Data!$A:$AX,MATCH($Y$1,Data!$A$1:$AX$1,))=0,#N/A,(VLOOKUP(B104,Data!$A:$AX,MATCH($Y$1,Data!$A$1:$AX$1,),)-VLOOKUP(EDATE(B104,-12),Data!$A:$AX,MATCH($Y$1,Data!$A$1:$AX$1,),))/VLOOKUP(EDATE(B104,-12),Data!$A:$AX,MATCH($Y$1,Data!$A$1:$AX$1,),))</f>
        <v/>
      </c>
      <c r="Z104" s="20">
        <f>(VLOOKUP(B104,Data!$A:$AX,MATCH($Z$1,Data!$A$1:$AX$1,),)-VLOOKUP(EDATE(B104,-12),Data!$A:$AX,MATCH($Z$1,Data!$A$1:$AX$1,),))/VLOOKUP(EDATE(B104,-12),Data!$A:$AX,MATCH($Z$1,Data!$A$1:$AX$1,),)</f>
        <v/>
      </c>
      <c r="AA104" s="20">
        <f>(VLOOKUP(B104,Data!$A:$AX,MATCH($AA$1,Data!$A$1:$AX$1,),)-VLOOKUP(EDATE(B104,-12),Data!$A:$AX,MATCH($AA$1,Data!$A$1:$AX$1,),))/VLOOKUP(EDATE(B104,-12),Data!$A:$AX,MATCH($AA$1,Data!$A$1:$AX$1,),)</f>
        <v/>
      </c>
    </row>
    <row r="105" customFormat="1" s="78">
      <c r="B105" s="15" t="n">
        <v>43405</v>
      </c>
      <c r="C105" s="20">
        <f>IF(VLOOKUP(B105,Data!$A:$AX,MATCH($C$1,Data!$A$1:$AX$1,))=0,#N/A,(VLOOKUP(B105,Data!$A:$AX,MATCH($C$1,Data!$A$1:$AX$1,),)-VLOOKUP(EDATE(B105,-12),Data!$A:$AX,MATCH($C$1,Data!$A$1:$AX$1,),))/VLOOKUP(EDATE(B105,-12),Data!$A:$AX,MATCH($C$1,Data!$A$1:$AX$1,),))</f>
        <v/>
      </c>
      <c r="D105" s="20">
        <f>IF(VLOOKUP(B105,Data!$A:$AX,MATCH($D$1,Data!$A$1:$AX$1,))=0,#N/A,(VLOOKUP(B105,Data!$A:$AX,MATCH($D$1,Data!$A$1:$AX$1,),)-VLOOKUP(EDATE(B105,-12),Data!$A:$AX,MATCH($D$1,Data!$A$1:$AX$1,),))/VLOOKUP(EDATE(B105,-12),Data!$A:$AX,MATCH($D$1,Data!$A$1:$AX$1,),))</f>
        <v/>
      </c>
      <c r="E105" s="20">
        <f>IF(VLOOKUP(B105,Data!$A:$AX,MATCH($E$1,Data!$A$1:$AX$1,))=0,#N/A,(VLOOKUP(B105,Data!$A:$AX,MATCH($E$1,Data!$A$1:$AX$1,),)-VLOOKUP(EDATE(B105,-12),Data!$A:$AX,MATCH($E$1,Data!$A$1:$AX$1,),))/VLOOKUP(EDATE(B105,-12),Data!$A:$AX,MATCH($E$1,Data!$A$1:$AX$1,),))</f>
        <v/>
      </c>
      <c r="F105" s="20">
        <f>IF(VLOOKUP(B105,Data!$A:$AX,MATCH($F$1,Data!$A$1:$AX$1,))=0,#N/A,(VLOOKUP(B105,Data!$A:$AX,MATCH($F$1,Data!$A$1:$AX$1,),)-VLOOKUP(EDATE(B105,-12),Data!$A:$AX,MATCH($F$1,Data!$A$1:$AX$1,),))/VLOOKUP(EDATE(B105,-12),Data!$A:$AX,MATCH($F$1,Data!$A$1:$AX$1,),))</f>
        <v/>
      </c>
      <c r="G105" s="20">
        <f>IF(VLOOKUP(B105,Data!$A:$AX,MATCH($G$1,Data!$A$1:$AX$1,))=0,#N/A,(VLOOKUP(B105,Data!$A:$AX,MATCH($G$1,Data!$A$1:$AX$1,),)-VLOOKUP(EDATE(B105,-12),Data!$A:$AX,MATCH($G$1,Data!$A$1:$AX$1,),))/VLOOKUP(EDATE(B105,-12),Data!$A:$AX,MATCH($G$1,Data!$A$1:$AX$1,),))</f>
        <v/>
      </c>
      <c r="H105" s="20">
        <f>IF(VLOOKUP(B105,Data!$A:$AX,MATCH($H$1,Data!$A$1:$AX$1,))=0,#N/A,(VLOOKUP(B105,Data!$A:$AX,MATCH($H$1,Data!$A$1:$AX$1,),)-VLOOKUP(EDATE(B105,-12),Data!$A:$AX,MATCH($H$1,Data!$A$1:$AX$1,),))/VLOOKUP(EDATE(B105,-12),Data!$A:$AX,MATCH($H$1,Data!$A$1:$AX$1,),))</f>
        <v/>
      </c>
      <c r="I105" s="20">
        <f>IF(VLOOKUP(B105,Data!$A:$AX,MATCH($I$1,Data!$A$1:$AX$1,))=0,#N/A,(VLOOKUP(B105,Data!$A:$AX,MATCH($I$1,Data!$A$1:$AX$1,),)-VLOOKUP(EDATE(B105,-12),Data!$A:$AX,MATCH($I$1,Data!$A$1:$AX$1,),))/VLOOKUP(EDATE(B105,-12),Data!$A:$AX,MATCH($I$1,Data!$A$1:$AX$1,),))</f>
        <v/>
      </c>
      <c r="J105" s="20">
        <f>IF(VLOOKUP(B105,Data!$A:$AX,MATCH($J$1,Data!$A$1:$AX$1,))=0,#N/A,(VLOOKUP(B105,Data!$A:$AX,MATCH($J$1,Data!$A$1:$AX$1,),)-VLOOKUP(EDATE(B105,-12),Data!$A:$AX,MATCH($J$1,Data!$A$1:$AX$1,),))/VLOOKUP(EDATE(B105,-12),Data!$A:$AX,MATCH($J$1,Data!$A$1:$AX$1,),))</f>
        <v/>
      </c>
      <c r="K105" s="20">
        <f>IF(VLOOKUP(B105,Data!$A:$AX,MATCH($K$1,Data!$A$1:$AX$1,))=0,#N/A,(VLOOKUP(B105,Data!$A:$AX,MATCH($K$1,Data!$A$1:$AX$1,),)-VLOOKUP(EDATE(B105,-12),Data!$A:$AX,MATCH($K$1,Data!$A$1:$AX$1,),))/VLOOKUP(EDATE(B105,-12),Data!$A:$AX,MATCH($K$1,Data!$A$1:$AX$1,),))</f>
        <v/>
      </c>
      <c r="L105" s="20">
        <f>IF(VLOOKUP(B105,Data!$A:$AX,MATCH($L$1,Data!$A$1:$AX$1,))=0,#N/A,(VLOOKUP(B105,Data!$A:$AX,MATCH($L$1,Data!$A$1:$AX$1,),)-VLOOKUP(EDATE(B105,-12),Data!$A:$AX,MATCH($L$1,Data!$A$1:$AX$1,),))/VLOOKUP(EDATE(B105,-12),Data!$A:$AX,MATCH($L$1,Data!$A$1:$AX$1,),))</f>
        <v/>
      </c>
      <c r="M105" s="20">
        <f>IF(VLOOKUP(B105,Data!$A:$AX,MATCH($M$1,Data!$A$1:$AX$1,))=0,#N/A,(VLOOKUP(B105,Data!$A:$AX,MATCH($M$1,Data!$A$1:$AX$1,),)-VLOOKUP(EDATE(B105,-12),Data!$A:$AX,MATCH($M$1,Data!$A$1:$AX$1,),))/VLOOKUP(EDATE(B105,-12),Data!$A:$AX,MATCH($M$1,Data!$A$1:$AX$1,),))</f>
        <v/>
      </c>
      <c r="N105" s="20">
        <f>(VLOOKUP(B105,Data!$A:$AX,MATCH($N$1,Data!$A$1:$AX$1,),)-VLOOKUP(EDATE(B105,-12),Data!$A:$AX,MATCH($N$1,Data!$A$1:$AX$1,),))/VLOOKUP(EDATE(B105,-12),Data!$A:$AX,MATCH($N$1,Data!$A$1:$AX$1,),)</f>
        <v/>
      </c>
      <c r="O105" s="20">
        <f>IF(VLOOKUP(B105,Data!$A:$AX,MATCH($O$1,Data!$A$1:$AX$1,))=0,#N/A,(VLOOKUP(B105,Data!$A:$AX,MATCH($O$1,Data!$A$1:$AX$1,),)-VLOOKUP(EDATE(B105,-12),Data!$A:$AX,MATCH($O$1,Data!$A$1:$AX$1,),))/VLOOKUP(EDATE(B105,-12),Data!$A:$AX,MATCH($O$1,Data!$A$1:$AX$1,),))</f>
        <v/>
      </c>
      <c r="P105" s="20">
        <f>IF(VLOOKUP(B105,Data!$A:$AX,MATCH($P$1,Data!$A$1:$AX$1,))=0,#N/A,(VLOOKUP(B105,Data!$A:$AX,MATCH($P$1,Data!$A$1:$AX$1,),)-VLOOKUP(EDATE(B105,-12),Data!$A:$AX,MATCH($P$1,Data!$A$1:$AX$1,),))/VLOOKUP(EDATE(B105,-12),Data!$A:$AX,MATCH($P$1,Data!$A$1:$AX$1,),))</f>
        <v/>
      </c>
      <c r="Q105" s="20">
        <f>(VLOOKUP(B105,Data!$A:$AX,MATCH($Q$1,Data!$A$1:$AX$1,),)-VLOOKUP(EDATE(B105,-12),Data!$A:$AX,MATCH($Q$1,Data!$A$1:$AX$1,),))/VLOOKUP(EDATE(B105,-12),Data!$A:$AX,MATCH($Q$1,Data!$A$1:$AX$1,),)</f>
        <v/>
      </c>
      <c r="R105" s="20">
        <f>IF(VLOOKUP(B105,Data!$A:$AX,MATCH($R$1,Data!$A$1:$AX$1,))=0,#N/A,(VLOOKUP(B105,Data!$A:$AX,MATCH($R$1,Data!$A$1:$AX$1,),)-VLOOKUP(EDATE(B105,-12),Data!$A:$AX,MATCH($R$1,Data!$A$1:$AX$1,),))/VLOOKUP(EDATE(B105,-12),Data!$A:$AX,MATCH($R$1,Data!$A$1:$AX$1,),))</f>
        <v/>
      </c>
      <c r="S105" s="20">
        <f>IF(VLOOKUP(B105,Data!$A:$AX,MATCH($S$1,Data!$A$1:$AX$1,))=0,#N/A,(VLOOKUP(B105,Data!$A:$AX,MATCH($S$1,Data!$A$1:$AX$1,),)-VLOOKUP(EDATE(B105,-12),Data!$A:$AX,MATCH($S$1,Data!$A$1:$AX$1,),))/VLOOKUP(EDATE(B105,-12),Data!$A:$AX,MATCH($S$1,Data!$A$1:$AX$1,),))</f>
        <v/>
      </c>
      <c r="T105" s="20">
        <f>IF(VLOOKUP(B105,Data!$A:$AX,MATCH($T$1,Data!$A$1:$AX$1,))=0,#N/A,(VLOOKUP(B105,Data!$A:$AX,MATCH($T$1,Data!$A$1:$AX$1,),)-VLOOKUP(EDATE(B105,-12),Data!$A:$AX,MATCH($T$1,Data!$A$1:$AX$1,),))/VLOOKUP(EDATE(B105,-12),Data!$A:$AX,MATCH($T$1,Data!$A$1:$AX$1,),))</f>
        <v/>
      </c>
      <c r="U105" s="20">
        <f>IF(VLOOKUP(B105,Data!$A:$AX,MATCH($U$1,Data!$A$1:$AX$1,))=0,#N/A,(VLOOKUP(B105,Data!$A:$AX,MATCH($U$1,Data!$A$1:$AX$1,),)-VLOOKUP(EDATE(B105,-12),Data!$A:$AX,MATCH($U$1,Data!$A$1:$AX$1,),))/VLOOKUP(EDATE(B105,-12),Data!$A:$AX,MATCH($U$1,Data!$A$1:$AX$1,),))</f>
        <v/>
      </c>
      <c r="V105" s="20">
        <f>(VLOOKUP(B105,Data!$A:$AX,MATCH($V$1,Data!$A$1:$AX$1,),)-VLOOKUP(EDATE(B105,-12),Data!$A:$AX,MATCH($V$1,Data!$A$1:$AX$1,),))/VLOOKUP(EDATE(B105,-12),Data!$A:$AX,MATCH($V$1,Data!$A$1:$AX$1,),)</f>
        <v/>
      </c>
      <c r="W105" s="20">
        <f>IF(VLOOKUP(B105,Data!$A:$AX,MATCH($W$1,Data!$A$1:$AX$1,))=0,#N/A,(VLOOKUP(B105,Data!$A:$AX,MATCH($W$1,Data!$A$1:$AX$1,),)-VLOOKUP(EDATE(B105,-12),Data!$A:$AX,MATCH($W$1,Data!$A$1:$AX$1,),))/VLOOKUP(EDATE(B105,-12),Data!$A:$AX,MATCH($W$1,Data!$A$1:$AX$1,),))</f>
        <v/>
      </c>
      <c r="X105" s="20">
        <f>IF(VLOOKUP(B105,Data!$A:$AX,MATCH($X$1,Data!$A$1:$AX$1,))=0,#N/A,(VLOOKUP(B105,Data!$A:$AX,MATCH($X$1,Data!$A$1:$AX$1,),)-VLOOKUP(EDATE(B105,-12),Data!$A:$AX,MATCH($X$1,Data!$A$1:$AX$1,),))/VLOOKUP(EDATE(B105,-12),Data!$A:$AX,MATCH($X$1,Data!$A$1:$AX$1,),))</f>
        <v/>
      </c>
      <c r="Y105" s="20">
        <f>IF(VLOOKUP(B105,Data!$A:$AX,MATCH($Y$1,Data!$A$1:$AX$1,))=0,#N/A,(VLOOKUP(B105,Data!$A:$AX,MATCH($Y$1,Data!$A$1:$AX$1,),)-VLOOKUP(EDATE(B105,-12),Data!$A:$AX,MATCH($Y$1,Data!$A$1:$AX$1,),))/VLOOKUP(EDATE(B105,-12),Data!$A:$AX,MATCH($Y$1,Data!$A$1:$AX$1,),))</f>
        <v/>
      </c>
      <c r="Z105" s="20">
        <f>(VLOOKUP(B105,Data!$A:$AX,MATCH($Z$1,Data!$A$1:$AX$1,),)-VLOOKUP(EDATE(B105,-12),Data!$A:$AX,MATCH($Z$1,Data!$A$1:$AX$1,),))/VLOOKUP(EDATE(B105,-12),Data!$A:$AX,MATCH($Z$1,Data!$A$1:$AX$1,),)</f>
        <v/>
      </c>
      <c r="AA105" s="20">
        <f>(VLOOKUP(B105,Data!$A:$AX,MATCH($AA$1,Data!$A$1:$AX$1,),)-VLOOKUP(EDATE(B105,-12),Data!$A:$AX,MATCH($AA$1,Data!$A$1:$AX$1,),))/VLOOKUP(EDATE(B105,-12),Data!$A:$AX,MATCH($AA$1,Data!$A$1:$AX$1,),)</f>
        <v/>
      </c>
    </row>
    <row r="106" customFormat="1" s="78">
      <c r="B106" s="15" t="n">
        <v>43435</v>
      </c>
      <c r="C106" s="20">
        <f>IF(VLOOKUP(B106,Data!$A:$AX,MATCH($C$1,Data!$A$1:$AX$1,))=0,#N/A,(VLOOKUP(B106,Data!$A:$AX,MATCH($C$1,Data!$A$1:$AX$1,),)-VLOOKUP(EDATE(B106,-12),Data!$A:$AX,MATCH($C$1,Data!$A$1:$AX$1,),))/VLOOKUP(EDATE(B106,-12),Data!$A:$AX,MATCH($C$1,Data!$A$1:$AX$1,),))</f>
        <v/>
      </c>
      <c r="D106" s="20">
        <f>IF(VLOOKUP(B106,Data!$A:$AX,MATCH($D$1,Data!$A$1:$AX$1,))=0,#N/A,(VLOOKUP(B106,Data!$A:$AX,MATCH($D$1,Data!$A$1:$AX$1,),)-VLOOKUP(EDATE(B106,-12),Data!$A:$AX,MATCH($D$1,Data!$A$1:$AX$1,),))/VLOOKUP(EDATE(B106,-12),Data!$A:$AX,MATCH($D$1,Data!$A$1:$AX$1,),))</f>
        <v/>
      </c>
      <c r="E106" s="20">
        <f>IF(VLOOKUP(B106,Data!$A:$AX,MATCH($E$1,Data!$A$1:$AX$1,))=0,#N/A,(VLOOKUP(B106,Data!$A:$AX,MATCH($E$1,Data!$A$1:$AX$1,),)-VLOOKUP(EDATE(B106,-12),Data!$A:$AX,MATCH($E$1,Data!$A$1:$AX$1,),))/VLOOKUP(EDATE(B106,-12),Data!$A:$AX,MATCH($E$1,Data!$A$1:$AX$1,),))</f>
        <v/>
      </c>
      <c r="F106" s="20">
        <f>IF(VLOOKUP(B106,Data!$A:$AX,MATCH($F$1,Data!$A$1:$AX$1,))=0,#N/A,(VLOOKUP(B106,Data!$A:$AX,MATCH($F$1,Data!$A$1:$AX$1,),)-VLOOKUP(EDATE(B106,-12),Data!$A:$AX,MATCH($F$1,Data!$A$1:$AX$1,),))/VLOOKUP(EDATE(B106,-12),Data!$A:$AX,MATCH($F$1,Data!$A$1:$AX$1,),))</f>
        <v/>
      </c>
      <c r="G106" s="20">
        <f>IF(VLOOKUP(B106,Data!$A:$AX,MATCH($G$1,Data!$A$1:$AX$1,))=0,#N/A,(VLOOKUP(B106,Data!$A:$AX,MATCH($G$1,Data!$A$1:$AX$1,),)-VLOOKUP(EDATE(B106,-12),Data!$A:$AX,MATCH($G$1,Data!$A$1:$AX$1,),))/VLOOKUP(EDATE(B106,-12),Data!$A:$AX,MATCH($G$1,Data!$A$1:$AX$1,),))</f>
        <v/>
      </c>
      <c r="H106" s="20">
        <f>IF(VLOOKUP(B106,Data!$A:$AX,MATCH($H$1,Data!$A$1:$AX$1,))=0,#N/A,(VLOOKUP(B106,Data!$A:$AX,MATCH($H$1,Data!$A$1:$AX$1,),)-VLOOKUP(EDATE(B106,-12),Data!$A:$AX,MATCH($H$1,Data!$A$1:$AX$1,),))/VLOOKUP(EDATE(B106,-12),Data!$A:$AX,MATCH($H$1,Data!$A$1:$AX$1,),))</f>
        <v/>
      </c>
      <c r="I106" s="20">
        <f>IF(VLOOKUP(B106,Data!$A:$AX,MATCH($I$1,Data!$A$1:$AX$1,))=0,#N/A,(VLOOKUP(B106,Data!$A:$AX,MATCH($I$1,Data!$A$1:$AX$1,),)-VLOOKUP(EDATE(B106,-12),Data!$A:$AX,MATCH($I$1,Data!$A$1:$AX$1,),))/VLOOKUP(EDATE(B106,-12),Data!$A:$AX,MATCH($I$1,Data!$A$1:$AX$1,),))</f>
        <v/>
      </c>
      <c r="J106" s="20">
        <f>IF(VLOOKUP(B106,Data!$A:$AX,MATCH($J$1,Data!$A$1:$AX$1,))=0,#N/A,(VLOOKUP(B106,Data!$A:$AX,MATCH($J$1,Data!$A$1:$AX$1,),)-VLOOKUP(EDATE(B106,-12),Data!$A:$AX,MATCH($J$1,Data!$A$1:$AX$1,),))/VLOOKUP(EDATE(B106,-12),Data!$A:$AX,MATCH($J$1,Data!$A$1:$AX$1,),))</f>
        <v/>
      </c>
      <c r="K106" s="20">
        <f>IF(VLOOKUP(B106,Data!$A:$AX,MATCH($K$1,Data!$A$1:$AX$1,))=0,#N/A,(VLOOKUP(B106,Data!$A:$AX,MATCH($K$1,Data!$A$1:$AX$1,),)-VLOOKUP(EDATE(B106,-12),Data!$A:$AX,MATCH($K$1,Data!$A$1:$AX$1,),))/VLOOKUP(EDATE(B106,-12),Data!$A:$AX,MATCH($K$1,Data!$A$1:$AX$1,),))</f>
        <v/>
      </c>
      <c r="L106" s="20">
        <f>IF(VLOOKUP(B106,Data!$A:$AX,MATCH($L$1,Data!$A$1:$AX$1,))=0,#N/A,(VLOOKUP(B106,Data!$A:$AX,MATCH($L$1,Data!$A$1:$AX$1,),)-VLOOKUP(EDATE(B106,-12),Data!$A:$AX,MATCH($L$1,Data!$A$1:$AX$1,),))/VLOOKUP(EDATE(B106,-12),Data!$A:$AX,MATCH($L$1,Data!$A$1:$AX$1,),))</f>
        <v/>
      </c>
      <c r="M106" s="20">
        <f>IF(VLOOKUP(B106,Data!$A:$AX,MATCH($M$1,Data!$A$1:$AX$1,))=0,#N/A,(VLOOKUP(B106,Data!$A:$AX,MATCH($M$1,Data!$A$1:$AX$1,),)-VLOOKUP(EDATE(B106,-12),Data!$A:$AX,MATCH($M$1,Data!$A$1:$AX$1,),))/VLOOKUP(EDATE(B106,-12),Data!$A:$AX,MATCH($M$1,Data!$A$1:$AX$1,),))</f>
        <v/>
      </c>
      <c r="N106" s="20">
        <f>(VLOOKUP(B106,Data!$A:$AX,MATCH($N$1,Data!$A$1:$AX$1,),)-VLOOKUP(EDATE(B106,-12),Data!$A:$AX,MATCH($N$1,Data!$A$1:$AX$1,),))/VLOOKUP(EDATE(B106,-12),Data!$A:$AX,MATCH($N$1,Data!$A$1:$AX$1,),)</f>
        <v/>
      </c>
      <c r="O106" s="20">
        <f>IF(VLOOKUP(B106,Data!$A:$AX,MATCH($O$1,Data!$A$1:$AX$1,))=0,#N/A,(VLOOKUP(B106,Data!$A:$AX,MATCH($O$1,Data!$A$1:$AX$1,),)-VLOOKUP(EDATE(B106,-12),Data!$A:$AX,MATCH($O$1,Data!$A$1:$AX$1,),))/VLOOKUP(EDATE(B106,-12),Data!$A:$AX,MATCH($O$1,Data!$A$1:$AX$1,),))</f>
        <v/>
      </c>
      <c r="P106" s="20">
        <f>IF(VLOOKUP(B106,Data!$A:$AX,MATCH($P$1,Data!$A$1:$AX$1,))=0,#N/A,(VLOOKUP(B106,Data!$A:$AX,MATCH($P$1,Data!$A$1:$AX$1,),)-VLOOKUP(EDATE(B106,-12),Data!$A:$AX,MATCH($P$1,Data!$A$1:$AX$1,),))/VLOOKUP(EDATE(B106,-12),Data!$A:$AX,MATCH($P$1,Data!$A$1:$AX$1,),))</f>
        <v/>
      </c>
      <c r="Q106" s="20">
        <f>(VLOOKUP(B106,Data!$A:$AX,MATCH($Q$1,Data!$A$1:$AX$1,),)-VLOOKUP(EDATE(B106,-12),Data!$A:$AX,MATCH($Q$1,Data!$A$1:$AX$1,),))/VLOOKUP(EDATE(B106,-12),Data!$A:$AX,MATCH($Q$1,Data!$A$1:$AX$1,),)</f>
        <v/>
      </c>
      <c r="R106" s="20">
        <f>IF(VLOOKUP(B106,Data!$A:$AX,MATCH($R$1,Data!$A$1:$AX$1,))=0,#N/A,(VLOOKUP(B106,Data!$A:$AX,MATCH($R$1,Data!$A$1:$AX$1,),)-VLOOKUP(EDATE(B106,-12),Data!$A:$AX,MATCH($R$1,Data!$A$1:$AX$1,),))/VLOOKUP(EDATE(B106,-12),Data!$A:$AX,MATCH($R$1,Data!$A$1:$AX$1,),))</f>
        <v/>
      </c>
      <c r="S106" s="20">
        <f>IF(VLOOKUP(B106,Data!$A:$AX,MATCH($S$1,Data!$A$1:$AX$1,))=0,#N/A,(VLOOKUP(B106,Data!$A:$AX,MATCH($S$1,Data!$A$1:$AX$1,),)-VLOOKUP(EDATE(B106,-12),Data!$A:$AX,MATCH($S$1,Data!$A$1:$AX$1,),))/VLOOKUP(EDATE(B106,-12),Data!$A:$AX,MATCH($S$1,Data!$A$1:$AX$1,),))</f>
        <v/>
      </c>
      <c r="T106" s="20">
        <f>IF(VLOOKUP(B106,Data!$A:$AX,MATCH($T$1,Data!$A$1:$AX$1,))=0,#N/A,(VLOOKUP(B106,Data!$A:$AX,MATCH($T$1,Data!$A$1:$AX$1,),)-VLOOKUP(EDATE(B106,-12),Data!$A:$AX,MATCH($T$1,Data!$A$1:$AX$1,),))/VLOOKUP(EDATE(B106,-12),Data!$A:$AX,MATCH($T$1,Data!$A$1:$AX$1,),))</f>
        <v/>
      </c>
      <c r="U106" s="20">
        <f>IF(VLOOKUP(B106,Data!$A:$AX,MATCH($U$1,Data!$A$1:$AX$1,))=0,#N/A,(VLOOKUP(B106,Data!$A:$AX,MATCH($U$1,Data!$A$1:$AX$1,),)-VLOOKUP(EDATE(B106,-12),Data!$A:$AX,MATCH($U$1,Data!$A$1:$AX$1,),))/VLOOKUP(EDATE(B106,-12),Data!$A:$AX,MATCH($U$1,Data!$A$1:$AX$1,),))</f>
        <v/>
      </c>
      <c r="V106" s="20">
        <f>(VLOOKUP(B106,Data!$A:$AX,MATCH($V$1,Data!$A$1:$AX$1,),)-VLOOKUP(EDATE(B106,-12),Data!$A:$AX,MATCH($V$1,Data!$A$1:$AX$1,),))/VLOOKUP(EDATE(B106,-12),Data!$A:$AX,MATCH($V$1,Data!$A$1:$AX$1,),)</f>
        <v/>
      </c>
      <c r="W106" s="20">
        <f>IF(VLOOKUP(B106,Data!$A:$AX,MATCH($W$1,Data!$A$1:$AX$1,))=0,#N/A,(VLOOKUP(B106,Data!$A:$AX,MATCH($W$1,Data!$A$1:$AX$1,),)-VLOOKUP(EDATE(B106,-12),Data!$A:$AX,MATCH($W$1,Data!$A$1:$AX$1,),))/VLOOKUP(EDATE(B106,-12),Data!$A:$AX,MATCH($W$1,Data!$A$1:$AX$1,),))</f>
        <v/>
      </c>
      <c r="X106" s="20">
        <f>IF(VLOOKUP(B106,Data!$A:$AX,MATCH($X$1,Data!$A$1:$AX$1,))=0,#N/A,(VLOOKUP(B106,Data!$A:$AX,MATCH($X$1,Data!$A$1:$AX$1,),)-VLOOKUP(EDATE(B106,-12),Data!$A:$AX,MATCH($X$1,Data!$A$1:$AX$1,),))/VLOOKUP(EDATE(B106,-12),Data!$A:$AX,MATCH($X$1,Data!$A$1:$AX$1,),))</f>
        <v/>
      </c>
      <c r="Y106" s="20">
        <f>IF(VLOOKUP(B106,Data!$A:$AX,MATCH($Y$1,Data!$A$1:$AX$1,))=0,#N/A,(VLOOKUP(B106,Data!$A:$AX,MATCH($Y$1,Data!$A$1:$AX$1,),)-VLOOKUP(EDATE(B106,-12),Data!$A:$AX,MATCH($Y$1,Data!$A$1:$AX$1,),))/VLOOKUP(EDATE(B106,-12),Data!$A:$AX,MATCH($Y$1,Data!$A$1:$AX$1,),))</f>
        <v/>
      </c>
      <c r="Z106" s="20">
        <f>(VLOOKUP(B106,Data!$A:$AX,MATCH($Z$1,Data!$A$1:$AX$1,),)-VLOOKUP(EDATE(B106,-12),Data!$A:$AX,MATCH($Z$1,Data!$A$1:$AX$1,),))/VLOOKUP(EDATE(B106,-12),Data!$A:$AX,MATCH($Z$1,Data!$A$1:$AX$1,),)</f>
        <v/>
      </c>
      <c r="AA106" s="20">
        <f>(VLOOKUP(B106,Data!$A:$AX,MATCH($AA$1,Data!$A$1:$AX$1,),)-VLOOKUP(EDATE(B106,-12),Data!$A:$AX,MATCH($AA$1,Data!$A$1:$AX$1,),))/VLOOKUP(EDATE(B106,-12),Data!$A:$AX,MATCH($AA$1,Data!$A$1:$AX$1,),)</f>
        <v/>
      </c>
    </row>
    <row r="107" customFormat="1" s="78">
      <c r="B107" s="15" t="n">
        <v>43466</v>
      </c>
      <c r="C107" s="20">
        <f>IF(VLOOKUP(B107,Data!$A:$AX,MATCH($C$1,Data!$A$1:$AX$1,))=0,#N/A,(VLOOKUP(B107,Data!$A:$AX,MATCH($C$1,Data!$A$1:$AX$1,),)-VLOOKUP(EDATE(B107,-12),Data!$A:$AX,MATCH($C$1,Data!$A$1:$AX$1,),))/VLOOKUP(EDATE(B107,-12),Data!$A:$AX,MATCH($C$1,Data!$A$1:$AX$1,),))</f>
        <v/>
      </c>
      <c r="D107" s="20">
        <f>IF(VLOOKUP(B107,Data!$A:$AX,MATCH($D$1,Data!$A$1:$AX$1,))=0,#N/A,(VLOOKUP(B107,Data!$A:$AX,MATCH($D$1,Data!$A$1:$AX$1,),)-VLOOKUP(EDATE(B107,-12),Data!$A:$AX,MATCH($D$1,Data!$A$1:$AX$1,),))/VLOOKUP(EDATE(B107,-12),Data!$A:$AX,MATCH($D$1,Data!$A$1:$AX$1,),))</f>
        <v/>
      </c>
      <c r="E107" s="20">
        <f>IF(VLOOKUP(B107,Data!$A:$AX,MATCH($E$1,Data!$A$1:$AX$1,))=0,#N/A,(VLOOKUP(B107,Data!$A:$AX,MATCH($E$1,Data!$A$1:$AX$1,),)-VLOOKUP(EDATE(B107,-12),Data!$A:$AX,MATCH($E$1,Data!$A$1:$AX$1,),))/VLOOKUP(EDATE(B107,-12),Data!$A:$AX,MATCH($E$1,Data!$A$1:$AX$1,),))</f>
        <v/>
      </c>
      <c r="F107" s="20">
        <f>IF(VLOOKUP(B107,Data!$A:$AX,MATCH($F$1,Data!$A$1:$AX$1,))=0,#N/A,(VLOOKUP(B107,Data!$A:$AX,MATCH($F$1,Data!$A$1:$AX$1,),)-VLOOKUP(EDATE(B107,-12),Data!$A:$AX,MATCH($F$1,Data!$A$1:$AX$1,),))/VLOOKUP(EDATE(B107,-12),Data!$A:$AX,MATCH($F$1,Data!$A$1:$AX$1,),))</f>
        <v/>
      </c>
      <c r="G107" s="20">
        <f>IF(VLOOKUP(B107,Data!$A:$AX,MATCH($G$1,Data!$A$1:$AX$1,))=0,#N/A,(VLOOKUP(B107,Data!$A:$AX,MATCH($G$1,Data!$A$1:$AX$1,),)-VLOOKUP(EDATE(B107,-12),Data!$A:$AX,MATCH($G$1,Data!$A$1:$AX$1,),))/VLOOKUP(EDATE(B107,-12),Data!$A:$AX,MATCH($G$1,Data!$A$1:$AX$1,),))</f>
        <v/>
      </c>
      <c r="H107" s="20">
        <f>IF(VLOOKUP(B107,Data!$A:$AX,MATCH($H$1,Data!$A$1:$AX$1,))=0,#N/A,(VLOOKUP(B107,Data!$A:$AX,MATCH($H$1,Data!$A$1:$AX$1,),)-VLOOKUP(EDATE(B107,-12),Data!$A:$AX,MATCH($H$1,Data!$A$1:$AX$1,),))/VLOOKUP(EDATE(B107,-12),Data!$A:$AX,MATCH($H$1,Data!$A$1:$AX$1,),))</f>
        <v/>
      </c>
      <c r="I107" s="20">
        <f>IF(VLOOKUP(B107,Data!$A:$AX,MATCH($I$1,Data!$A$1:$AX$1,))=0,#N/A,(VLOOKUP(B107,Data!$A:$AX,MATCH($I$1,Data!$A$1:$AX$1,),)-VLOOKUP(EDATE(B107,-12),Data!$A:$AX,MATCH($I$1,Data!$A$1:$AX$1,),))/VLOOKUP(EDATE(B107,-12),Data!$A:$AX,MATCH($I$1,Data!$A$1:$AX$1,),))</f>
        <v/>
      </c>
      <c r="J107" s="20">
        <f>IF(VLOOKUP(B107,Data!$A:$AX,MATCH($J$1,Data!$A$1:$AX$1,))=0,#N/A,(VLOOKUP(B107,Data!$A:$AX,MATCH($J$1,Data!$A$1:$AX$1,),)-VLOOKUP(EDATE(B107,-12),Data!$A:$AX,MATCH($J$1,Data!$A$1:$AX$1,),))/VLOOKUP(EDATE(B107,-12),Data!$A:$AX,MATCH($J$1,Data!$A$1:$AX$1,),))</f>
        <v/>
      </c>
      <c r="K107" s="20">
        <f>IF(VLOOKUP(B107,Data!$A:$AX,MATCH($K$1,Data!$A$1:$AX$1,))=0,#N/A,(VLOOKUP(B107,Data!$A:$AX,MATCH($K$1,Data!$A$1:$AX$1,),)-VLOOKUP(EDATE(B107,-12),Data!$A:$AX,MATCH($K$1,Data!$A$1:$AX$1,),))/VLOOKUP(EDATE(B107,-12),Data!$A:$AX,MATCH($K$1,Data!$A$1:$AX$1,),))</f>
        <v/>
      </c>
      <c r="L107" s="20">
        <f>IF(VLOOKUP(B107,Data!$A:$AX,MATCH($L$1,Data!$A$1:$AX$1,))=0,#N/A,(VLOOKUP(B107,Data!$A:$AX,MATCH($L$1,Data!$A$1:$AX$1,),)-VLOOKUP(EDATE(B107,-12),Data!$A:$AX,MATCH($L$1,Data!$A$1:$AX$1,),))/VLOOKUP(EDATE(B107,-12),Data!$A:$AX,MATCH($L$1,Data!$A$1:$AX$1,),))</f>
        <v/>
      </c>
      <c r="M107" s="20">
        <f>IF(VLOOKUP(B107,Data!$A:$AX,MATCH($M$1,Data!$A$1:$AX$1,))=0,#N/A,(VLOOKUP(B107,Data!$A:$AX,MATCH($M$1,Data!$A$1:$AX$1,),)-VLOOKUP(EDATE(B107,-12),Data!$A:$AX,MATCH($M$1,Data!$A$1:$AX$1,),))/VLOOKUP(EDATE(B107,-12),Data!$A:$AX,MATCH($M$1,Data!$A$1:$AX$1,),))</f>
        <v/>
      </c>
      <c r="N107" s="20">
        <f>(VLOOKUP(B107,Data!$A:$AX,MATCH($N$1,Data!$A$1:$AX$1,),)-VLOOKUP(EDATE(B107,-12),Data!$A:$AX,MATCH($N$1,Data!$A$1:$AX$1,),))/VLOOKUP(EDATE(B107,-12),Data!$A:$AX,MATCH($N$1,Data!$A$1:$AX$1,),)</f>
        <v/>
      </c>
      <c r="O107" s="20">
        <f>IF(VLOOKUP(B107,Data!$A:$AX,MATCH($O$1,Data!$A$1:$AX$1,))=0,#N/A,(VLOOKUP(B107,Data!$A:$AX,MATCH($O$1,Data!$A$1:$AX$1,),)-VLOOKUP(EDATE(B107,-12),Data!$A:$AX,MATCH($O$1,Data!$A$1:$AX$1,),))/VLOOKUP(EDATE(B107,-12),Data!$A:$AX,MATCH($O$1,Data!$A$1:$AX$1,),))</f>
        <v/>
      </c>
      <c r="P107" s="20">
        <f>IF(VLOOKUP(B107,Data!$A:$AX,MATCH($P$1,Data!$A$1:$AX$1,))=0,#N/A,(VLOOKUP(B107,Data!$A:$AX,MATCH($P$1,Data!$A$1:$AX$1,),)-VLOOKUP(EDATE(B107,-12),Data!$A:$AX,MATCH($P$1,Data!$A$1:$AX$1,),))/VLOOKUP(EDATE(B107,-12),Data!$A:$AX,MATCH($P$1,Data!$A$1:$AX$1,),))</f>
        <v/>
      </c>
      <c r="Q107" s="20">
        <f>(VLOOKUP(B107,Data!$A:$AX,MATCH($Q$1,Data!$A$1:$AX$1,),)-VLOOKUP(EDATE(B107,-12),Data!$A:$AX,MATCH($Q$1,Data!$A$1:$AX$1,),))/VLOOKUP(EDATE(B107,-12),Data!$A:$AX,MATCH($Q$1,Data!$A$1:$AX$1,),)</f>
        <v/>
      </c>
      <c r="R107" s="20">
        <f>IF(VLOOKUP(B107,Data!$A:$AX,MATCH($R$1,Data!$A$1:$AX$1,))=0,#N/A,(VLOOKUP(B107,Data!$A:$AX,MATCH($R$1,Data!$A$1:$AX$1,),)-VLOOKUP(EDATE(B107,-12),Data!$A:$AX,MATCH($R$1,Data!$A$1:$AX$1,),))/VLOOKUP(EDATE(B107,-12),Data!$A:$AX,MATCH($R$1,Data!$A$1:$AX$1,),))</f>
        <v/>
      </c>
      <c r="S107" s="20">
        <f>IF(VLOOKUP(B107,Data!$A:$AX,MATCH($S$1,Data!$A$1:$AX$1,))=0,#N/A,(VLOOKUP(B107,Data!$A:$AX,MATCH($S$1,Data!$A$1:$AX$1,),)-VLOOKUP(EDATE(B107,-12),Data!$A:$AX,MATCH($S$1,Data!$A$1:$AX$1,),))/VLOOKUP(EDATE(B107,-12),Data!$A:$AX,MATCH($S$1,Data!$A$1:$AX$1,),))</f>
        <v/>
      </c>
      <c r="T107" s="20">
        <f>IF(VLOOKUP(B107,Data!$A:$AX,MATCH($T$1,Data!$A$1:$AX$1,))=0,#N/A,(VLOOKUP(B107,Data!$A:$AX,MATCH($T$1,Data!$A$1:$AX$1,),)-VLOOKUP(EDATE(B107,-12),Data!$A:$AX,MATCH($T$1,Data!$A$1:$AX$1,),))/VLOOKUP(EDATE(B107,-12),Data!$A:$AX,MATCH($T$1,Data!$A$1:$AX$1,),))</f>
        <v/>
      </c>
      <c r="U107" s="20">
        <f>IF(VLOOKUP(B107,Data!$A:$AX,MATCH($U$1,Data!$A$1:$AX$1,))=0,#N/A,(VLOOKUP(B107,Data!$A:$AX,MATCH($U$1,Data!$A$1:$AX$1,),)-VLOOKUP(EDATE(B107,-12),Data!$A:$AX,MATCH($U$1,Data!$A$1:$AX$1,),))/VLOOKUP(EDATE(B107,-12),Data!$A:$AX,MATCH($U$1,Data!$A$1:$AX$1,),))</f>
        <v/>
      </c>
      <c r="V107" s="20">
        <f>(VLOOKUP(B107,Data!$A:$AX,MATCH($V$1,Data!$A$1:$AX$1,),)-VLOOKUP(EDATE(B107,-12),Data!$A:$AX,MATCH($V$1,Data!$A$1:$AX$1,),))/VLOOKUP(EDATE(B107,-12),Data!$A:$AX,MATCH($V$1,Data!$A$1:$AX$1,),)</f>
        <v/>
      </c>
      <c r="W107" s="20">
        <f>IF(VLOOKUP(B107,Data!$A:$AX,MATCH($W$1,Data!$A$1:$AX$1,))=0,#N/A,(VLOOKUP(B107,Data!$A:$AX,MATCH($W$1,Data!$A$1:$AX$1,),)-VLOOKUP(EDATE(B107,-12),Data!$A:$AX,MATCH($W$1,Data!$A$1:$AX$1,),))/VLOOKUP(EDATE(B107,-12),Data!$A:$AX,MATCH($W$1,Data!$A$1:$AX$1,),))</f>
        <v/>
      </c>
      <c r="X107" s="20">
        <f>IF(VLOOKUP(B107,Data!$A:$AX,MATCH($X$1,Data!$A$1:$AX$1,))=0,#N/A,(VLOOKUP(B107,Data!$A:$AX,MATCH($X$1,Data!$A$1:$AX$1,),)-VLOOKUP(EDATE(B107,-12),Data!$A:$AX,MATCH($X$1,Data!$A$1:$AX$1,),))/VLOOKUP(EDATE(B107,-12),Data!$A:$AX,MATCH($X$1,Data!$A$1:$AX$1,),))</f>
        <v/>
      </c>
      <c r="Y107" s="20">
        <f>IF(VLOOKUP(B107,Data!$A:$AX,MATCH($Y$1,Data!$A$1:$AX$1,))=0,#N/A,(VLOOKUP(B107,Data!$A:$AX,MATCH($Y$1,Data!$A$1:$AX$1,),)-VLOOKUP(EDATE(B107,-12),Data!$A:$AX,MATCH($Y$1,Data!$A$1:$AX$1,),))/VLOOKUP(EDATE(B107,-12),Data!$A:$AX,MATCH($Y$1,Data!$A$1:$AX$1,),))</f>
        <v/>
      </c>
    </row>
    <row r="108" customFormat="1" s="78">
      <c r="B108" s="15" t="n">
        <v>43497</v>
      </c>
      <c r="C108" s="20">
        <f>IF(VLOOKUP(B108,Data!$A:$AX,MATCH($C$1,Data!$A$1:$AX$1,))=0,#N/A,(VLOOKUP(B108,Data!$A:$AX,MATCH($C$1,Data!$A$1:$AX$1,),)-VLOOKUP(EDATE(B108,-12),Data!$A:$AX,MATCH($C$1,Data!$A$1:$AX$1,),))/VLOOKUP(EDATE(B108,-12),Data!$A:$AX,MATCH($C$1,Data!$A$1:$AX$1,),))</f>
        <v/>
      </c>
      <c r="D108" s="20">
        <f>IF(VLOOKUP(B108,Data!$A:$AX,MATCH($D$1,Data!$A$1:$AX$1,))=0,#N/A,(VLOOKUP(B108,Data!$A:$AX,MATCH($D$1,Data!$A$1:$AX$1,),)-VLOOKUP(EDATE(B108,-12),Data!$A:$AX,MATCH($D$1,Data!$A$1:$AX$1,),))/VLOOKUP(EDATE(B108,-12),Data!$A:$AX,MATCH($D$1,Data!$A$1:$AX$1,),))</f>
        <v/>
      </c>
      <c r="E108" s="20">
        <f>IF(VLOOKUP(B108,Data!$A:$AX,MATCH($E$1,Data!$A$1:$AX$1,))=0,#N/A,(VLOOKUP(B108,Data!$A:$AX,MATCH($E$1,Data!$A$1:$AX$1,),)-VLOOKUP(EDATE(B108,-12),Data!$A:$AX,MATCH($E$1,Data!$A$1:$AX$1,),))/VLOOKUP(EDATE(B108,-12),Data!$A:$AX,MATCH($E$1,Data!$A$1:$AX$1,),))</f>
        <v/>
      </c>
      <c r="F108" s="20">
        <f>IF(VLOOKUP(B108,Data!$A:$AX,MATCH($F$1,Data!$A$1:$AX$1,))=0,#N/A,(VLOOKUP(B108,Data!$A:$AX,MATCH($F$1,Data!$A$1:$AX$1,),)-VLOOKUP(EDATE(B108,-12),Data!$A:$AX,MATCH($F$1,Data!$A$1:$AX$1,),))/VLOOKUP(EDATE(B108,-12),Data!$A:$AX,MATCH($F$1,Data!$A$1:$AX$1,),))</f>
        <v/>
      </c>
      <c r="G108" s="20">
        <f>IF(VLOOKUP(B108,Data!$A:$AX,MATCH($G$1,Data!$A$1:$AX$1,))=0,#N/A,(VLOOKUP(B108,Data!$A:$AX,MATCH($G$1,Data!$A$1:$AX$1,),)-VLOOKUP(EDATE(B108,-12),Data!$A:$AX,MATCH($G$1,Data!$A$1:$AX$1,),))/VLOOKUP(EDATE(B108,-12),Data!$A:$AX,MATCH($G$1,Data!$A$1:$AX$1,),))</f>
        <v/>
      </c>
      <c r="H108" s="20">
        <f>IF(VLOOKUP(B108,Data!$A:$AX,MATCH($H$1,Data!$A$1:$AX$1,))=0,#N/A,(VLOOKUP(B108,Data!$A:$AX,MATCH($H$1,Data!$A$1:$AX$1,),)-VLOOKUP(EDATE(B108,-12),Data!$A:$AX,MATCH($H$1,Data!$A$1:$AX$1,),))/VLOOKUP(EDATE(B108,-12),Data!$A:$AX,MATCH($H$1,Data!$A$1:$AX$1,),))</f>
        <v/>
      </c>
      <c r="I108" s="20">
        <f>IF(VLOOKUP(B108,Data!$A:$AX,MATCH($I$1,Data!$A$1:$AX$1,))=0,#N/A,(VLOOKUP(B108,Data!$A:$AX,MATCH($I$1,Data!$A$1:$AX$1,),)-VLOOKUP(EDATE(B108,-12),Data!$A:$AX,MATCH($I$1,Data!$A$1:$AX$1,),))/VLOOKUP(EDATE(B108,-12),Data!$A:$AX,MATCH($I$1,Data!$A$1:$AX$1,),))</f>
        <v/>
      </c>
      <c r="J108" s="20">
        <f>IF(VLOOKUP(B108,Data!$A:$AX,MATCH($J$1,Data!$A$1:$AX$1,))=0,#N/A,(VLOOKUP(B108,Data!$A:$AX,MATCH($J$1,Data!$A$1:$AX$1,),)-VLOOKUP(EDATE(B108,-12),Data!$A:$AX,MATCH($J$1,Data!$A$1:$AX$1,),))/VLOOKUP(EDATE(B108,-12),Data!$A:$AX,MATCH($J$1,Data!$A$1:$AX$1,),))</f>
        <v/>
      </c>
      <c r="K108" s="20">
        <f>IF(VLOOKUP(B108,Data!$A:$AX,MATCH($K$1,Data!$A$1:$AX$1,))=0,#N/A,(VLOOKUP(B108,Data!$A:$AX,MATCH($K$1,Data!$A$1:$AX$1,),)-VLOOKUP(EDATE(B108,-12),Data!$A:$AX,MATCH($K$1,Data!$A$1:$AX$1,),))/VLOOKUP(EDATE(B108,-12),Data!$A:$AX,MATCH($K$1,Data!$A$1:$AX$1,),))</f>
        <v/>
      </c>
      <c r="L108" s="20">
        <f>IF(VLOOKUP(B108,Data!$A:$AX,MATCH($L$1,Data!$A$1:$AX$1,))=0,#N/A,(VLOOKUP(B108,Data!$A:$AX,MATCH($L$1,Data!$A$1:$AX$1,),)-VLOOKUP(EDATE(B108,-12),Data!$A:$AX,MATCH($L$1,Data!$A$1:$AX$1,),))/VLOOKUP(EDATE(B108,-12),Data!$A:$AX,MATCH($L$1,Data!$A$1:$AX$1,),))</f>
        <v/>
      </c>
      <c r="M108" s="20">
        <f>IF(VLOOKUP(B108,Data!$A:$AX,MATCH($M$1,Data!$A$1:$AX$1,))=0,#N/A,(VLOOKUP(B108,Data!$A:$AX,MATCH($M$1,Data!$A$1:$AX$1,),)-VLOOKUP(EDATE(B108,-12),Data!$A:$AX,MATCH($M$1,Data!$A$1:$AX$1,),))/VLOOKUP(EDATE(B108,-12),Data!$A:$AX,MATCH($M$1,Data!$A$1:$AX$1,),))</f>
        <v/>
      </c>
      <c r="N108" s="20">
        <f>(VLOOKUP(B108,Data!$A:$AX,MATCH($N$1,Data!$A$1:$AX$1,),)-VLOOKUP(EDATE(B108,-12),Data!$A:$AX,MATCH($N$1,Data!$A$1:$AX$1,),))/VLOOKUP(EDATE(B108,-12),Data!$A:$AX,MATCH($N$1,Data!$A$1:$AX$1,),)</f>
        <v/>
      </c>
      <c r="O108" s="20">
        <f>IF(VLOOKUP(B108,Data!$A:$AX,MATCH($O$1,Data!$A$1:$AX$1,))=0,#N/A,(VLOOKUP(B108,Data!$A:$AX,MATCH($O$1,Data!$A$1:$AX$1,),)-VLOOKUP(EDATE(B108,-12),Data!$A:$AX,MATCH($O$1,Data!$A$1:$AX$1,),))/VLOOKUP(EDATE(B108,-12),Data!$A:$AX,MATCH($O$1,Data!$A$1:$AX$1,),))</f>
        <v/>
      </c>
      <c r="P108" s="20">
        <f>IF(VLOOKUP(B108,Data!$A:$AX,MATCH($P$1,Data!$A$1:$AX$1,))=0,#N/A,(VLOOKUP(B108,Data!$A:$AX,MATCH($P$1,Data!$A$1:$AX$1,),)-VLOOKUP(EDATE(B108,-12),Data!$A:$AX,MATCH($P$1,Data!$A$1:$AX$1,),))/VLOOKUP(EDATE(B108,-12),Data!$A:$AX,MATCH($P$1,Data!$A$1:$AX$1,),))</f>
        <v/>
      </c>
      <c r="Q108" s="20">
        <f>(VLOOKUP(B108,Data!$A:$AX,MATCH($Q$1,Data!$A$1:$AX$1,),)-VLOOKUP(EDATE(B108,-12),Data!$A:$AX,MATCH($Q$1,Data!$A$1:$AX$1,),))/VLOOKUP(EDATE(B108,-12),Data!$A:$AX,MATCH($Q$1,Data!$A$1:$AX$1,),)</f>
        <v/>
      </c>
      <c r="R108" s="20">
        <f>IF(VLOOKUP(B108,Data!$A:$AX,MATCH($R$1,Data!$A$1:$AX$1,))=0,#N/A,(VLOOKUP(B108,Data!$A:$AX,MATCH($R$1,Data!$A$1:$AX$1,),)-VLOOKUP(EDATE(B108,-12),Data!$A:$AX,MATCH($R$1,Data!$A$1:$AX$1,),))/VLOOKUP(EDATE(B108,-12),Data!$A:$AX,MATCH($R$1,Data!$A$1:$AX$1,),))</f>
        <v/>
      </c>
      <c r="S108" s="20">
        <f>IF(VLOOKUP(B108,Data!$A:$AX,MATCH($S$1,Data!$A$1:$AX$1,))=0,#N/A,(VLOOKUP(B108,Data!$A:$AX,MATCH($S$1,Data!$A$1:$AX$1,),)-VLOOKUP(EDATE(B108,-12),Data!$A:$AX,MATCH($S$1,Data!$A$1:$AX$1,),))/VLOOKUP(EDATE(B108,-12),Data!$A:$AX,MATCH($S$1,Data!$A$1:$AX$1,),))</f>
        <v/>
      </c>
      <c r="T108" s="20">
        <f>IF(VLOOKUP(B108,Data!$A:$AX,MATCH($T$1,Data!$A$1:$AX$1,))=0,#N/A,(VLOOKUP(B108,Data!$A:$AX,MATCH($T$1,Data!$A$1:$AX$1,),)-VLOOKUP(EDATE(B108,-12),Data!$A:$AX,MATCH($T$1,Data!$A$1:$AX$1,),))/VLOOKUP(EDATE(B108,-12),Data!$A:$AX,MATCH($T$1,Data!$A$1:$AX$1,),))</f>
        <v/>
      </c>
      <c r="U108" s="20">
        <f>IF(VLOOKUP(B108,Data!$A:$AX,MATCH($U$1,Data!$A$1:$AX$1,))=0,#N/A,(VLOOKUP(B108,Data!$A:$AX,MATCH($U$1,Data!$A$1:$AX$1,),)-VLOOKUP(EDATE(B108,-12),Data!$A:$AX,MATCH($U$1,Data!$A$1:$AX$1,),))/VLOOKUP(EDATE(B108,-12),Data!$A:$AX,MATCH($U$1,Data!$A$1:$AX$1,),))</f>
        <v/>
      </c>
      <c r="V108" s="20">
        <f>(VLOOKUP(B108,Data!$A:$AX,MATCH($V$1,Data!$A$1:$AX$1,),)-VLOOKUP(EDATE(B108,-12),Data!$A:$AX,MATCH($V$1,Data!$A$1:$AX$1,),))/VLOOKUP(EDATE(B108,-12),Data!$A:$AX,MATCH($V$1,Data!$A$1:$AX$1,),)</f>
        <v/>
      </c>
      <c r="W108" s="20">
        <f>IF(VLOOKUP(B108,Data!$A:$AX,MATCH($W$1,Data!$A$1:$AX$1,))=0,#N/A,(VLOOKUP(B108,Data!$A:$AX,MATCH($W$1,Data!$A$1:$AX$1,),)-VLOOKUP(EDATE(B108,-12),Data!$A:$AX,MATCH($W$1,Data!$A$1:$AX$1,),))/VLOOKUP(EDATE(B108,-12),Data!$A:$AX,MATCH($W$1,Data!$A$1:$AX$1,),))</f>
        <v/>
      </c>
      <c r="X108" s="20">
        <f>IF(VLOOKUP(B108,Data!$A:$AX,MATCH($X$1,Data!$A$1:$AX$1,))=0,#N/A,(VLOOKUP(B108,Data!$A:$AX,MATCH($X$1,Data!$A$1:$AX$1,),)-VLOOKUP(EDATE(B108,-12),Data!$A:$AX,MATCH($X$1,Data!$A$1:$AX$1,),))/VLOOKUP(EDATE(B108,-12),Data!$A:$AX,MATCH($X$1,Data!$A$1:$AX$1,),))</f>
        <v/>
      </c>
      <c r="Y108" s="20">
        <f>IF(VLOOKUP(B108,Data!$A:$AX,MATCH($Y$1,Data!$A$1:$AX$1,))=0,#N/A,(VLOOKUP(B108,Data!$A:$AX,MATCH($Y$1,Data!$A$1:$AX$1,),)-VLOOKUP(EDATE(B108,-12),Data!$A:$AX,MATCH($Y$1,Data!$A$1:$AX$1,),))/VLOOKUP(EDATE(B108,-12),Data!$A:$AX,MATCH($Y$1,Data!$A$1:$AX$1,),))</f>
        <v/>
      </c>
    </row>
    <row r="109" customFormat="1" s="78">
      <c r="B109" s="15" t="n">
        <v>43525</v>
      </c>
      <c r="C109" s="20">
        <f>IF(VLOOKUP(B109,Data!$A:$AX,MATCH($C$1,Data!$A$1:$AX$1,))=0,#N/A,(VLOOKUP(B109,Data!$A:$AX,MATCH($C$1,Data!$A$1:$AX$1,),)-VLOOKUP(EDATE(B109,-12),Data!$A:$AX,MATCH($C$1,Data!$A$1:$AX$1,),))/VLOOKUP(EDATE(B109,-12),Data!$A:$AX,MATCH($C$1,Data!$A$1:$AX$1,),))</f>
        <v/>
      </c>
      <c r="D109" s="20">
        <f>IF(VLOOKUP(B109,Data!$A:$AX,MATCH($D$1,Data!$A$1:$AX$1,))=0,#N/A,(VLOOKUP(B109,Data!$A:$AX,MATCH($D$1,Data!$A$1:$AX$1,),)-VLOOKUP(EDATE(B109,-12),Data!$A:$AX,MATCH($D$1,Data!$A$1:$AX$1,),))/VLOOKUP(EDATE(B109,-12),Data!$A:$AX,MATCH($D$1,Data!$A$1:$AX$1,),))</f>
        <v/>
      </c>
      <c r="E109" s="20">
        <f>IF(VLOOKUP(B109,Data!$A:$AX,MATCH($E$1,Data!$A$1:$AX$1,))=0,#N/A,(VLOOKUP(B109,Data!$A:$AX,MATCH($E$1,Data!$A$1:$AX$1,),)-VLOOKUP(EDATE(B109,-12),Data!$A:$AX,MATCH($E$1,Data!$A$1:$AX$1,),))/VLOOKUP(EDATE(B109,-12),Data!$A:$AX,MATCH($E$1,Data!$A$1:$AX$1,),))</f>
        <v/>
      </c>
      <c r="F109" s="20">
        <f>IF(VLOOKUP(B109,Data!$A:$AX,MATCH($F$1,Data!$A$1:$AX$1,))=0,#N/A,(VLOOKUP(B109,Data!$A:$AX,MATCH($F$1,Data!$A$1:$AX$1,),)-VLOOKUP(EDATE(B109,-12),Data!$A:$AX,MATCH($F$1,Data!$A$1:$AX$1,),))/VLOOKUP(EDATE(B109,-12),Data!$A:$AX,MATCH($F$1,Data!$A$1:$AX$1,),))</f>
        <v/>
      </c>
      <c r="G109" s="20">
        <f>IF(VLOOKUP(B109,Data!$A:$AX,MATCH($G$1,Data!$A$1:$AX$1,))=0,#N/A,(VLOOKUP(B109,Data!$A:$AX,MATCH($G$1,Data!$A$1:$AX$1,),)-VLOOKUP(EDATE(B109,-12),Data!$A:$AX,MATCH($G$1,Data!$A$1:$AX$1,),))/VLOOKUP(EDATE(B109,-12),Data!$A:$AX,MATCH($G$1,Data!$A$1:$AX$1,),))</f>
        <v/>
      </c>
      <c r="H109" s="20">
        <f>IF(VLOOKUP(B109,Data!$A:$AX,MATCH($H$1,Data!$A$1:$AX$1,))=0,#N/A,(VLOOKUP(B109,Data!$A:$AX,MATCH($H$1,Data!$A$1:$AX$1,),)-VLOOKUP(EDATE(B109,-12),Data!$A:$AX,MATCH($H$1,Data!$A$1:$AX$1,),))/VLOOKUP(EDATE(B109,-12),Data!$A:$AX,MATCH($H$1,Data!$A$1:$AX$1,),))</f>
        <v/>
      </c>
      <c r="I109" s="20">
        <f>IF(VLOOKUP(B109,Data!$A:$AX,MATCH($I$1,Data!$A$1:$AX$1,))=0,#N/A,(VLOOKUP(B109,Data!$A:$AX,MATCH($I$1,Data!$A$1:$AX$1,),)-VLOOKUP(EDATE(B109,-12),Data!$A:$AX,MATCH($I$1,Data!$A$1:$AX$1,),))/VLOOKUP(EDATE(B109,-12),Data!$A:$AX,MATCH($I$1,Data!$A$1:$AX$1,),))</f>
        <v/>
      </c>
      <c r="J109" s="20">
        <f>IF(VLOOKUP(B109,Data!$A:$AX,MATCH($J$1,Data!$A$1:$AX$1,))=0,#N/A,(VLOOKUP(B109,Data!$A:$AX,MATCH($J$1,Data!$A$1:$AX$1,),)-VLOOKUP(EDATE(B109,-12),Data!$A:$AX,MATCH($J$1,Data!$A$1:$AX$1,),))/VLOOKUP(EDATE(B109,-12),Data!$A:$AX,MATCH($J$1,Data!$A$1:$AX$1,),))</f>
        <v/>
      </c>
      <c r="K109" s="20">
        <f>IF(VLOOKUP(B109,Data!$A:$AX,MATCH($K$1,Data!$A$1:$AX$1,))=0,#N/A,(VLOOKUP(B109,Data!$A:$AX,MATCH($K$1,Data!$A$1:$AX$1,),)-VLOOKUP(EDATE(B109,-12),Data!$A:$AX,MATCH($K$1,Data!$A$1:$AX$1,),))/VLOOKUP(EDATE(B109,-12),Data!$A:$AX,MATCH($K$1,Data!$A$1:$AX$1,),))</f>
        <v/>
      </c>
      <c r="L109" s="20">
        <f>IF(VLOOKUP(B109,Data!$A:$AX,MATCH($L$1,Data!$A$1:$AX$1,))=0,#N/A,(VLOOKUP(B109,Data!$A:$AX,MATCH($L$1,Data!$A$1:$AX$1,),)-VLOOKUP(EDATE(B109,-12),Data!$A:$AX,MATCH($L$1,Data!$A$1:$AX$1,),))/VLOOKUP(EDATE(B109,-12),Data!$A:$AX,MATCH($L$1,Data!$A$1:$AX$1,),))</f>
        <v/>
      </c>
      <c r="M109" s="20">
        <f>IF(VLOOKUP(B109,Data!$A:$AX,MATCH($M$1,Data!$A$1:$AX$1,))=0,#N/A,(VLOOKUP(B109,Data!$A:$AX,MATCH($M$1,Data!$A$1:$AX$1,),)-VLOOKUP(EDATE(B109,-12),Data!$A:$AX,MATCH($M$1,Data!$A$1:$AX$1,),))/VLOOKUP(EDATE(B109,-12),Data!$A:$AX,MATCH($M$1,Data!$A$1:$AX$1,),))</f>
        <v/>
      </c>
      <c r="N109" s="20">
        <f>(VLOOKUP(B109,Data!$A:$AX,MATCH($N$1,Data!$A$1:$AX$1,),)-VLOOKUP(EDATE(B109,-12),Data!$A:$AX,MATCH($N$1,Data!$A$1:$AX$1,),))/VLOOKUP(EDATE(B109,-12),Data!$A:$AX,MATCH($N$1,Data!$A$1:$AX$1,),)</f>
        <v/>
      </c>
      <c r="O109" s="20">
        <f>IF(VLOOKUP(B109,Data!$A:$AX,MATCH($O$1,Data!$A$1:$AX$1,))=0,#N/A,(VLOOKUP(B109,Data!$A:$AX,MATCH($O$1,Data!$A$1:$AX$1,),)-VLOOKUP(EDATE(B109,-12),Data!$A:$AX,MATCH($O$1,Data!$A$1:$AX$1,),))/VLOOKUP(EDATE(B109,-12),Data!$A:$AX,MATCH($O$1,Data!$A$1:$AX$1,),))</f>
        <v/>
      </c>
      <c r="P109" s="20">
        <f>IF(VLOOKUP(B109,Data!$A:$AX,MATCH($P$1,Data!$A$1:$AX$1,))=0,#N/A,(VLOOKUP(B109,Data!$A:$AX,MATCH($P$1,Data!$A$1:$AX$1,),)-VLOOKUP(EDATE(B109,-12),Data!$A:$AX,MATCH($P$1,Data!$A$1:$AX$1,),))/VLOOKUP(EDATE(B109,-12),Data!$A:$AX,MATCH($P$1,Data!$A$1:$AX$1,),))</f>
        <v/>
      </c>
      <c r="Q109" s="20">
        <f>(VLOOKUP(B109,Data!$A:$AX,MATCH($Q$1,Data!$A$1:$AX$1,),)-VLOOKUP(EDATE(B109,-12),Data!$A:$AX,MATCH($Q$1,Data!$A$1:$AX$1,),))/VLOOKUP(EDATE(B109,-12),Data!$A:$AX,MATCH($Q$1,Data!$A$1:$AX$1,),)</f>
        <v/>
      </c>
      <c r="R109" s="20">
        <f>IF(VLOOKUP(B109,Data!$A:$AX,MATCH($R$1,Data!$A$1:$AX$1,))=0,#N/A,(VLOOKUP(B109,Data!$A:$AX,MATCH($R$1,Data!$A$1:$AX$1,),)-VLOOKUP(EDATE(B109,-12),Data!$A:$AX,MATCH($R$1,Data!$A$1:$AX$1,),))/VLOOKUP(EDATE(B109,-12),Data!$A:$AX,MATCH($R$1,Data!$A$1:$AX$1,),))</f>
        <v/>
      </c>
      <c r="S109" s="20">
        <f>IF(VLOOKUP(B109,Data!$A:$AX,MATCH($S$1,Data!$A$1:$AX$1,))=0,#N/A,(VLOOKUP(B109,Data!$A:$AX,MATCH($S$1,Data!$A$1:$AX$1,),)-VLOOKUP(EDATE(B109,-12),Data!$A:$AX,MATCH($S$1,Data!$A$1:$AX$1,),))/VLOOKUP(EDATE(B109,-12),Data!$A:$AX,MATCH($S$1,Data!$A$1:$AX$1,),))</f>
        <v/>
      </c>
      <c r="T109" s="20">
        <f>IF(VLOOKUP(B109,Data!$A:$AX,MATCH($T$1,Data!$A$1:$AX$1,))=0,#N/A,(VLOOKUP(B109,Data!$A:$AX,MATCH($T$1,Data!$A$1:$AX$1,),)-VLOOKUP(EDATE(B109,-12),Data!$A:$AX,MATCH($T$1,Data!$A$1:$AX$1,),))/VLOOKUP(EDATE(B109,-12),Data!$A:$AX,MATCH($T$1,Data!$A$1:$AX$1,),))</f>
        <v/>
      </c>
      <c r="U109" s="20">
        <f>IF(VLOOKUP(B109,Data!$A:$AX,MATCH($U$1,Data!$A$1:$AX$1,))=0,#N/A,(VLOOKUP(B109,Data!$A:$AX,MATCH($U$1,Data!$A$1:$AX$1,),)-VLOOKUP(EDATE(B109,-12),Data!$A:$AX,MATCH($U$1,Data!$A$1:$AX$1,),))/VLOOKUP(EDATE(B109,-12),Data!$A:$AX,MATCH($U$1,Data!$A$1:$AX$1,),))</f>
        <v/>
      </c>
      <c r="V109" s="20">
        <f>(VLOOKUP(B109,Data!$A:$AX,MATCH($V$1,Data!$A$1:$AX$1,),)-VLOOKUP(EDATE(B109,-12),Data!$A:$AX,MATCH($V$1,Data!$A$1:$AX$1,),))/VLOOKUP(EDATE(B109,-12),Data!$A:$AX,MATCH($V$1,Data!$A$1:$AX$1,),)</f>
        <v/>
      </c>
      <c r="W109" s="20">
        <f>IF(VLOOKUP(B109,Data!$A:$AX,MATCH($W$1,Data!$A$1:$AX$1,))=0,#N/A,(VLOOKUP(B109,Data!$A:$AX,MATCH($W$1,Data!$A$1:$AX$1,),)-VLOOKUP(EDATE(B109,-12),Data!$A:$AX,MATCH($W$1,Data!$A$1:$AX$1,),))/VLOOKUP(EDATE(B109,-12),Data!$A:$AX,MATCH($W$1,Data!$A$1:$AX$1,),))</f>
        <v/>
      </c>
      <c r="X109" s="20">
        <f>IF(VLOOKUP(B109,Data!$A:$AX,MATCH($X$1,Data!$A$1:$AX$1,))=0,#N/A,(VLOOKUP(B109,Data!$A:$AX,MATCH($X$1,Data!$A$1:$AX$1,),)-VLOOKUP(EDATE(B109,-12),Data!$A:$AX,MATCH($X$1,Data!$A$1:$AX$1,),))/VLOOKUP(EDATE(B109,-12),Data!$A:$AX,MATCH($X$1,Data!$A$1:$AX$1,),))</f>
        <v/>
      </c>
      <c r="Y109" s="20">
        <f>IF(VLOOKUP(B109,Data!$A:$AX,MATCH($Y$1,Data!$A$1:$AX$1,))=0,#N/A,(VLOOKUP(B109,Data!$A:$AX,MATCH($Y$1,Data!$A$1:$AX$1,),)-VLOOKUP(EDATE(B109,-12),Data!$A:$AX,MATCH($Y$1,Data!$A$1:$AX$1,),))/VLOOKUP(EDATE(B109,-12),Data!$A:$AX,MATCH($Y$1,Data!$A$1:$AX$1,),))</f>
        <v/>
      </c>
    </row>
    <row r="110" customFormat="1" s="78">
      <c r="B110" s="15" t="n">
        <v>43556</v>
      </c>
      <c r="C110" s="20">
        <f>IF(VLOOKUP(B110,Data!$A:$AX,MATCH($C$1,Data!$A$1:$AX$1,))=0,#N/A,(VLOOKUP(B110,Data!$A:$AX,MATCH($C$1,Data!$A$1:$AX$1,),)-VLOOKUP(EDATE(B110,-12),Data!$A:$AX,MATCH($C$1,Data!$A$1:$AX$1,),))/VLOOKUP(EDATE(B110,-12),Data!$A:$AX,MATCH($C$1,Data!$A$1:$AX$1,),))</f>
        <v/>
      </c>
      <c r="D110" s="20">
        <f>IF(VLOOKUP(B110,Data!$A:$AX,MATCH($D$1,Data!$A$1:$AX$1,))=0,#N/A,(VLOOKUP(B110,Data!$A:$AX,MATCH($D$1,Data!$A$1:$AX$1,),)-VLOOKUP(EDATE(B110,-12),Data!$A:$AX,MATCH($D$1,Data!$A$1:$AX$1,),))/VLOOKUP(EDATE(B110,-12),Data!$A:$AX,MATCH($D$1,Data!$A$1:$AX$1,),))</f>
        <v/>
      </c>
      <c r="E110" s="20">
        <f>IF(VLOOKUP(B110,Data!$A:$AX,MATCH($E$1,Data!$A$1:$AX$1,))=0,#N/A,(VLOOKUP(B110,Data!$A:$AX,MATCH($E$1,Data!$A$1:$AX$1,),)-VLOOKUP(EDATE(B110,-12),Data!$A:$AX,MATCH($E$1,Data!$A$1:$AX$1,),))/VLOOKUP(EDATE(B110,-12),Data!$A:$AX,MATCH($E$1,Data!$A$1:$AX$1,),))</f>
        <v/>
      </c>
      <c r="F110" s="20">
        <f>IF(VLOOKUP(B110,Data!$A:$AX,MATCH($F$1,Data!$A$1:$AX$1,))=0,#N/A,(VLOOKUP(B110,Data!$A:$AX,MATCH($F$1,Data!$A$1:$AX$1,),)-VLOOKUP(EDATE(B110,-12),Data!$A:$AX,MATCH($F$1,Data!$A$1:$AX$1,),))/VLOOKUP(EDATE(B110,-12),Data!$A:$AX,MATCH($F$1,Data!$A$1:$AX$1,),))</f>
        <v/>
      </c>
      <c r="G110" s="20">
        <f>IF(VLOOKUP(B110,Data!$A:$AX,MATCH($G$1,Data!$A$1:$AX$1,))=0,#N/A,(VLOOKUP(B110,Data!$A:$AX,MATCH($G$1,Data!$A$1:$AX$1,),)-VLOOKUP(EDATE(B110,-12),Data!$A:$AX,MATCH($G$1,Data!$A$1:$AX$1,),))/VLOOKUP(EDATE(B110,-12),Data!$A:$AX,MATCH($G$1,Data!$A$1:$AX$1,),))</f>
        <v/>
      </c>
      <c r="H110" s="20">
        <f>IF(VLOOKUP(B110,Data!$A:$AX,MATCH($H$1,Data!$A$1:$AX$1,))=0,#N/A,(VLOOKUP(B110,Data!$A:$AX,MATCH($H$1,Data!$A$1:$AX$1,),)-VLOOKUP(EDATE(B110,-12),Data!$A:$AX,MATCH($H$1,Data!$A$1:$AX$1,),))/VLOOKUP(EDATE(B110,-12),Data!$A:$AX,MATCH($H$1,Data!$A$1:$AX$1,),))</f>
        <v/>
      </c>
      <c r="I110" s="20">
        <f>IF(VLOOKUP(B110,Data!$A:$AX,MATCH($I$1,Data!$A$1:$AX$1,))=0,#N/A,(VLOOKUP(B110,Data!$A:$AX,MATCH($I$1,Data!$A$1:$AX$1,),)-VLOOKUP(EDATE(B110,-12),Data!$A:$AX,MATCH($I$1,Data!$A$1:$AX$1,),))/VLOOKUP(EDATE(B110,-12),Data!$A:$AX,MATCH($I$1,Data!$A$1:$AX$1,),))</f>
        <v/>
      </c>
      <c r="J110" s="20">
        <f>IF(VLOOKUP(B110,Data!$A:$AX,MATCH($J$1,Data!$A$1:$AX$1,))=0,#N/A,(VLOOKUP(B110,Data!$A:$AX,MATCH($J$1,Data!$A$1:$AX$1,),)-VLOOKUP(EDATE(B110,-12),Data!$A:$AX,MATCH($J$1,Data!$A$1:$AX$1,),))/VLOOKUP(EDATE(B110,-12),Data!$A:$AX,MATCH($J$1,Data!$A$1:$AX$1,),))</f>
        <v/>
      </c>
      <c r="K110" s="20">
        <f>IF(VLOOKUP(B110,Data!$A:$AX,MATCH($K$1,Data!$A$1:$AX$1,))=0,#N/A,(VLOOKUP(B110,Data!$A:$AX,MATCH($K$1,Data!$A$1:$AX$1,),)-VLOOKUP(EDATE(B110,-12),Data!$A:$AX,MATCH($K$1,Data!$A$1:$AX$1,),))/VLOOKUP(EDATE(B110,-12),Data!$A:$AX,MATCH($K$1,Data!$A$1:$AX$1,),))</f>
        <v/>
      </c>
      <c r="L110" s="20">
        <f>IF(VLOOKUP(B110,Data!$A:$AX,MATCH($L$1,Data!$A$1:$AX$1,))=0,#N/A,(VLOOKUP(B110,Data!$A:$AX,MATCH($L$1,Data!$A$1:$AX$1,),)-VLOOKUP(EDATE(B110,-12),Data!$A:$AX,MATCH($L$1,Data!$A$1:$AX$1,),))/VLOOKUP(EDATE(B110,-12),Data!$A:$AX,MATCH($L$1,Data!$A$1:$AX$1,),))</f>
        <v/>
      </c>
      <c r="M110" s="20">
        <f>IF(VLOOKUP(B110,Data!$A:$AX,MATCH($M$1,Data!$A$1:$AX$1,))=0,#N/A,(VLOOKUP(B110,Data!$A:$AX,MATCH($M$1,Data!$A$1:$AX$1,),)-VLOOKUP(EDATE(B110,-12),Data!$A:$AX,MATCH($M$1,Data!$A$1:$AX$1,),))/VLOOKUP(EDATE(B110,-12),Data!$A:$AX,MATCH($M$1,Data!$A$1:$AX$1,),))</f>
        <v/>
      </c>
      <c r="N110" s="20">
        <f>(VLOOKUP(B110,Data!$A:$AX,MATCH($N$1,Data!$A$1:$AX$1,),)-VLOOKUP(EDATE(B110,-12),Data!$A:$AX,MATCH($N$1,Data!$A$1:$AX$1,),))/VLOOKUP(EDATE(B110,-12),Data!$A:$AX,MATCH($N$1,Data!$A$1:$AX$1,),)</f>
        <v/>
      </c>
      <c r="O110" s="20">
        <f>IF(VLOOKUP(B110,Data!$A:$AX,MATCH($O$1,Data!$A$1:$AX$1,))=0,#N/A,(VLOOKUP(B110,Data!$A:$AX,MATCH($O$1,Data!$A$1:$AX$1,),)-VLOOKUP(EDATE(B110,-12),Data!$A:$AX,MATCH($O$1,Data!$A$1:$AX$1,),))/VLOOKUP(EDATE(B110,-12),Data!$A:$AX,MATCH($O$1,Data!$A$1:$AX$1,),))</f>
        <v/>
      </c>
      <c r="P110" s="20">
        <f>IF(VLOOKUP(B110,Data!$A:$AX,MATCH($P$1,Data!$A$1:$AX$1,))=0,#N/A,(VLOOKUP(B110,Data!$A:$AX,MATCH($P$1,Data!$A$1:$AX$1,),)-VLOOKUP(EDATE(B110,-12),Data!$A:$AX,MATCH($P$1,Data!$A$1:$AX$1,),))/VLOOKUP(EDATE(B110,-12),Data!$A:$AX,MATCH($P$1,Data!$A$1:$AX$1,),))</f>
        <v/>
      </c>
      <c r="Q110" s="20">
        <f>(VLOOKUP(B110,Data!$A:$AX,MATCH($Q$1,Data!$A$1:$AX$1,),)-VLOOKUP(EDATE(B110,-12),Data!$A:$AX,MATCH($Q$1,Data!$A$1:$AX$1,),))/VLOOKUP(EDATE(B110,-12),Data!$A:$AX,MATCH($Q$1,Data!$A$1:$AX$1,),)</f>
        <v/>
      </c>
      <c r="R110" s="20">
        <f>IF(VLOOKUP(B110,Data!$A:$AX,MATCH($R$1,Data!$A$1:$AX$1,))=0,#N/A,(VLOOKUP(B110,Data!$A:$AX,MATCH($R$1,Data!$A$1:$AX$1,),)-VLOOKUP(EDATE(B110,-12),Data!$A:$AX,MATCH($R$1,Data!$A$1:$AX$1,),))/VLOOKUP(EDATE(B110,-12),Data!$A:$AX,MATCH($R$1,Data!$A$1:$AX$1,),))</f>
        <v/>
      </c>
      <c r="S110" s="20">
        <f>IF(VLOOKUP(B110,Data!$A:$AX,MATCH($S$1,Data!$A$1:$AX$1,))=0,#N/A,(VLOOKUP(B110,Data!$A:$AX,MATCH($S$1,Data!$A$1:$AX$1,),)-VLOOKUP(EDATE(B110,-12),Data!$A:$AX,MATCH($S$1,Data!$A$1:$AX$1,),))/VLOOKUP(EDATE(B110,-12),Data!$A:$AX,MATCH($S$1,Data!$A$1:$AX$1,),))</f>
        <v/>
      </c>
      <c r="T110" s="20">
        <f>IF(VLOOKUP(B110,Data!$A:$AX,MATCH($T$1,Data!$A$1:$AX$1,))=0,#N/A,(VLOOKUP(B110,Data!$A:$AX,MATCH($T$1,Data!$A$1:$AX$1,),)-VLOOKUP(EDATE(B110,-12),Data!$A:$AX,MATCH($T$1,Data!$A$1:$AX$1,),))/VLOOKUP(EDATE(B110,-12),Data!$A:$AX,MATCH($T$1,Data!$A$1:$AX$1,),))</f>
        <v/>
      </c>
      <c r="U110" s="20">
        <f>IF(VLOOKUP(B110,Data!$A:$AX,MATCH($U$1,Data!$A$1:$AX$1,))=0,#N/A,(VLOOKUP(B110,Data!$A:$AX,MATCH($U$1,Data!$A$1:$AX$1,),)-VLOOKUP(EDATE(B110,-12),Data!$A:$AX,MATCH($U$1,Data!$A$1:$AX$1,),))/VLOOKUP(EDATE(B110,-12),Data!$A:$AX,MATCH($U$1,Data!$A$1:$AX$1,),))</f>
        <v/>
      </c>
      <c r="V110" s="20">
        <f>(VLOOKUP(B110,Data!$A:$AX,MATCH($V$1,Data!$A$1:$AX$1,),)-VLOOKUP(EDATE(B110,-12),Data!$A:$AX,MATCH($V$1,Data!$A$1:$AX$1,),))/VLOOKUP(EDATE(B110,-12),Data!$A:$AX,MATCH($V$1,Data!$A$1:$AX$1,),)</f>
        <v/>
      </c>
      <c r="W110" s="20">
        <f>IF(VLOOKUP(B110,Data!$A:$AX,MATCH($W$1,Data!$A$1:$AX$1,))=0,#N/A,(VLOOKUP(B110,Data!$A:$AX,MATCH($W$1,Data!$A$1:$AX$1,),)-VLOOKUP(EDATE(B110,-12),Data!$A:$AX,MATCH($W$1,Data!$A$1:$AX$1,),))/VLOOKUP(EDATE(B110,-12),Data!$A:$AX,MATCH($W$1,Data!$A$1:$AX$1,),))</f>
        <v/>
      </c>
      <c r="X110" s="20">
        <f>IF(VLOOKUP(B110,Data!$A:$AX,MATCH($X$1,Data!$A$1:$AX$1,))=0,#N/A,(VLOOKUP(B110,Data!$A:$AX,MATCH($X$1,Data!$A$1:$AX$1,),)-VLOOKUP(EDATE(B110,-12),Data!$A:$AX,MATCH($X$1,Data!$A$1:$AX$1,),))/VLOOKUP(EDATE(B110,-12),Data!$A:$AX,MATCH($X$1,Data!$A$1:$AX$1,),))</f>
        <v/>
      </c>
      <c r="Y110" s="20">
        <f>IF(VLOOKUP(B110,Data!$A:$AX,MATCH($Y$1,Data!$A$1:$AX$1,))=0,#N/A,(VLOOKUP(B110,Data!$A:$AX,MATCH($Y$1,Data!$A$1:$AX$1,),)-VLOOKUP(EDATE(B110,-12),Data!$A:$AX,MATCH($Y$1,Data!$A$1:$AX$1,),))/VLOOKUP(EDATE(B110,-12),Data!$A:$AX,MATCH($Y$1,Data!$A$1:$AX$1,),))</f>
        <v/>
      </c>
    </row>
    <row r="111" customFormat="1" s="78">
      <c r="B111" s="15" t="n">
        <v>43586</v>
      </c>
      <c r="C111" s="20">
        <f>IF(VLOOKUP(B111,Data!$A:$AX,MATCH($C$1,Data!$A$1:$AX$1,))=0,#N/A,(VLOOKUP(B111,Data!$A:$AX,MATCH($C$1,Data!$A$1:$AX$1,),)-VLOOKUP(EDATE(B111,-12),Data!$A:$AX,MATCH($C$1,Data!$A$1:$AX$1,),))/VLOOKUP(EDATE(B111,-12),Data!$A:$AX,MATCH($C$1,Data!$A$1:$AX$1,),))</f>
        <v/>
      </c>
      <c r="D111" s="20">
        <f>IF(VLOOKUP(B111,Data!$A:$AX,MATCH($D$1,Data!$A$1:$AX$1,))=0,#N/A,(VLOOKUP(B111,Data!$A:$AX,MATCH($D$1,Data!$A$1:$AX$1,),)-VLOOKUP(EDATE(B111,-12),Data!$A:$AX,MATCH($D$1,Data!$A$1:$AX$1,),))/VLOOKUP(EDATE(B111,-12),Data!$A:$AX,MATCH($D$1,Data!$A$1:$AX$1,),))</f>
        <v/>
      </c>
      <c r="E111" s="20">
        <f>IF(VLOOKUP(B111,Data!$A:$AX,MATCH($E$1,Data!$A$1:$AX$1,))=0,#N/A,(VLOOKUP(B111,Data!$A:$AX,MATCH($E$1,Data!$A$1:$AX$1,),)-VLOOKUP(EDATE(B111,-12),Data!$A:$AX,MATCH($E$1,Data!$A$1:$AX$1,),))/VLOOKUP(EDATE(B111,-12),Data!$A:$AX,MATCH($E$1,Data!$A$1:$AX$1,),))</f>
        <v/>
      </c>
      <c r="F111" s="20">
        <f>IF(VLOOKUP(B111,Data!$A:$AX,MATCH($F$1,Data!$A$1:$AX$1,))=0,#N/A,(VLOOKUP(B111,Data!$A:$AX,MATCH($F$1,Data!$A$1:$AX$1,),)-VLOOKUP(EDATE(B111,-12),Data!$A:$AX,MATCH($F$1,Data!$A$1:$AX$1,),))/VLOOKUP(EDATE(B111,-12),Data!$A:$AX,MATCH($F$1,Data!$A$1:$AX$1,),))</f>
        <v/>
      </c>
      <c r="G111" s="20">
        <f>IF(VLOOKUP(B111,Data!$A:$AX,MATCH($G$1,Data!$A$1:$AX$1,))=0,#N/A,(VLOOKUP(B111,Data!$A:$AX,MATCH($G$1,Data!$A$1:$AX$1,),)-VLOOKUP(EDATE(B111,-12),Data!$A:$AX,MATCH($G$1,Data!$A$1:$AX$1,),))/VLOOKUP(EDATE(B111,-12),Data!$A:$AX,MATCH($G$1,Data!$A$1:$AX$1,),))</f>
        <v/>
      </c>
      <c r="H111" s="20">
        <f>IF(VLOOKUP(B111,Data!$A:$AX,MATCH($H$1,Data!$A$1:$AX$1,))=0,#N/A,(VLOOKUP(B111,Data!$A:$AX,MATCH($H$1,Data!$A$1:$AX$1,),)-VLOOKUP(EDATE(B111,-12),Data!$A:$AX,MATCH($H$1,Data!$A$1:$AX$1,),))/VLOOKUP(EDATE(B111,-12),Data!$A:$AX,MATCH($H$1,Data!$A$1:$AX$1,),))</f>
        <v/>
      </c>
      <c r="I111" s="20">
        <f>IF(VLOOKUP(B111,Data!$A:$AX,MATCH($I$1,Data!$A$1:$AX$1,))=0,#N/A,(VLOOKUP(B111,Data!$A:$AX,MATCH($I$1,Data!$A$1:$AX$1,),)-VLOOKUP(EDATE(B111,-12),Data!$A:$AX,MATCH($I$1,Data!$A$1:$AX$1,),))/VLOOKUP(EDATE(B111,-12),Data!$A:$AX,MATCH($I$1,Data!$A$1:$AX$1,),))</f>
        <v/>
      </c>
      <c r="J111" s="20">
        <f>IF(VLOOKUP(B111,Data!$A:$AX,MATCH($J$1,Data!$A$1:$AX$1,))=0,#N/A,(VLOOKUP(B111,Data!$A:$AX,MATCH($J$1,Data!$A$1:$AX$1,),)-VLOOKUP(EDATE(B111,-12),Data!$A:$AX,MATCH($J$1,Data!$A$1:$AX$1,),))/VLOOKUP(EDATE(B111,-12),Data!$A:$AX,MATCH($J$1,Data!$A$1:$AX$1,),))</f>
        <v/>
      </c>
      <c r="K111" s="20">
        <f>IF(VLOOKUP(B111,Data!$A:$AX,MATCH($K$1,Data!$A$1:$AX$1,))=0,#N/A,(VLOOKUP(B111,Data!$A:$AX,MATCH($K$1,Data!$A$1:$AX$1,),)-VLOOKUP(EDATE(B111,-12),Data!$A:$AX,MATCH($K$1,Data!$A$1:$AX$1,),))/VLOOKUP(EDATE(B111,-12),Data!$A:$AX,MATCH($K$1,Data!$A$1:$AX$1,),))</f>
        <v/>
      </c>
      <c r="L111" s="20">
        <f>IF(VLOOKUP(B111,Data!$A:$AX,MATCH($L$1,Data!$A$1:$AX$1,))=0,#N/A,(VLOOKUP(B111,Data!$A:$AX,MATCH($L$1,Data!$A$1:$AX$1,),)-VLOOKUP(EDATE(B111,-12),Data!$A:$AX,MATCH($L$1,Data!$A$1:$AX$1,),))/VLOOKUP(EDATE(B111,-12),Data!$A:$AX,MATCH($L$1,Data!$A$1:$AX$1,),))</f>
        <v/>
      </c>
      <c r="M111" s="20">
        <f>IF(VLOOKUP(B111,Data!$A:$AX,MATCH($M$1,Data!$A$1:$AX$1,))=0,#N/A,(VLOOKUP(B111,Data!$A:$AX,MATCH($M$1,Data!$A$1:$AX$1,),)-VLOOKUP(EDATE(B111,-12),Data!$A:$AX,MATCH($M$1,Data!$A$1:$AX$1,),))/VLOOKUP(EDATE(B111,-12),Data!$A:$AX,MATCH($M$1,Data!$A$1:$AX$1,),))</f>
        <v/>
      </c>
      <c r="N111" s="20">
        <f>(VLOOKUP(B111,Data!$A:$AX,MATCH($N$1,Data!$A$1:$AX$1,),)-VLOOKUP(EDATE(B111,-12),Data!$A:$AX,MATCH($N$1,Data!$A$1:$AX$1,),))/VLOOKUP(EDATE(B111,-12),Data!$A:$AX,MATCH($N$1,Data!$A$1:$AX$1,),)</f>
        <v/>
      </c>
      <c r="O111" s="20">
        <f>IF(VLOOKUP(B111,Data!$A:$AX,MATCH($O$1,Data!$A$1:$AX$1,))=0,#N/A,(VLOOKUP(B111,Data!$A:$AX,MATCH($O$1,Data!$A$1:$AX$1,),)-VLOOKUP(EDATE(B111,-12),Data!$A:$AX,MATCH($O$1,Data!$A$1:$AX$1,),))/VLOOKUP(EDATE(B111,-12),Data!$A:$AX,MATCH($O$1,Data!$A$1:$AX$1,),))</f>
        <v/>
      </c>
      <c r="P111" s="20">
        <f>IF(VLOOKUP(B111,Data!$A:$AX,MATCH($P$1,Data!$A$1:$AX$1,))=0,#N/A,(VLOOKUP(B111,Data!$A:$AX,MATCH($P$1,Data!$A$1:$AX$1,),)-VLOOKUP(EDATE(B111,-12),Data!$A:$AX,MATCH($P$1,Data!$A$1:$AX$1,),))/VLOOKUP(EDATE(B111,-12),Data!$A:$AX,MATCH($P$1,Data!$A$1:$AX$1,),))</f>
        <v/>
      </c>
      <c r="Q111" s="20">
        <f>(VLOOKUP(B111,Data!$A:$AX,MATCH($Q$1,Data!$A$1:$AX$1,),)-VLOOKUP(EDATE(B111,-12),Data!$A:$AX,MATCH($Q$1,Data!$A$1:$AX$1,),))/VLOOKUP(EDATE(B111,-12),Data!$A:$AX,MATCH($Q$1,Data!$A$1:$AX$1,),)</f>
        <v/>
      </c>
      <c r="R111" s="20">
        <f>IF(VLOOKUP(B111,Data!$A:$AX,MATCH($R$1,Data!$A$1:$AX$1,))=0,#N/A,(VLOOKUP(B111,Data!$A:$AX,MATCH($R$1,Data!$A$1:$AX$1,),)-VLOOKUP(EDATE(B111,-12),Data!$A:$AX,MATCH($R$1,Data!$A$1:$AX$1,),))/VLOOKUP(EDATE(B111,-12),Data!$A:$AX,MATCH($R$1,Data!$A$1:$AX$1,),))</f>
        <v/>
      </c>
      <c r="S111" s="20">
        <f>IF(VLOOKUP(B111,Data!$A:$AX,MATCH($S$1,Data!$A$1:$AX$1,))=0,#N/A,(VLOOKUP(B111,Data!$A:$AX,MATCH($S$1,Data!$A$1:$AX$1,),)-VLOOKUP(EDATE(B111,-12),Data!$A:$AX,MATCH($S$1,Data!$A$1:$AX$1,),))/VLOOKUP(EDATE(B111,-12),Data!$A:$AX,MATCH($S$1,Data!$A$1:$AX$1,),))</f>
        <v/>
      </c>
      <c r="T111" s="20">
        <f>IF(VLOOKUP(B111,Data!$A:$AX,MATCH($T$1,Data!$A$1:$AX$1,))=0,#N/A,(VLOOKUP(B111,Data!$A:$AX,MATCH($T$1,Data!$A$1:$AX$1,),)-VLOOKUP(EDATE(B111,-12),Data!$A:$AX,MATCH($T$1,Data!$A$1:$AX$1,),))/VLOOKUP(EDATE(B111,-12),Data!$A:$AX,MATCH($T$1,Data!$A$1:$AX$1,),))</f>
        <v/>
      </c>
      <c r="U111" s="20">
        <f>IF(VLOOKUP(B111,Data!$A:$AX,MATCH($U$1,Data!$A$1:$AX$1,))=0,#N/A,(VLOOKUP(B111,Data!$A:$AX,MATCH($U$1,Data!$A$1:$AX$1,),)-VLOOKUP(EDATE(B111,-12),Data!$A:$AX,MATCH($U$1,Data!$A$1:$AX$1,),))/VLOOKUP(EDATE(B111,-12),Data!$A:$AX,MATCH($U$1,Data!$A$1:$AX$1,),))</f>
        <v/>
      </c>
      <c r="V111" s="20">
        <f>(VLOOKUP(B111,Data!$A:$AX,MATCH($V$1,Data!$A$1:$AX$1,),)-VLOOKUP(EDATE(B111,-12),Data!$A:$AX,MATCH($V$1,Data!$A$1:$AX$1,),))/VLOOKUP(EDATE(B111,-12),Data!$A:$AX,MATCH($V$1,Data!$A$1:$AX$1,),)</f>
        <v/>
      </c>
      <c r="W111" s="20">
        <f>IF(VLOOKUP(B111,Data!$A:$AX,MATCH($W$1,Data!$A$1:$AX$1,))=0,#N/A,(VLOOKUP(B111,Data!$A:$AX,MATCH($W$1,Data!$A$1:$AX$1,),)-VLOOKUP(EDATE(B111,-12),Data!$A:$AX,MATCH($W$1,Data!$A$1:$AX$1,),))/VLOOKUP(EDATE(B111,-12),Data!$A:$AX,MATCH($W$1,Data!$A$1:$AX$1,),))</f>
        <v/>
      </c>
      <c r="X111" s="20">
        <f>IF(VLOOKUP(B111,Data!$A:$AX,MATCH($X$1,Data!$A$1:$AX$1,))=0,#N/A,(VLOOKUP(B111,Data!$A:$AX,MATCH($X$1,Data!$A$1:$AX$1,),)-VLOOKUP(EDATE(B111,-12),Data!$A:$AX,MATCH($X$1,Data!$A$1:$AX$1,),))/VLOOKUP(EDATE(B111,-12),Data!$A:$AX,MATCH($X$1,Data!$A$1:$AX$1,),))</f>
        <v/>
      </c>
      <c r="Y111" s="20">
        <f>IF(VLOOKUP(B111,Data!$A:$AX,MATCH($Y$1,Data!$A$1:$AX$1,))=0,#N/A,(VLOOKUP(B111,Data!$A:$AX,MATCH($Y$1,Data!$A$1:$AX$1,),)-VLOOKUP(EDATE(B111,-12),Data!$A:$AX,MATCH($Y$1,Data!$A$1:$AX$1,),))/VLOOKUP(EDATE(B111,-12),Data!$A:$AX,MATCH($Y$1,Data!$A$1:$AX$1,),))</f>
        <v/>
      </c>
    </row>
    <row r="112" customFormat="1" s="78">
      <c r="B112" s="15" t="n">
        <v>43617</v>
      </c>
      <c r="C112" s="20">
        <f>IF(VLOOKUP(B112,Data!$A:$AX,MATCH($C$1,Data!$A$1:$AX$1,))=0,#N/A,(VLOOKUP(B112,Data!$A:$AX,MATCH($C$1,Data!$A$1:$AX$1,),)-VLOOKUP(EDATE(B112,-12),Data!$A:$AX,MATCH($C$1,Data!$A$1:$AX$1,),))/VLOOKUP(EDATE(B112,-12),Data!$A:$AX,MATCH($C$1,Data!$A$1:$AX$1,),))</f>
        <v/>
      </c>
      <c r="D112" s="20">
        <f>IF(VLOOKUP(B112,Data!$A:$AX,MATCH($D$1,Data!$A$1:$AX$1,))=0,#N/A,(VLOOKUP(B112,Data!$A:$AX,MATCH($D$1,Data!$A$1:$AX$1,),)-VLOOKUP(EDATE(B112,-12),Data!$A:$AX,MATCH($D$1,Data!$A$1:$AX$1,),))/VLOOKUP(EDATE(B112,-12),Data!$A:$AX,MATCH($D$1,Data!$A$1:$AX$1,),))</f>
        <v/>
      </c>
      <c r="E112" s="20">
        <f>IF(VLOOKUP(B112,Data!$A:$AX,MATCH($E$1,Data!$A$1:$AX$1,))=0,#N/A,(VLOOKUP(B112,Data!$A:$AX,MATCH($E$1,Data!$A$1:$AX$1,),)-VLOOKUP(EDATE(B112,-12),Data!$A:$AX,MATCH($E$1,Data!$A$1:$AX$1,),))/VLOOKUP(EDATE(B112,-12),Data!$A:$AX,MATCH($E$1,Data!$A$1:$AX$1,),))</f>
        <v/>
      </c>
      <c r="F112" s="20">
        <f>IF(VLOOKUP(B112,Data!$A:$AX,MATCH($F$1,Data!$A$1:$AX$1,))=0,#N/A,(VLOOKUP(B112,Data!$A:$AX,MATCH($F$1,Data!$A$1:$AX$1,),)-VLOOKUP(EDATE(B112,-12),Data!$A:$AX,MATCH($F$1,Data!$A$1:$AX$1,),))/VLOOKUP(EDATE(B112,-12),Data!$A:$AX,MATCH($F$1,Data!$A$1:$AX$1,),))</f>
        <v/>
      </c>
      <c r="G112" s="20">
        <f>IF(VLOOKUP(B112,Data!$A:$AX,MATCH($G$1,Data!$A$1:$AX$1,))=0,#N/A,(VLOOKUP(B112,Data!$A:$AX,MATCH($G$1,Data!$A$1:$AX$1,),)-VLOOKUP(EDATE(B112,-12),Data!$A:$AX,MATCH($G$1,Data!$A$1:$AX$1,),))/VLOOKUP(EDATE(B112,-12),Data!$A:$AX,MATCH($G$1,Data!$A$1:$AX$1,),))</f>
        <v/>
      </c>
      <c r="H112" s="20">
        <f>IF(VLOOKUP(B112,Data!$A:$AX,MATCH($H$1,Data!$A$1:$AX$1,))=0,#N/A,(VLOOKUP(B112,Data!$A:$AX,MATCH($H$1,Data!$A$1:$AX$1,),)-VLOOKUP(EDATE(B112,-12),Data!$A:$AX,MATCH($H$1,Data!$A$1:$AX$1,),))/VLOOKUP(EDATE(B112,-12),Data!$A:$AX,MATCH($H$1,Data!$A$1:$AX$1,),))</f>
        <v/>
      </c>
      <c r="I112" s="20">
        <f>IF(VLOOKUP(B112,Data!$A:$AX,MATCH($I$1,Data!$A$1:$AX$1,))=0,#N/A,(VLOOKUP(B112,Data!$A:$AX,MATCH($I$1,Data!$A$1:$AX$1,),)-VLOOKUP(EDATE(B112,-12),Data!$A:$AX,MATCH($I$1,Data!$A$1:$AX$1,),))/VLOOKUP(EDATE(B112,-12),Data!$A:$AX,MATCH($I$1,Data!$A$1:$AX$1,),))</f>
        <v/>
      </c>
      <c r="J112" s="20">
        <f>IF(VLOOKUP(B112,Data!$A:$AX,MATCH($J$1,Data!$A$1:$AX$1,))=0,#N/A,(VLOOKUP(B112,Data!$A:$AX,MATCH($J$1,Data!$A$1:$AX$1,),)-VLOOKUP(EDATE(B112,-12),Data!$A:$AX,MATCH($J$1,Data!$A$1:$AX$1,),))/VLOOKUP(EDATE(B112,-12),Data!$A:$AX,MATCH($J$1,Data!$A$1:$AX$1,),))</f>
        <v/>
      </c>
      <c r="K112" s="20">
        <f>IF(VLOOKUP(B112,Data!$A:$AX,MATCH($K$1,Data!$A$1:$AX$1,))=0,#N/A,(VLOOKUP(B112,Data!$A:$AX,MATCH($K$1,Data!$A$1:$AX$1,),)-VLOOKUP(EDATE(B112,-12),Data!$A:$AX,MATCH($K$1,Data!$A$1:$AX$1,),))/VLOOKUP(EDATE(B112,-12),Data!$A:$AX,MATCH($K$1,Data!$A$1:$AX$1,),))</f>
        <v/>
      </c>
      <c r="L112" s="20">
        <f>IF(VLOOKUP(B112,Data!$A:$AX,MATCH($L$1,Data!$A$1:$AX$1,))=0,#N/A,(VLOOKUP(B112,Data!$A:$AX,MATCH($L$1,Data!$A$1:$AX$1,),)-VLOOKUP(EDATE(B112,-12),Data!$A:$AX,MATCH($L$1,Data!$A$1:$AX$1,),))/VLOOKUP(EDATE(B112,-12),Data!$A:$AX,MATCH($L$1,Data!$A$1:$AX$1,),))</f>
        <v/>
      </c>
      <c r="M112" s="20">
        <f>IF(VLOOKUP(B112,Data!$A:$AX,MATCH($M$1,Data!$A$1:$AX$1,))=0,#N/A,(VLOOKUP(B112,Data!$A:$AX,MATCH($M$1,Data!$A$1:$AX$1,),)-VLOOKUP(EDATE(B112,-12),Data!$A:$AX,MATCH($M$1,Data!$A$1:$AX$1,),))/VLOOKUP(EDATE(B112,-12),Data!$A:$AX,MATCH($M$1,Data!$A$1:$AX$1,),))</f>
        <v/>
      </c>
      <c r="N112" s="20">
        <f>(VLOOKUP(B112,Data!$A:$AX,MATCH($N$1,Data!$A$1:$AX$1,),)-VLOOKUP(EDATE(B112,-12),Data!$A:$AX,MATCH($N$1,Data!$A$1:$AX$1,),))/VLOOKUP(EDATE(B112,-12),Data!$A:$AX,MATCH($N$1,Data!$A$1:$AX$1,),)</f>
        <v/>
      </c>
      <c r="O112" s="20">
        <f>IF(VLOOKUP(B112,Data!$A:$AX,MATCH($O$1,Data!$A$1:$AX$1,))=0,#N/A,(VLOOKUP(B112,Data!$A:$AX,MATCH($O$1,Data!$A$1:$AX$1,),)-VLOOKUP(EDATE(B112,-12),Data!$A:$AX,MATCH($O$1,Data!$A$1:$AX$1,),))/VLOOKUP(EDATE(B112,-12),Data!$A:$AX,MATCH($O$1,Data!$A$1:$AX$1,),))</f>
        <v/>
      </c>
      <c r="P112" s="20">
        <f>IF(VLOOKUP(B112,Data!$A:$AX,MATCH($P$1,Data!$A$1:$AX$1,))=0,#N/A,(VLOOKUP(B112,Data!$A:$AX,MATCH($P$1,Data!$A$1:$AX$1,),)-VLOOKUP(EDATE(B112,-12),Data!$A:$AX,MATCH($P$1,Data!$A$1:$AX$1,),))/VLOOKUP(EDATE(B112,-12),Data!$A:$AX,MATCH($P$1,Data!$A$1:$AX$1,),))</f>
        <v/>
      </c>
      <c r="Q112" s="20">
        <f>(VLOOKUP(B112,Data!$A:$AX,MATCH($Q$1,Data!$A$1:$AX$1,),)-VLOOKUP(EDATE(B112,-12),Data!$A:$AX,MATCH($Q$1,Data!$A$1:$AX$1,),))/VLOOKUP(EDATE(B112,-12),Data!$A:$AX,MATCH($Q$1,Data!$A$1:$AX$1,),)</f>
        <v/>
      </c>
      <c r="R112" s="20">
        <f>IF(VLOOKUP(B112,Data!$A:$AX,MATCH($R$1,Data!$A$1:$AX$1,))=0,#N/A,(VLOOKUP(B112,Data!$A:$AX,MATCH($R$1,Data!$A$1:$AX$1,),)-VLOOKUP(EDATE(B112,-12),Data!$A:$AX,MATCH($R$1,Data!$A$1:$AX$1,),))/VLOOKUP(EDATE(B112,-12),Data!$A:$AX,MATCH($R$1,Data!$A$1:$AX$1,),))</f>
        <v/>
      </c>
      <c r="S112" s="20">
        <f>IF(VLOOKUP(B112,Data!$A:$AX,MATCH($S$1,Data!$A$1:$AX$1,))=0,#N/A,(VLOOKUP(B112,Data!$A:$AX,MATCH($S$1,Data!$A$1:$AX$1,),)-VLOOKUP(EDATE(B112,-12),Data!$A:$AX,MATCH($S$1,Data!$A$1:$AX$1,),))/VLOOKUP(EDATE(B112,-12),Data!$A:$AX,MATCH($S$1,Data!$A$1:$AX$1,),))</f>
        <v/>
      </c>
      <c r="T112" s="20">
        <f>IF(VLOOKUP(B112,Data!$A:$AX,MATCH($T$1,Data!$A$1:$AX$1,))=0,#N/A,(VLOOKUP(B112,Data!$A:$AX,MATCH($T$1,Data!$A$1:$AX$1,),)-VLOOKUP(EDATE(B112,-12),Data!$A:$AX,MATCH($T$1,Data!$A$1:$AX$1,),))/VLOOKUP(EDATE(B112,-12),Data!$A:$AX,MATCH($T$1,Data!$A$1:$AX$1,),))</f>
        <v/>
      </c>
      <c r="U112" s="20">
        <f>IF(VLOOKUP(B112,Data!$A:$AX,MATCH($U$1,Data!$A$1:$AX$1,))=0,#N/A,(VLOOKUP(B112,Data!$A:$AX,MATCH($U$1,Data!$A$1:$AX$1,),)-VLOOKUP(EDATE(B112,-12),Data!$A:$AX,MATCH($U$1,Data!$A$1:$AX$1,),))/VLOOKUP(EDATE(B112,-12),Data!$A:$AX,MATCH($U$1,Data!$A$1:$AX$1,),))</f>
        <v/>
      </c>
      <c r="V112" s="20">
        <f>(VLOOKUP(B112,Data!$A:$AX,MATCH($V$1,Data!$A$1:$AX$1,),)-VLOOKUP(EDATE(B112,-12),Data!$A:$AX,MATCH($V$1,Data!$A$1:$AX$1,),))/VLOOKUP(EDATE(B112,-12),Data!$A:$AX,MATCH($V$1,Data!$A$1:$AX$1,),)</f>
        <v/>
      </c>
      <c r="W112" s="20">
        <f>IF(VLOOKUP(B112,Data!$A:$AX,MATCH($W$1,Data!$A$1:$AX$1,))=0,#N/A,(VLOOKUP(B112,Data!$A:$AX,MATCH($W$1,Data!$A$1:$AX$1,),)-VLOOKUP(EDATE(B112,-12),Data!$A:$AX,MATCH($W$1,Data!$A$1:$AX$1,),))/VLOOKUP(EDATE(B112,-12),Data!$A:$AX,MATCH($W$1,Data!$A$1:$AX$1,),))</f>
        <v/>
      </c>
      <c r="X112" s="20">
        <f>IF(VLOOKUP(B112,Data!$A:$AX,MATCH($X$1,Data!$A$1:$AX$1,))=0,#N/A,(VLOOKUP(B112,Data!$A:$AX,MATCH($X$1,Data!$A$1:$AX$1,),)-VLOOKUP(EDATE(B112,-12),Data!$A:$AX,MATCH($X$1,Data!$A$1:$AX$1,),))/VLOOKUP(EDATE(B112,-12),Data!$A:$AX,MATCH($X$1,Data!$A$1:$AX$1,),))</f>
        <v/>
      </c>
      <c r="Y112" s="20">
        <f>IF(VLOOKUP(B112,Data!$A:$AX,MATCH($Y$1,Data!$A$1:$AX$1,))=0,#N/A,(VLOOKUP(B112,Data!$A:$AX,MATCH($Y$1,Data!$A$1:$AX$1,),)-VLOOKUP(EDATE(B112,-12),Data!$A:$AX,MATCH($Y$1,Data!$A$1:$AX$1,),))/VLOOKUP(EDATE(B112,-12),Data!$A:$AX,MATCH($Y$1,Data!$A$1:$AX$1,),))</f>
        <v/>
      </c>
    </row>
    <row r="113" customFormat="1" s="78">
      <c r="B113" s="15" t="n">
        <v>43647</v>
      </c>
      <c r="C113" s="20">
        <f>IF(VLOOKUP(B113,Data!$A:$AX,MATCH($C$1,Data!$A$1:$AX$1,))=0,#N/A,(VLOOKUP(B113,Data!$A:$AX,MATCH($C$1,Data!$A$1:$AX$1,),)-VLOOKUP(EDATE(B113,-12),Data!$A:$AX,MATCH($C$1,Data!$A$1:$AX$1,),))/VLOOKUP(EDATE(B113,-12),Data!$A:$AX,MATCH($C$1,Data!$A$1:$AX$1,),))</f>
        <v/>
      </c>
      <c r="D113" s="20">
        <f>IF(VLOOKUP(B113,Data!$A:$AX,MATCH($D$1,Data!$A$1:$AX$1,))=0,#N/A,(VLOOKUP(B113,Data!$A:$AX,MATCH($D$1,Data!$A$1:$AX$1,),)-VLOOKUP(EDATE(B113,-12),Data!$A:$AX,MATCH($D$1,Data!$A$1:$AX$1,),))/VLOOKUP(EDATE(B113,-12),Data!$A:$AX,MATCH($D$1,Data!$A$1:$AX$1,),))</f>
        <v/>
      </c>
      <c r="E113" s="20">
        <f>IF(VLOOKUP(B113,Data!$A:$AX,MATCH($E$1,Data!$A$1:$AX$1,))=0,#N/A,(VLOOKUP(B113,Data!$A:$AX,MATCH($E$1,Data!$A$1:$AX$1,),)-VLOOKUP(EDATE(B113,-12),Data!$A:$AX,MATCH($E$1,Data!$A$1:$AX$1,),))/VLOOKUP(EDATE(B113,-12),Data!$A:$AX,MATCH($E$1,Data!$A$1:$AX$1,),))</f>
        <v/>
      </c>
      <c r="F113" s="20">
        <f>IF(VLOOKUP(B113,Data!$A:$AX,MATCH($F$1,Data!$A$1:$AX$1,))=0,#N/A,(VLOOKUP(B113,Data!$A:$AX,MATCH($F$1,Data!$A$1:$AX$1,),)-VLOOKUP(EDATE(B113,-12),Data!$A:$AX,MATCH($F$1,Data!$A$1:$AX$1,),))/VLOOKUP(EDATE(B113,-12),Data!$A:$AX,MATCH($F$1,Data!$A$1:$AX$1,),))</f>
        <v/>
      </c>
      <c r="G113" s="20">
        <f>IF(VLOOKUP(B113,Data!$A:$AX,MATCH($G$1,Data!$A$1:$AX$1,))=0,#N/A,(VLOOKUP(B113,Data!$A:$AX,MATCH($G$1,Data!$A$1:$AX$1,),)-VLOOKUP(EDATE(B113,-12),Data!$A:$AX,MATCH($G$1,Data!$A$1:$AX$1,),))/VLOOKUP(EDATE(B113,-12),Data!$A:$AX,MATCH($G$1,Data!$A$1:$AX$1,),))</f>
        <v/>
      </c>
      <c r="H113" s="20">
        <f>IF(VLOOKUP(B113,Data!$A:$AX,MATCH($H$1,Data!$A$1:$AX$1,))=0,#N/A,(VLOOKUP(B113,Data!$A:$AX,MATCH($H$1,Data!$A$1:$AX$1,),)-VLOOKUP(EDATE(B113,-12),Data!$A:$AX,MATCH($H$1,Data!$A$1:$AX$1,),))/VLOOKUP(EDATE(B113,-12),Data!$A:$AX,MATCH($H$1,Data!$A$1:$AX$1,),))</f>
        <v/>
      </c>
      <c r="I113" s="20">
        <f>IF(VLOOKUP(B113,Data!$A:$AX,MATCH($I$1,Data!$A$1:$AX$1,))=0,#N/A,(VLOOKUP(B113,Data!$A:$AX,MATCH($I$1,Data!$A$1:$AX$1,),)-VLOOKUP(EDATE(B113,-12),Data!$A:$AX,MATCH($I$1,Data!$A$1:$AX$1,),))/VLOOKUP(EDATE(B113,-12),Data!$A:$AX,MATCH($I$1,Data!$A$1:$AX$1,),))</f>
        <v/>
      </c>
      <c r="J113" s="20">
        <f>IF(VLOOKUP(B113,Data!$A:$AX,MATCH($J$1,Data!$A$1:$AX$1,))=0,#N/A,(VLOOKUP(B113,Data!$A:$AX,MATCH($J$1,Data!$A$1:$AX$1,),)-VLOOKUP(EDATE(B113,-12),Data!$A:$AX,MATCH($J$1,Data!$A$1:$AX$1,),))/VLOOKUP(EDATE(B113,-12),Data!$A:$AX,MATCH($J$1,Data!$A$1:$AX$1,),))</f>
        <v/>
      </c>
      <c r="K113" s="20">
        <f>IF(VLOOKUP(B113,Data!$A:$AX,MATCH($K$1,Data!$A$1:$AX$1,))=0,#N/A,(VLOOKUP(B113,Data!$A:$AX,MATCH($K$1,Data!$A$1:$AX$1,),)-VLOOKUP(EDATE(B113,-12),Data!$A:$AX,MATCH($K$1,Data!$A$1:$AX$1,),))/VLOOKUP(EDATE(B113,-12),Data!$A:$AX,MATCH($K$1,Data!$A$1:$AX$1,),))</f>
        <v/>
      </c>
      <c r="L113" s="20">
        <f>IF(VLOOKUP(B113,Data!$A:$AX,MATCH($L$1,Data!$A$1:$AX$1,))=0,#N/A,(VLOOKUP(B113,Data!$A:$AX,MATCH($L$1,Data!$A$1:$AX$1,),)-VLOOKUP(EDATE(B113,-12),Data!$A:$AX,MATCH($L$1,Data!$A$1:$AX$1,),))/VLOOKUP(EDATE(B113,-12),Data!$A:$AX,MATCH($L$1,Data!$A$1:$AX$1,),))</f>
        <v/>
      </c>
      <c r="M113" s="20">
        <f>IF(VLOOKUP(B113,Data!$A:$AX,MATCH($M$1,Data!$A$1:$AX$1,))=0,#N/A,(VLOOKUP(B113,Data!$A:$AX,MATCH($M$1,Data!$A$1:$AX$1,),)-VLOOKUP(EDATE(B113,-12),Data!$A:$AX,MATCH($M$1,Data!$A$1:$AX$1,),))/VLOOKUP(EDATE(B113,-12),Data!$A:$AX,MATCH($M$1,Data!$A$1:$AX$1,),))</f>
        <v/>
      </c>
      <c r="N113" s="20">
        <f>(VLOOKUP(B113,Data!$A:$AX,MATCH($N$1,Data!$A$1:$AX$1,),)-VLOOKUP(EDATE(B113,-12),Data!$A:$AX,MATCH($N$1,Data!$A$1:$AX$1,),))/VLOOKUP(EDATE(B113,-12),Data!$A:$AX,MATCH($N$1,Data!$A$1:$AX$1,),)</f>
        <v/>
      </c>
      <c r="O113" s="20">
        <f>IF(VLOOKUP(B113,Data!$A:$AX,MATCH($O$1,Data!$A$1:$AX$1,))=0,#N/A,(VLOOKUP(B113,Data!$A:$AX,MATCH($O$1,Data!$A$1:$AX$1,),)-VLOOKUP(EDATE(B113,-12),Data!$A:$AX,MATCH($O$1,Data!$A$1:$AX$1,),))/VLOOKUP(EDATE(B113,-12),Data!$A:$AX,MATCH($O$1,Data!$A$1:$AX$1,),))</f>
        <v/>
      </c>
      <c r="P113" s="20">
        <f>IF(VLOOKUP(B113,Data!$A:$AX,MATCH($P$1,Data!$A$1:$AX$1,))=0,#N/A,(VLOOKUP(B113,Data!$A:$AX,MATCH($P$1,Data!$A$1:$AX$1,),)-VLOOKUP(EDATE(B113,-12),Data!$A:$AX,MATCH($P$1,Data!$A$1:$AX$1,),))/VLOOKUP(EDATE(B113,-12),Data!$A:$AX,MATCH($P$1,Data!$A$1:$AX$1,),))</f>
        <v/>
      </c>
      <c r="Q113" s="20">
        <f>(VLOOKUP(B113,Data!$A:$AX,MATCH($Q$1,Data!$A$1:$AX$1,),)-VLOOKUP(EDATE(B113,-12),Data!$A:$AX,MATCH($Q$1,Data!$A$1:$AX$1,),))/VLOOKUP(EDATE(B113,-12),Data!$A:$AX,MATCH($Q$1,Data!$A$1:$AX$1,),)</f>
        <v/>
      </c>
      <c r="R113" s="20">
        <f>IF(VLOOKUP(B113,Data!$A:$AX,MATCH($R$1,Data!$A$1:$AX$1,))=0,#N/A,(VLOOKUP(B113,Data!$A:$AX,MATCH($R$1,Data!$A$1:$AX$1,),)-VLOOKUP(EDATE(B113,-12),Data!$A:$AX,MATCH($R$1,Data!$A$1:$AX$1,),))/VLOOKUP(EDATE(B113,-12),Data!$A:$AX,MATCH($R$1,Data!$A$1:$AX$1,),))</f>
        <v/>
      </c>
      <c r="S113" s="20">
        <f>IF(VLOOKUP(B113,Data!$A:$AX,MATCH($S$1,Data!$A$1:$AX$1,))=0,#N/A,(VLOOKUP(B113,Data!$A:$AX,MATCH($S$1,Data!$A$1:$AX$1,),)-VLOOKUP(EDATE(B113,-12),Data!$A:$AX,MATCH($S$1,Data!$A$1:$AX$1,),))/VLOOKUP(EDATE(B113,-12),Data!$A:$AX,MATCH($S$1,Data!$A$1:$AX$1,),))</f>
        <v/>
      </c>
      <c r="T113" s="20">
        <f>IF(VLOOKUP(B113,Data!$A:$AX,MATCH($T$1,Data!$A$1:$AX$1,))=0,#N/A,(VLOOKUP(B113,Data!$A:$AX,MATCH($T$1,Data!$A$1:$AX$1,),)-VLOOKUP(EDATE(B113,-12),Data!$A:$AX,MATCH($T$1,Data!$A$1:$AX$1,),))/VLOOKUP(EDATE(B113,-12),Data!$A:$AX,MATCH($T$1,Data!$A$1:$AX$1,),))</f>
        <v/>
      </c>
      <c r="U113" s="20">
        <f>IF(VLOOKUP(B113,Data!$A:$AX,MATCH($U$1,Data!$A$1:$AX$1,))=0,#N/A,(VLOOKUP(B113,Data!$A:$AX,MATCH($U$1,Data!$A$1:$AX$1,),)-VLOOKUP(EDATE(B113,-12),Data!$A:$AX,MATCH($U$1,Data!$A$1:$AX$1,),))/VLOOKUP(EDATE(B113,-12),Data!$A:$AX,MATCH($U$1,Data!$A$1:$AX$1,),))</f>
        <v/>
      </c>
      <c r="V113" s="20">
        <f>(VLOOKUP(B113,Data!$A:$AX,MATCH($V$1,Data!$A$1:$AX$1,),)-VLOOKUP(EDATE(B113,-12),Data!$A:$AX,MATCH($V$1,Data!$A$1:$AX$1,),))/VLOOKUP(EDATE(B113,-12),Data!$A:$AX,MATCH($V$1,Data!$A$1:$AX$1,),)</f>
        <v/>
      </c>
      <c r="W113" s="20">
        <f>IF(VLOOKUP(B113,Data!$A:$AX,MATCH($W$1,Data!$A$1:$AX$1,))=0,#N/A,(VLOOKUP(B113,Data!$A:$AX,MATCH($W$1,Data!$A$1:$AX$1,),)-VLOOKUP(EDATE(B113,-12),Data!$A:$AX,MATCH($W$1,Data!$A$1:$AX$1,),))/VLOOKUP(EDATE(B113,-12),Data!$A:$AX,MATCH($W$1,Data!$A$1:$AX$1,),))</f>
        <v/>
      </c>
      <c r="X113" s="20">
        <f>IF(VLOOKUP(B113,Data!$A:$AX,MATCH($X$1,Data!$A$1:$AX$1,))=0,#N/A,(VLOOKUP(B113,Data!$A:$AX,MATCH($X$1,Data!$A$1:$AX$1,),)-VLOOKUP(EDATE(B113,-12),Data!$A:$AX,MATCH($X$1,Data!$A$1:$AX$1,),))/VLOOKUP(EDATE(B113,-12),Data!$A:$AX,MATCH($X$1,Data!$A$1:$AX$1,),))</f>
        <v/>
      </c>
      <c r="Y113" s="20">
        <f>IF(VLOOKUP(B113,Data!$A:$AX,MATCH($Y$1,Data!$A$1:$AX$1,))=0,#N/A,(VLOOKUP(B113,Data!$A:$AX,MATCH($Y$1,Data!$A$1:$AX$1,),)-VLOOKUP(EDATE(B113,-12),Data!$A:$AX,MATCH($Y$1,Data!$A$1:$AX$1,),))/VLOOKUP(EDATE(B113,-12),Data!$A:$AX,MATCH($Y$1,Data!$A$1:$AX$1,),))</f>
        <v/>
      </c>
    </row>
    <row r="114" customFormat="1" s="78">
      <c r="B114" s="15" t="n">
        <v>43678</v>
      </c>
      <c r="C114" s="20">
        <f>IF(VLOOKUP(B114,Data!$A:$AX,MATCH($C$1,Data!$A$1:$AX$1,))=0,#N/A,(VLOOKUP(B114,Data!$A:$AX,MATCH($C$1,Data!$A$1:$AX$1,),)-VLOOKUP(EDATE(B114,-12),Data!$A:$AX,MATCH($C$1,Data!$A$1:$AX$1,),))/VLOOKUP(EDATE(B114,-12),Data!$A:$AX,MATCH($C$1,Data!$A$1:$AX$1,),))</f>
        <v/>
      </c>
      <c r="D114" s="20">
        <f>IF(VLOOKUP(B114,Data!$A:$AX,MATCH($D$1,Data!$A$1:$AX$1,))=0,#N/A,(VLOOKUP(B114,Data!$A:$AX,MATCH($D$1,Data!$A$1:$AX$1,),)-VLOOKUP(EDATE(B114,-12),Data!$A:$AX,MATCH($D$1,Data!$A$1:$AX$1,),))/VLOOKUP(EDATE(B114,-12),Data!$A:$AX,MATCH($D$1,Data!$A$1:$AX$1,),))</f>
        <v/>
      </c>
      <c r="E114" s="20">
        <f>IF(VLOOKUP(B114,Data!$A:$AX,MATCH($E$1,Data!$A$1:$AX$1,))=0,#N/A,(VLOOKUP(B114,Data!$A:$AX,MATCH($E$1,Data!$A$1:$AX$1,),)-VLOOKUP(EDATE(B114,-12),Data!$A:$AX,MATCH($E$1,Data!$A$1:$AX$1,),))/VLOOKUP(EDATE(B114,-12),Data!$A:$AX,MATCH($E$1,Data!$A$1:$AX$1,),))</f>
        <v/>
      </c>
      <c r="F114" s="20">
        <f>IF(VLOOKUP(B114,Data!$A:$AX,MATCH($F$1,Data!$A$1:$AX$1,))=0,#N/A,(VLOOKUP(B114,Data!$A:$AX,MATCH($F$1,Data!$A$1:$AX$1,),)-VLOOKUP(EDATE(B114,-12),Data!$A:$AX,MATCH($F$1,Data!$A$1:$AX$1,),))/VLOOKUP(EDATE(B114,-12),Data!$A:$AX,MATCH($F$1,Data!$A$1:$AX$1,),))</f>
        <v/>
      </c>
      <c r="G114" s="20">
        <f>IF(VLOOKUP(B114,Data!$A:$AX,MATCH($G$1,Data!$A$1:$AX$1,))=0,#N/A,(VLOOKUP(B114,Data!$A:$AX,MATCH($G$1,Data!$A$1:$AX$1,),)-VLOOKUP(EDATE(B114,-12),Data!$A:$AX,MATCH($G$1,Data!$A$1:$AX$1,),))/VLOOKUP(EDATE(B114,-12),Data!$A:$AX,MATCH($G$1,Data!$A$1:$AX$1,),))</f>
        <v/>
      </c>
      <c r="H114" s="20">
        <f>IF(VLOOKUP(B114,Data!$A:$AX,MATCH($H$1,Data!$A$1:$AX$1,))=0,#N/A,(VLOOKUP(B114,Data!$A:$AX,MATCH($H$1,Data!$A$1:$AX$1,),)-VLOOKUP(EDATE(B114,-12),Data!$A:$AX,MATCH($H$1,Data!$A$1:$AX$1,),))/VLOOKUP(EDATE(B114,-12),Data!$A:$AX,MATCH($H$1,Data!$A$1:$AX$1,),))</f>
        <v/>
      </c>
      <c r="I114" s="20">
        <f>IF(VLOOKUP(B114,Data!$A:$AX,MATCH($I$1,Data!$A$1:$AX$1,))=0,#N/A,(VLOOKUP(B114,Data!$A:$AX,MATCH($I$1,Data!$A$1:$AX$1,),)-VLOOKUP(EDATE(B114,-12),Data!$A:$AX,MATCH($I$1,Data!$A$1:$AX$1,),))/VLOOKUP(EDATE(B114,-12),Data!$A:$AX,MATCH($I$1,Data!$A$1:$AX$1,),))</f>
        <v/>
      </c>
      <c r="J114" s="20">
        <f>IF(VLOOKUP(B114,Data!$A:$AX,MATCH($J$1,Data!$A$1:$AX$1,))=0,#N/A,(VLOOKUP(B114,Data!$A:$AX,MATCH($J$1,Data!$A$1:$AX$1,),)-VLOOKUP(EDATE(B114,-12),Data!$A:$AX,MATCH($J$1,Data!$A$1:$AX$1,),))/VLOOKUP(EDATE(B114,-12),Data!$A:$AX,MATCH($J$1,Data!$A$1:$AX$1,),))</f>
        <v/>
      </c>
      <c r="K114" s="20">
        <f>IF(VLOOKUP(B114,Data!$A:$AX,MATCH($K$1,Data!$A$1:$AX$1,))=0,#N/A,(VLOOKUP(B114,Data!$A:$AX,MATCH($K$1,Data!$A$1:$AX$1,),)-VLOOKUP(EDATE(B114,-12),Data!$A:$AX,MATCH($K$1,Data!$A$1:$AX$1,),))/VLOOKUP(EDATE(B114,-12),Data!$A:$AX,MATCH($K$1,Data!$A$1:$AX$1,),))</f>
        <v/>
      </c>
      <c r="L114" s="20">
        <f>IF(VLOOKUP(B114,Data!$A:$AX,MATCH($L$1,Data!$A$1:$AX$1,))=0,#N/A,(VLOOKUP(B114,Data!$A:$AX,MATCH($L$1,Data!$A$1:$AX$1,),)-VLOOKUP(EDATE(B114,-12),Data!$A:$AX,MATCH($L$1,Data!$A$1:$AX$1,),))/VLOOKUP(EDATE(B114,-12),Data!$A:$AX,MATCH($L$1,Data!$A$1:$AX$1,),))</f>
        <v/>
      </c>
      <c r="M114" s="20">
        <f>IF(VLOOKUP(B114,Data!$A:$AX,MATCH($M$1,Data!$A$1:$AX$1,))=0,#N/A,(VLOOKUP(B114,Data!$A:$AX,MATCH($M$1,Data!$A$1:$AX$1,),)-VLOOKUP(EDATE(B114,-12),Data!$A:$AX,MATCH($M$1,Data!$A$1:$AX$1,),))/VLOOKUP(EDATE(B114,-12),Data!$A:$AX,MATCH($M$1,Data!$A$1:$AX$1,),))</f>
        <v/>
      </c>
      <c r="N114" s="20">
        <f>(VLOOKUP(B114,Data!$A:$AX,MATCH($N$1,Data!$A$1:$AX$1,),)-VLOOKUP(EDATE(B114,-12),Data!$A:$AX,MATCH($N$1,Data!$A$1:$AX$1,),))/VLOOKUP(EDATE(B114,-12),Data!$A:$AX,MATCH($N$1,Data!$A$1:$AX$1,),)</f>
        <v/>
      </c>
      <c r="O114" s="20">
        <f>IF(VLOOKUP(B114,Data!$A:$AX,MATCH($O$1,Data!$A$1:$AX$1,))=0,#N/A,(VLOOKUP(B114,Data!$A:$AX,MATCH($O$1,Data!$A$1:$AX$1,),)-VLOOKUP(EDATE(B114,-12),Data!$A:$AX,MATCH($O$1,Data!$A$1:$AX$1,),))/VLOOKUP(EDATE(B114,-12),Data!$A:$AX,MATCH($O$1,Data!$A$1:$AX$1,),))</f>
        <v/>
      </c>
      <c r="P114" s="20">
        <f>IF(VLOOKUP(B114,Data!$A:$AX,MATCH($P$1,Data!$A$1:$AX$1,))=0,#N/A,(VLOOKUP(B114,Data!$A:$AX,MATCH($P$1,Data!$A$1:$AX$1,),)-VLOOKUP(EDATE(B114,-12),Data!$A:$AX,MATCH($P$1,Data!$A$1:$AX$1,),))/VLOOKUP(EDATE(B114,-12),Data!$A:$AX,MATCH($P$1,Data!$A$1:$AX$1,),))</f>
        <v/>
      </c>
      <c r="Q114" s="20">
        <f>(VLOOKUP(B114,Data!$A:$AX,MATCH($Q$1,Data!$A$1:$AX$1,),)-VLOOKUP(EDATE(B114,-12),Data!$A:$AX,MATCH($Q$1,Data!$A$1:$AX$1,),))/VLOOKUP(EDATE(B114,-12),Data!$A:$AX,MATCH($Q$1,Data!$A$1:$AX$1,),)</f>
        <v/>
      </c>
      <c r="R114" s="20">
        <f>IF(VLOOKUP(B114,Data!$A:$AX,MATCH($R$1,Data!$A$1:$AX$1,))=0,#N/A,(VLOOKUP(B114,Data!$A:$AX,MATCH($R$1,Data!$A$1:$AX$1,),)-VLOOKUP(EDATE(B114,-12),Data!$A:$AX,MATCH($R$1,Data!$A$1:$AX$1,),))/VLOOKUP(EDATE(B114,-12),Data!$A:$AX,MATCH($R$1,Data!$A$1:$AX$1,),))</f>
        <v/>
      </c>
      <c r="S114" s="20">
        <f>IF(VLOOKUP(B114,Data!$A:$AX,MATCH($S$1,Data!$A$1:$AX$1,))=0,#N/A,(VLOOKUP(B114,Data!$A:$AX,MATCH($S$1,Data!$A$1:$AX$1,),)-VLOOKUP(EDATE(B114,-12),Data!$A:$AX,MATCH($S$1,Data!$A$1:$AX$1,),))/VLOOKUP(EDATE(B114,-12),Data!$A:$AX,MATCH($S$1,Data!$A$1:$AX$1,),))</f>
        <v/>
      </c>
      <c r="T114" s="20">
        <f>IF(VLOOKUP(B114,Data!$A:$AX,MATCH($T$1,Data!$A$1:$AX$1,))=0,#N/A,(VLOOKUP(B114,Data!$A:$AX,MATCH($T$1,Data!$A$1:$AX$1,),)-VLOOKUP(EDATE(B114,-12),Data!$A:$AX,MATCH($T$1,Data!$A$1:$AX$1,),))/VLOOKUP(EDATE(B114,-12),Data!$A:$AX,MATCH($T$1,Data!$A$1:$AX$1,),))</f>
        <v/>
      </c>
      <c r="U114" s="20">
        <f>IF(VLOOKUP(B114,Data!$A:$AX,MATCH($U$1,Data!$A$1:$AX$1,))=0,#N/A,(VLOOKUP(B114,Data!$A:$AX,MATCH($U$1,Data!$A$1:$AX$1,),)-VLOOKUP(EDATE(B114,-12),Data!$A:$AX,MATCH($U$1,Data!$A$1:$AX$1,),))/VLOOKUP(EDATE(B114,-12),Data!$A:$AX,MATCH($U$1,Data!$A$1:$AX$1,),))</f>
        <v/>
      </c>
      <c r="V114" s="20">
        <f>(VLOOKUP(B114,Data!$A:$AX,MATCH($V$1,Data!$A$1:$AX$1,),)-VLOOKUP(EDATE(B114,-12),Data!$A:$AX,MATCH($V$1,Data!$A$1:$AX$1,),))/VLOOKUP(EDATE(B114,-12),Data!$A:$AX,MATCH($V$1,Data!$A$1:$AX$1,),)</f>
        <v/>
      </c>
      <c r="W114" s="20">
        <f>IF(VLOOKUP(B114,Data!$A:$AX,MATCH($W$1,Data!$A$1:$AX$1,))=0,#N/A,(VLOOKUP(B114,Data!$A:$AX,MATCH($W$1,Data!$A$1:$AX$1,),)-VLOOKUP(EDATE(B114,-12),Data!$A:$AX,MATCH($W$1,Data!$A$1:$AX$1,),))/VLOOKUP(EDATE(B114,-12),Data!$A:$AX,MATCH($W$1,Data!$A$1:$AX$1,),))</f>
        <v/>
      </c>
      <c r="X114" s="20">
        <f>IF(VLOOKUP(B114,Data!$A:$AX,MATCH($X$1,Data!$A$1:$AX$1,))=0,#N/A,(VLOOKUP(B114,Data!$A:$AX,MATCH($X$1,Data!$A$1:$AX$1,),)-VLOOKUP(EDATE(B114,-12),Data!$A:$AX,MATCH($X$1,Data!$A$1:$AX$1,),))/VLOOKUP(EDATE(B114,-12),Data!$A:$AX,MATCH($X$1,Data!$A$1:$AX$1,),))</f>
        <v/>
      </c>
      <c r="Y114" s="20">
        <f>IF(VLOOKUP(B114,Data!$A:$AX,MATCH($Y$1,Data!$A$1:$AX$1,))=0,#N/A,(VLOOKUP(B114,Data!$A:$AX,MATCH($Y$1,Data!$A$1:$AX$1,),)-VLOOKUP(EDATE(B114,-12),Data!$A:$AX,MATCH($Y$1,Data!$A$1:$AX$1,),))/VLOOKUP(EDATE(B114,-12),Data!$A:$AX,MATCH($Y$1,Data!$A$1:$AX$1,),))</f>
        <v/>
      </c>
    </row>
    <row r="115" customFormat="1" s="78">
      <c r="B115" s="15" t="n">
        <v>43709</v>
      </c>
      <c r="C115" s="20">
        <f>IF(VLOOKUP(B115,Data!$A:$AX,MATCH($C$1,Data!$A$1:$AX$1,))=0,#N/A,(VLOOKUP(B115,Data!$A:$AX,MATCH($C$1,Data!$A$1:$AX$1,),)-VLOOKUP(EDATE(B115,-12),Data!$A:$AX,MATCH($C$1,Data!$A$1:$AX$1,),))/VLOOKUP(EDATE(B115,-12),Data!$A:$AX,MATCH($C$1,Data!$A$1:$AX$1,),))</f>
        <v/>
      </c>
      <c r="D115" s="20">
        <f>IF(VLOOKUP(B115,Data!$A:$AX,MATCH($D$1,Data!$A$1:$AX$1,))=0,#N/A,(VLOOKUP(B115,Data!$A:$AX,MATCH($D$1,Data!$A$1:$AX$1,),)-VLOOKUP(EDATE(B115,-12),Data!$A:$AX,MATCH($D$1,Data!$A$1:$AX$1,),))/VLOOKUP(EDATE(B115,-12),Data!$A:$AX,MATCH($D$1,Data!$A$1:$AX$1,),))</f>
        <v/>
      </c>
      <c r="E115" s="20">
        <f>IF(VLOOKUP(B115,Data!$A:$AX,MATCH($E$1,Data!$A$1:$AX$1,))=0,#N/A,(VLOOKUP(B115,Data!$A:$AX,MATCH($E$1,Data!$A$1:$AX$1,),)-VLOOKUP(EDATE(B115,-12),Data!$A:$AX,MATCH($E$1,Data!$A$1:$AX$1,),))/VLOOKUP(EDATE(B115,-12),Data!$A:$AX,MATCH($E$1,Data!$A$1:$AX$1,),))</f>
        <v/>
      </c>
      <c r="F115" s="20">
        <f>IF(VLOOKUP(B115,Data!$A:$AX,MATCH($F$1,Data!$A$1:$AX$1,))=0,#N/A,(VLOOKUP(B115,Data!$A:$AX,MATCH($F$1,Data!$A$1:$AX$1,),)-VLOOKUP(EDATE(B115,-12),Data!$A:$AX,MATCH($F$1,Data!$A$1:$AX$1,),))/VLOOKUP(EDATE(B115,-12),Data!$A:$AX,MATCH($F$1,Data!$A$1:$AX$1,),))</f>
        <v/>
      </c>
      <c r="G115" s="20">
        <f>IF(VLOOKUP(B115,Data!$A:$AX,MATCH($G$1,Data!$A$1:$AX$1,))=0,#N/A,(VLOOKUP(B115,Data!$A:$AX,MATCH($G$1,Data!$A$1:$AX$1,),)-VLOOKUP(EDATE(B115,-12),Data!$A:$AX,MATCH($G$1,Data!$A$1:$AX$1,),))/VLOOKUP(EDATE(B115,-12),Data!$A:$AX,MATCH($G$1,Data!$A$1:$AX$1,),))</f>
        <v/>
      </c>
      <c r="H115" s="20">
        <f>IF(VLOOKUP(B115,Data!$A:$AX,MATCH($H$1,Data!$A$1:$AX$1,))=0,#N/A,(VLOOKUP(B115,Data!$A:$AX,MATCH($H$1,Data!$A$1:$AX$1,),)-VLOOKUP(EDATE(B115,-12),Data!$A:$AX,MATCH($H$1,Data!$A$1:$AX$1,),))/VLOOKUP(EDATE(B115,-12),Data!$A:$AX,MATCH($H$1,Data!$A$1:$AX$1,),))</f>
        <v/>
      </c>
      <c r="I115" s="20">
        <f>IF(VLOOKUP(B115,Data!$A:$AX,MATCH($I$1,Data!$A$1:$AX$1,))=0,#N/A,(VLOOKUP(B115,Data!$A:$AX,MATCH($I$1,Data!$A$1:$AX$1,),)-VLOOKUP(EDATE(B115,-12),Data!$A:$AX,MATCH($I$1,Data!$A$1:$AX$1,),))/VLOOKUP(EDATE(B115,-12),Data!$A:$AX,MATCH($I$1,Data!$A$1:$AX$1,),))</f>
        <v/>
      </c>
      <c r="J115" s="20">
        <f>IF(VLOOKUP(B115,Data!$A:$AX,MATCH($J$1,Data!$A$1:$AX$1,))=0,#N/A,(VLOOKUP(B115,Data!$A:$AX,MATCH($J$1,Data!$A$1:$AX$1,),)-VLOOKUP(EDATE(B115,-12),Data!$A:$AX,MATCH($J$1,Data!$A$1:$AX$1,),))/VLOOKUP(EDATE(B115,-12),Data!$A:$AX,MATCH($J$1,Data!$A$1:$AX$1,),))</f>
        <v/>
      </c>
      <c r="K115" s="20">
        <f>IF(VLOOKUP(B115,Data!$A:$AX,MATCH($K$1,Data!$A$1:$AX$1,))=0,#N/A,(VLOOKUP(B115,Data!$A:$AX,MATCH($K$1,Data!$A$1:$AX$1,),)-VLOOKUP(EDATE(B115,-12),Data!$A:$AX,MATCH($K$1,Data!$A$1:$AX$1,),))/VLOOKUP(EDATE(B115,-12),Data!$A:$AX,MATCH($K$1,Data!$A$1:$AX$1,),))</f>
        <v/>
      </c>
      <c r="L115" s="20">
        <f>IF(VLOOKUP(B115,Data!$A:$AX,MATCH($L$1,Data!$A$1:$AX$1,))=0,#N/A,(VLOOKUP(B115,Data!$A:$AX,MATCH($L$1,Data!$A$1:$AX$1,),)-VLOOKUP(EDATE(B115,-12),Data!$A:$AX,MATCH($L$1,Data!$A$1:$AX$1,),))/VLOOKUP(EDATE(B115,-12),Data!$A:$AX,MATCH($L$1,Data!$A$1:$AX$1,),))</f>
        <v/>
      </c>
      <c r="M115" s="20">
        <f>IF(VLOOKUP(B115,Data!$A:$AX,MATCH($M$1,Data!$A$1:$AX$1,))=0,#N/A,(VLOOKUP(B115,Data!$A:$AX,MATCH($M$1,Data!$A$1:$AX$1,),)-VLOOKUP(EDATE(B115,-12),Data!$A:$AX,MATCH($M$1,Data!$A$1:$AX$1,),))/VLOOKUP(EDATE(B115,-12),Data!$A:$AX,MATCH($M$1,Data!$A$1:$AX$1,),))</f>
        <v/>
      </c>
      <c r="N115" s="20">
        <f>(VLOOKUP(B115,Data!$A:$AX,MATCH($N$1,Data!$A$1:$AX$1,),)-VLOOKUP(EDATE(B115,-12),Data!$A:$AX,MATCH($N$1,Data!$A$1:$AX$1,),))/VLOOKUP(EDATE(B115,-12),Data!$A:$AX,MATCH($N$1,Data!$A$1:$AX$1,),)</f>
        <v/>
      </c>
      <c r="O115" s="20">
        <f>IF(VLOOKUP(B115,Data!$A:$AX,MATCH($O$1,Data!$A$1:$AX$1,))=0,#N/A,(VLOOKUP(B115,Data!$A:$AX,MATCH($O$1,Data!$A$1:$AX$1,),)-VLOOKUP(EDATE(B115,-12),Data!$A:$AX,MATCH($O$1,Data!$A$1:$AX$1,),))/VLOOKUP(EDATE(B115,-12),Data!$A:$AX,MATCH($O$1,Data!$A$1:$AX$1,),))</f>
        <v/>
      </c>
      <c r="P115" s="20">
        <f>IF(VLOOKUP(B115,Data!$A:$AX,MATCH($P$1,Data!$A$1:$AX$1,))=0,#N/A,(VLOOKUP(B115,Data!$A:$AX,MATCH($P$1,Data!$A$1:$AX$1,),)-VLOOKUP(EDATE(B115,-12),Data!$A:$AX,MATCH($P$1,Data!$A$1:$AX$1,),))/VLOOKUP(EDATE(B115,-12),Data!$A:$AX,MATCH($P$1,Data!$A$1:$AX$1,),))</f>
        <v/>
      </c>
      <c r="Q115" s="20">
        <f>(VLOOKUP(B115,Data!$A:$AX,MATCH($Q$1,Data!$A$1:$AX$1,),)-VLOOKUP(EDATE(B115,-12),Data!$A:$AX,MATCH($Q$1,Data!$A$1:$AX$1,),))/VLOOKUP(EDATE(B115,-12),Data!$A:$AX,MATCH($Q$1,Data!$A$1:$AX$1,),)</f>
        <v/>
      </c>
      <c r="R115" s="20">
        <f>IF(VLOOKUP(B115,Data!$A:$AX,MATCH($R$1,Data!$A$1:$AX$1,))=0,#N/A,(VLOOKUP(B115,Data!$A:$AX,MATCH($R$1,Data!$A$1:$AX$1,),)-VLOOKUP(EDATE(B115,-12),Data!$A:$AX,MATCH($R$1,Data!$A$1:$AX$1,),))/VLOOKUP(EDATE(B115,-12),Data!$A:$AX,MATCH($R$1,Data!$A$1:$AX$1,),))</f>
        <v/>
      </c>
      <c r="S115" s="20">
        <f>IF(VLOOKUP(B115,Data!$A:$AX,MATCH($S$1,Data!$A$1:$AX$1,))=0,#N/A,(VLOOKUP(B115,Data!$A:$AX,MATCH($S$1,Data!$A$1:$AX$1,),)-VLOOKUP(EDATE(B115,-12),Data!$A:$AX,MATCH($S$1,Data!$A$1:$AX$1,),))/VLOOKUP(EDATE(B115,-12),Data!$A:$AX,MATCH($S$1,Data!$A$1:$AX$1,),))</f>
        <v/>
      </c>
      <c r="T115" s="20">
        <f>IF(VLOOKUP(B115,Data!$A:$AX,MATCH($T$1,Data!$A$1:$AX$1,))=0,#N/A,(VLOOKUP(B115,Data!$A:$AX,MATCH($T$1,Data!$A$1:$AX$1,),)-VLOOKUP(EDATE(B115,-12),Data!$A:$AX,MATCH($T$1,Data!$A$1:$AX$1,),))/VLOOKUP(EDATE(B115,-12),Data!$A:$AX,MATCH($T$1,Data!$A$1:$AX$1,),))</f>
        <v/>
      </c>
      <c r="U115" s="20">
        <f>IF(VLOOKUP(B115,Data!$A:$AX,MATCH($U$1,Data!$A$1:$AX$1,))=0,#N/A,(VLOOKUP(B115,Data!$A:$AX,MATCH($U$1,Data!$A$1:$AX$1,),)-VLOOKUP(EDATE(B115,-12),Data!$A:$AX,MATCH($U$1,Data!$A$1:$AX$1,),))/VLOOKUP(EDATE(B115,-12),Data!$A:$AX,MATCH($U$1,Data!$A$1:$AX$1,),))</f>
        <v/>
      </c>
      <c r="V115" s="20">
        <f>(VLOOKUP(B115,Data!$A:$AX,MATCH($V$1,Data!$A$1:$AX$1,),)-VLOOKUP(EDATE(B115,-12),Data!$A:$AX,MATCH($V$1,Data!$A$1:$AX$1,),))/VLOOKUP(EDATE(B115,-12),Data!$A:$AX,MATCH($V$1,Data!$A$1:$AX$1,),)</f>
        <v/>
      </c>
      <c r="W115" s="20">
        <f>IF(VLOOKUP(B115,Data!$A:$AX,MATCH($W$1,Data!$A$1:$AX$1,))=0,#N/A,(VLOOKUP(B115,Data!$A:$AX,MATCH($W$1,Data!$A$1:$AX$1,),)-VLOOKUP(EDATE(B115,-12),Data!$A:$AX,MATCH($W$1,Data!$A$1:$AX$1,),))/VLOOKUP(EDATE(B115,-12),Data!$A:$AX,MATCH($W$1,Data!$A$1:$AX$1,),))</f>
        <v/>
      </c>
      <c r="X115" s="20">
        <f>IF(VLOOKUP(B115,Data!$A:$AX,MATCH($X$1,Data!$A$1:$AX$1,))=0,#N/A,(VLOOKUP(B115,Data!$A:$AX,MATCH($X$1,Data!$A$1:$AX$1,),)-VLOOKUP(EDATE(B115,-12),Data!$A:$AX,MATCH($X$1,Data!$A$1:$AX$1,),))/VLOOKUP(EDATE(B115,-12),Data!$A:$AX,MATCH($X$1,Data!$A$1:$AX$1,),))</f>
        <v/>
      </c>
      <c r="Y115" s="20">
        <f>IF(VLOOKUP(B115,Data!$A:$AX,MATCH($Y$1,Data!$A$1:$AX$1,))=0,#N/A,(VLOOKUP(B115,Data!$A:$AX,MATCH($Y$1,Data!$A$1:$AX$1,),)-VLOOKUP(EDATE(B115,-12),Data!$A:$AX,MATCH($Y$1,Data!$A$1:$AX$1,),))/VLOOKUP(EDATE(B115,-12),Data!$A:$AX,MATCH($Y$1,Data!$A$1:$AX$1,),))</f>
        <v/>
      </c>
    </row>
    <row r="116" customFormat="1" s="78">
      <c r="B116" s="15" t="n">
        <v>43739</v>
      </c>
      <c r="C116" s="20">
        <f>IF(VLOOKUP(B116,Data!$A:$AX,MATCH($C$1,Data!$A$1:$AX$1,))=0,#N/A,(VLOOKUP(B116,Data!$A:$AX,MATCH($C$1,Data!$A$1:$AX$1,),)-VLOOKUP(EDATE(B116,-12),Data!$A:$AX,MATCH($C$1,Data!$A$1:$AX$1,),))/VLOOKUP(EDATE(B116,-12),Data!$A:$AX,MATCH($C$1,Data!$A$1:$AX$1,),))</f>
        <v/>
      </c>
      <c r="D116" s="20">
        <f>IF(VLOOKUP(B116,Data!$A:$AX,MATCH($D$1,Data!$A$1:$AX$1,))=0,#N/A,(VLOOKUP(B116,Data!$A:$AX,MATCH($D$1,Data!$A$1:$AX$1,),)-VLOOKUP(EDATE(B116,-12),Data!$A:$AX,MATCH($D$1,Data!$A$1:$AX$1,),))/VLOOKUP(EDATE(B116,-12),Data!$A:$AX,MATCH($D$1,Data!$A$1:$AX$1,),))</f>
        <v/>
      </c>
      <c r="E116" s="20">
        <f>IF(VLOOKUP(B116,Data!$A:$AX,MATCH($E$1,Data!$A$1:$AX$1,))=0,#N/A,(VLOOKUP(B116,Data!$A:$AX,MATCH($E$1,Data!$A$1:$AX$1,),)-VLOOKUP(EDATE(B116,-12),Data!$A:$AX,MATCH($E$1,Data!$A$1:$AX$1,),))/VLOOKUP(EDATE(B116,-12),Data!$A:$AX,MATCH($E$1,Data!$A$1:$AX$1,),))</f>
        <v/>
      </c>
      <c r="F116" s="20">
        <f>IF(VLOOKUP(B116,Data!$A:$AX,MATCH($F$1,Data!$A$1:$AX$1,))=0,#N/A,(VLOOKUP(B116,Data!$A:$AX,MATCH($F$1,Data!$A$1:$AX$1,),)-VLOOKUP(EDATE(B116,-12),Data!$A:$AX,MATCH($F$1,Data!$A$1:$AX$1,),))/VLOOKUP(EDATE(B116,-12),Data!$A:$AX,MATCH($F$1,Data!$A$1:$AX$1,),))</f>
        <v/>
      </c>
      <c r="G116" s="20">
        <f>IF(VLOOKUP(B116,Data!$A:$AX,MATCH($G$1,Data!$A$1:$AX$1,))=0,#N/A,(VLOOKUP(B116,Data!$A:$AX,MATCH($G$1,Data!$A$1:$AX$1,),)-VLOOKUP(EDATE(B116,-12),Data!$A:$AX,MATCH($G$1,Data!$A$1:$AX$1,),))/VLOOKUP(EDATE(B116,-12),Data!$A:$AX,MATCH($G$1,Data!$A$1:$AX$1,),))</f>
        <v/>
      </c>
      <c r="H116" s="20">
        <f>IF(VLOOKUP(B116,Data!$A:$AX,MATCH($H$1,Data!$A$1:$AX$1,))=0,#N/A,(VLOOKUP(B116,Data!$A:$AX,MATCH($H$1,Data!$A$1:$AX$1,),)-VLOOKUP(EDATE(B116,-12),Data!$A:$AX,MATCH($H$1,Data!$A$1:$AX$1,),))/VLOOKUP(EDATE(B116,-12),Data!$A:$AX,MATCH($H$1,Data!$A$1:$AX$1,),))</f>
        <v/>
      </c>
      <c r="I116" s="20">
        <f>IF(VLOOKUP(B116,Data!$A:$AX,MATCH($I$1,Data!$A$1:$AX$1,))=0,#N/A,(VLOOKUP(B116,Data!$A:$AX,MATCH($I$1,Data!$A$1:$AX$1,),)-VLOOKUP(EDATE(B116,-12),Data!$A:$AX,MATCH($I$1,Data!$A$1:$AX$1,),))/VLOOKUP(EDATE(B116,-12),Data!$A:$AX,MATCH($I$1,Data!$A$1:$AX$1,),))</f>
        <v/>
      </c>
      <c r="J116" s="20">
        <f>IF(VLOOKUP(B116,Data!$A:$AX,MATCH($J$1,Data!$A$1:$AX$1,))=0,#N/A,(VLOOKUP(B116,Data!$A:$AX,MATCH($J$1,Data!$A$1:$AX$1,),)-VLOOKUP(EDATE(B116,-12),Data!$A:$AX,MATCH($J$1,Data!$A$1:$AX$1,),))/VLOOKUP(EDATE(B116,-12),Data!$A:$AX,MATCH($J$1,Data!$A$1:$AX$1,),))</f>
        <v/>
      </c>
      <c r="K116" s="20">
        <f>IF(VLOOKUP(B116,Data!$A:$AX,MATCH($K$1,Data!$A$1:$AX$1,))=0,#N/A,(VLOOKUP(B116,Data!$A:$AX,MATCH($K$1,Data!$A$1:$AX$1,),)-VLOOKUP(EDATE(B116,-12),Data!$A:$AX,MATCH($K$1,Data!$A$1:$AX$1,),))/VLOOKUP(EDATE(B116,-12),Data!$A:$AX,MATCH($K$1,Data!$A$1:$AX$1,),))</f>
        <v/>
      </c>
      <c r="L116" s="20">
        <f>IF(VLOOKUP(B116,Data!$A:$AX,MATCH($L$1,Data!$A$1:$AX$1,))=0,#N/A,(VLOOKUP(B116,Data!$A:$AX,MATCH($L$1,Data!$A$1:$AX$1,),)-VLOOKUP(EDATE(B116,-12),Data!$A:$AX,MATCH($L$1,Data!$A$1:$AX$1,),))/VLOOKUP(EDATE(B116,-12),Data!$A:$AX,MATCH($L$1,Data!$A$1:$AX$1,),))</f>
        <v/>
      </c>
      <c r="M116" s="20">
        <f>IF(VLOOKUP(B116,Data!$A:$AX,MATCH($M$1,Data!$A$1:$AX$1,))=0,#N/A,(VLOOKUP(B116,Data!$A:$AX,MATCH($M$1,Data!$A$1:$AX$1,),)-VLOOKUP(EDATE(B116,-12),Data!$A:$AX,MATCH($M$1,Data!$A$1:$AX$1,),))/VLOOKUP(EDATE(B116,-12),Data!$A:$AX,MATCH($M$1,Data!$A$1:$AX$1,),))</f>
        <v/>
      </c>
      <c r="N116" s="20">
        <f>(VLOOKUP(B116,Data!$A:$AX,MATCH($N$1,Data!$A$1:$AX$1,),)-VLOOKUP(EDATE(B116,-12),Data!$A:$AX,MATCH($N$1,Data!$A$1:$AX$1,),))/VLOOKUP(EDATE(B116,-12),Data!$A:$AX,MATCH($N$1,Data!$A$1:$AX$1,),)</f>
        <v/>
      </c>
      <c r="O116" s="20">
        <f>IF(VLOOKUP(B116,Data!$A:$AX,MATCH($O$1,Data!$A$1:$AX$1,))=0,#N/A,(VLOOKUP(B116,Data!$A:$AX,MATCH($O$1,Data!$A$1:$AX$1,),)-VLOOKUP(EDATE(B116,-12),Data!$A:$AX,MATCH($O$1,Data!$A$1:$AX$1,),))/VLOOKUP(EDATE(B116,-12),Data!$A:$AX,MATCH($O$1,Data!$A$1:$AX$1,),))</f>
        <v/>
      </c>
      <c r="P116" s="20">
        <f>IF(VLOOKUP(B116,Data!$A:$AX,MATCH($P$1,Data!$A$1:$AX$1,))=0,#N/A,(VLOOKUP(B116,Data!$A:$AX,MATCH($P$1,Data!$A$1:$AX$1,),)-VLOOKUP(EDATE(B116,-12),Data!$A:$AX,MATCH($P$1,Data!$A$1:$AX$1,),))/VLOOKUP(EDATE(B116,-12),Data!$A:$AX,MATCH($P$1,Data!$A$1:$AX$1,),))</f>
        <v/>
      </c>
      <c r="Q116" s="20">
        <f>(VLOOKUP(B116,Data!$A:$AX,MATCH($Q$1,Data!$A$1:$AX$1,),)-VLOOKUP(EDATE(B116,-12),Data!$A:$AX,MATCH($Q$1,Data!$A$1:$AX$1,),))/VLOOKUP(EDATE(B116,-12),Data!$A:$AX,MATCH($Q$1,Data!$A$1:$AX$1,),)</f>
        <v/>
      </c>
      <c r="R116" s="20">
        <f>IF(VLOOKUP(B116,Data!$A:$AX,MATCH($R$1,Data!$A$1:$AX$1,))=0,#N/A,(VLOOKUP(B116,Data!$A:$AX,MATCH($R$1,Data!$A$1:$AX$1,),)-VLOOKUP(EDATE(B116,-12),Data!$A:$AX,MATCH($R$1,Data!$A$1:$AX$1,),))/VLOOKUP(EDATE(B116,-12),Data!$A:$AX,MATCH($R$1,Data!$A$1:$AX$1,),))</f>
        <v/>
      </c>
      <c r="S116" s="20">
        <f>IF(VLOOKUP(B116,Data!$A:$AX,MATCH($S$1,Data!$A$1:$AX$1,))=0,#N/A,(VLOOKUP(B116,Data!$A:$AX,MATCH($S$1,Data!$A$1:$AX$1,),)-VLOOKUP(EDATE(B116,-12),Data!$A:$AX,MATCH($S$1,Data!$A$1:$AX$1,),))/VLOOKUP(EDATE(B116,-12),Data!$A:$AX,MATCH($S$1,Data!$A$1:$AX$1,),))</f>
        <v/>
      </c>
      <c r="T116" s="20">
        <f>IF(VLOOKUP(B116,Data!$A:$AX,MATCH($T$1,Data!$A$1:$AX$1,))=0,#N/A,(VLOOKUP(B116,Data!$A:$AX,MATCH($T$1,Data!$A$1:$AX$1,),)-VLOOKUP(EDATE(B116,-12),Data!$A:$AX,MATCH($T$1,Data!$A$1:$AX$1,),))/VLOOKUP(EDATE(B116,-12),Data!$A:$AX,MATCH($T$1,Data!$A$1:$AX$1,),))</f>
        <v/>
      </c>
      <c r="U116" s="20">
        <f>IF(VLOOKUP(B116,Data!$A:$AX,MATCH($U$1,Data!$A$1:$AX$1,))=0,#N/A,(VLOOKUP(B116,Data!$A:$AX,MATCH($U$1,Data!$A$1:$AX$1,),)-VLOOKUP(EDATE(B116,-12),Data!$A:$AX,MATCH($U$1,Data!$A$1:$AX$1,),))/VLOOKUP(EDATE(B116,-12),Data!$A:$AX,MATCH($U$1,Data!$A$1:$AX$1,),))</f>
        <v/>
      </c>
      <c r="V116" s="20">
        <f>(VLOOKUP(B116,Data!$A:$AX,MATCH($V$1,Data!$A$1:$AX$1,),)-VLOOKUP(EDATE(B116,-12),Data!$A:$AX,MATCH($V$1,Data!$A$1:$AX$1,),))/VLOOKUP(EDATE(B116,-12),Data!$A:$AX,MATCH($V$1,Data!$A$1:$AX$1,),)</f>
        <v/>
      </c>
      <c r="W116" s="20">
        <f>IF(VLOOKUP(B116,Data!$A:$AX,MATCH($W$1,Data!$A$1:$AX$1,))=0,#N/A,(VLOOKUP(B116,Data!$A:$AX,MATCH($W$1,Data!$A$1:$AX$1,),)-VLOOKUP(EDATE(B116,-12),Data!$A:$AX,MATCH($W$1,Data!$A$1:$AX$1,),))/VLOOKUP(EDATE(B116,-12),Data!$A:$AX,MATCH($W$1,Data!$A$1:$AX$1,),))</f>
        <v/>
      </c>
      <c r="X116" s="20">
        <f>IF(VLOOKUP(B116,Data!$A:$AX,MATCH($X$1,Data!$A$1:$AX$1,))=0,#N/A,(VLOOKUP(B116,Data!$A:$AX,MATCH($X$1,Data!$A$1:$AX$1,),)-VLOOKUP(EDATE(B116,-12),Data!$A:$AX,MATCH($X$1,Data!$A$1:$AX$1,),))/VLOOKUP(EDATE(B116,-12),Data!$A:$AX,MATCH($X$1,Data!$A$1:$AX$1,),))</f>
        <v/>
      </c>
      <c r="Y116" s="20">
        <f>IF(VLOOKUP(B116,Data!$A:$AX,MATCH($Y$1,Data!$A$1:$AX$1,))=0,#N/A,(VLOOKUP(B116,Data!$A:$AX,MATCH($Y$1,Data!$A$1:$AX$1,),)-VLOOKUP(EDATE(B116,-12),Data!$A:$AX,MATCH($Y$1,Data!$A$1:$AX$1,),))/VLOOKUP(EDATE(B116,-12),Data!$A:$AX,MATCH($Y$1,Data!$A$1:$AX$1,),))</f>
        <v/>
      </c>
    </row>
    <row r="117" customFormat="1" s="78">
      <c r="B117" s="15" t="n">
        <v>43770</v>
      </c>
      <c r="C117" s="20">
        <f>IF(VLOOKUP(B117,Data!$A:$AX,MATCH($C$1,Data!$A$1:$AX$1,))=0,#N/A,(VLOOKUP(B117,Data!$A:$AX,MATCH($C$1,Data!$A$1:$AX$1,),)-VLOOKUP(EDATE(B117,-12),Data!$A:$AX,MATCH($C$1,Data!$A$1:$AX$1,),))/VLOOKUP(EDATE(B117,-12),Data!$A:$AX,MATCH($C$1,Data!$A$1:$AX$1,),))</f>
        <v/>
      </c>
      <c r="D117" s="20">
        <f>IF(VLOOKUP(B117,Data!$A:$AX,MATCH($D$1,Data!$A$1:$AX$1,))=0,#N/A,(VLOOKUP(B117,Data!$A:$AX,MATCH($D$1,Data!$A$1:$AX$1,),)-VLOOKUP(EDATE(B117,-12),Data!$A:$AX,MATCH($D$1,Data!$A$1:$AX$1,),))/VLOOKUP(EDATE(B117,-12),Data!$A:$AX,MATCH($D$1,Data!$A$1:$AX$1,),))</f>
        <v/>
      </c>
      <c r="E117" s="20">
        <f>IF(VLOOKUP(B117,Data!$A:$AX,MATCH($E$1,Data!$A$1:$AX$1,))=0,#N/A,(VLOOKUP(B117,Data!$A:$AX,MATCH($E$1,Data!$A$1:$AX$1,),)-VLOOKUP(EDATE(B117,-12),Data!$A:$AX,MATCH($E$1,Data!$A$1:$AX$1,),))/VLOOKUP(EDATE(B117,-12),Data!$A:$AX,MATCH($E$1,Data!$A$1:$AX$1,),))</f>
        <v/>
      </c>
      <c r="F117" s="20">
        <f>IF(VLOOKUP(B117,Data!$A:$AX,MATCH($F$1,Data!$A$1:$AX$1,))=0,#N/A,(VLOOKUP(B117,Data!$A:$AX,MATCH($F$1,Data!$A$1:$AX$1,),)-VLOOKUP(EDATE(B117,-12),Data!$A:$AX,MATCH($F$1,Data!$A$1:$AX$1,),))/VLOOKUP(EDATE(B117,-12),Data!$A:$AX,MATCH($F$1,Data!$A$1:$AX$1,),))</f>
        <v/>
      </c>
      <c r="G117" s="20">
        <f>IF(VLOOKUP(B117,Data!$A:$AX,MATCH($G$1,Data!$A$1:$AX$1,))=0,#N/A,(VLOOKUP(B117,Data!$A:$AX,MATCH($G$1,Data!$A$1:$AX$1,),)-VLOOKUP(EDATE(B117,-12),Data!$A:$AX,MATCH($G$1,Data!$A$1:$AX$1,),))/VLOOKUP(EDATE(B117,-12),Data!$A:$AX,MATCH($G$1,Data!$A$1:$AX$1,),))</f>
        <v/>
      </c>
      <c r="H117" s="20">
        <f>IF(VLOOKUP(B117,Data!$A:$AX,MATCH($H$1,Data!$A$1:$AX$1,))=0,#N/A,(VLOOKUP(B117,Data!$A:$AX,MATCH($H$1,Data!$A$1:$AX$1,),)-VLOOKUP(EDATE(B117,-12),Data!$A:$AX,MATCH($H$1,Data!$A$1:$AX$1,),))/VLOOKUP(EDATE(B117,-12),Data!$A:$AX,MATCH($H$1,Data!$A$1:$AX$1,),))</f>
        <v/>
      </c>
      <c r="I117" s="20">
        <f>IF(VLOOKUP(B117,Data!$A:$AX,MATCH($I$1,Data!$A$1:$AX$1,))=0,#N/A,(VLOOKUP(B117,Data!$A:$AX,MATCH($I$1,Data!$A$1:$AX$1,),)-VLOOKUP(EDATE(B117,-12),Data!$A:$AX,MATCH($I$1,Data!$A$1:$AX$1,),))/VLOOKUP(EDATE(B117,-12),Data!$A:$AX,MATCH($I$1,Data!$A$1:$AX$1,),))</f>
        <v/>
      </c>
      <c r="J117" s="20">
        <f>IF(VLOOKUP(B117,Data!$A:$AX,MATCH($J$1,Data!$A$1:$AX$1,))=0,#N/A,(VLOOKUP(B117,Data!$A:$AX,MATCH($J$1,Data!$A$1:$AX$1,),)-VLOOKUP(EDATE(B117,-12),Data!$A:$AX,MATCH($J$1,Data!$A$1:$AX$1,),))/VLOOKUP(EDATE(B117,-12),Data!$A:$AX,MATCH($J$1,Data!$A$1:$AX$1,),))</f>
        <v/>
      </c>
      <c r="K117" s="20">
        <f>IF(VLOOKUP(B117,Data!$A:$AX,MATCH($K$1,Data!$A$1:$AX$1,))=0,#N/A,(VLOOKUP(B117,Data!$A:$AX,MATCH($K$1,Data!$A$1:$AX$1,),)-VLOOKUP(EDATE(B117,-12),Data!$A:$AX,MATCH($K$1,Data!$A$1:$AX$1,),))/VLOOKUP(EDATE(B117,-12),Data!$A:$AX,MATCH($K$1,Data!$A$1:$AX$1,),))</f>
        <v/>
      </c>
      <c r="L117" s="20">
        <f>IF(VLOOKUP(B117,Data!$A:$AX,MATCH($L$1,Data!$A$1:$AX$1,))=0,#N/A,(VLOOKUP(B117,Data!$A:$AX,MATCH($L$1,Data!$A$1:$AX$1,),)-VLOOKUP(EDATE(B117,-12),Data!$A:$AX,MATCH($L$1,Data!$A$1:$AX$1,),))/VLOOKUP(EDATE(B117,-12),Data!$A:$AX,MATCH($L$1,Data!$A$1:$AX$1,),))</f>
        <v/>
      </c>
      <c r="M117" s="20">
        <f>IF(VLOOKUP(B117,Data!$A:$AX,MATCH($M$1,Data!$A$1:$AX$1,))=0,#N/A,(VLOOKUP(B117,Data!$A:$AX,MATCH($M$1,Data!$A$1:$AX$1,),)-VLOOKUP(EDATE(B117,-12),Data!$A:$AX,MATCH($M$1,Data!$A$1:$AX$1,),))/VLOOKUP(EDATE(B117,-12),Data!$A:$AX,MATCH($M$1,Data!$A$1:$AX$1,),))</f>
        <v/>
      </c>
      <c r="N117" s="20">
        <f>(VLOOKUP(B117,Data!$A:$AX,MATCH($N$1,Data!$A$1:$AX$1,),)-VLOOKUP(EDATE(B117,-12),Data!$A:$AX,MATCH($N$1,Data!$A$1:$AX$1,),))/VLOOKUP(EDATE(B117,-12),Data!$A:$AX,MATCH($N$1,Data!$A$1:$AX$1,),)</f>
        <v/>
      </c>
      <c r="O117" s="20">
        <f>IF(VLOOKUP(B117,Data!$A:$AX,MATCH($O$1,Data!$A$1:$AX$1,))=0,#N/A,(VLOOKUP(B117,Data!$A:$AX,MATCH($O$1,Data!$A$1:$AX$1,),)-VLOOKUP(EDATE(B117,-12),Data!$A:$AX,MATCH($O$1,Data!$A$1:$AX$1,),))/VLOOKUP(EDATE(B117,-12),Data!$A:$AX,MATCH($O$1,Data!$A$1:$AX$1,),))</f>
        <v/>
      </c>
      <c r="P117" s="20">
        <f>IF(VLOOKUP(B117,Data!$A:$AX,MATCH($P$1,Data!$A$1:$AX$1,))=0,#N/A,(VLOOKUP(B117,Data!$A:$AX,MATCH($P$1,Data!$A$1:$AX$1,),)-VLOOKUP(EDATE(B117,-12),Data!$A:$AX,MATCH($P$1,Data!$A$1:$AX$1,),))/VLOOKUP(EDATE(B117,-12),Data!$A:$AX,MATCH($P$1,Data!$A$1:$AX$1,),))</f>
        <v/>
      </c>
      <c r="Q117" s="20">
        <f>(VLOOKUP(B117,Data!$A:$AX,MATCH($Q$1,Data!$A$1:$AX$1,),)-VLOOKUP(EDATE(B117,-12),Data!$A:$AX,MATCH($Q$1,Data!$A$1:$AX$1,),))/VLOOKUP(EDATE(B117,-12),Data!$A:$AX,MATCH($Q$1,Data!$A$1:$AX$1,),)</f>
        <v/>
      </c>
      <c r="R117" s="20">
        <f>IF(VLOOKUP(B117,Data!$A:$AX,MATCH($R$1,Data!$A$1:$AX$1,))=0,#N/A,(VLOOKUP(B117,Data!$A:$AX,MATCH($R$1,Data!$A$1:$AX$1,),)-VLOOKUP(EDATE(B117,-12),Data!$A:$AX,MATCH($R$1,Data!$A$1:$AX$1,),))/VLOOKUP(EDATE(B117,-12),Data!$A:$AX,MATCH($R$1,Data!$A$1:$AX$1,),))</f>
        <v/>
      </c>
      <c r="S117" s="20">
        <f>IF(VLOOKUP(B117,Data!$A:$AX,MATCH($S$1,Data!$A$1:$AX$1,))=0,#N/A,(VLOOKUP(B117,Data!$A:$AX,MATCH($S$1,Data!$A$1:$AX$1,),)-VLOOKUP(EDATE(B117,-12),Data!$A:$AX,MATCH($S$1,Data!$A$1:$AX$1,),))/VLOOKUP(EDATE(B117,-12),Data!$A:$AX,MATCH($S$1,Data!$A$1:$AX$1,),))</f>
        <v/>
      </c>
      <c r="T117" s="20">
        <f>IF(VLOOKUP(B117,Data!$A:$AX,MATCH($T$1,Data!$A$1:$AX$1,))=0,#N/A,(VLOOKUP(B117,Data!$A:$AX,MATCH($T$1,Data!$A$1:$AX$1,),)-VLOOKUP(EDATE(B117,-12),Data!$A:$AX,MATCH($T$1,Data!$A$1:$AX$1,),))/VLOOKUP(EDATE(B117,-12),Data!$A:$AX,MATCH($T$1,Data!$A$1:$AX$1,),))</f>
        <v/>
      </c>
      <c r="U117" s="20">
        <f>IF(VLOOKUP(B117,Data!$A:$AX,MATCH($U$1,Data!$A$1:$AX$1,))=0,#N/A,(VLOOKUP(B117,Data!$A:$AX,MATCH($U$1,Data!$A$1:$AX$1,),)-VLOOKUP(EDATE(B117,-12),Data!$A:$AX,MATCH($U$1,Data!$A$1:$AX$1,),))/VLOOKUP(EDATE(B117,-12),Data!$A:$AX,MATCH($U$1,Data!$A$1:$AX$1,),))</f>
        <v/>
      </c>
      <c r="V117" s="20">
        <f>(VLOOKUP(B117,Data!$A:$AX,MATCH($V$1,Data!$A$1:$AX$1,),)-VLOOKUP(EDATE(B117,-12),Data!$A:$AX,MATCH($V$1,Data!$A$1:$AX$1,),))/VLOOKUP(EDATE(B117,-12),Data!$A:$AX,MATCH($V$1,Data!$A$1:$AX$1,),)</f>
        <v/>
      </c>
      <c r="W117" s="20">
        <f>IF(VLOOKUP(B117,Data!$A:$AX,MATCH($W$1,Data!$A$1:$AX$1,))=0,#N/A,(VLOOKUP(B117,Data!$A:$AX,MATCH($W$1,Data!$A$1:$AX$1,),)-VLOOKUP(EDATE(B117,-12),Data!$A:$AX,MATCH($W$1,Data!$A$1:$AX$1,),))/VLOOKUP(EDATE(B117,-12),Data!$A:$AX,MATCH($W$1,Data!$A$1:$AX$1,),))</f>
        <v/>
      </c>
      <c r="X117" s="20">
        <f>IF(VLOOKUP(B117,Data!$A:$AX,MATCH($X$1,Data!$A$1:$AX$1,))=0,#N/A,(VLOOKUP(B117,Data!$A:$AX,MATCH($X$1,Data!$A$1:$AX$1,),)-VLOOKUP(EDATE(B117,-12),Data!$A:$AX,MATCH($X$1,Data!$A$1:$AX$1,),))/VLOOKUP(EDATE(B117,-12),Data!$A:$AX,MATCH($X$1,Data!$A$1:$AX$1,),))</f>
        <v/>
      </c>
      <c r="Y117" s="20">
        <f>IF(VLOOKUP(B117,Data!$A:$AX,MATCH($Y$1,Data!$A$1:$AX$1,))=0,#N/A,(VLOOKUP(B117,Data!$A:$AX,MATCH($Y$1,Data!$A$1:$AX$1,),)-VLOOKUP(EDATE(B117,-12),Data!$A:$AX,MATCH($Y$1,Data!$A$1:$AX$1,),))/VLOOKUP(EDATE(B117,-12),Data!$A:$AX,MATCH($Y$1,Data!$A$1:$AX$1,),))</f>
        <v/>
      </c>
    </row>
    <row r="118" customFormat="1" s="78">
      <c r="B118" s="15" t="n">
        <v>43800</v>
      </c>
      <c r="C118" s="20">
        <f>IF(VLOOKUP(B118,Data!$A:$AX,MATCH($C$1,Data!$A$1:$AX$1,))=0,#N/A,(VLOOKUP(B118,Data!$A:$AX,MATCH($C$1,Data!$A$1:$AX$1,),)-VLOOKUP(EDATE(B118,-12),Data!$A:$AX,MATCH($C$1,Data!$A$1:$AX$1,),))/VLOOKUP(EDATE(B118,-12),Data!$A:$AX,MATCH($C$1,Data!$A$1:$AX$1,),))</f>
        <v/>
      </c>
      <c r="D118" s="20">
        <f>IF(VLOOKUP(B118,Data!$A:$AX,MATCH($D$1,Data!$A$1:$AX$1,))=0,#N/A,(VLOOKUP(B118,Data!$A:$AX,MATCH($D$1,Data!$A$1:$AX$1,),)-VLOOKUP(EDATE(B118,-12),Data!$A:$AX,MATCH($D$1,Data!$A$1:$AX$1,),))/VLOOKUP(EDATE(B118,-12),Data!$A:$AX,MATCH($D$1,Data!$A$1:$AX$1,),))</f>
        <v/>
      </c>
      <c r="E118" s="20">
        <f>IF(VLOOKUP(B118,Data!$A:$AX,MATCH($E$1,Data!$A$1:$AX$1,))=0,#N/A,(VLOOKUP(B118,Data!$A:$AX,MATCH($E$1,Data!$A$1:$AX$1,),)-VLOOKUP(EDATE(B118,-12),Data!$A:$AX,MATCH($E$1,Data!$A$1:$AX$1,),))/VLOOKUP(EDATE(B118,-12),Data!$A:$AX,MATCH($E$1,Data!$A$1:$AX$1,),))</f>
        <v/>
      </c>
      <c r="F118" s="20">
        <f>IF(VLOOKUP(B118,Data!$A:$AX,MATCH($F$1,Data!$A$1:$AX$1,))=0,#N/A,(VLOOKUP(B118,Data!$A:$AX,MATCH($F$1,Data!$A$1:$AX$1,),)-VLOOKUP(EDATE(B118,-12),Data!$A:$AX,MATCH($F$1,Data!$A$1:$AX$1,),))/VLOOKUP(EDATE(B118,-12),Data!$A:$AX,MATCH($F$1,Data!$A$1:$AX$1,),))</f>
        <v/>
      </c>
      <c r="G118" s="20">
        <f>IF(VLOOKUP(B118,Data!$A:$AX,MATCH($G$1,Data!$A$1:$AX$1,))=0,#N/A,(VLOOKUP(B118,Data!$A:$AX,MATCH($G$1,Data!$A$1:$AX$1,),)-VLOOKUP(EDATE(B118,-12),Data!$A:$AX,MATCH($G$1,Data!$A$1:$AX$1,),))/VLOOKUP(EDATE(B118,-12),Data!$A:$AX,MATCH($G$1,Data!$A$1:$AX$1,),))</f>
        <v/>
      </c>
      <c r="H118" s="20">
        <f>IF(VLOOKUP(B118,Data!$A:$AX,MATCH($H$1,Data!$A$1:$AX$1,))=0,#N/A,(VLOOKUP(B118,Data!$A:$AX,MATCH($H$1,Data!$A$1:$AX$1,),)-VLOOKUP(EDATE(B118,-12),Data!$A:$AX,MATCH($H$1,Data!$A$1:$AX$1,),))/VLOOKUP(EDATE(B118,-12),Data!$A:$AX,MATCH($H$1,Data!$A$1:$AX$1,),))</f>
        <v/>
      </c>
      <c r="I118" s="20">
        <f>IF(VLOOKUP(B118,Data!$A:$AX,MATCH($I$1,Data!$A$1:$AX$1,))=0,#N/A,(VLOOKUP(B118,Data!$A:$AX,MATCH($I$1,Data!$A$1:$AX$1,),)-VLOOKUP(EDATE(B118,-12),Data!$A:$AX,MATCH($I$1,Data!$A$1:$AX$1,),))/VLOOKUP(EDATE(B118,-12),Data!$A:$AX,MATCH($I$1,Data!$A$1:$AX$1,),))</f>
        <v/>
      </c>
      <c r="J118" s="20">
        <f>IF(VLOOKUP(B118,Data!$A:$AX,MATCH($J$1,Data!$A$1:$AX$1,))=0,#N/A,(VLOOKUP(B118,Data!$A:$AX,MATCH($J$1,Data!$A$1:$AX$1,),)-VLOOKUP(EDATE(B118,-12),Data!$A:$AX,MATCH($J$1,Data!$A$1:$AX$1,),))/VLOOKUP(EDATE(B118,-12),Data!$A:$AX,MATCH($J$1,Data!$A$1:$AX$1,),))</f>
        <v/>
      </c>
      <c r="K118" s="20">
        <f>IF(VLOOKUP(B118,Data!$A:$AX,MATCH($K$1,Data!$A$1:$AX$1,))=0,#N/A,(VLOOKUP(B118,Data!$A:$AX,MATCH($K$1,Data!$A$1:$AX$1,),)-VLOOKUP(EDATE(B118,-12),Data!$A:$AX,MATCH($K$1,Data!$A$1:$AX$1,),))/VLOOKUP(EDATE(B118,-12),Data!$A:$AX,MATCH($K$1,Data!$A$1:$AX$1,),))</f>
        <v/>
      </c>
      <c r="L118" s="20">
        <f>IF(VLOOKUP(B118,Data!$A:$AX,MATCH($L$1,Data!$A$1:$AX$1,))=0,#N/A,(VLOOKUP(B118,Data!$A:$AX,MATCH($L$1,Data!$A$1:$AX$1,),)-VLOOKUP(EDATE(B118,-12),Data!$A:$AX,MATCH($L$1,Data!$A$1:$AX$1,),))/VLOOKUP(EDATE(B118,-12),Data!$A:$AX,MATCH($L$1,Data!$A$1:$AX$1,),))</f>
        <v/>
      </c>
      <c r="M118" s="20">
        <f>IF(VLOOKUP(B118,Data!$A:$AX,MATCH($M$1,Data!$A$1:$AX$1,))=0,#N/A,(VLOOKUP(B118,Data!$A:$AX,MATCH($M$1,Data!$A$1:$AX$1,),)-VLOOKUP(EDATE(B118,-12),Data!$A:$AX,MATCH($M$1,Data!$A$1:$AX$1,),))/VLOOKUP(EDATE(B118,-12),Data!$A:$AX,MATCH($M$1,Data!$A$1:$AX$1,),))</f>
        <v/>
      </c>
      <c r="N118" s="20">
        <f>(VLOOKUP(B118,Data!$A:$AX,MATCH($N$1,Data!$A$1:$AX$1,),)-VLOOKUP(EDATE(B118,-12),Data!$A:$AX,MATCH($N$1,Data!$A$1:$AX$1,),))/VLOOKUP(EDATE(B118,-12),Data!$A:$AX,MATCH($N$1,Data!$A$1:$AX$1,),)</f>
        <v/>
      </c>
      <c r="O118" s="20">
        <f>IF(VLOOKUP(B118,Data!$A:$AX,MATCH($O$1,Data!$A$1:$AX$1,))=0,#N/A,(VLOOKUP(B118,Data!$A:$AX,MATCH($O$1,Data!$A$1:$AX$1,),)-VLOOKUP(EDATE(B118,-12),Data!$A:$AX,MATCH($O$1,Data!$A$1:$AX$1,),))/VLOOKUP(EDATE(B118,-12),Data!$A:$AX,MATCH($O$1,Data!$A$1:$AX$1,),))</f>
        <v/>
      </c>
      <c r="P118" s="20">
        <f>IF(VLOOKUP(B118,Data!$A:$AX,MATCH($P$1,Data!$A$1:$AX$1,))=0,#N/A,(VLOOKUP(B118,Data!$A:$AX,MATCH($P$1,Data!$A$1:$AX$1,),)-VLOOKUP(EDATE(B118,-12),Data!$A:$AX,MATCH($P$1,Data!$A$1:$AX$1,),))/VLOOKUP(EDATE(B118,-12),Data!$A:$AX,MATCH($P$1,Data!$A$1:$AX$1,),))</f>
        <v/>
      </c>
      <c r="Q118" s="20">
        <f>(VLOOKUP(B118,Data!$A:$AX,MATCH($Q$1,Data!$A$1:$AX$1,),)-VLOOKUP(EDATE(B118,-12),Data!$A:$AX,MATCH($Q$1,Data!$A$1:$AX$1,),))/VLOOKUP(EDATE(B118,-12),Data!$A:$AX,MATCH($Q$1,Data!$A$1:$AX$1,),)</f>
        <v/>
      </c>
      <c r="R118" s="20">
        <f>IF(VLOOKUP(B118,Data!$A:$AX,MATCH($R$1,Data!$A$1:$AX$1,))=0,#N/A,(VLOOKUP(B118,Data!$A:$AX,MATCH($R$1,Data!$A$1:$AX$1,),)-VLOOKUP(EDATE(B118,-12),Data!$A:$AX,MATCH($R$1,Data!$A$1:$AX$1,),))/VLOOKUP(EDATE(B118,-12),Data!$A:$AX,MATCH($R$1,Data!$A$1:$AX$1,),))</f>
        <v/>
      </c>
      <c r="S118" s="20">
        <f>IF(VLOOKUP(B118,Data!$A:$AX,MATCH($S$1,Data!$A$1:$AX$1,))=0,#N/A,(VLOOKUP(B118,Data!$A:$AX,MATCH($S$1,Data!$A$1:$AX$1,),)-VLOOKUP(EDATE(B118,-12),Data!$A:$AX,MATCH($S$1,Data!$A$1:$AX$1,),))/VLOOKUP(EDATE(B118,-12),Data!$A:$AX,MATCH($S$1,Data!$A$1:$AX$1,),))</f>
        <v/>
      </c>
      <c r="T118" s="20">
        <f>IF(VLOOKUP(B118,Data!$A:$AX,MATCH($T$1,Data!$A$1:$AX$1,))=0,#N/A,(VLOOKUP(B118,Data!$A:$AX,MATCH($T$1,Data!$A$1:$AX$1,),)-VLOOKUP(EDATE(B118,-12),Data!$A:$AX,MATCH($T$1,Data!$A$1:$AX$1,),))/VLOOKUP(EDATE(B118,-12),Data!$A:$AX,MATCH($T$1,Data!$A$1:$AX$1,),))</f>
        <v/>
      </c>
      <c r="U118" s="20">
        <f>IF(VLOOKUP(B118,Data!$A:$AX,MATCH($U$1,Data!$A$1:$AX$1,))=0,#N/A,(VLOOKUP(B118,Data!$A:$AX,MATCH($U$1,Data!$A$1:$AX$1,),)-VLOOKUP(EDATE(B118,-12),Data!$A:$AX,MATCH($U$1,Data!$A$1:$AX$1,),))/VLOOKUP(EDATE(B118,-12),Data!$A:$AX,MATCH($U$1,Data!$A$1:$AX$1,),))</f>
        <v/>
      </c>
      <c r="V118" s="20">
        <f>(VLOOKUP(B118,Data!$A:$AX,MATCH($V$1,Data!$A$1:$AX$1,),)-VLOOKUP(EDATE(B118,-12),Data!$A:$AX,MATCH($V$1,Data!$A$1:$AX$1,),))/VLOOKUP(EDATE(B118,-12),Data!$A:$AX,MATCH($V$1,Data!$A$1:$AX$1,),)</f>
        <v/>
      </c>
      <c r="W118" s="20">
        <f>IF(VLOOKUP(B118,Data!$A:$AX,MATCH($W$1,Data!$A$1:$AX$1,))=0,#N/A,(VLOOKUP(B118,Data!$A:$AX,MATCH($W$1,Data!$A$1:$AX$1,),)-VLOOKUP(EDATE(B118,-12),Data!$A:$AX,MATCH($W$1,Data!$A$1:$AX$1,),))/VLOOKUP(EDATE(B118,-12),Data!$A:$AX,MATCH($W$1,Data!$A$1:$AX$1,),))</f>
        <v/>
      </c>
      <c r="X118" s="20">
        <f>IF(VLOOKUP(B118,Data!$A:$AX,MATCH($X$1,Data!$A$1:$AX$1,))=0,#N/A,(VLOOKUP(B118,Data!$A:$AX,MATCH($X$1,Data!$A$1:$AX$1,),)-VLOOKUP(EDATE(B118,-12),Data!$A:$AX,MATCH($X$1,Data!$A$1:$AX$1,),))/VLOOKUP(EDATE(B118,-12),Data!$A:$AX,MATCH($X$1,Data!$A$1:$AX$1,),))</f>
        <v/>
      </c>
      <c r="Y118" s="20">
        <f>IF(VLOOKUP(B118,Data!$A:$AX,MATCH($Y$1,Data!$A$1:$AX$1,))=0,#N/A,(VLOOKUP(B118,Data!$A:$AX,MATCH($Y$1,Data!$A$1:$AX$1,),)-VLOOKUP(EDATE(B118,-12),Data!$A:$AX,MATCH($Y$1,Data!$A$1:$AX$1,),))/VLOOKUP(EDATE(B118,-12),Data!$A:$AX,MATCH($Y$1,Data!$A$1:$AX$1,),))</f>
        <v/>
      </c>
    </row>
    <row r="119" customFormat="1" s="78">
      <c r="B119" s="15" t="n">
        <v>43831</v>
      </c>
      <c r="C119" s="20">
        <f>IF(VLOOKUP(B119,Data!$A:$AX,MATCH($C$1,Data!$A$1:$AX$1,))=0,#N/A,(VLOOKUP(B119,Data!$A:$AX,MATCH($C$1,Data!$A$1:$AX$1,),)-VLOOKUP(EDATE(B119,-12),Data!$A:$AX,MATCH($C$1,Data!$A$1:$AX$1,),))/VLOOKUP(EDATE(B119,-12),Data!$A:$AX,MATCH($C$1,Data!$A$1:$AX$1,),))</f>
        <v/>
      </c>
      <c r="D119" s="20">
        <f>IF(VLOOKUP(B119,Data!$A:$AX,MATCH($D$1,Data!$A$1:$AX$1,))=0,#N/A,(VLOOKUP(B119,Data!$A:$AX,MATCH($D$1,Data!$A$1:$AX$1,),)-VLOOKUP(EDATE(B119,-12),Data!$A:$AX,MATCH($D$1,Data!$A$1:$AX$1,),))/VLOOKUP(EDATE(B119,-12),Data!$A:$AX,MATCH($D$1,Data!$A$1:$AX$1,),))</f>
        <v/>
      </c>
      <c r="E119" s="20">
        <f>IF(VLOOKUP(B119,Data!$A:$AX,MATCH($E$1,Data!$A$1:$AX$1,))=0,#N/A,(VLOOKUP(B119,Data!$A:$AX,MATCH($E$1,Data!$A$1:$AX$1,),)-VLOOKUP(EDATE(B119,-12),Data!$A:$AX,MATCH($E$1,Data!$A$1:$AX$1,),))/VLOOKUP(EDATE(B119,-12),Data!$A:$AX,MATCH($E$1,Data!$A$1:$AX$1,),))</f>
        <v/>
      </c>
      <c r="F119" s="20">
        <f>IF(VLOOKUP(B119,Data!$A:$AX,MATCH($F$1,Data!$A$1:$AX$1,))=0,#N/A,(VLOOKUP(B119,Data!$A:$AX,MATCH($F$1,Data!$A$1:$AX$1,),)-VLOOKUP(EDATE(B119,-12),Data!$A:$AX,MATCH($F$1,Data!$A$1:$AX$1,),))/VLOOKUP(EDATE(B119,-12),Data!$A:$AX,MATCH($F$1,Data!$A$1:$AX$1,),))</f>
        <v/>
      </c>
      <c r="G119" s="20">
        <f>IF(VLOOKUP(B119,Data!$A:$AX,MATCH($G$1,Data!$A$1:$AX$1,))=0,#N/A,(VLOOKUP(B119,Data!$A:$AX,MATCH($G$1,Data!$A$1:$AX$1,),)-VLOOKUP(EDATE(B119,-12),Data!$A:$AX,MATCH($G$1,Data!$A$1:$AX$1,),))/VLOOKUP(EDATE(B119,-12),Data!$A:$AX,MATCH($G$1,Data!$A$1:$AX$1,),))</f>
        <v/>
      </c>
      <c r="H119" s="20">
        <f>IF(VLOOKUP(B119,Data!$A:$AX,MATCH($H$1,Data!$A$1:$AX$1,))=0,#N/A,(VLOOKUP(B119,Data!$A:$AX,MATCH($H$1,Data!$A$1:$AX$1,),)-VLOOKUP(EDATE(B119,-12),Data!$A:$AX,MATCH($H$1,Data!$A$1:$AX$1,),))/VLOOKUP(EDATE(B119,-12),Data!$A:$AX,MATCH($H$1,Data!$A$1:$AX$1,),))</f>
        <v/>
      </c>
      <c r="I119" s="20">
        <f>IF(VLOOKUP(B119,Data!$A:$AX,MATCH($I$1,Data!$A$1:$AX$1,))=0,#N/A,(VLOOKUP(B119,Data!$A:$AX,MATCH($I$1,Data!$A$1:$AX$1,),)-VLOOKUP(EDATE(B119,-12),Data!$A:$AX,MATCH($I$1,Data!$A$1:$AX$1,),))/VLOOKUP(EDATE(B119,-12),Data!$A:$AX,MATCH($I$1,Data!$A$1:$AX$1,),))</f>
        <v/>
      </c>
      <c r="J119" s="20">
        <f>IF(VLOOKUP(B119,Data!$A:$AX,MATCH($J$1,Data!$A$1:$AX$1,))=0,#N/A,(VLOOKUP(B119,Data!$A:$AX,MATCH($J$1,Data!$A$1:$AX$1,),)-VLOOKUP(EDATE(B119,-12),Data!$A:$AX,MATCH($J$1,Data!$A$1:$AX$1,),))/VLOOKUP(EDATE(B119,-12),Data!$A:$AX,MATCH($J$1,Data!$A$1:$AX$1,),))</f>
        <v/>
      </c>
      <c r="K119" s="20">
        <f>IF(VLOOKUP(B119,Data!$A:$AX,MATCH($K$1,Data!$A$1:$AX$1,))=0,#N/A,(VLOOKUP(B119,Data!$A:$AX,MATCH($K$1,Data!$A$1:$AX$1,),)-VLOOKUP(EDATE(B119,-12),Data!$A:$AX,MATCH($K$1,Data!$A$1:$AX$1,),))/VLOOKUP(EDATE(B119,-12),Data!$A:$AX,MATCH($K$1,Data!$A$1:$AX$1,),))</f>
        <v/>
      </c>
      <c r="L119" s="20">
        <f>IF(VLOOKUP(B119,Data!$A:$AX,MATCH($L$1,Data!$A$1:$AX$1,))=0,#N/A,(VLOOKUP(B119,Data!$A:$AX,MATCH($L$1,Data!$A$1:$AX$1,),)-VLOOKUP(EDATE(B119,-12),Data!$A:$AX,MATCH($L$1,Data!$A$1:$AX$1,),))/VLOOKUP(EDATE(B119,-12),Data!$A:$AX,MATCH($L$1,Data!$A$1:$AX$1,),))</f>
        <v/>
      </c>
      <c r="M119" s="20">
        <f>IF(VLOOKUP(B119,Data!$A:$AX,MATCH($M$1,Data!$A$1:$AX$1,))=0,#N/A,(VLOOKUP(B119,Data!$A:$AX,MATCH($M$1,Data!$A$1:$AX$1,),)-VLOOKUP(EDATE(B119,-12),Data!$A:$AX,MATCH($M$1,Data!$A$1:$AX$1,),))/VLOOKUP(EDATE(B119,-12),Data!$A:$AX,MATCH($M$1,Data!$A$1:$AX$1,),))</f>
        <v/>
      </c>
      <c r="N119" s="20">
        <f>(VLOOKUP(B119,Data!$A:$AX,MATCH($N$1,Data!$A$1:$AX$1,),)-VLOOKUP(EDATE(B119,-12),Data!$A:$AX,MATCH($N$1,Data!$A$1:$AX$1,),))/VLOOKUP(EDATE(B119,-12),Data!$A:$AX,MATCH($N$1,Data!$A$1:$AX$1,),)</f>
        <v/>
      </c>
      <c r="O119" s="20">
        <f>IF(VLOOKUP(B119,Data!$A:$AX,MATCH($O$1,Data!$A$1:$AX$1,))=0,#N/A,(VLOOKUP(B119,Data!$A:$AX,MATCH($O$1,Data!$A$1:$AX$1,),)-VLOOKUP(EDATE(B119,-12),Data!$A:$AX,MATCH($O$1,Data!$A$1:$AX$1,),))/VLOOKUP(EDATE(B119,-12),Data!$A:$AX,MATCH($O$1,Data!$A$1:$AX$1,),))</f>
        <v/>
      </c>
      <c r="P119" s="20">
        <f>IF(VLOOKUP(B119,Data!$A:$AX,MATCH($P$1,Data!$A$1:$AX$1,))=0,#N/A,(VLOOKUP(B119,Data!$A:$AX,MATCH($P$1,Data!$A$1:$AX$1,),)-VLOOKUP(EDATE(B119,-12),Data!$A:$AX,MATCH($P$1,Data!$A$1:$AX$1,),))/VLOOKUP(EDATE(B119,-12),Data!$A:$AX,MATCH($P$1,Data!$A$1:$AX$1,),))</f>
        <v/>
      </c>
      <c r="Q119" s="20">
        <f>(VLOOKUP(B119,Data!$A:$AX,MATCH($Q$1,Data!$A$1:$AX$1,),)-VLOOKUP(EDATE(B119,-12),Data!$A:$AX,MATCH($Q$1,Data!$A$1:$AX$1,),))/VLOOKUP(EDATE(B119,-12),Data!$A:$AX,MATCH($Q$1,Data!$A$1:$AX$1,),)</f>
        <v/>
      </c>
      <c r="R119" s="20">
        <f>IF(VLOOKUP(B119,Data!$A:$AX,MATCH($R$1,Data!$A$1:$AX$1,))=0,#N/A,(VLOOKUP(B119,Data!$A:$AX,MATCH($R$1,Data!$A$1:$AX$1,),)-VLOOKUP(EDATE(B119,-12),Data!$A:$AX,MATCH($R$1,Data!$A$1:$AX$1,),))/VLOOKUP(EDATE(B119,-12),Data!$A:$AX,MATCH($R$1,Data!$A$1:$AX$1,),))</f>
        <v/>
      </c>
      <c r="S119" s="20">
        <f>IF(VLOOKUP(B119,Data!$A:$AX,MATCH($S$1,Data!$A$1:$AX$1,))=0,#N/A,(VLOOKUP(B119,Data!$A:$AX,MATCH($S$1,Data!$A$1:$AX$1,),)-VLOOKUP(EDATE(B119,-12),Data!$A:$AX,MATCH($S$1,Data!$A$1:$AX$1,),))/VLOOKUP(EDATE(B119,-12),Data!$A:$AX,MATCH($S$1,Data!$A$1:$AX$1,),))</f>
        <v/>
      </c>
      <c r="T119" s="20">
        <f>IF(VLOOKUP(B119,Data!$A:$AX,MATCH($T$1,Data!$A$1:$AX$1,))=0,#N/A,(VLOOKUP(B119,Data!$A:$AX,MATCH($T$1,Data!$A$1:$AX$1,),)-VLOOKUP(EDATE(B119,-12),Data!$A:$AX,MATCH($T$1,Data!$A$1:$AX$1,),))/VLOOKUP(EDATE(B119,-12),Data!$A:$AX,MATCH($T$1,Data!$A$1:$AX$1,),))</f>
        <v/>
      </c>
      <c r="U119" s="20">
        <f>IF(VLOOKUP(B119,Data!$A:$AX,MATCH($U$1,Data!$A$1:$AX$1,))=0,#N/A,(VLOOKUP(B119,Data!$A:$AX,MATCH($U$1,Data!$A$1:$AX$1,),)-VLOOKUP(EDATE(B119,-12),Data!$A:$AX,MATCH($U$1,Data!$A$1:$AX$1,),))/VLOOKUP(EDATE(B119,-12),Data!$A:$AX,MATCH($U$1,Data!$A$1:$AX$1,),))</f>
        <v/>
      </c>
      <c r="V119" s="20">
        <f>(VLOOKUP(B119,Data!$A:$AX,MATCH($V$1,Data!$A$1:$AX$1,),)-VLOOKUP(EDATE(B119,-12),Data!$A:$AX,MATCH($V$1,Data!$A$1:$AX$1,),))/VLOOKUP(EDATE(B119,-12),Data!$A:$AX,MATCH($V$1,Data!$A$1:$AX$1,),)</f>
        <v/>
      </c>
      <c r="W119" s="20">
        <f>IF(VLOOKUP(B119,Data!$A:$AX,MATCH($W$1,Data!$A$1:$AX$1,))=0,#N/A,(VLOOKUP(B119,Data!$A:$AX,MATCH($W$1,Data!$A$1:$AX$1,),)-VLOOKUP(EDATE(B119,-12),Data!$A:$AX,MATCH($W$1,Data!$A$1:$AX$1,),))/VLOOKUP(EDATE(B119,-12),Data!$A:$AX,MATCH($W$1,Data!$A$1:$AX$1,),))</f>
        <v/>
      </c>
      <c r="X119" s="20">
        <f>IF(VLOOKUP(B119,Data!$A:$AX,MATCH($X$1,Data!$A$1:$AX$1,))=0,#N/A,(VLOOKUP(B119,Data!$A:$AX,MATCH($X$1,Data!$A$1:$AX$1,),)-VLOOKUP(EDATE(B119,-12),Data!$A:$AX,MATCH($X$1,Data!$A$1:$AX$1,),))/VLOOKUP(EDATE(B119,-12),Data!$A:$AX,MATCH($X$1,Data!$A$1:$AX$1,),))</f>
        <v/>
      </c>
      <c r="Y119" s="20">
        <f>IF(VLOOKUP(B119,Data!$A:$AX,MATCH($Y$1,Data!$A$1:$AX$1,))=0,#N/A,(VLOOKUP(B119,Data!$A:$AX,MATCH($Y$1,Data!$A$1:$AX$1,),)-VLOOKUP(EDATE(B119,-12),Data!$A:$AX,MATCH($Y$1,Data!$A$1:$AX$1,),))/VLOOKUP(EDATE(B119,-12),Data!$A:$AX,MATCH($Y$1,Data!$A$1:$AX$1,),))</f>
        <v/>
      </c>
    </row>
    <row r="120" customFormat="1" s="78">
      <c r="B120" s="15" t="n">
        <v>43862</v>
      </c>
      <c r="C120" s="20">
        <f>IF(VLOOKUP(B120,Data!$A:$AX,MATCH($C$1,Data!$A$1:$AX$1,))=0,#N/A,(VLOOKUP(B120,Data!$A:$AX,MATCH($C$1,Data!$A$1:$AX$1,),)-VLOOKUP(EDATE(B120,-12),Data!$A:$AX,MATCH($C$1,Data!$A$1:$AX$1,),))/VLOOKUP(EDATE(B120,-12),Data!$A:$AX,MATCH($C$1,Data!$A$1:$AX$1,),))</f>
        <v/>
      </c>
      <c r="D120" s="20">
        <f>IF(VLOOKUP(B120,Data!$A:$AX,MATCH($D$1,Data!$A$1:$AX$1,))=0,#N/A,(VLOOKUP(B120,Data!$A:$AX,MATCH($D$1,Data!$A$1:$AX$1,),)-VLOOKUP(EDATE(B120,-12),Data!$A:$AX,MATCH($D$1,Data!$A$1:$AX$1,),))/VLOOKUP(EDATE(B120,-12),Data!$A:$AX,MATCH($D$1,Data!$A$1:$AX$1,),))</f>
        <v/>
      </c>
      <c r="E120" s="20">
        <f>IF(VLOOKUP(B120,Data!$A:$AX,MATCH($E$1,Data!$A$1:$AX$1,))=0,#N/A,(VLOOKUP(B120,Data!$A:$AX,MATCH($E$1,Data!$A$1:$AX$1,),)-VLOOKUP(EDATE(B120,-12),Data!$A:$AX,MATCH($E$1,Data!$A$1:$AX$1,),))/VLOOKUP(EDATE(B120,-12),Data!$A:$AX,MATCH($E$1,Data!$A$1:$AX$1,),))</f>
        <v/>
      </c>
      <c r="F120" s="20">
        <f>IF(VLOOKUP(B120,Data!$A:$AX,MATCH($F$1,Data!$A$1:$AX$1,))=0,#N/A,(VLOOKUP(B120,Data!$A:$AX,MATCH($F$1,Data!$A$1:$AX$1,),)-VLOOKUP(EDATE(B120,-12),Data!$A:$AX,MATCH($F$1,Data!$A$1:$AX$1,),))/VLOOKUP(EDATE(B120,-12),Data!$A:$AX,MATCH($F$1,Data!$A$1:$AX$1,),))</f>
        <v/>
      </c>
      <c r="G120" s="20">
        <f>IF(VLOOKUP(B120,Data!$A:$AX,MATCH($G$1,Data!$A$1:$AX$1,))=0,#N/A,(VLOOKUP(B120,Data!$A:$AX,MATCH($G$1,Data!$A$1:$AX$1,),)-VLOOKUP(EDATE(B120,-12),Data!$A:$AX,MATCH($G$1,Data!$A$1:$AX$1,),))/VLOOKUP(EDATE(B120,-12),Data!$A:$AX,MATCH($G$1,Data!$A$1:$AX$1,),))</f>
        <v/>
      </c>
      <c r="H120" s="20">
        <f>IF(VLOOKUP(B120,Data!$A:$AX,MATCH($H$1,Data!$A$1:$AX$1,))=0,#N/A,(VLOOKUP(B120,Data!$A:$AX,MATCH($H$1,Data!$A$1:$AX$1,),)-VLOOKUP(EDATE(B120,-12),Data!$A:$AX,MATCH($H$1,Data!$A$1:$AX$1,),))/VLOOKUP(EDATE(B120,-12),Data!$A:$AX,MATCH($H$1,Data!$A$1:$AX$1,),))</f>
        <v/>
      </c>
      <c r="I120" s="20">
        <f>IF(VLOOKUP(B120,Data!$A:$AX,MATCH($I$1,Data!$A$1:$AX$1,))=0,#N/A,(VLOOKUP(B120,Data!$A:$AX,MATCH($I$1,Data!$A$1:$AX$1,),)-VLOOKUP(EDATE(B120,-12),Data!$A:$AX,MATCH($I$1,Data!$A$1:$AX$1,),))/VLOOKUP(EDATE(B120,-12),Data!$A:$AX,MATCH($I$1,Data!$A$1:$AX$1,),))</f>
        <v/>
      </c>
      <c r="J120" s="20">
        <f>IF(VLOOKUP(B120,Data!$A:$AX,MATCH($J$1,Data!$A$1:$AX$1,))=0,#N/A,(VLOOKUP(B120,Data!$A:$AX,MATCH($J$1,Data!$A$1:$AX$1,),)-VLOOKUP(EDATE(B120,-12),Data!$A:$AX,MATCH($J$1,Data!$A$1:$AX$1,),))/VLOOKUP(EDATE(B120,-12),Data!$A:$AX,MATCH($J$1,Data!$A$1:$AX$1,),))</f>
        <v/>
      </c>
      <c r="K120" s="20">
        <f>IF(VLOOKUP(B120,Data!$A:$AX,MATCH($K$1,Data!$A$1:$AX$1,))=0,#N/A,(VLOOKUP(B120,Data!$A:$AX,MATCH($K$1,Data!$A$1:$AX$1,),)-VLOOKUP(EDATE(B120,-12),Data!$A:$AX,MATCH($K$1,Data!$A$1:$AX$1,),))/VLOOKUP(EDATE(B120,-12),Data!$A:$AX,MATCH($K$1,Data!$A$1:$AX$1,),))</f>
        <v/>
      </c>
      <c r="L120" s="20">
        <f>IF(VLOOKUP(B120,Data!$A:$AX,MATCH($L$1,Data!$A$1:$AX$1,))=0,#N/A,(VLOOKUP(B120,Data!$A:$AX,MATCH($L$1,Data!$A$1:$AX$1,),)-VLOOKUP(EDATE(B120,-12),Data!$A:$AX,MATCH($L$1,Data!$A$1:$AX$1,),))/VLOOKUP(EDATE(B120,-12),Data!$A:$AX,MATCH($L$1,Data!$A$1:$AX$1,),))</f>
        <v/>
      </c>
      <c r="M120" s="20">
        <f>IF(VLOOKUP(B120,Data!$A:$AX,MATCH($M$1,Data!$A$1:$AX$1,))=0,#N/A,(VLOOKUP(B120,Data!$A:$AX,MATCH($M$1,Data!$A$1:$AX$1,),)-VLOOKUP(EDATE(B120,-12),Data!$A:$AX,MATCH($M$1,Data!$A$1:$AX$1,),))/VLOOKUP(EDATE(B120,-12),Data!$A:$AX,MATCH($M$1,Data!$A$1:$AX$1,),))</f>
        <v/>
      </c>
      <c r="N120" s="20">
        <f>(VLOOKUP(B120,Data!$A:$AX,MATCH($N$1,Data!$A$1:$AX$1,),)-VLOOKUP(EDATE(B120,-12),Data!$A:$AX,MATCH($N$1,Data!$A$1:$AX$1,),))/VLOOKUP(EDATE(B120,-12),Data!$A:$AX,MATCH($N$1,Data!$A$1:$AX$1,),)</f>
        <v/>
      </c>
      <c r="O120" s="20">
        <f>IF(VLOOKUP(B120,Data!$A:$AX,MATCH($O$1,Data!$A$1:$AX$1,))=0,#N/A,(VLOOKUP(B120,Data!$A:$AX,MATCH($O$1,Data!$A$1:$AX$1,),)-VLOOKUP(EDATE(B120,-12),Data!$A:$AX,MATCH($O$1,Data!$A$1:$AX$1,),))/VLOOKUP(EDATE(B120,-12),Data!$A:$AX,MATCH($O$1,Data!$A$1:$AX$1,),))</f>
        <v/>
      </c>
      <c r="P120" s="20">
        <f>IF(VLOOKUP(B120,Data!$A:$AX,MATCH($P$1,Data!$A$1:$AX$1,))=0,#N/A,(VLOOKUP(B120,Data!$A:$AX,MATCH($P$1,Data!$A$1:$AX$1,),)-VLOOKUP(EDATE(B120,-12),Data!$A:$AX,MATCH($P$1,Data!$A$1:$AX$1,),))/VLOOKUP(EDATE(B120,-12),Data!$A:$AX,MATCH($P$1,Data!$A$1:$AX$1,),))</f>
        <v/>
      </c>
      <c r="Q120" s="20">
        <f>(VLOOKUP(B120,Data!$A:$AX,MATCH($Q$1,Data!$A$1:$AX$1,),)-VLOOKUP(EDATE(B120,-12),Data!$A:$AX,MATCH($Q$1,Data!$A$1:$AX$1,),))/VLOOKUP(EDATE(B120,-12),Data!$A:$AX,MATCH($Q$1,Data!$A$1:$AX$1,),)</f>
        <v/>
      </c>
      <c r="R120" s="20">
        <f>IF(VLOOKUP(B120,Data!$A:$AX,MATCH($R$1,Data!$A$1:$AX$1,))=0,#N/A,(VLOOKUP(B120,Data!$A:$AX,MATCH($R$1,Data!$A$1:$AX$1,),)-VLOOKUP(EDATE(B120,-12),Data!$A:$AX,MATCH($R$1,Data!$A$1:$AX$1,),))/VLOOKUP(EDATE(B120,-12),Data!$A:$AX,MATCH($R$1,Data!$A$1:$AX$1,),))</f>
        <v/>
      </c>
      <c r="S120" s="20">
        <f>IF(VLOOKUP(B120,Data!$A:$AX,MATCH($S$1,Data!$A$1:$AX$1,))=0,#N/A,(VLOOKUP(B120,Data!$A:$AX,MATCH($S$1,Data!$A$1:$AX$1,),)-VLOOKUP(EDATE(B120,-12),Data!$A:$AX,MATCH($S$1,Data!$A$1:$AX$1,),))/VLOOKUP(EDATE(B120,-12),Data!$A:$AX,MATCH($S$1,Data!$A$1:$AX$1,),))</f>
        <v/>
      </c>
      <c r="T120" s="20">
        <f>IF(VLOOKUP(B120,Data!$A:$AX,MATCH($T$1,Data!$A$1:$AX$1,))=0,#N/A,(VLOOKUP(B120,Data!$A:$AX,MATCH($T$1,Data!$A$1:$AX$1,),)-VLOOKUP(EDATE(B120,-12),Data!$A:$AX,MATCH($T$1,Data!$A$1:$AX$1,),))/VLOOKUP(EDATE(B120,-12),Data!$A:$AX,MATCH($T$1,Data!$A$1:$AX$1,),))</f>
        <v/>
      </c>
      <c r="U120" s="20">
        <f>IF(VLOOKUP(B120,Data!$A:$AX,MATCH($U$1,Data!$A$1:$AX$1,))=0,#N/A,(VLOOKUP(B120,Data!$A:$AX,MATCH($U$1,Data!$A$1:$AX$1,),)-VLOOKUP(EDATE(B120,-12),Data!$A:$AX,MATCH($U$1,Data!$A$1:$AX$1,),))/VLOOKUP(EDATE(B120,-12),Data!$A:$AX,MATCH($U$1,Data!$A$1:$AX$1,),))</f>
        <v/>
      </c>
      <c r="V120" s="20">
        <f>(VLOOKUP(B120,Data!$A:$AX,MATCH($V$1,Data!$A$1:$AX$1,),)-VLOOKUP(EDATE(B120,-12),Data!$A:$AX,MATCH($V$1,Data!$A$1:$AX$1,),))/VLOOKUP(EDATE(B120,-12),Data!$A:$AX,MATCH($V$1,Data!$A$1:$AX$1,),)</f>
        <v/>
      </c>
      <c r="W120" s="20">
        <f>IF(VLOOKUP(B120,Data!$A:$AX,MATCH($W$1,Data!$A$1:$AX$1,))=0,#N/A,(VLOOKUP(B120,Data!$A:$AX,MATCH($W$1,Data!$A$1:$AX$1,),)-VLOOKUP(EDATE(B120,-12),Data!$A:$AX,MATCH($W$1,Data!$A$1:$AX$1,),))/VLOOKUP(EDATE(B120,-12),Data!$A:$AX,MATCH($W$1,Data!$A$1:$AX$1,),))</f>
        <v/>
      </c>
      <c r="X120" s="20">
        <f>IF(VLOOKUP(B120,Data!$A:$AX,MATCH($X$1,Data!$A$1:$AX$1,))=0,#N/A,(VLOOKUP(B120,Data!$A:$AX,MATCH($X$1,Data!$A$1:$AX$1,),)-VLOOKUP(EDATE(B120,-12),Data!$A:$AX,MATCH($X$1,Data!$A$1:$AX$1,),))/VLOOKUP(EDATE(B120,-12),Data!$A:$AX,MATCH($X$1,Data!$A$1:$AX$1,),))</f>
        <v/>
      </c>
      <c r="Y120" s="20">
        <f>IF(VLOOKUP(B120,Data!$A:$AX,MATCH($Y$1,Data!$A$1:$AX$1,))=0,#N/A,(VLOOKUP(B120,Data!$A:$AX,MATCH($Y$1,Data!$A$1:$AX$1,),)-VLOOKUP(EDATE(B120,-12),Data!$A:$AX,MATCH($Y$1,Data!$A$1:$AX$1,),))/VLOOKUP(EDATE(B120,-12),Data!$A:$AX,MATCH($Y$1,Data!$A$1:$AX$1,),))</f>
        <v/>
      </c>
    </row>
    <row r="121" customFormat="1" s="78">
      <c r="B121" s="15" t="n">
        <v>43891</v>
      </c>
      <c r="C121" s="20">
        <f>IF(VLOOKUP(B121,Data!$A:$AX,MATCH($C$1,Data!$A$1:$AX$1,))=0,#N/A,(VLOOKUP(B121,Data!$A:$AX,MATCH($C$1,Data!$A$1:$AX$1,),)-VLOOKUP(EDATE(B121,-12),Data!$A:$AX,MATCH($C$1,Data!$A$1:$AX$1,),))/VLOOKUP(EDATE(B121,-12),Data!$A:$AX,MATCH($C$1,Data!$A$1:$AX$1,),))</f>
        <v/>
      </c>
      <c r="D121" s="20">
        <f>IF(VLOOKUP(B121,Data!$A:$AX,MATCH($D$1,Data!$A$1:$AX$1,))=0,#N/A,(VLOOKUP(B121,Data!$A:$AX,MATCH($D$1,Data!$A$1:$AX$1,),)-VLOOKUP(EDATE(B121,-12),Data!$A:$AX,MATCH($D$1,Data!$A$1:$AX$1,),))/VLOOKUP(EDATE(B121,-12),Data!$A:$AX,MATCH($D$1,Data!$A$1:$AX$1,),))</f>
        <v/>
      </c>
      <c r="E121" s="20">
        <f>IF(VLOOKUP(B121,Data!$A:$AX,MATCH($E$1,Data!$A$1:$AX$1,))=0,#N/A,(VLOOKUP(B121,Data!$A:$AX,MATCH($E$1,Data!$A$1:$AX$1,),)-VLOOKUP(EDATE(B121,-12),Data!$A:$AX,MATCH($E$1,Data!$A$1:$AX$1,),))/VLOOKUP(EDATE(B121,-12),Data!$A:$AX,MATCH($E$1,Data!$A$1:$AX$1,),))</f>
        <v/>
      </c>
      <c r="F121" s="20">
        <f>IF(VLOOKUP(B121,Data!$A:$AX,MATCH($F$1,Data!$A$1:$AX$1,))=0,#N/A,(VLOOKUP(B121,Data!$A:$AX,MATCH($F$1,Data!$A$1:$AX$1,),)-VLOOKUP(EDATE(B121,-12),Data!$A:$AX,MATCH($F$1,Data!$A$1:$AX$1,),))/VLOOKUP(EDATE(B121,-12),Data!$A:$AX,MATCH($F$1,Data!$A$1:$AX$1,),))</f>
        <v/>
      </c>
      <c r="G121" s="20">
        <f>IF(VLOOKUP(B121,Data!$A:$AX,MATCH($G$1,Data!$A$1:$AX$1,))=0,#N/A,(VLOOKUP(B121,Data!$A:$AX,MATCH($G$1,Data!$A$1:$AX$1,),)-VLOOKUP(EDATE(B121,-12),Data!$A:$AX,MATCH($G$1,Data!$A$1:$AX$1,),))/VLOOKUP(EDATE(B121,-12),Data!$A:$AX,MATCH($G$1,Data!$A$1:$AX$1,),))</f>
        <v/>
      </c>
      <c r="H121" s="20">
        <f>IF(VLOOKUP(B121,Data!$A:$AX,MATCH($H$1,Data!$A$1:$AX$1,))=0,#N/A,(VLOOKUP(B121,Data!$A:$AX,MATCH($H$1,Data!$A$1:$AX$1,),)-VLOOKUP(EDATE(B121,-12),Data!$A:$AX,MATCH($H$1,Data!$A$1:$AX$1,),))/VLOOKUP(EDATE(B121,-12),Data!$A:$AX,MATCH($H$1,Data!$A$1:$AX$1,),))</f>
        <v/>
      </c>
      <c r="I121" s="20">
        <f>IF(VLOOKUP(B121,Data!$A:$AX,MATCH($I$1,Data!$A$1:$AX$1,))=0,#N/A,(VLOOKUP(B121,Data!$A:$AX,MATCH($I$1,Data!$A$1:$AX$1,),)-VLOOKUP(EDATE(B121,-12),Data!$A:$AX,MATCH($I$1,Data!$A$1:$AX$1,),))/VLOOKUP(EDATE(B121,-12),Data!$A:$AX,MATCH($I$1,Data!$A$1:$AX$1,),))</f>
        <v/>
      </c>
      <c r="J121" s="20">
        <f>IF(VLOOKUP(B121,Data!$A:$AX,MATCH($J$1,Data!$A$1:$AX$1,))=0,#N/A,(VLOOKUP(B121,Data!$A:$AX,MATCH($J$1,Data!$A$1:$AX$1,),)-VLOOKUP(EDATE(B121,-12),Data!$A:$AX,MATCH($J$1,Data!$A$1:$AX$1,),))/VLOOKUP(EDATE(B121,-12),Data!$A:$AX,MATCH($J$1,Data!$A$1:$AX$1,),))</f>
        <v/>
      </c>
      <c r="K121" s="20">
        <f>IF(VLOOKUP(B121,Data!$A:$AX,MATCH($K$1,Data!$A$1:$AX$1,))=0,#N/A,(VLOOKUP(B121,Data!$A:$AX,MATCH($K$1,Data!$A$1:$AX$1,),)-VLOOKUP(EDATE(B121,-12),Data!$A:$AX,MATCH($K$1,Data!$A$1:$AX$1,),))/VLOOKUP(EDATE(B121,-12),Data!$A:$AX,MATCH($K$1,Data!$A$1:$AX$1,),))</f>
        <v/>
      </c>
      <c r="L121" s="20">
        <f>IF(VLOOKUP(B121,Data!$A:$AX,MATCH($L$1,Data!$A$1:$AX$1,))=0,#N/A,(VLOOKUP(B121,Data!$A:$AX,MATCH($L$1,Data!$A$1:$AX$1,),)-VLOOKUP(EDATE(B121,-12),Data!$A:$AX,MATCH($L$1,Data!$A$1:$AX$1,),))/VLOOKUP(EDATE(B121,-12),Data!$A:$AX,MATCH($L$1,Data!$A$1:$AX$1,),))</f>
        <v/>
      </c>
      <c r="M121" s="20">
        <f>IF(VLOOKUP(B121,Data!$A:$AX,MATCH($M$1,Data!$A$1:$AX$1,))=0,#N/A,(VLOOKUP(B121,Data!$A:$AX,MATCH($M$1,Data!$A$1:$AX$1,),)-VLOOKUP(EDATE(B121,-12),Data!$A:$AX,MATCH($M$1,Data!$A$1:$AX$1,),))/VLOOKUP(EDATE(B121,-12),Data!$A:$AX,MATCH($M$1,Data!$A$1:$AX$1,),))</f>
        <v/>
      </c>
      <c r="N121" s="20">
        <f>(VLOOKUP(B121,Data!$A:$AX,MATCH($N$1,Data!$A$1:$AX$1,),)-VLOOKUP(EDATE(B121,-12),Data!$A:$AX,MATCH($N$1,Data!$A$1:$AX$1,),))/VLOOKUP(EDATE(B121,-12),Data!$A:$AX,MATCH($N$1,Data!$A$1:$AX$1,),)</f>
        <v/>
      </c>
      <c r="O121" s="20">
        <f>IF(VLOOKUP(B121,Data!$A:$AX,MATCH($O$1,Data!$A$1:$AX$1,))=0,#N/A,(VLOOKUP(B121,Data!$A:$AX,MATCH($O$1,Data!$A$1:$AX$1,),)-VLOOKUP(EDATE(B121,-12),Data!$A:$AX,MATCH($O$1,Data!$A$1:$AX$1,),))/VLOOKUP(EDATE(B121,-12),Data!$A:$AX,MATCH($O$1,Data!$A$1:$AX$1,),))</f>
        <v/>
      </c>
      <c r="P121" s="20">
        <f>IF(VLOOKUP(B121,Data!$A:$AX,MATCH($P$1,Data!$A$1:$AX$1,))=0,#N/A,(VLOOKUP(B121,Data!$A:$AX,MATCH($P$1,Data!$A$1:$AX$1,),)-VLOOKUP(EDATE(B121,-12),Data!$A:$AX,MATCH($P$1,Data!$A$1:$AX$1,),))/VLOOKUP(EDATE(B121,-12),Data!$A:$AX,MATCH($P$1,Data!$A$1:$AX$1,),))</f>
        <v/>
      </c>
      <c r="Q121" s="20">
        <f>(VLOOKUP(B121,Data!$A:$AX,MATCH($Q$1,Data!$A$1:$AX$1,),)-VLOOKUP(EDATE(B121,-12),Data!$A:$AX,MATCH($Q$1,Data!$A$1:$AX$1,),))/VLOOKUP(EDATE(B121,-12),Data!$A:$AX,MATCH($Q$1,Data!$A$1:$AX$1,),)</f>
        <v/>
      </c>
      <c r="R121" s="20">
        <f>IF(VLOOKUP(B121,Data!$A:$AX,MATCH($R$1,Data!$A$1:$AX$1,))=0,#N/A,(VLOOKUP(B121,Data!$A:$AX,MATCH($R$1,Data!$A$1:$AX$1,),)-VLOOKUP(EDATE(B121,-12),Data!$A:$AX,MATCH($R$1,Data!$A$1:$AX$1,),))/VLOOKUP(EDATE(B121,-12),Data!$A:$AX,MATCH($R$1,Data!$A$1:$AX$1,),))</f>
        <v/>
      </c>
      <c r="S121" s="20">
        <f>IF(VLOOKUP(B121,Data!$A:$AX,MATCH($S$1,Data!$A$1:$AX$1,))=0,#N/A,(VLOOKUP(B121,Data!$A:$AX,MATCH($S$1,Data!$A$1:$AX$1,),)-VLOOKUP(EDATE(B121,-12),Data!$A:$AX,MATCH($S$1,Data!$A$1:$AX$1,),))/VLOOKUP(EDATE(B121,-12),Data!$A:$AX,MATCH($S$1,Data!$A$1:$AX$1,),))</f>
        <v/>
      </c>
      <c r="T121" s="20">
        <f>IF(VLOOKUP(B121,Data!$A:$AX,MATCH($T$1,Data!$A$1:$AX$1,))=0,#N/A,(VLOOKUP(B121,Data!$A:$AX,MATCH($T$1,Data!$A$1:$AX$1,),)-VLOOKUP(EDATE(B121,-12),Data!$A:$AX,MATCH($T$1,Data!$A$1:$AX$1,),))/VLOOKUP(EDATE(B121,-12),Data!$A:$AX,MATCH($T$1,Data!$A$1:$AX$1,),))</f>
        <v/>
      </c>
      <c r="U121" s="20">
        <f>IF(VLOOKUP(B121,Data!$A:$AX,MATCH($U$1,Data!$A$1:$AX$1,))=0,#N/A,(VLOOKUP(B121,Data!$A:$AX,MATCH($U$1,Data!$A$1:$AX$1,),)-VLOOKUP(EDATE(B121,-12),Data!$A:$AX,MATCH($U$1,Data!$A$1:$AX$1,),))/VLOOKUP(EDATE(B121,-12),Data!$A:$AX,MATCH($U$1,Data!$A$1:$AX$1,),))</f>
        <v/>
      </c>
      <c r="V121" s="20">
        <f>(VLOOKUP(B121,Data!$A:$AX,MATCH($V$1,Data!$A$1:$AX$1,),)-VLOOKUP(EDATE(B121,-12),Data!$A:$AX,MATCH($V$1,Data!$A$1:$AX$1,),))/VLOOKUP(EDATE(B121,-12),Data!$A:$AX,MATCH($V$1,Data!$A$1:$AX$1,),)</f>
        <v/>
      </c>
      <c r="W121" s="20">
        <f>IF(VLOOKUP(B121,Data!$A:$AX,MATCH($W$1,Data!$A$1:$AX$1,))=0,#N/A,(VLOOKUP(B121,Data!$A:$AX,MATCH($W$1,Data!$A$1:$AX$1,),)-VLOOKUP(EDATE(B121,-12),Data!$A:$AX,MATCH($W$1,Data!$A$1:$AX$1,),))/VLOOKUP(EDATE(B121,-12),Data!$A:$AX,MATCH($W$1,Data!$A$1:$AX$1,),))</f>
        <v/>
      </c>
      <c r="X121" s="20">
        <f>IF(VLOOKUP(B121,Data!$A:$AX,MATCH($X$1,Data!$A$1:$AX$1,))=0,#N/A,(VLOOKUP(B121,Data!$A:$AX,MATCH($X$1,Data!$A$1:$AX$1,),)-VLOOKUP(EDATE(B121,-12),Data!$A:$AX,MATCH($X$1,Data!$A$1:$AX$1,),))/VLOOKUP(EDATE(B121,-12),Data!$A:$AX,MATCH($X$1,Data!$A$1:$AX$1,),))</f>
        <v/>
      </c>
      <c r="Y121" s="20">
        <f>IF(VLOOKUP(B121,Data!$A:$AX,MATCH($Y$1,Data!$A$1:$AX$1,))=0,#N/A,(VLOOKUP(B121,Data!$A:$AX,MATCH($Y$1,Data!$A$1:$AX$1,),)-VLOOKUP(EDATE(B121,-12),Data!$A:$AX,MATCH($Y$1,Data!$A$1:$AX$1,),))/VLOOKUP(EDATE(B121,-12),Data!$A:$AX,MATCH($Y$1,Data!$A$1:$AX$1,),))</f>
        <v/>
      </c>
    </row>
    <row r="122" customFormat="1" s="78">
      <c r="B122" s="15" t="n">
        <v>43922</v>
      </c>
      <c r="C122" s="20">
        <f>IF(VLOOKUP(B122,Data!$A:$AX,MATCH($C$1,Data!$A$1:$AX$1,))=0,#N/A,(VLOOKUP(B122,Data!$A:$AX,MATCH($C$1,Data!$A$1:$AX$1,),)-VLOOKUP(EDATE(B122,-12),Data!$A:$AX,MATCH($C$1,Data!$A$1:$AX$1,),))/VLOOKUP(EDATE(B122,-12),Data!$A:$AX,MATCH($C$1,Data!$A$1:$AX$1,),))</f>
        <v/>
      </c>
      <c r="D122" s="20">
        <f>IF(VLOOKUP(B122,Data!$A:$AX,MATCH($D$1,Data!$A$1:$AX$1,))=0,#N/A,(VLOOKUP(B122,Data!$A:$AX,MATCH($D$1,Data!$A$1:$AX$1,),)-VLOOKUP(EDATE(B122,-12),Data!$A:$AX,MATCH($D$1,Data!$A$1:$AX$1,),))/VLOOKUP(EDATE(B122,-12),Data!$A:$AX,MATCH($D$1,Data!$A$1:$AX$1,),))</f>
        <v/>
      </c>
      <c r="E122" s="20">
        <f>IF(VLOOKUP(B122,Data!$A:$AX,MATCH($E$1,Data!$A$1:$AX$1,))=0,#N/A,(VLOOKUP(B122,Data!$A:$AX,MATCH($E$1,Data!$A$1:$AX$1,),)-VLOOKUP(EDATE(B122,-12),Data!$A:$AX,MATCH($E$1,Data!$A$1:$AX$1,),))/VLOOKUP(EDATE(B122,-12),Data!$A:$AX,MATCH($E$1,Data!$A$1:$AX$1,),))</f>
        <v/>
      </c>
      <c r="F122" s="20">
        <f>IF(VLOOKUP(B122,Data!$A:$AX,MATCH($F$1,Data!$A$1:$AX$1,))=0,#N/A,(VLOOKUP(B122,Data!$A:$AX,MATCH($F$1,Data!$A$1:$AX$1,),)-VLOOKUP(EDATE(B122,-12),Data!$A:$AX,MATCH($F$1,Data!$A$1:$AX$1,),))/VLOOKUP(EDATE(B122,-12),Data!$A:$AX,MATCH($F$1,Data!$A$1:$AX$1,),))</f>
        <v/>
      </c>
      <c r="G122" s="20">
        <f>IF(VLOOKUP(B122,Data!$A:$AX,MATCH($G$1,Data!$A$1:$AX$1,))=0,#N/A,(VLOOKUP(B122,Data!$A:$AX,MATCH($G$1,Data!$A$1:$AX$1,),)-VLOOKUP(EDATE(B122,-12),Data!$A:$AX,MATCH($G$1,Data!$A$1:$AX$1,),))/VLOOKUP(EDATE(B122,-12),Data!$A:$AX,MATCH($G$1,Data!$A$1:$AX$1,),))</f>
        <v/>
      </c>
      <c r="H122" s="20">
        <f>IF(VLOOKUP(B122,Data!$A:$AX,MATCH($H$1,Data!$A$1:$AX$1,))=0,#N/A,(VLOOKUP(B122,Data!$A:$AX,MATCH($H$1,Data!$A$1:$AX$1,),)-VLOOKUP(EDATE(B122,-12),Data!$A:$AX,MATCH($H$1,Data!$A$1:$AX$1,),))/VLOOKUP(EDATE(B122,-12),Data!$A:$AX,MATCH($H$1,Data!$A$1:$AX$1,),))</f>
        <v/>
      </c>
      <c r="I122" s="20">
        <f>IF(VLOOKUP(B122,Data!$A:$AX,MATCH($I$1,Data!$A$1:$AX$1,))=0,#N/A,(VLOOKUP(B122,Data!$A:$AX,MATCH($I$1,Data!$A$1:$AX$1,),)-VLOOKUP(EDATE(B122,-12),Data!$A:$AX,MATCH($I$1,Data!$A$1:$AX$1,),))/VLOOKUP(EDATE(B122,-12),Data!$A:$AX,MATCH($I$1,Data!$A$1:$AX$1,),))</f>
        <v/>
      </c>
      <c r="J122" s="20">
        <f>IF(VLOOKUP(B122,Data!$A:$AX,MATCH($J$1,Data!$A$1:$AX$1,))=0,#N/A,(VLOOKUP(B122,Data!$A:$AX,MATCH($J$1,Data!$A$1:$AX$1,),)-VLOOKUP(EDATE(B122,-12),Data!$A:$AX,MATCH($J$1,Data!$A$1:$AX$1,),))/VLOOKUP(EDATE(B122,-12),Data!$A:$AX,MATCH($J$1,Data!$A$1:$AX$1,),))</f>
        <v/>
      </c>
      <c r="K122" s="20">
        <f>IF(VLOOKUP(B122,Data!$A:$AX,MATCH($K$1,Data!$A$1:$AX$1,))=0,#N/A,(VLOOKUP(B122,Data!$A:$AX,MATCH($K$1,Data!$A$1:$AX$1,),)-VLOOKUP(EDATE(B122,-12),Data!$A:$AX,MATCH($K$1,Data!$A$1:$AX$1,),))/VLOOKUP(EDATE(B122,-12),Data!$A:$AX,MATCH($K$1,Data!$A$1:$AX$1,),))</f>
        <v/>
      </c>
      <c r="L122" s="20">
        <f>IF(VLOOKUP(B122,Data!$A:$AX,MATCH($L$1,Data!$A$1:$AX$1,))=0,#N/A,(VLOOKUP(B122,Data!$A:$AX,MATCH($L$1,Data!$A$1:$AX$1,),)-VLOOKUP(EDATE(B122,-12),Data!$A:$AX,MATCH($L$1,Data!$A$1:$AX$1,),))/VLOOKUP(EDATE(B122,-12),Data!$A:$AX,MATCH($L$1,Data!$A$1:$AX$1,),))</f>
        <v/>
      </c>
      <c r="M122" s="20">
        <f>IF(VLOOKUP(B122,Data!$A:$AX,MATCH($M$1,Data!$A$1:$AX$1,))=0,#N/A,(VLOOKUP(B122,Data!$A:$AX,MATCH($M$1,Data!$A$1:$AX$1,),)-VLOOKUP(EDATE(B122,-12),Data!$A:$AX,MATCH($M$1,Data!$A$1:$AX$1,),))/VLOOKUP(EDATE(B122,-12),Data!$A:$AX,MATCH($M$1,Data!$A$1:$AX$1,),))</f>
        <v/>
      </c>
      <c r="N122" s="20">
        <f>(VLOOKUP(B122,Data!$A:$AX,MATCH($N$1,Data!$A$1:$AX$1,),)-VLOOKUP(EDATE(B122,-12),Data!$A:$AX,MATCH($N$1,Data!$A$1:$AX$1,),))/VLOOKUP(EDATE(B122,-12),Data!$A:$AX,MATCH($N$1,Data!$A$1:$AX$1,),)</f>
        <v/>
      </c>
      <c r="O122" s="20">
        <f>IF(VLOOKUP(B122,Data!$A:$AX,MATCH($O$1,Data!$A$1:$AX$1,))=0,#N/A,(VLOOKUP(B122,Data!$A:$AX,MATCH($O$1,Data!$A$1:$AX$1,),)-VLOOKUP(EDATE(B122,-12),Data!$A:$AX,MATCH($O$1,Data!$A$1:$AX$1,),))/VLOOKUP(EDATE(B122,-12),Data!$A:$AX,MATCH($O$1,Data!$A$1:$AX$1,),))</f>
        <v/>
      </c>
      <c r="P122" s="20">
        <f>IF(VLOOKUP(B122,Data!$A:$AX,MATCH($P$1,Data!$A$1:$AX$1,))=0,#N/A,(VLOOKUP(B122,Data!$A:$AX,MATCH($P$1,Data!$A$1:$AX$1,),)-VLOOKUP(EDATE(B122,-12),Data!$A:$AX,MATCH($P$1,Data!$A$1:$AX$1,),))/VLOOKUP(EDATE(B122,-12),Data!$A:$AX,MATCH($P$1,Data!$A$1:$AX$1,),))</f>
        <v/>
      </c>
      <c r="Q122" s="20">
        <f>(VLOOKUP(B122,Data!$A:$AX,MATCH($Q$1,Data!$A$1:$AX$1,),)-VLOOKUP(EDATE(B122,-12),Data!$A:$AX,MATCH($Q$1,Data!$A$1:$AX$1,),))/VLOOKUP(EDATE(B122,-12),Data!$A:$AX,MATCH($Q$1,Data!$A$1:$AX$1,),)</f>
        <v/>
      </c>
      <c r="R122" s="20">
        <f>IF(VLOOKUP(B122,Data!$A:$AX,MATCH($R$1,Data!$A$1:$AX$1,))=0,#N/A,(VLOOKUP(B122,Data!$A:$AX,MATCH($R$1,Data!$A$1:$AX$1,),)-VLOOKUP(EDATE(B122,-12),Data!$A:$AX,MATCH($R$1,Data!$A$1:$AX$1,),))/VLOOKUP(EDATE(B122,-12),Data!$A:$AX,MATCH($R$1,Data!$A$1:$AX$1,),))</f>
        <v/>
      </c>
      <c r="S122" s="20">
        <f>IF(VLOOKUP(B122,Data!$A:$AX,MATCH($S$1,Data!$A$1:$AX$1,))=0,#N/A,(VLOOKUP(B122,Data!$A:$AX,MATCH($S$1,Data!$A$1:$AX$1,),)-VLOOKUP(EDATE(B122,-12),Data!$A:$AX,MATCH($S$1,Data!$A$1:$AX$1,),))/VLOOKUP(EDATE(B122,-12),Data!$A:$AX,MATCH($S$1,Data!$A$1:$AX$1,),))</f>
        <v/>
      </c>
      <c r="T122" s="20">
        <f>IF(VLOOKUP(B122,Data!$A:$AX,MATCH($T$1,Data!$A$1:$AX$1,))=0,#N/A,(VLOOKUP(B122,Data!$A:$AX,MATCH($T$1,Data!$A$1:$AX$1,),)-VLOOKUP(EDATE(B122,-12),Data!$A:$AX,MATCH($T$1,Data!$A$1:$AX$1,),))/VLOOKUP(EDATE(B122,-12),Data!$A:$AX,MATCH($T$1,Data!$A$1:$AX$1,),))</f>
        <v/>
      </c>
      <c r="U122" s="20">
        <f>IF(VLOOKUP(B122,Data!$A:$AX,MATCH($U$1,Data!$A$1:$AX$1,))=0,#N/A,(VLOOKUP(B122,Data!$A:$AX,MATCH($U$1,Data!$A$1:$AX$1,),)-VLOOKUP(EDATE(B122,-12),Data!$A:$AX,MATCH($U$1,Data!$A$1:$AX$1,),))/VLOOKUP(EDATE(B122,-12),Data!$A:$AX,MATCH($U$1,Data!$A$1:$AX$1,),))</f>
        <v/>
      </c>
      <c r="V122" s="20">
        <f>(VLOOKUP(B122,Data!$A:$AX,MATCH($V$1,Data!$A$1:$AX$1,),)-VLOOKUP(EDATE(B122,-12),Data!$A:$AX,MATCH($V$1,Data!$A$1:$AX$1,),))/VLOOKUP(EDATE(B122,-12),Data!$A:$AX,MATCH($V$1,Data!$A$1:$AX$1,),)</f>
        <v/>
      </c>
      <c r="W122" s="20">
        <f>IF(VLOOKUP(B122,Data!$A:$AX,MATCH($W$1,Data!$A$1:$AX$1,))=0,#N/A,(VLOOKUP(B122,Data!$A:$AX,MATCH($W$1,Data!$A$1:$AX$1,),)-VLOOKUP(EDATE(B122,-12),Data!$A:$AX,MATCH($W$1,Data!$A$1:$AX$1,),))/VLOOKUP(EDATE(B122,-12),Data!$A:$AX,MATCH($W$1,Data!$A$1:$AX$1,),))</f>
        <v/>
      </c>
      <c r="X122" s="20">
        <f>IF(VLOOKUP(B122,Data!$A:$AX,MATCH($X$1,Data!$A$1:$AX$1,))=0,#N/A,(VLOOKUP(B122,Data!$A:$AX,MATCH($X$1,Data!$A$1:$AX$1,),)-VLOOKUP(EDATE(B122,-12),Data!$A:$AX,MATCH($X$1,Data!$A$1:$AX$1,),))/VLOOKUP(EDATE(B122,-12),Data!$A:$AX,MATCH($X$1,Data!$A$1:$AX$1,),))</f>
        <v/>
      </c>
      <c r="Y122" s="20">
        <f>IF(VLOOKUP(B122,Data!$A:$AX,MATCH($Y$1,Data!$A$1:$AX$1,))=0,#N/A,(VLOOKUP(B122,Data!$A:$AX,MATCH($Y$1,Data!$A$1:$AX$1,),)-VLOOKUP(EDATE(B122,-12),Data!$A:$AX,MATCH($Y$1,Data!$A$1:$AX$1,),))/VLOOKUP(EDATE(B122,-12),Data!$A:$AX,MATCH($Y$1,Data!$A$1:$AX$1,),))</f>
        <v/>
      </c>
    </row>
    <row r="123" customFormat="1" s="78">
      <c r="B123" s="15" t="n">
        <v>43952</v>
      </c>
      <c r="C123" s="20">
        <f>IF(VLOOKUP(B123,Data!$A:$AX,MATCH($C$1,Data!$A$1:$AX$1,))=0,#N/A,(VLOOKUP(B123,Data!$A:$AX,MATCH($C$1,Data!$A$1:$AX$1,),)-VLOOKUP(EDATE(B123,-12),Data!$A:$AX,MATCH($C$1,Data!$A$1:$AX$1,),))/VLOOKUP(EDATE(B123,-12),Data!$A:$AX,MATCH($C$1,Data!$A$1:$AX$1,),))</f>
        <v/>
      </c>
      <c r="D123" s="20">
        <f>IF(VLOOKUP(B123,Data!$A:$AX,MATCH($D$1,Data!$A$1:$AX$1,))=0,#N/A,(VLOOKUP(B123,Data!$A:$AX,MATCH($D$1,Data!$A$1:$AX$1,),)-VLOOKUP(EDATE(B123,-12),Data!$A:$AX,MATCH($D$1,Data!$A$1:$AX$1,),))/VLOOKUP(EDATE(B123,-12),Data!$A:$AX,MATCH($D$1,Data!$A$1:$AX$1,),))</f>
        <v/>
      </c>
      <c r="E123" s="20">
        <f>IF(VLOOKUP(B123,Data!$A:$AX,MATCH($E$1,Data!$A$1:$AX$1,))=0,#N/A,(VLOOKUP(B123,Data!$A:$AX,MATCH($E$1,Data!$A$1:$AX$1,),)-VLOOKUP(EDATE(B123,-12),Data!$A:$AX,MATCH($E$1,Data!$A$1:$AX$1,),))/VLOOKUP(EDATE(B123,-12),Data!$A:$AX,MATCH($E$1,Data!$A$1:$AX$1,),))</f>
        <v/>
      </c>
      <c r="F123" s="20">
        <f>IF(VLOOKUP(B123,Data!$A:$AX,MATCH($F$1,Data!$A$1:$AX$1,))=0,#N/A,(VLOOKUP(B123,Data!$A:$AX,MATCH($F$1,Data!$A$1:$AX$1,),)-VLOOKUP(EDATE(B123,-12),Data!$A:$AX,MATCH($F$1,Data!$A$1:$AX$1,),))/VLOOKUP(EDATE(B123,-12),Data!$A:$AX,MATCH($F$1,Data!$A$1:$AX$1,),))</f>
        <v/>
      </c>
      <c r="G123" s="20">
        <f>IF(VLOOKUP(B123,Data!$A:$AX,MATCH($G$1,Data!$A$1:$AX$1,))=0,#N/A,(VLOOKUP(B123,Data!$A:$AX,MATCH($G$1,Data!$A$1:$AX$1,),)-VLOOKUP(EDATE(B123,-12),Data!$A:$AX,MATCH($G$1,Data!$A$1:$AX$1,),))/VLOOKUP(EDATE(B123,-12),Data!$A:$AX,MATCH($G$1,Data!$A$1:$AX$1,),))</f>
        <v/>
      </c>
      <c r="H123" s="20">
        <f>IF(VLOOKUP(B123,Data!$A:$AX,MATCH($H$1,Data!$A$1:$AX$1,))=0,#N/A,(VLOOKUP(B123,Data!$A:$AX,MATCH($H$1,Data!$A$1:$AX$1,),)-VLOOKUP(EDATE(B123,-12),Data!$A:$AX,MATCH($H$1,Data!$A$1:$AX$1,),))/VLOOKUP(EDATE(B123,-12),Data!$A:$AX,MATCH($H$1,Data!$A$1:$AX$1,),))</f>
        <v/>
      </c>
      <c r="I123" s="20">
        <f>IF(VLOOKUP(B123,Data!$A:$AX,MATCH($I$1,Data!$A$1:$AX$1,))=0,#N/A,(VLOOKUP(B123,Data!$A:$AX,MATCH($I$1,Data!$A$1:$AX$1,),)-VLOOKUP(EDATE(B123,-12),Data!$A:$AX,MATCH($I$1,Data!$A$1:$AX$1,),))/VLOOKUP(EDATE(B123,-12),Data!$A:$AX,MATCH($I$1,Data!$A$1:$AX$1,),))</f>
        <v/>
      </c>
      <c r="J123" s="20">
        <f>IF(VLOOKUP(B123,Data!$A:$AX,MATCH($J$1,Data!$A$1:$AX$1,))=0,#N/A,(VLOOKUP(B123,Data!$A:$AX,MATCH($J$1,Data!$A$1:$AX$1,),)-VLOOKUP(EDATE(B123,-12),Data!$A:$AX,MATCH($J$1,Data!$A$1:$AX$1,),))/VLOOKUP(EDATE(B123,-12),Data!$A:$AX,MATCH($J$1,Data!$A$1:$AX$1,),))</f>
        <v/>
      </c>
      <c r="K123" s="20">
        <f>IF(VLOOKUP(B123,Data!$A:$AX,MATCH($K$1,Data!$A$1:$AX$1,))=0,#N/A,(VLOOKUP(B123,Data!$A:$AX,MATCH($K$1,Data!$A$1:$AX$1,),)-VLOOKUP(EDATE(B123,-12),Data!$A:$AX,MATCH($K$1,Data!$A$1:$AX$1,),))/VLOOKUP(EDATE(B123,-12),Data!$A:$AX,MATCH($K$1,Data!$A$1:$AX$1,),))</f>
        <v/>
      </c>
      <c r="L123" s="20">
        <f>IF(VLOOKUP(B123,Data!$A:$AX,MATCH($L$1,Data!$A$1:$AX$1,))=0,#N/A,(VLOOKUP(B123,Data!$A:$AX,MATCH($L$1,Data!$A$1:$AX$1,),)-VLOOKUP(EDATE(B123,-12),Data!$A:$AX,MATCH($L$1,Data!$A$1:$AX$1,),))/VLOOKUP(EDATE(B123,-12),Data!$A:$AX,MATCH($L$1,Data!$A$1:$AX$1,),))</f>
        <v/>
      </c>
      <c r="M123" s="20">
        <f>IF(VLOOKUP(B123,Data!$A:$AX,MATCH($M$1,Data!$A$1:$AX$1,))=0,#N/A,(VLOOKUP(B123,Data!$A:$AX,MATCH($M$1,Data!$A$1:$AX$1,),)-VLOOKUP(EDATE(B123,-12),Data!$A:$AX,MATCH($M$1,Data!$A$1:$AX$1,),))/VLOOKUP(EDATE(B123,-12),Data!$A:$AX,MATCH($M$1,Data!$A$1:$AX$1,),))</f>
        <v/>
      </c>
      <c r="N123" s="20">
        <f>(VLOOKUP(B123,Data!$A:$AX,MATCH($N$1,Data!$A$1:$AX$1,),)-VLOOKUP(EDATE(B123,-12),Data!$A:$AX,MATCH($N$1,Data!$A$1:$AX$1,),))/VLOOKUP(EDATE(B123,-12),Data!$A:$AX,MATCH($N$1,Data!$A$1:$AX$1,),)</f>
        <v/>
      </c>
      <c r="O123" s="20">
        <f>IF(VLOOKUP(B123,Data!$A:$AX,MATCH($O$1,Data!$A$1:$AX$1,))=0,#N/A,(VLOOKUP(B123,Data!$A:$AX,MATCH($O$1,Data!$A$1:$AX$1,),)-VLOOKUP(EDATE(B123,-12),Data!$A:$AX,MATCH($O$1,Data!$A$1:$AX$1,),))/VLOOKUP(EDATE(B123,-12),Data!$A:$AX,MATCH($O$1,Data!$A$1:$AX$1,),))</f>
        <v/>
      </c>
      <c r="P123" s="20">
        <f>IF(VLOOKUP(B123,Data!$A:$AX,MATCH($P$1,Data!$A$1:$AX$1,))=0,#N/A,(VLOOKUP(B123,Data!$A:$AX,MATCH($P$1,Data!$A$1:$AX$1,),)-VLOOKUP(EDATE(B123,-12),Data!$A:$AX,MATCH($P$1,Data!$A$1:$AX$1,),))/VLOOKUP(EDATE(B123,-12),Data!$A:$AX,MATCH($P$1,Data!$A$1:$AX$1,),))</f>
        <v/>
      </c>
      <c r="Q123" s="20">
        <f>(VLOOKUP(B123,Data!$A:$AX,MATCH($Q$1,Data!$A$1:$AX$1,),)-VLOOKUP(EDATE(B123,-12),Data!$A:$AX,MATCH($Q$1,Data!$A$1:$AX$1,),))/VLOOKUP(EDATE(B123,-12),Data!$A:$AX,MATCH($Q$1,Data!$A$1:$AX$1,),)</f>
        <v/>
      </c>
      <c r="R123" s="20">
        <f>IF(VLOOKUP(B123,Data!$A:$AX,MATCH($R$1,Data!$A$1:$AX$1,))=0,#N/A,(VLOOKUP(B123,Data!$A:$AX,MATCH($R$1,Data!$A$1:$AX$1,),)-VLOOKUP(EDATE(B123,-12),Data!$A:$AX,MATCH($R$1,Data!$A$1:$AX$1,),))/VLOOKUP(EDATE(B123,-12),Data!$A:$AX,MATCH($R$1,Data!$A$1:$AX$1,),))</f>
        <v/>
      </c>
      <c r="S123" s="20">
        <f>IF(VLOOKUP(B123,Data!$A:$AX,MATCH($S$1,Data!$A$1:$AX$1,))=0,#N/A,(VLOOKUP(B123,Data!$A:$AX,MATCH($S$1,Data!$A$1:$AX$1,),)-VLOOKUP(EDATE(B123,-12),Data!$A:$AX,MATCH($S$1,Data!$A$1:$AX$1,),))/VLOOKUP(EDATE(B123,-12),Data!$A:$AX,MATCH($S$1,Data!$A$1:$AX$1,),))</f>
        <v/>
      </c>
      <c r="T123" s="20">
        <f>IF(VLOOKUP(B123,Data!$A:$AX,MATCH($T$1,Data!$A$1:$AX$1,))=0,#N/A,(VLOOKUP(B123,Data!$A:$AX,MATCH($T$1,Data!$A$1:$AX$1,),)-VLOOKUP(EDATE(B123,-12),Data!$A:$AX,MATCH($T$1,Data!$A$1:$AX$1,),))/VLOOKUP(EDATE(B123,-12),Data!$A:$AX,MATCH($T$1,Data!$A$1:$AX$1,),))</f>
        <v/>
      </c>
      <c r="U123" s="20">
        <f>IF(VLOOKUP(B123,Data!$A:$AX,MATCH($U$1,Data!$A$1:$AX$1,))=0,#N/A,(VLOOKUP(B123,Data!$A:$AX,MATCH($U$1,Data!$A$1:$AX$1,),)-VLOOKUP(EDATE(B123,-12),Data!$A:$AX,MATCH($U$1,Data!$A$1:$AX$1,),))/VLOOKUP(EDATE(B123,-12),Data!$A:$AX,MATCH($U$1,Data!$A$1:$AX$1,),))</f>
        <v/>
      </c>
      <c r="V123" s="20">
        <f>(VLOOKUP(B123,Data!$A:$AX,MATCH($V$1,Data!$A$1:$AX$1,),)-VLOOKUP(EDATE(B123,-12),Data!$A:$AX,MATCH($V$1,Data!$A$1:$AX$1,),))/VLOOKUP(EDATE(B123,-12),Data!$A:$AX,MATCH($V$1,Data!$A$1:$AX$1,),)</f>
        <v/>
      </c>
      <c r="W123" s="20">
        <f>IF(VLOOKUP(B123,Data!$A:$AX,MATCH($W$1,Data!$A$1:$AX$1,))=0,#N/A,(VLOOKUP(B123,Data!$A:$AX,MATCH($W$1,Data!$A$1:$AX$1,),)-VLOOKUP(EDATE(B123,-12),Data!$A:$AX,MATCH($W$1,Data!$A$1:$AX$1,),))/VLOOKUP(EDATE(B123,-12),Data!$A:$AX,MATCH($W$1,Data!$A$1:$AX$1,),))</f>
        <v/>
      </c>
      <c r="X123" s="20">
        <f>IF(VLOOKUP(B123,Data!$A:$AX,MATCH($X$1,Data!$A$1:$AX$1,))=0,#N/A,(VLOOKUP(B123,Data!$A:$AX,MATCH($X$1,Data!$A$1:$AX$1,),)-VLOOKUP(EDATE(B123,-12),Data!$A:$AX,MATCH($X$1,Data!$A$1:$AX$1,),))/VLOOKUP(EDATE(B123,-12),Data!$A:$AX,MATCH($X$1,Data!$A$1:$AX$1,),))</f>
        <v/>
      </c>
      <c r="Y123" s="20">
        <f>IF(VLOOKUP(B123,Data!$A:$AX,MATCH($Y$1,Data!$A$1:$AX$1,))=0,#N/A,(VLOOKUP(B123,Data!$A:$AX,MATCH($Y$1,Data!$A$1:$AX$1,),)-VLOOKUP(EDATE(B123,-12),Data!$A:$AX,MATCH($Y$1,Data!$A$1:$AX$1,),))/VLOOKUP(EDATE(B123,-12),Data!$A:$AX,MATCH($Y$1,Data!$A$1:$AX$1,),))</f>
        <v/>
      </c>
    </row>
    <row r="124" customFormat="1" s="78">
      <c r="B124" s="15" t="n">
        <v>43983</v>
      </c>
      <c r="C124" s="20">
        <f>IF(VLOOKUP(B124,Data!$A:$AX,MATCH($C$1,Data!$A$1:$AX$1,))=0,#N/A,(VLOOKUP(B124,Data!$A:$AX,MATCH($C$1,Data!$A$1:$AX$1,),)-VLOOKUP(EDATE(B124,-12),Data!$A:$AX,MATCH($C$1,Data!$A$1:$AX$1,),))/VLOOKUP(EDATE(B124,-12),Data!$A:$AX,MATCH($C$1,Data!$A$1:$AX$1,),))</f>
        <v/>
      </c>
      <c r="D124" s="20">
        <f>IF(VLOOKUP(B124,Data!$A:$AX,MATCH($D$1,Data!$A$1:$AX$1,))=0,#N/A,(VLOOKUP(B124,Data!$A:$AX,MATCH($D$1,Data!$A$1:$AX$1,),)-VLOOKUP(EDATE(B124,-12),Data!$A:$AX,MATCH($D$1,Data!$A$1:$AX$1,),))/VLOOKUP(EDATE(B124,-12),Data!$A:$AX,MATCH($D$1,Data!$A$1:$AX$1,),))</f>
        <v/>
      </c>
      <c r="E124" s="20">
        <f>IF(VLOOKUP(B124,Data!$A:$AX,MATCH($E$1,Data!$A$1:$AX$1,))=0,#N/A,(VLOOKUP(B124,Data!$A:$AX,MATCH($E$1,Data!$A$1:$AX$1,),)-VLOOKUP(EDATE(B124,-12),Data!$A:$AX,MATCH($E$1,Data!$A$1:$AX$1,),))/VLOOKUP(EDATE(B124,-12),Data!$A:$AX,MATCH($E$1,Data!$A$1:$AX$1,),))</f>
        <v/>
      </c>
      <c r="F124" s="20">
        <f>IF(VLOOKUP(B124,Data!$A:$AX,MATCH($F$1,Data!$A$1:$AX$1,))=0,#N/A,(VLOOKUP(B124,Data!$A:$AX,MATCH($F$1,Data!$A$1:$AX$1,),)-VLOOKUP(EDATE(B124,-12),Data!$A:$AX,MATCH($F$1,Data!$A$1:$AX$1,),))/VLOOKUP(EDATE(B124,-12),Data!$A:$AX,MATCH($F$1,Data!$A$1:$AX$1,),))</f>
        <v/>
      </c>
      <c r="G124" s="20">
        <f>IF(VLOOKUP(B124,Data!$A:$AX,MATCH($G$1,Data!$A$1:$AX$1,))=0,#N/A,(VLOOKUP(B124,Data!$A:$AX,MATCH($G$1,Data!$A$1:$AX$1,),)-VLOOKUP(EDATE(B124,-12),Data!$A:$AX,MATCH($G$1,Data!$A$1:$AX$1,),))/VLOOKUP(EDATE(B124,-12),Data!$A:$AX,MATCH($G$1,Data!$A$1:$AX$1,),))</f>
        <v/>
      </c>
      <c r="H124" s="20">
        <f>IF(VLOOKUP(B124,Data!$A:$AX,MATCH($H$1,Data!$A$1:$AX$1,))=0,#N/A,(VLOOKUP(B124,Data!$A:$AX,MATCH($H$1,Data!$A$1:$AX$1,),)-VLOOKUP(EDATE(B124,-12),Data!$A:$AX,MATCH($H$1,Data!$A$1:$AX$1,),))/VLOOKUP(EDATE(B124,-12),Data!$A:$AX,MATCH($H$1,Data!$A$1:$AX$1,),))</f>
        <v/>
      </c>
      <c r="I124" s="20">
        <f>IF(VLOOKUP(B124,Data!$A:$AX,MATCH($I$1,Data!$A$1:$AX$1,))=0,#N/A,(VLOOKUP(B124,Data!$A:$AX,MATCH($I$1,Data!$A$1:$AX$1,),)-VLOOKUP(EDATE(B124,-12),Data!$A:$AX,MATCH($I$1,Data!$A$1:$AX$1,),))/VLOOKUP(EDATE(B124,-12),Data!$A:$AX,MATCH($I$1,Data!$A$1:$AX$1,),))</f>
        <v/>
      </c>
      <c r="J124" s="20">
        <f>IF(VLOOKUP(B124,Data!$A:$AX,MATCH($J$1,Data!$A$1:$AX$1,))=0,#N/A,(VLOOKUP(B124,Data!$A:$AX,MATCH($J$1,Data!$A$1:$AX$1,),)-VLOOKUP(EDATE(B124,-12),Data!$A:$AX,MATCH($J$1,Data!$A$1:$AX$1,),))/VLOOKUP(EDATE(B124,-12),Data!$A:$AX,MATCH($J$1,Data!$A$1:$AX$1,),))</f>
        <v/>
      </c>
      <c r="K124" s="20">
        <f>IF(VLOOKUP(B124,Data!$A:$AX,MATCH($K$1,Data!$A$1:$AX$1,))=0,#N/A,(VLOOKUP(B124,Data!$A:$AX,MATCH($K$1,Data!$A$1:$AX$1,),)-VLOOKUP(EDATE(B124,-12),Data!$A:$AX,MATCH($K$1,Data!$A$1:$AX$1,),))/VLOOKUP(EDATE(B124,-12),Data!$A:$AX,MATCH($K$1,Data!$A$1:$AX$1,),))</f>
        <v/>
      </c>
      <c r="L124" s="20">
        <f>IF(VLOOKUP(B124,Data!$A:$AX,MATCH($L$1,Data!$A$1:$AX$1,))=0,#N/A,(VLOOKUP(B124,Data!$A:$AX,MATCH($L$1,Data!$A$1:$AX$1,),)-VLOOKUP(EDATE(B124,-12),Data!$A:$AX,MATCH($L$1,Data!$A$1:$AX$1,),))/VLOOKUP(EDATE(B124,-12),Data!$A:$AX,MATCH($L$1,Data!$A$1:$AX$1,),))</f>
        <v/>
      </c>
      <c r="M124" s="20">
        <f>IF(VLOOKUP(B124,Data!$A:$AX,MATCH($M$1,Data!$A$1:$AX$1,))=0,#N/A,(VLOOKUP(B124,Data!$A:$AX,MATCH($M$1,Data!$A$1:$AX$1,),)-VLOOKUP(EDATE(B124,-12),Data!$A:$AX,MATCH($M$1,Data!$A$1:$AX$1,),))/VLOOKUP(EDATE(B124,-12),Data!$A:$AX,MATCH($M$1,Data!$A$1:$AX$1,),))</f>
        <v/>
      </c>
      <c r="N124" s="20">
        <f>(VLOOKUP(B124,Data!$A:$AX,MATCH($N$1,Data!$A$1:$AX$1,),)-VLOOKUP(EDATE(B124,-12),Data!$A:$AX,MATCH($N$1,Data!$A$1:$AX$1,),))/VLOOKUP(EDATE(B124,-12),Data!$A:$AX,MATCH($N$1,Data!$A$1:$AX$1,),)</f>
        <v/>
      </c>
      <c r="O124" s="20">
        <f>IF(VLOOKUP(B124,Data!$A:$AX,MATCH($O$1,Data!$A$1:$AX$1,))=0,#N/A,(VLOOKUP(B124,Data!$A:$AX,MATCH($O$1,Data!$A$1:$AX$1,),)-VLOOKUP(EDATE(B124,-12),Data!$A:$AX,MATCH($O$1,Data!$A$1:$AX$1,),))/VLOOKUP(EDATE(B124,-12),Data!$A:$AX,MATCH($O$1,Data!$A$1:$AX$1,),))</f>
        <v/>
      </c>
      <c r="P124" s="20">
        <f>IF(VLOOKUP(B124,Data!$A:$AX,MATCH($P$1,Data!$A$1:$AX$1,))=0,#N/A,(VLOOKUP(B124,Data!$A:$AX,MATCH($P$1,Data!$A$1:$AX$1,),)-VLOOKUP(EDATE(B124,-12),Data!$A:$AX,MATCH($P$1,Data!$A$1:$AX$1,),))/VLOOKUP(EDATE(B124,-12),Data!$A:$AX,MATCH($P$1,Data!$A$1:$AX$1,),))</f>
        <v/>
      </c>
      <c r="Q124" s="20">
        <f>(VLOOKUP(B124,Data!$A:$AX,MATCH($Q$1,Data!$A$1:$AX$1,),)-VLOOKUP(EDATE(B124,-12),Data!$A:$AX,MATCH($Q$1,Data!$A$1:$AX$1,),))/VLOOKUP(EDATE(B124,-12),Data!$A:$AX,MATCH($Q$1,Data!$A$1:$AX$1,),)</f>
        <v/>
      </c>
      <c r="R124" s="20">
        <f>IF(VLOOKUP(B124,Data!$A:$AX,MATCH($R$1,Data!$A$1:$AX$1,))=0,#N/A,(VLOOKUP(B124,Data!$A:$AX,MATCH($R$1,Data!$A$1:$AX$1,),)-VLOOKUP(EDATE(B124,-12),Data!$A:$AX,MATCH($R$1,Data!$A$1:$AX$1,),))/VLOOKUP(EDATE(B124,-12),Data!$A:$AX,MATCH($R$1,Data!$A$1:$AX$1,),))</f>
        <v/>
      </c>
      <c r="S124" s="20">
        <f>IF(VLOOKUP(B124,Data!$A:$AX,MATCH($S$1,Data!$A$1:$AX$1,))=0,#N/A,(VLOOKUP(B124,Data!$A:$AX,MATCH($S$1,Data!$A$1:$AX$1,),)-VLOOKUP(EDATE(B124,-12),Data!$A:$AX,MATCH($S$1,Data!$A$1:$AX$1,),))/VLOOKUP(EDATE(B124,-12),Data!$A:$AX,MATCH($S$1,Data!$A$1:$AX$1,),))</f>
        <v/>
      </c>
      <c r="T124" s="20">
        <f>IF(VLOOKUP(B124,Data!$A:$AX,MATCH($T$1,Data!$A$1:$AX$1,))=0,#N/A,(VLOOKUP(B124,Data!$A:$AX,MATCH($T$1,Data!$A$1:$AX$1,),)-VLOOKUP(EDATE(B124,-12),Data!$A:$AX,MATCH($T$1,Data!$A$1:$AX$1,),))/VLOOKUP(EDATE(B124,-12),Data!$A:$AX,MATCH($T$1,Data!$A$1:$AX$1,),))</f>
        <v/>
      </c>
      <c r="U124" s="20">
        <f>IF(VLOOKUP(B124,Data!$A:$AX,MATCH($U$1,Data!$A$1:$AX$1,))=0,#N/A,(VLOOKUP(B124,Data!$A:$AX,MATCH($U$1,Data!$A$1:$AX$1,),)-VLOOKUP(EDATE(B124,-12),Data!$A:$AX,MATCH($U$1,Data!$A$1:$AX$1,),))/VLOOKUP(EDATE(B124,-12),Data!$A:$AX,MATCH($U$1,Data!$A$1:$AX$1,),))</f>
        <v/>
      </c>
      <c r="V124" s="20">
        <f>(VLOOKUP(B124,Data!$A:$AX,MATCH($V$1,Data!$A$1:$AX$1,),)-VLOOKUP(EDATE(B124,-12),Data!$A:$AX,MATCH($V$1,Data!$A$1:$AX$1,),))/VLOOKUP(EDATE(B124,-12),Data!$A:$AX,MATCH($V$1,Data!$A$1:$AX$1,),)</f>
        <v/>
      </c>
      <c r="W124" s="20">
        <f>IF(VLOOKUP(B124,Data!$A:$AX,MATCH($W$1,Data!$A$1:$AX$1,))=0,#N/A,(VLOOKUP(B124,Data!$A:$AX,MATCH($W$1,Data!$A$1:$AX$1,),)-VLOOKUP(EDATE(B124,-12),Data!$A:$AX,MATCH($W$1,Data!$A$1:$AX$1,),))/VLOOKUP(EDATE(B124,-12),Data!$A:$AX,MATCH($W$1,Data!$A$1:$AX$1,),))</f>
        <v/>
      </c>
      <c r="X124" s="20">
        <f>IF(VLOOKUP(B124,Data!$A:$AX,MATCH($X$1,Data!$A$1:$AX$1,))=0,#N/A,(VLOOKUP(B124,Data!$A:$AX,MATCH($X$1,Data!$A$1:$AX$1,),)-VLOOKUP(EDATE(B124,-12),Data!$A:$AX,MATCH($X$1,Data!$A$1:$AX$1,),))/VLOOKUP(EDATE(B124,-12),Data!$A:$AX,MATCH($X$1,Data!$A$1:$AX$1,),))</f>
        <v/>
      </c>
      <c r="Y124" s="20">
        <f>IF(VLOOKUP(B124,Data!$A:$AX,MATCH($Y$1,Data!$A$1:$AX$1,))=0,#N/A,(VLOOKUP(B124,Data!$A:$AX,MATCH($Y$1,Data!$A$1:$AX$1,),)-VLOOKUP(EDATE(B124,-12),Data!$A:$AX,MATCH($Y$1,Data!$A$1:$AX$1,),))/VLOOKUP(EDATE(B124,-12),Data!$A:$AX,MATCH($Y$1,Data!$A$1:$AX$1,),))</f>
        <v/>
      </c>
    </row>
    <row r="125" customFormat="1" s="78">
      <c r="B125" s="15" t="n">
        <v>44013</v>
      </c>
      <c r="C125" s="20">
        <f>IF(VLOOKUP(B125,Data!$A:$AX,MATCH($C$1,Data!$A$1:$AX$1,))=0,#N/A,(VLOOKUP(B125,Data!$A:$AX,MATCH($C$1,Data!$A$1:$AX$1,),)-VLOOKUP(EDATE(B125,-12),Data!$A:$AX,MATCH($C$1,Data!$A$1:$AX$1,),))/VLOOKUP(EDATE(B125,-12),Data!$A:$AX,MATCH($C$1,Data!$A$1:$AX$1,),))</f>
        <v/>
      </c>
      <c r="D125" s="20">
        <f>IF(VLOOKUP(B125,Data!$A:$AX,MATCH($D$1,Data!$A$1:$AX$1,))=0,#N/A,(VLOOKUP(B125,Data!$A:$AX,MATCH($D$1,Data!$A$1:$AX$1,),)-VLOOKUP(EDATE(B125,-12),Data!$A:$AX,MATCH($D$1,Data!$A$1:$AX$1,),))/VLOOKUP(EDATE(B125,-12),Data!$A:$AX,MATCH($D$1,Data!$A$1:$AX$1,),))</f>
        <v/>
      </c>
      <c r="E125" s="20">
        <f>IF(VLOOKUP(B125,Data!$A:$AX,MATCH($E$1,Data!$A$1:$AX$1,))=0,#N/A,(VLOOKUP(B125,Data!$A:$AX,MATCH($E$1,Data!$A$1:$AX$1,),)-VLOOKUP(EDATE(B125,-12),Data!$A:$AX,MATCH($E$1,Data!$A$1:$AX$1,),))/VLOOKUP(EDATE(B125,-12),Data!$A:$AX,MATCH($E$1,Data!$A$1:$AX$1,),))</f>
        <v/>
      </c>
      <c r="F125" s="20">
        <f>IF(VLOOKUP(B125,Data!$A:$AX,MATCH($F$1,Data!$A$1:$AX$1,))=0,#N/A,(VLOOKUP(B125,Data!$A:$AX,MATCH($F$1,Data!$A$1:$AX$1,),)-VLOOKUP(EDATE(B125,-12),Data!$A:$AX,MATCH($F$1,Data!$A$1:$AX$1,),))/VLOOKUP(EDATE(B125,-12),Data!$A:$AX,MATCH($F$1,Data!$A$1:$AX$1,),))</f>
        <v/>
      </c>
      <c r="G125" s="20">
        <f>IF(VLOOKUP(B125,Data!$A:$AX,MATCH($G$1,Data!$A$1:$AX$1,))=0,#N/A,(VLOOKUP(B125,Data!$A:$AX,MATCH($G$1,Data!$A$1:$AX$1,),)-VLOOKUP(EDATE(B125,-12),Data!$A:$AX,MATCH($G$1,Data!$A$1:$AX$1,),))/VLOOKUP(EDATE(B125,-12),Data!$A:$AX,MATCH($G$1,Data!$A$1:$AX$1,),))</f>
        <v/>
      </c>
      <c r="H125" s="20">
        <f>IF(VLOOKUP(B125,Data!$A:$AX,MATCH($H$1,Data!$A$1:$AX$1,))=0,#N/A,(VLOOKUP(B125,Data!$A:$AX,MATCH($H$1,Data!$A$1:$AX$1,),)-VLOOKUP(EDATE(B125,-12),Data!$A:$AX,MATCH($H$1,Data!$A$1:$AX$1,),))/VLOOKUP(EDATE(B125,-12),Data!$A:$AX,MATCH($H$1,Data!$A$1:$AX$1,),))</f>
        <v/>
      </c>
      <c r="I125" s="20">
        <f>IF(VLOOKUP(B125,Data!$A:$AX,MATCH($I$1,Data!$A$1:$AX$1,))=0,#N/A,(VLOOKUP(B125,Data!$A:$AX,MATCH($I$1,Data!$A$1:$AX$1,),)-VLOOKUP(EDATE(B125,-12),Data!$A:$AX,MATCH($I$1,Data!$A$1:$AX$1,),))/VLOOKUP(EDATE(B125,-12),Data!$A:$AX,MATCH($I$1,Data!$A$1:$AX$1,),))</f>
        <v/>
      </c>
      <c r="J125" s="20">
        <f>IF(VLOOKUP(B125,Data!$A:$AX,MATCH($J$1,Data!$A$1:$AX$1,))=0,#N/A,(VLOOKUP(B125,Data!$A:$AX,MATCH($J$1,Data!$A$1:$AX$1,),)-VLOOKUP(EDATE(B125,-12),Data!$A:$AX,MATCH($J$1,Data!$A$1:$AX$1,),))/VLOOKUP(EDATE(B125,-12),Data!$A:$AX,MATCH($J$1,Data!$A$1:$AX$1,),))</f>
        <v/>
      </c>
      <c r="K125" s="20">
        <f>IF(VLOOKUP(B125,Data!$A:$AX,MATCH($K$1,Data!$A$1:$AX$1,))=0,#N/A,(VLOOKUP(B125,Data!$A:$AX,MATCH($K$1,Data!$A$1:$AX$1,),)-VLOOKUP(EDATE(B125,-12),Data!$A:$AX,MATCH($K$1,Data!$A$1:$AX$1,),))/VLOOKUP(EDATE(B125,-12),Data!$A:$AX,MATCH($K$1,Data!$A$1:$AX$1,),))</f>
        <v/>
      </c>
      <c r="L125" s="20">
        <f>IF(VLOOKUP(B125,Data!$A:$AX,MATCH($L$1,Data!$A$1:$AX$1,))=0,#N/A,(VLOOKUP(B125,Data!$A:$AX,MATCH($L$1,Data!$A$1:$AX$1,),)-VLOOKUP(EDATE(B125,-12),Data!$A:$AX,MATCH($L$1,Data!$A$1:$AX$1,),))/VLOOKUP(EDATE(B125,-12),Data!$A:$AX,MATCH($L$1,Data!$A$1:$AX$1,),))</f>
        <v/>
      </c>
      <c r="M125" s="20">
        <f>IF(VLOOKUP(B125,Data!$A:$AX,MATCH($M$1,Data!$A$1:$AX$1,))=0,#N/A,(VLOOKUP(B125,Data!$A:$AX,MATCH($M$1,Data!$A$1:$AX$1,),)-VLOOKUP(EDATE(B125,-12),Data!$A:$AX,MATCH($M$1,Data!$A$1:$AX$1,),))/VLOOKUP(EDATE(B125,-12),Data!$A:$AX,MATCH($M$1,Data!$A$1:$AX$1,),))</f>
        <v/>
      </c>
      <c r="N125" s="20">
        <f>(VLOOKUP(B125,Data!$A:$AX,MATCH($N$1,Data!$A$1:$AX$1,),)-VLOOKUP(EDATE(B125,-12),Data!$A:$AX,MATCH($N$1,Data!$A$1:$AX$1,),))/VLOOKUP(EDATE(B125,-12),Data!$A:$AX,MATCH($N$1,Data!$A$1:$AX$1,),)</f>
        <v/>
      </c>
      <c r="O125" s="20">
        <f>IF(VLOOKUP(B125,Data!$A:$AX,MATCH($O$1,Data!$A$1:$AX$1,))=0,#N/A,(VLOOKUP(B125,Data!$A:$AX,MATCH($O$1,Data!$A$1:$AX$1,),)-VLOOKUP(EDATE(B125,-12),Data!$A:$AX,MATCH($O$1,Data!$A$1:$AX$1,),))/VLOOKUP(EDATE(B125,-12),Data!$A:$AX,MATCH($O$1,Data!$A$1:$AX$1,),))</f>
        <v/>
      </c>
      <c r="P125" s="20">
        <f>IF(VLOOKUP(B125,Data!$A:$AX,MATCH($P$1,Data!$A$1:$AX$1,))=0,#N/A,(VLOOKUP(B125,Data!$A:$AX,MATCH($P$1,Data!$A$1:$AX$1,),)-VLOOKUP(EDATE(B125,-12),Data!$A:$AX,MATCH($P$1,Data!$A$1:$AX$1,),))/VLOOKUP(EDATE(B125,-12),Data!$A:$AX,MATCH($P$1,Data!$A$1:$AX$1,),))</f>
        <v/>
      </c>
      <c r="Q125" s="20">
        <f>(VLOOKUP(B125,Data!$A:$AX,MATCH($Q$1,Data!$A$1:$AX$1,),)-VLOOKUP(EDATE(B125,-12),Data!$A:$AX,MATCH($Q$1,Data!$A$1:$AX$1,),))/VLOOKUP(EDATE(B125,-12),Data!$A:$AX,MATCH($Q$1,Data!$A$1:$AX$1,),)</f>
        <v/>
      </c>
      <c r="R125" s="20">
        <f>IF(VLOOKUP(B125,Data!$A:$AX,MATCH($R$1,Data!$A$1:$AX$1,))=0,#N/A,(VLOOKUP(B125,Data!$A:$AX,MATCH($R$1,Data!$A$1:$AX$1,),)-VLOOKUP(EDATE(B125,-12),Data!$A:$AX,MATCH($R$1,Data!$A$1:$AX$1,),))/VLOOKUP(EDATE(B125,-12),Data!$A:$AX,MATCH($R$1,Data!$A$1:$AX$1,),))</f>
        <v/>
      </c>
      <c r="S125" s="20">
        <f>IF(VLOOKUP(B125,Data!$A:$AX,MATCH($S$1,Data!$A$1:$AX$1,))=0,#N/A,(VLOOKUP(B125,Data!$A:$AX,MATCH($S$1,Data!$A$1:$AX$1,),)-VLOOKUP(EDATE(B125,-12),Data!$A:$AX,MATCH($S$1,Data!$A$1:$AX$1,),))/VLOOKUP(EDATE(B125,-12),Data!$A:$AX,MATCH($S$1,Data!$A$1:$AX$1,),))</f>
        <v/>
      </c>
      <c r="T125" s="20">
        <f>IF(VLOOKUP(B125,Data!$A:$AX,MATCH($T$1,Data!$A$1:$AX$1,))=0,#N/A,(VLOOKUP(B125,Data!$A:$AX,MATCH($T$1,Data!$A$1:$AX$1,),)-VLOOKUP(EDATE(B125,-12),Data!$A:$AX,MATCH($T$1,Data!$A$1:$AX$1,),))/VLOOKUP(EDATE(B125,-12),Data!$A:$AX,MATCH($T$1,Data!$A$1:$AX$1,),))</f>
        <v/>
      </c>
      <c r="U125" s="20">
        <f>IF(VLOOKUP(B125,Data!$A:$AX,MATCH($U$1,Data!$A$1:$AX$1,))=0,#N/A,(VLOOKUP(B125,Data!$A:$AX,MATCH($U$1,Data!$A$1:$AX$1,),)-VLOOKUP(EDATE(B125,-12),Data!$A:$AX,MATCH($U$1,Data!$A$1:$AX$1,),))/VLOOKUP(EDATE(B125,-12),Data!$A:$AX,MATCH($U$1,Data!$A$1:$AX$1,),))</f>
        <v/>
      </c>
      <c r="V125" s="20">
        <f>(VLOOKUP(B125,Data!$A:$AX,MATCH($V$1,Data!$A$1:$AX$1,),)-VLOOKUP(EDATE(B125,-12),Data!$A:$AX,MATCH($V$1,Data!$A$1:$AX$1,),))/VLOOKUP(EDATE(B125,-12),Data!$A:$AX,MATCH($V$1,Data!$A$1:$AX$1,),)</f>
        <v/>
      </c>
      <c r="W125" s="20">
        <f>IF(VLOOKUP(B125,Data!$A:$AX,MATCH($W$1,Data!$A$1:$AX$1,))=0,#N/A,(VLOOKUP(B125,Data!$A:$AX,MATCH($W$1,Data!$A$1:$AX$1,),)-VLOOKUP(EDATE(B125,-12),Data!$A:$AX,MATCH($W$1,Data!$A$1:$AX$1,),))/VLOOKUP(EDATE(B125,-12),Data!$A:$AX,MATCH($W$1,Data!$A$1:$AX$1,),))</f>
        <v/>
      </c>
      <c r="X125" s="20">
        <f>IF(VLOOKUP(B125,Data!$A:$AX,MATCH($X$1,Data!$A$1:$AX$1,))=0,#N/A,(VLOOKUP(B125,Data!$A:$AX,MATCH($X$1,Data!$A$1:$AX$1,),)-VLOOKUP(EDATE(B125,-12),Data!$A:$AX,MATCH($X$1,Data!$A$1:$AX$1,),))/VLOOKUP(EDATE(B125,-12),Data!$A:$AX,MATCH($X$1,Data!$A$1:$AX$1,),))</f>
        <v/>
      </c>
      <c r="Y125" s="20">
        <f>IF(VLOOKUP(B125,Data!$A:$AX,MATCH($Y$1,Data!$A$1:$AX$1,))=0,#N/A,(VLOOKUP(B125,Data!$A:$AX,MATCH($Y$1,Data!$A$1:$AX$1,),)-VLOOKUP(EDATE(B125,-12),Data!$A:$AX,MATCH($Y$1,Data!$A$1:$AX$1,),))/VLOOKUP(EDATE(B125,-12),Data!$A:$AX,MATCH($Y$1,Data!$A$1:$AX$1,),))</f>
        <v/>
      </c>
    </row>
    <row r="126" customFormat="1" s="78">
      <c r="B126" s="15" t="n">
        <v>44044</v>
      </c>
      <c r="C126" s="20">
        <f>IF(VLOOKUP(B126,Data!$A:$AX,MATCH($C$1,Data!$A$1:$AX$1,))=0,#N/A,(VLOOKUP(B126,Data!$A:$AX,MATCH($C$1,Data!$A$1:$AX$1,),)-VLOOKUP(EDATE(B126,-12),Data!$A:$AX,MATCH($C$1,Data!$A$1:$AX$1,),))/VLOOKUP(EDATE(B126,-12),Data!$A:$AX,MATCH($C$1,Data!$A$1:$AX$1,),))</f>
        <v/>
      </c>
      <c r="D126" s="20">
        <f>IF(VLOOKUP(B126,Data!$A:$AX,MATCH($D$1,Data!$A$1:$AX$1,))=0,#N/A,(VLOOKUP(B126,Data!$A:$AX,MATCH($D$1,Data!$A$1:$AX$1,),)-VLOOKUP(EDATE(B126,-12),Data!$A:$AX,MATCH($D$1,Data!$A$1:$AX$1,),))/VLOOKUP(EDATE(B126,-12),Data!$A:$AX,MATCH($D$1,Data!$A$1:$AX$1,),))</f>
        <v/>
      </c>
      <c r="E126" s="20">
        <f>IF(VLOOKUP(B126,Data!$A:$AX,MATCH($E$1,Data!$A$1:$AX$1,))=0,#N/A,(VLOOKUP(B126,Data!$A:$AX,MATCH($E$1,Data!$A$1:$AX$1,),)-VLOOKUP(EDATE(B126,-12),Data!$A:$AX,MATCH($E$1,Data!$A$1:$AX$1,),))/VLOOKUP(EDATE(B126,-12),Data!$A:$AX,MATCH($E$1,Data!$A$1:$AX$1,),))</f>
        <v/>
      </c>
      <c r="F126" s="20">
        <f>IF(VLOOKUP(B126,Data!$A:$AX,MATCH($F$1,Data!$A$1:$AX$1,))=0,#N/A,(VLOOKUP(B126,Data!$A:$AX,MATCH($F$1,Data!$A$1:$AX$1,),)-VLOOKUP(EDATE(B126,-12),Data!$A:$AX,MATCH($F$1,Data!$A$1:$AX$1,),))/VLOOKUP(EDATE(B126,-12),Data!$A:$AX,MATCH($F$1,Data!$A$1:$AX$1,),))</f>
        <v/>
      </c>
      <c r="G126" s="20">
        <f>IF(VLOOKUP(B126,Data!$A:$AX,MATCH($G$1,Data!$A$1:$AX$1,))=0,#N/A,(VLOOKUP(B126,Data!$A:$AX,MATCH($G$1,Data!$A$1:$AX$1,),)-VLOOKUP(EDATE(B126,-12),Data!$A:$AX,MATCH($G$1,Data!$A$1:$AX$1,),))/VLOOKUP(EDATE(B126,-12),Data!$A:$AX,MATCH($G$1,Data!$A$1:$AX$1,),))</f>
        <v/>
      </c>
      <c r="H126" s="20">
        <f>IF(VLOOKUP(B126,Data!$A:$AX,MATCH($H$1,Data!$A$1:$AX$1,))=0,#N/A,(VLOOKUP(B126,Data!$A:$AX,MATCH($H$1,Data!$A$1:$AX$1,),)-VLOOKUP(EDATE(B126,-12),Data!$A:$AX,MATCH($H$1,Data!$A$1:$AX$1,),))/VLOOKUP(EDATE(B126,-12),Data!$A:$AX,MATCH($H$1,Data!$A$1:$AX$1,),))</f>
        <v/>
      </c>
      <c r="I126" s="20">
        <f>IF(VLOOKUP(B126,Data!$A:$AX,MATCH($I$1,Data!$A$1:$AX$1,))=0,#N/A,(VLOOKUP(B126,Data!$A:$AX,MATCH($I$1,Data!$A$1:$AX$1,),)-VLOOKUP(EDATE(B126,-12),Data!$A:$AX,MATCH($I$1,Data!$A$1:$AX$1,),))/VLOOKUP(EDATE(B126,-12),Data!$A:$AX,MATCH($I$1,Data!$A$1:$AX$1,),))</f>
        <v/>
      </c>
      <c r="J126" s="20">
        <f>IF(VLOOKUP(B126,Data!$A:$AX,MATCH($J$1,Data!$A$1:$AX$1,))=0,#N/A,(VLOOKUP(B126,Data!$A:$AX,MATCH($J$1,Data!$A$1:$AX$1,),)-VLOOKUP(EDATE(B126,-12),Data!$A:$AX,MATCH($J$1,Data!$A$1:$AX$1,),))/VLOOKUP(EDATE(B126,-12),Data!$A:$AX,MATCH($J$1,Data!$A$1:$AX$1,),))</f>
        <v/>
      </c>
      <c r="K126" s="20">
        <f>IF(VLOOKUP(B126,Data!$A:$AX,MATCH($K$1,Data!$A$1:$AX$1,))=0,#N/A,(VLOOKUP(B126,Data!$A:$AX,MATCH($K$1,Data!$A$1:$AX$1,),)-VLOOKUP(EDATE(B126,-12),Data!$A:$AX,MATCH($K$1,Data!$A$1:$AX$1,),))/VLOOKUP(EDATE(B126,-12),Data!$A:$AX,MATCH($K$1,Data!$A$1:$AX$1,),))</f>
        <v/>
      </c>
      <c r="L126" s="20">
        <f>IF(VLOOKUP(B126,Data!$A:$AX,MATCH($L$1,Data!$A$1:$AX$1,))=0,#N/A,(VLOOKUP(B126,Data!$A:$AX,MATCH($L$1,Data!$A$1:$AX$1,),)-VLOOKUP(EDATE(B126,-12),Data!$A:$AX,MATCH($L$1,Data!$A$1:$AX$1,),))/VLOOKUP(EDATE(B126,-12),Data!$A:$AX,MATCH($L$1,Data!$A$1:$AX$1,),))</f>
        <v/>
      </c>
      <c r="M126" s="20">
        <f>IF(VLOOKUP(B126,Data!$A:$AX,MATCH($M$1,Data!$A$1:$AX$1,))=0,#N/A,(VLOOKUP(B126,Data!$A:$AX,MATCH($M$1,Data!$A$1:$AX$1,),)-VLOOKUP(EDATE(B126,-12),Data!$A:$AX,MATCH($M$1,Data!$A$1:$AX$1,),))/VLOOKUP(EDATE(B126,-12),Data!$A:$AX,MATCH($M$1,Data!$A$1:$AX$1,),))</f>
        <v/>
      </c>
      <c r="N126" s="20">
        <f>(VLOOKUP(B126,Data!$A:$AX,MATCH($N$1,Data!$A$1:$AX$1,),)-VLOOKUP(EDATE(B126,-12),Data!$A:$AX,MATCH($N$1,Data!$A$1:$AX$1,),))/VLOOKUP(EDATE(B126,-12),Data!$A:$AX,MATCH($N$1,Data!$A$1:$AX$1,),)</f>
        <v/>
      </c>
      <c r="O126" s="20">
        <f>IF(VLOOKUP(B126,Data!$A:$AX,MATCH($O$1,Data!$A$1:$AX$1,))=0,#N/A,(VLOOKUP(B126,Data!$A:$AX,MATCH($O$1,Data!$A$1:$AX$1,),)-VLOOKUP(EDATE(B126,-12),Data!$A:$AX,MATCH($O$1,Data!$A$1:$AX$1,),))/VLOOKUP(EDATE(B126,-12),Data!$A:$AX,MATCH($O$1,Data!$A$1:$AX$1,),))</f>
        <v/>
      </c>
      <c r="P126" s="20">
        <f>IF(VLOOKUP(B126,Data!$A:$AX,MATCH($P$1,Data!$A$1:$AX$1,))=0,#N/A,(VLOOKUP(B126,Data!$A:$AX,MATCH($P$1,Data!$A$1:$AX$1,),)-VLOOKUP(EDATE(B126,-12),Data!$A:$AX,MATCH($P$1,Data!$A$1:$AX$1,),))/VLOOKUP(EDATE(B126,-12),Data!$A:$AX,MATCH($P$1,Data!$A$1:$AX$1,),))</f>
        <v/>
      </c>
      <c r="Q126" s="20">
        <f>(VLOOKUP(B126,Data!$A:$AX,MATCH($Q$1,Data!$A$1:$AX$1,),)-VLOOKUP(EDATE(B126,-12),Data!$A:$AX,MATCH($Q$1,Data!$A$1:$AX$1,),))/VLOOKUP(EDATE(B126,-12),Data!$A:$AX,MATCH($Q$1,Data!$A$1:$AX$1,),)</f>
        <v/>
      </c>
      <c r="R126" s="20">
        <f>IF(VLOOKUP(B126,Data!$A:$AX,MATCH($R$1,Data!$A$1:$AX$1,))=0,#N/A,(VLOOKUP(B126,Data!$A:$AX,MATCH($R$1,Data!$A$1:$AX$1,),)-VLOOKUP(EDATE(B126,-12),Data!$A:$AX,MATCH($R$1,Data!$A$1:$AX$1,),))/VLOOKUP(EDATE(B126,-12),Data!$A:$AX,MATCH($R$1,Data!$A$1:$AX$1,),))</f>
        <v/>
      </c>
      <c r="S126" s="20">
        <f>IF(VLOOKUP(B126,Data!$A:$AX,MATCH($S$1,Data!$A$1:$AX$1,))=0,#N/A,(VLOOKUP(B126,Data!$A:$AX,MATCH($S$1,Data!$A$1:$AX$1,),)-VLOOKUP(EDATE(B126,-12),Data!$A:$AX,MATCH($S$1,Data!$A$1:$AX$1,),))/VLOOKUP(EDATE(B126,-12),Data!$A:$AX,MATCH($S$1,Data!$A$1:$AX$1,),))</f>
        <v/>
      </c>
      <c r="T126" s="20">
        <f>IF(VLOOKUP(B126,Data!$A:$AX,MATCH($T$1,Data!$A$1:$AX$1,))=0,#N/A,(VLOOKUP(B126,Data!$A:$AX,MATCH($T$1,Data!$A$1:$AX$1,),)-VLOOKUP(EDATE(B126,-12),Data!$A:$AX,MATCH($T$1,Data!$A$1:$AX$1,),))/VLOOKUP(EDATE(B126,-12),Data!$A:$AX,MATCH($T$1,Data!$A$1:$AX$1,),))</f>
        <v/>
      </c>
      <c r="U126" s="20">
        <f>IF(VLOOKUP(B126,Data!$A:$AX,MATCH($U$1,Data!$A$1:$AX$1,))=0,#N/A,(VLOOKUP(B126,Data!$A:$AX,MATCH($U$1,Data!$A$1:$AX$1,),)-VLOOKUP(EDATE(B126,-12),Data!$A:$AX,MATCH($U$1,Data!$A$1:$AX$1,),))/VLOOKUP(EDATE(B126,-12),Data!$A:$AX,MATCH($U$1,Data!$A$1:$AX$1,),))</f>
        <v/>
      </c>
      <c r="V126" s="20">
        <f>(VLOOKUP(B126,Data!$A:$AX,MATCH($V$1,Data!$A$1:$AX$1,),)-VLOOKUP(EDATE(B126,-12),Data!$A:$AX,MATCH($V$1,Data!$A$1:$AX$1,),))/VLOOKUP(EDATE(B126,-12),Data!$A:$AX,MATCH($V$1,Data!$A$1:$AX$1,),)</f>
        <v/>
      </c>
      <c r="W126" s="20">
        <f>IF(VLOOKUP(B126,Data!$A:$AX,MATCH($W$1,Data!$A$1:$AX$1,))=0,#N/A,(VLOOKUP(B126,Data!$A:$AX,MATCH($W$1,Data!$A$1:$AX$1,),)-VLOOKUP(EDATE(B126,-12),Data!$A:$AX,MATCH($W$1,Data!$A$1:$AX$1,),))/VLOOKUP(EDATE(B126,-12),Data!$A:$AX,MATCH($W$1,Data!$A$1:$AX$1,),))</f>
        <v/>
      </c>
      <c r="X126" s="20">
        <f>IF(VLOOKUP(B126,Data!$A:$AX,MATCH($X$1,Data!$A$1:$AX$1,))=0,#N/A,(VLOOKUP(B126,Data!$A:$AX,MATCH($X$1,Data!$A$1:$AX$1,),)-VLOOKUP(EDATE(B126,-12),Data!$A:$AX,MATCH($X$1,Data!$A$1:$AX$1,),))/VLOOKUP(EDATE(B126,-12),Data!$A:$AX,MATCH($X$1,Data!$A$1:$AX$1,),))</f>
        <v/>
      </c>
      <c r="Y126" s="20">
        <f>IF(VLOOKUP(B126,Data!$A:$AX,MATCH($Y$1,Data!$A$1:$AX$1,))=0,#N/A,(VLOOKUP(B126,Data!$A:$AX,MATCH($Y$1,Data!$A$1:$AX$1,),)-VLOOKUP(EDATE(B126,-12),Data!$A:$AX,MATCH($Y$1,Data!$A$1:$AX$1,),))/VLOOKUP(EDATE(B126,-12),Data!$A:$AX,MATCH($Y$1,Data!$A$1:$AX$1,),))</f>
        <v/>
      </c>
    </row>
    <row r="127" customFormat="1" s="78">
      <c r="B127" s="15" t="n">
        <v>44075</v>
      </c>
      <c r="C127" s="20">
        <f>IF(VLOOKUP(B127,Data!$A:$AX,MATCH($C$1,Data!$A$1:$AX$1,))=0,#N/A,(VLOOKUP(B127,Data!$A:$AX,MATCH($C$1,Data!$A$1:$AX$1,),)-VLOOKUP(EDATE(B127,-12),Data!$A:$AX,MATCH($C$1,Data!$A$1:$AX$1,),))/VLOOKUP(EDATE(B127,-12),Data!$A:$AX,MATCH($C$1,Data!$A$1:$AX$1,),))</f>
        <v/>
      </c>
      <c r="D127" s="20">
        <f>IF(VLOOKUP(B127,Data!$A:$AX,MATCH($D$1,Data!$A$1:$AX$1,))=0,#N/A,(VLOOKUP(B127,Data!$A:$AX,MATCH($D$1,Data!$A$1:$AX$1,),)-VLOOKUP(EDATE(B127,-12),Data!$A:$AX,MATCH($D$1,Data!$A$1:$AX$1,),))/VLOOKUP(EDATE(B127,-12),Data!$A:$AX,MATCH($D$1,Data!$A$1:$AX$1,),))</f>
        <v/>
      </c>
      <c r="E127" s="20">
        <f>IF(VLOOKUP(B127,Data!$A:$AX,MATCH($E$1,Data!$A$1:$AX$1,))=0,#N/A,(VLOOKUP(B127,Data!$A:$AX,MATCH($E$1,Data!$A$1:$AX$1,),)-VLOOKUP(EDATE(B127,-12),Data!$A:$AX,MATCH($E$1,Data!$A$1:$AX$1,),))/VLOOKUP(EDATE(B127,-12),Data!$A:$AX,MATCH($E$1,Data!$A$1:$AX$1,),))</f>
        <v/>
      </c>
      <c r="F127" s="20">
        <f>IF(VLOOKUP(B127,Data!$A:$AX,MATCH($F$1,Data!$A$1:$AX$1,))=0,#N/A,(VLOOKUP(B127,Data!$A:$AX,MATCH($F$1,Data!$A$1:$AX$1,),)-VLOOKUP(EDATE(B127,-12),Data!$A:$AX,MATCH($F$1,Data!$A$1:$AX$1,),))/VLOOKUP(EDATE(B127,-12),Data!$A:$AX,MATCH($F$1,Data!$A$1:$AX$1,),))</f>
        <v/>
      </c>
      <c r="G127" s="20">
        <f>IF(VLOOKUP(B127,Data!$A:$AX,MATCH($G$1,Data!$A$1:$AX$1,))=0,#N/A,(VLOOKUP(B127,Data!$A:$AX,MATCH($G$1,Data!$A$1:$AX$1,),)-VLOOKUP(EDATE(B127,-12),Data!$A:$AX,MATCH($G$1,Data!$A$1:$AX$1,),))/VLOOKUP(EDATE(B127,-12),Data!$A:$AX,MATCH($G$1,Data!$A$1:$AX$1,),))</f>
        <v/>
      </c>
      <c r="H127" s="20">
        <f>IF(VLOOKUP(B127,Data!$A:$AX,MATCH($H$1,Data!$A$1:$AX$1,))=0,#N/A,(VLOOKUP(B127,Data!$A:$AX,MATCH($H$1,Data!$A$1:$AX$1,),)-VLOOKUP(EDATE(B127,-12),Data!$A:$AX,MATCH($H$1,Data!$A$1:$AX$1,),))/VLOOKUP(EDATE(B127,-12),Data!$A:$AX,MATCH($H$1,Data!$A$1:$AX$1,),))</f>
        <v/>
      </c>
      <c r="I127" s="20">
        <f>IF(VLOOKUP(B127,Data!$A:$AX,MATCH($I$1,Data!$A$1:$AX$1,))=0,#N/A,(VLOOKUP(B127,Data!$A:$AX,MATCH($I$1,Data!$A$1:$AX$1,),)-VLOOKUP(EDATE(B127,-12),Data!$A:$AX,MATCH($I$1,Data!$A$1:$AX$1,),))/VLOOKUP(EDATE(B127,-12),Data!$A:$AX,MATCH($I$1,Data!$A$1:$AX$1,),))</f>
        <v/>
      </c>
      <c r="J127" s="20">
        <f>IF(VLOOKUP(B127,Data!$A:$AX,MATCH($J$1,Data!$A$1:$AX$1,))=0,#N/A,(VLOOKUP(B127,Data!$A:$AX,MATCH($J$1,Data!$A$1:$AX$1,),)-VLOOKUP(EDATE(B127,-12),Data!$A:$AX,MATCH($J$1,Data!$A$1:$AX$1,),))/VLOOKUP(EDATE(B127,-12),Data!$A:$AX,MATCH($J$1,Data!$A$1:$AX$1,),))</f>
        <v/>
      </c>
      <c r="K127" s="20">
        <f>IF(VLOOKUP(B127,Data!$A:$AX,MATCH($K$1,Data!$A$1:$AX$1,))=0,#N/A,(VLOOKUP(B127,Data!$A:$AX,MATCH($K$1,Data!$A$1:$AX$1,),)-VLOOKUP(EDATE(B127,-12),Data!$A:$AX,MATCH($K$1,Data!$A$1:$AX$1,),))/VLOOKUP(EDATE(B127,-12),Data!$A:$AX,MATCH($K$1,Data!$A$1:$AX$1,),))</f>
        <v/>
      </c>
      <c r="L127" s="20">
        <f>IF(VLOOKUP(B127,Data!$A:$AX,MATCH($L$1,Data!$A$1:$AX$1,))=0,#N/A,(VLOOKUP(B127,Data!$A:$AX,MATCH($L$1,Data!$A$1:$AX$1,),)-VLOOKUP(EDATE(B127,-12),Data!$A:$AX,MATCH($L$1,Data!$A$1:$AX$1,),))/VLOOKUP(EDATE(B127,-12),Data!$A:$AX,MATCH($L$1,Data!$A$1:$AX$1,),))</f>
        <v/>
      </c>
      <c r="M127" s="20">
        <f>IF(VLOOKUP(B127,Data!$A:$AX,MATCH($M$1,Data!$A$1:$AX$1,))=0,#N/A,(VLOOKUP(B127,Data!$A:$AX,MATCH($M$1,Data!$A$1:$AX$1,),)-VLOOKUP(EDATE(B127,-12),Data!$A:$AX,MATCH($M$1,Data!$A$1:$AX$1,),))/VLOOKUP(EDATE(B127,-12),Data!$A:$AX,MATCH($M$1,Data!$A$1:$AX$1,),))</f>
        <v/>
      </c>
      <c r="N127" s="20">
        <f>(VLOOKUP(B127,Data!$A:$AX,MATCH($N$1,Data!$A$1:$AX$1,),)-VLOOKUP(EDATE(B127,-12),Data!$A:$AX,MATCH($N$1,Data!$A$1:$AX$1,),))/VLOOKUP(EDATE(B127,-12),Data!$A:$AX,MATCH($N$1,Data!$A$1:$AX$1,),)</f>
        <v/>
      </c>
      <c r="O127" s="20">
        <f>IF(VLOOKUP(B127,Data!$A:$AX,MATCH($O$1,Data!$A$1:$AX$1,))=0,#N/A,(VLOOKUP(B127,Data!$A:$AX,MATCH($O$1,Data!$A$1:$AX$1,),)-VLOOKUP(EDATE(B127,-12),Data!$A:$AX,MATCH($O$1,Data!$A$1:$AX$1,),))/VLOOKUP(EDATE(B127,-12),Data!$A:$AX,MATCH($O$1,Data!$A$1:$AX$1,),))</f>
        <v/>
      </c>
      <c r="P127" s="20">
        <f>IF(VLOOKUP(B127,Data!$A:$AX,MATCH($P$1,Data!$A$1:$AX$1,))=0,#N/A,(VLOOKUP(B127,Data!$A:$AX,MATCH($P$1,Data!$A$1:$AX$1,),)-VLOOKUP(EDATE(B127,-12),Data!$A:$AX,MATCH($P$1,Data!$A$1:$AX$1,),))/VLOOKUP(EDATE(B127,-12),Data!$A:$AX,MATCH($P$1,Data!$A$1:$AX$1,),))</f>
        <v/>
      </c>
      <c r="Q127" s="20">
        <f>(VLOOKUP(B127,Data!$A:$AX,MATCH($Q$1,Data!$A$1:$AX$1,),)-VLOOKUP(EDATE(B127,-12),Data!$A:$AX,MATCH($Q$1,Data!$A$1:$AX$1,),))/VLOOKUP(EDATE(B127,-12),Data!$A:$AX,MATCH($Q$1,Data!$A$1:$AX$1,),)</f>
        <v/>
      </c>
      <c r="R127" s="20">
        <f>IF(VLOOKUP(B127,Data!$A:$AX,MATCH($R$1,Data!$A$1:$AX$1,))=0,#N/A,(VLOOKUP(B127,Data!$A:$AX,MATCH($R$1,Data!$A$1:$AX$1,),)-VLOOKUP(EDATE(B127,-12),Data!$A:$AX,MATCH($R$1,Data!$A$1:$AX$1,),))/VLOOKUP(EDATE(B127,-12),Data!$A:$AX,MATCH($R$1,Data!$A$1:$AX$1,),))</f>
        <v/>
      </c>
      <c r="S127" s="20">
        <f>IF(VLOOKUP(B127,Data!$A:$AX,MATCH($S$1,Data!$A$1:$AX$1,))=0,#N/A,(VLOOKUP(B127,Data!$A:$AX,MATCH($S$1,Data!$A$1:$AX$1,),)-VLOOKUP(EDATE(B127,-12),Data!$A:$AX,MATCH($S$1,Data!$A$1:$AX$1,),))/VLOOKUP(EDATE(B127,-12),Data!$A:$AX,MATCH($S$1,Data!$A$1:$AX$1,),))</f>
        <v/>
      </c>
      <c r="T127" s="20">
        <f>IF(VLOOKUP(B127,Data!$A:$AX,MATCH($T$1,Data!$A$1:$AX$1,))=0,#N/A,(VLOOKUP(B127,Data!$A:$AX,MATCH($T$1,Data!$A$1:$AX$1,),)-VLOOKUP(EDATE(B127,-12),Data!$A:$AX,MATCH($T$1,Data!$A$1:$AX$1,),))/VLOOKUP(EDATE(B127,-12),Data!$A:$AX,MATCH($T$1,Data!$A$1:$AX$1,),))</f>
        <v/>
      </c>
      <c r="U127" s="20">
        <f>IF(VLOOKUP(B127,Data!$A:$AX,MATCH($U$1,Data!$A$1:$AX$1,))=0,#N/A,(VLOOKUP(B127,Data!$A:$AX,MATCH($U$1,Data!$A$1:$AX$1,),)-VLOOKUP(EDATE(B127,-12),Data!$A:$AX,MATCH($U$1,Data!$A$1:$AX$1,),))/VLOOKUP(EDATE(B127,-12),Data!$A:$AX,MATCH($U$1,Data!$A$1:$AX$1,),))</f>
        <v/>
      </c>
      <c r="V127" s="20">
        <f>(VLOOKUP(B127,Data!$A:$AX,MATCH($V$1,Data!$A$1:$AX$1,),)-VLOOKUP(EDATE(B127,-12),Data!$A:$AX,MATCH($V$1,Data!$A$1:$AX$1,),))/VLOOKUP(EDATE(B127,-12),Data!$A:$AX,MATCH($V$1,Data!$A$1:$AX$1,),)</f>
        <v/>
      </c>
      <c r="W127" s="20">
        <f>IF(VLOOKUP(B127,Data!$A:$AX,MATCH($W$1,Data!$A$1:$AX$1,))=0,#N/A,(VLOOKUP(B127,Data!$A:$AX,MATCH($W$1,Data!$A$1:$AX$1,),)-VLOOKUP(EDATE(B127,-12),Data!$A:$AX,MATCH($W$1,Data!$A$1:$AX$1,),))/VLOOKUP(EDATE(B127,-12),Data!$A:$AX,MATCH($W$1,Data!$A$1:$AX$1,),))</f>
        <v/>
      </c>
      <c r="X127" s="20">
        <f>IF(VLOOKUP(B127,Data!$A:$AX,MATCH($X$1,Data!$A$1:$AX$1,))=0,#N/A,(VLOOKUP(B127,Data!$A:$AX,MATCH($X$1,Data!$A$1:$AX$1,),)-VLOOKUP(EDATE(B127,-12),Data!$A:$AX,MATCH($X$1,Data!$A$1:$AX$1,),))/VLOOKUP(EDATE(B127,-12),Data!$A:$AX,MATCH($X$1,Data!$A$1:$AX$1,),))</f>
        <v/>
      </c>
      <c r="Y127" s="20">
        <f>IF(VLOOKUP(B127,Data!$A:$AX,MATCH($Y$1,Data!$A$1:$AX$1,))=0,#N/A,(VLOOKUP(B127,Data!$A:$AX,MATCH($Y$1,Data!$A$1:$AX$1,),)-VLOOKUP(EDATE(B127,-12),Data!$A:$AX,MATCH($Y$1,Data!$A$1:$AX$1,),))/VLOOKUP(EDATE(B127,-12),Data!$A:$AX,MATCH($Y$1,Data!$A$1:$AX$1,),))</f>
        <v/>
      </c>
    </row>
    <row r="128" customFormat="1" s="78">
      <c r="B128" s="15" t="n">
        <v>44105</v>
      </c>
      <c r="C128" s="20">
        <f>IF(VLOOKUP(B128,Data!$A:$AX,MATCH($C$1,Data!$A$1:$AX$1,))=0,#N/A,(VLOOKUP(B128,Data!$A:$AX,MATCH($C$1,Data!$A$1:$AX$1,),)-VLOOKUP(EDATE(B128,-12),Data!$A:$AX,MATCH($C$1,Data!$A$1:$AX$1,),))/VLOOKUP(EDATE(B128,-12),Data!$A:$AX,MATCH($C$1,Data!$A$1:$AX$1,),))</f>
        <v/>
      </c>
      <c r="D128" s="20">
        <f>IF(VLOOKUP(B128,Data!$A:$AX,MATCH($D$1,Data!$A$1:$AX$1,))=0,#N/A,(VLOOKUP(B128,Data!$A:$AX,MATCH($D$1,Data!$A$1:$AX$1,),)-VLOOKUP(EDATE(B128,-12),Data!$A:$AX,MATCH($D$1,Data!$A$1:$AX$1,),))/VLOOKUP(EDATE(B128,-12),Data!$A:$AX,MATCH($D$1,Data!$A$1:$AX$1,),))</f>
        <v/>
      </c>
      <c r="E128" s="20">
        <f>IF(VLOOKUP(B128,Data!$A:$AX,MATCH($E$1,Data!$A$1:$AX$1,))=0,#N/A,(VLOOKUP(B128,Data!$A:$AX,MATCH($E$1,Data!$A$1:$AX$1,),)-VLOOKUP(EDATE(B128,-12),Data!$A:$AX,MATCH($E$1,Data!$A$1:$AX$1,),))/VLOOKUP(EDATE(B128,-12),Data!$A:$AX,MATCH($E$1,Data!$A$1:$AX$1,),))</f>
        <v/>
      </c>
      <c r="F128" s="20">
        <f>IF(VLOOKUP(B128,Data!$A:$AX,MATCH($F$1,Data!$A$1:$AX$1,))=0,#N/A,(VLOOKUP(B128,Data!$A:$AX,MATCH($F$1,Data!$A$1:$AX$1,),)-VLOOKUP(EDATE(B128,-12),Data!$A:$AX,MATCH($F$1,Data!$A$1:$AX$1,),))/VLOOKUP(EDATE(B128,-12),Data!$A:$AX,MATCH($F$1,Data!$A$1:$AX$1,),))</f>
        <v/>
      </c>
      <c r="G128" s="20">
        <f>IF(VLOOKUP(B128,Data!$A:$AX,MATCH($G$1,Data!$A$1:$AX$1,))=0,#N/A,(VLOOKUP(B128,Data!$A:$AX,MATCH($G$1,Data!$A$1:$AX$1,),)-VLOOKUP(EDATE(B128,-12),Data!$A:$AX,MATCH($G$1,Data!$A$1:$AX$1,),))/VLOOKUP(EDATE(B128,-12),Data!$A:$AX,MATCH($G$1,Data!$A$1:$AX$1,),))</f>
        <v/>
      </c>
      <c r="H128" s="20">
        <f>IF(VLOOKUP(B128,Data!$A:$AX,MATCH($H$1,Data!$A$1:$AX$1,))=0,#N/A,(VLOOKUP(B128,Data!$A:$AX,MATCH($H$1,Data!$A$1:$AX$1,),)-VLOOKUP(EDATE(B128,-12),Data!$A:$AX,MATCH($H$1,Data!$A$1:$AX$1,),))/VLOOKUP(EDATE(B128,-12),Data!$A:$AX,MATCH($H$1,Data!$A$1:$AX$1,),))</f>
        <v/>
      </c>
      <c r="I128" s="20">
        <f>IF(VLOOKUP(B128,Data!$A:$AX,MATCH($I$1,Data!$A$1:$AX$1,))=0,#N/A,(VLOOKUP(B128,Data!$A:$AX,MATCH($I$1,Data!$A$1:$AX$1,),)-VLOOKUP(EDATE(B128,-12),Data!$A:$AX,MATCH($I$1,Data!$A$1:$AX$1,),))/VLOOKUP(EDATE(B128,-12),Data!$A:$AX,MATCH($I$1,Data!$A$1:$AX$1,),))</f>
        <v/>
      </c>
      <c r="J128" s="20">
        <f>IF(VLOOKUP(B128,Data!$A:$AX,MATCH($J$1,Data!$A$1:$AX$1,))=0,#N/A,(VLOOKUP(B128,Data!$A:$AX,MATCH($J$1,Data!$A$1:$AX$1,),)-VLOOKUP(EDATE(B128,-12),Data!$A:$AX,MATCH($J$1,Data!$A$1:$AX$1,),))/VLOOKUP(EDATE(B128,-12),Data!$A:$AX,MATCH($J$1,Data!$A$1:$AX$1,),))</f>
        <v/>
      </c>
      <c r="K128" s="20">
        <f>IF(VLOOKUP(B128,Data!$A:$AX,MATCH($K$1,Data!$A$1:$AX$1,))=0,#N/A,(VLOOKUP(B128,Data!$A:$AX,MATCH($K$1,Data!$A$1:$AX$1,),)-VLOOKUP(EDATE(B128,-12),Data!$A:$AX,MATCH($K$1,Data!$A$1:$AX$1,),))/VLOOKUP(EDATE(B128,-12),Data!$A:$AX,MATCH($K$1,Data!$A$1:$AX$1,),))</f>
        <v/>
      </c>
      <c r="L128" s="20">
        <f>IF(VLOOKUP(B128,Data!$A:$AX,MATCH($L$1,Data!$A$1:$AX$1,))=0,#N/A,(VLOOKUP(B128,Data!$A:$AX,MATCH($L$1,Data!$A$1:$AX$1,),)-VLOOKUP(EDATE(B128,-12),Data!$A:$AX,MATCH($L$1,Data!$A$1:$AX$1,),))/VLOOKUP(EDATE(B128,-12),Data!$A:$AX,MATCH($L$1,Data!$A$1:$AX$1,),))</f>
        <v/>
      </c>
      <c r="M128" s="20">
        <f>IF(VLOOKUP(B128,Data!$A:$AX,MATCH($M$1,Data!$A$1:$AX$1,))=0,#N/A,(VLOOKUP(B128,Data!$A:$AX,MATCH($M$1,Data!$A$1:$AX$1,),)-VLOOKUP(EDATE(B128,-12),Data!$A:$AX,MATCH($M$1,Data!$A$1:$AX$1,),))/VLOOKUP(EDATE(B128,-12),Data!$A:$AX,MATCH($M$1,Data!$A$1:$AX$1,),))</f>
        <v/>
      </c>
      <c r="N128" s="20">
        <f>(VLOOKUP(B128,Data!$A:$AX,MATCH($N$1,Data!$A$1:$AX$1,),)-VLOOKUP(EDATE(B128,-12),Data!$A:$AX,MATCH($N$1,Data!$A$1:$AX$1,),))/VLOOKUP(EDATE(B128,-12),Data!$A:$AX,MATCH($N$1,Data!$A$1:$AX$1,),)</f>
        <v/>
      </c>
      <c r="O128" s="20">
        <f>IF(VLOOKUP(B128,Data!$A:$AX,MATCH($O$1,Data!$A$1:$AX$1,))=0,#N/A,(VLOOKUP(B128,Data!$A:$AX,MATCH($O$1,Data!$A$1:$AX$1,),)-VLOOKUP(EDATE(B128,-12),Data!$A:$AX,MATCH($O$1,Data!$A$1:$AX$1,),))/VLOOKUP(EDATE(B128,-12),Data!$A:$AX,MATCH($O$1,Data!$A$1:$AX$1,),))</f>
        <v/>
      </c>
      <c r="P128" s="20">
        <f>IF(VLOOKUP(B128,Data!$A:$AX,MATCH($P$1,Data!$A$1:$AX$1,))=0,#N/A,(VLOOKUP(B128,Data!$A:$AX,MATCH($P$1,Data!$A$1:$AX$1,),)-VLOOKUP(EDATE(B128,-12),Data!$A:$AX,MATCH($P$1,Data!$A$1:$AX$1,),))/VLOOKUP(EDATE(B128,-12),Data!$A:$AX,MATCH($P$1,Data!$A$1:$AX$1,),))</f>
        <v/>
      </c>
      <c r="Q128" s="20">
        <f>(VLOOKUP(B128,Data!$A:$AX,MATCH($Q$1,Data!$A$1:$AX$1,),)-VLOOKUP(EDATE(B128,-12),Data!$A:$AX,MATCH($Q$1,Data!$A$1:$AX$1,),))/VLOOKUP(EDATE(B128,-12),Data!$A:$AX,MATCH($Q$1,Data!$A$1:$AX$1,),)</f>
        <v/>
      </c>
      <c r="R128" s="20">
        <f>IF(VLOOKUP(B128,Data!$A:$AX,MATCH($R$1,Data!$A$1:$AX$1,))=0,#N/A,(VLOOKUP(B128,Data!$A:$AX,MATCH($R$1,Data!$A$1:$AX$1,),)-VLOOKUP(EDATE(B128,-12),Data!$A:$AX,MATCH($R$1,Data!$A$1:$AX$1,),))/VLOOKUP(EDATE(B128,-12),Data!$A:$AX,MATCH($R$1,Data!$A$1:$AX$1,),))</f>
        <v/>
      </c>
      <c r="S128" s="20">
        <f>IF(VLOOKUP(B128,Data!$A:$AX,MATCH($S$1,Data!$A$1:$AX$1,))=0,#N/A,(VLOOKUP(B128,Data!$A:$AX,MATCH($S$1,Data!$A$1:$AX$1,),)-VLOOKUP(EDATE(B128,-12),Data!$A:$AX,MATCH($S$1,Data!$A$1:$AX$1,),))/VLOOKUP(EDATE(B128,-12),Data!$A:$AX,MATCH($S$1,Data!$A$1:$AX$1,),))</f>
        <v/>
      </c>
      <c r="T128" s="20">
        <f>IF(VLOOKUP(B128,Data!$A:$AX,MATCH($T$1,Data!$A$1:$AX$1,))=0,#N/A,(VLOOKUP(B128,Data!$A:$AX,MATCH($T$1,Data!$A$1:$AX$1,),)-VLOOKUP(EDATE(B128,-12),Data!$A:$AX,MATCH($T$1,Data!$A$1:$AX$1,),))/VLOOKUP(EDATE(B128,-12),Data!$A:$AX,MATCH($T$1,Data!$A$1:$AX$1,),))</f>
        <v/>
      </c>
      <c r="U128" s="20">
        <f>IF(VLOOKUP(B128,Data!$A:$AX,MATCH($U$1,Data!$A$1:$AX$1,))=0,#N/A,(VLOOKUP(B128,Data!$A:$AX,MATCH($U$1,Data!$A$1:$AX$1,),)-VLOOKUP(EDATE(B128,-12),Data!$A:$AX,MATCH($U$1,Data!$A$1:$AX$1,),))/VLOOKUP(EDATE(B128,-12),Data!$A:$AX,MATCH($U$1,Data!$A$1:$AX$1,),))</f>
        <v/>
      </c>
      <c r="V128" s="20">
        <f>(VLOOKUP(B128,Data!$A:$AX,MATCH($V$1,Data!$A$1:$AX$1,),)-VLOOKUP(EDATE(B128,-12),Data!$A:$AX,MATCH($V$1,Data!$A$1:$AX$1,),))/VLOOKUP(EDATE(B128,-12),Data!$A:$AX,MATCH($V$1,Data!$A$1:$AX$1,),)</f>
        <v/>
      </c>
      <c r="W128" s="20">
        <f>IF(VLOOKUP(B128,Data!$A:$AX,MATCH($W$1,Data!$A$1:$AX$1,))=0,#N/A,(VLOOKUP(B128,Data!$A:$AX,MATCH($W$1,Data!$A$1:$AX$1,),)-VLOOKUP(EDATE(B128,-12),Data!$A:$AX,MATCH($W$1,Data!$A$1:$AX$1,),))/VLOOKUP(EDATE(B128,-12),Data!$A:$AX,MATCH($W$1,Data!$A$1:$AX$1,),))</f>
        <v/>
      </c>
      <c r="X128" s="20">
        <f>IF(VLOOKUP(B128,Data!$A:$AX,MATCH($X$1,Data!$A$1:$AX$1,))=0,#N/A,(VLOOKUP(B128,Data!$A:$AX,MATCH($X$1,Data!$A$1:$AX$1,),)-VLOOKUP(EDATE(B128,-12),Data!$A:$AX,MATCH($X$1,Data!$A$1:$AX$1,),))/VLOOKUP(EDATE(B128,-12),Data!$A:$AX,MATCH($X$1,Data!$A$1:$AX$1,),))</f>
        <v/>
      </c>
      <c r="Y128" s="20">
        <f>IF(VLOOKUP(B128,Data!$A:$AX,MATCH($Y$1,Data!$A$1:$AX$1,))=0,#N/A,(VLOOKUP(B128,Data!$A:$AX,MATCH($Y$1,Data!$A$1:$AX$1,),)-VLOOKUP(EDATE(B128,-12),Data!$A:$AX,MATCH($Y$1,Data!$A$1:$AX$1,),))/VLOOKUP(EDATE(B128,-12),Data!$A:$AX,MATCH($Y$1,Data!$A$1:$AX$1,),))</f>
        <v/>
      </c>
    </row>
    <row r="129" customFormat="1" s="78">
      <c r="B129" s="15" t="n">
        <v>44136</v>
      </c>
      <c r="C129" s="20">
        <f>IF(VLOOKUP(B129,Data!$A:$AX,MATCH($C$1,Data!$A$1:$AX$1,))=0,#N/A,(VLOOKUP(B129,Data!$A:$AX,MATCH($C$1,Data!$A$1:$AX$1,),)-VLOOKUP(EDATE(B129,-12),Data!$A:$AX,MATCH($C$1,Data!$A$1:$AX$1,),))/VLOOKUP(EDATE(B129,-12),Data!$A:$AX,MATCH($C$1,Data!$A$1:$AX$1,),))</f>
        <v/>
      </c>
      <c r="D129" s="20">
        <f>IF(VLOOKUP(B129,Data!$A:$AX,MATCH($D$1,Data!$A$1:$AX$1,))=0,#N/A,(VLOOKUP(B129,Data!$A:$AX,MATCH($D$1,Data!$A$1:$AX$1,),)-VLOOKUP(EDATE(B129,-12),Data!$A:$AX,MATCH($D$1,Data!$A$1:$AX$1,),))/VLOOKUP(EDATE(B129,-12),Data!$A:$AX,MATCH($D$1,Data!$A$1:$AX$1,),))</f>
        <v/>
      </c>
      <c r="E129" s="20">
        <f>IF(VLOOKUP(B129,Data!$A:$AX,MATCH($E$1,Data!$A$1:$AX$1,))=0,#N/A,(VLOOKUP(B129,Data!$A:$AX,MATCH($E$1,Data!$A$1:$AX$1,),)-VLOOKUP(EDATE(B129,-12),Data!$A:$AX,MATCH($E$1,Data!$A$1:$AX$1,),))/VLOOKUP(EDATE(B129,-12),Data!$A:$AX,MATCH($E$1,Data!$A$1:$AX$1,),))</f>
        <v/>
      </c>
      <c r="F129" s="20">
        <f>IF(VLOOKUP(B129,Data!$A:$AX,MATCH($F$1,Data!$A$1:$AX$1,))=0,#N/A,(VLOOKUP(B129,Data!$A:$AX,MATCH($F$1,Data!$A$1:$AX$1,),)-VLOOKUP(EDATE(B129,-12),Data!$A:$AX,MATCH($F$1,Data!$A$1:$AX$1,),))/VLOOKUP(EDATE(B129,-12),Data!$A:$AX,MATCH($F$1,Data!$A$1:$AX$1,),))</f>
        <v/>
      </c>
      <c r="G129" s="20">
        <f>IF(VLOOKUP(B129,Data!$A:$AX,MATCH($G$1,Data!$A$1:$AX$1,))=0,#N/A,(VLOOKUP(B129,Data!$A:$AX,MATCH($G$1,Data!$A$1:$AX$1,),)-VLOOKUP(EDATE(B129,-12),Data!$A:$AX,MATCH($G$1,Data!$A$1:$AX$1,),))/VLOOKUP(EDATE(B129,-12),Data!$A:$AX,MATCH($G$1,Data!$A$1:$AX$1,),))</f>
        <v/>
      </c>
      <c r="H129" s="20">
        <f>IF(VLOOKUP(B129,Data!$A:$AX,MATCH($H$1,Data!$A$1:$AX$1,))=0,#N/A,(VLOOKUP(B129,Data!$A:$AX,MATCH($H$1,Data!$A$1:$AX$1,),)-VLOOKUP(EDATE(B129,-12),Data!$A:$AX,MATCH($H$1,Data!$A$1:$AX$1,),))/VLOOKUP(EDATE(B129,-12),Data!$A:$AX,MATCH($H$1,Data!$A$1:$AX$1,),))</f>
        <v/>
      </c>
      <c r="I129" s="20">
        <f>IF(VLOOKUP(B129,Data!$A:$AX,MATCH($I$1,Data!$A$1:$AX$1,))=0,#N/A,(VLOOKUP(B129,Data!$A:$AX,MATCH($I$1,Data!$A$1:$AX$1,),)-VLOOKUP(EDATE(B129,-12),Data!$A:$AX,MATCH($I$1,Data!$A$1:$AX$1,),))/VLOOKUP(EDATE(B129,-12),Data!$A:$AX,MATCH($I$1,Data!$A$1:$AX$1,),))</f>
        <v/>
      </c>
      <c r="J129" s="20">
        <f>IF(VLOOKUP(B129,Data!$A:$AX,MATCH($J$1,Data!$A$1:$AX$1,))=0,#N/A,(VLOOKUP(B129,Data!$A:$AX,MATCH($J$1,Data!$A$1:$AX$1,),)-VLOOKUP(EDATE(B129,-12),Data!$A:$AX,MATCH($J$1,Data!$A$1:$AX$1,),))/VLOOKUP(EDATE(B129,-12),Data!$A:$AX,MATCH($J$1,Data!$A$1:$AX$1,),))</f>
        <v/>
      </c>
      <c r="K129" s="20">
        <f>IF(VLOOKUP(B129,Data!$A:$AX,MATCH($K$1,Data!$A$1:$AX$1,))=0,#N/A,(VLOOKUP(B129,Data!$A:$AX,MATCH($K$1,Data!$A$1:$AX$1,),)-VLOOKUP(EDATE(B129,-12),Data!$A:$AX,MATCH($K$1,Data!$A$1:$AX$1,),))/VLOOKUP(EDATE(B129,-12),Data!$A:$AX,MATCH($K$1,Data!$A$1:$AX$1,),))</f>
        <v/>
      </c>
      <c r="L129" s="20">
        <f>IF(VLOOKUP(B129,Data!$A:$AX,MATCH($L$1,Data!$A$1:$AX$1,))=0,#N/A,(VLOOKUP(B129,Data!$A:$AX,MATCH($L$1,Data!$A$1:$AX$1,),)-VLOOKUP(EDATE(B129,-12),Data!$A:$AX,MATCH($L$1,Data!$A$1:$AX$1,),))/VLOOKUP(EDATE(B129,-12),Data!$A:$AX,MATCH($L$1,Data!$A$1:$AX$1,),))</f>
        <v/>
      </c>
      <c r="M129" s="20">
        <f>IF(VLOOKUP(B129,Data!$A:$AX,MATCH($M$1,Data!$A$1:$AX$1,))=0,#N/A,(VLOOKUP(B129,Data!$A:$AX,MATCH($M$1,Data!$A$1:$AX$1,),)-VLOOKUP(EDATE(B129,-12),Data!$A:$AX,MATCH($M$1,Data!$A$1:$AX$1,),))/VLOOKUP(EDATE(B129,-12),Data!$A:$AX,MATCH($M$1,Data!$A$1:$AX$1,),))</f>
        <v/>
      </c>
      <c r="N129" s="20">
        <f>(VLOOKUP(B129,Data!$A:$AX,MATCH($N$1,Data!$A$1:$AX$1,),)-VLOOKUP(EDATE(B129,-12),Data!$A:$AX,MATCH($N$1,Data!$A$1:$AX$1,),))/VLOOKUP(EDATE(B129,-12),Data!$A:$AX,MATCH($N$1,Data!$A$1:$AX$1,),)</f>
        <v/>
      </c>
      <c r="O129" s="20">
        <f>IF(VLOOKUP(B129,Data!$A:$AX,MATCH($O$1,Data!$A$1:$AX$1,))=0,#N/A,(VLOOKUP(B129,Data!$A:$AX,MATCH($O$1,Data!$A$1:$AX$1,),)-VLOOKUP(EDATE(B129,-12),Data!$A:$AX,MATCH($O$1,Data!$A$1:$AX$1,),))/VLOOKUP(EDATE(B129,-12),Data!$A:$AX,MATCH($O$1,Data!$A$1:$AX$1,),))</f>
        <v/>
      </c>
      <c r="P129" s="20">
        <f>IF(VLOOKUP(B129,Data!$A:$AX,MATCH($P$1,Data!$A$1:$AX$1,))=0,#N/A,(VLOOKUP(B129,Data!$A:$AX,MATCH($P$1,Data!$A$1:$AX$1,),)-VLOOKUP(EDATE(B129,-12),Data!$A:$AX,MATCH($P$1,Data!$A$1:$AX$1,),))/VLOOKUP(EDATE(B129,-12),Data!$A:$AX,MATCH($P$1,Data!$A$1:$AX$1,),))</f>
        <v/>
      </c>
      <c r="Q129" s="20">
        <f>(VLOOKUP(B129,Data!$A:$AX,MATCH($Q$1,Data!$A$1:$AX$1,),)-VLOOKUP(EDATE(B129,-12),Data!$A:$AX,MATCH($Q$1,Data!$A$1:$AX$1,),))/VLOOKUP(EDATE(B129,-12),Data!$A:$AX,MATCH($Q$1,Data!$A$1:$AX$1,),)</f>
        <v/>
      </c>
      <c r="R129" s="20">
        <f>IF(VLOOKUP(B129,Data!$A:$AX,MATCH($R$1,Data!$A$1:$AX$1,))=0,#N/A,(VLOOKUP(B129,Data!$A:$AX,MATCH($R$1,Data!$A$1:$AX$1,),)-VLOOKUP(EDATE(B129,-12),Data!$A:$AX,MATCH($R$1,Data!$A$1:$AX$1,),))/VLOOKUP(EDATE(B129,-12),Data!$A:$AX,MATCH($R$1,Data!$A$1:$AX$1,),))</f>
        <v/>
      </c>
      <c r="S129" s="20">
        <f>IF(VLOOKUP(B129,Data!$A:$AX,MATCH($S$1,Data!$A$1:$AX$1,))=0,#N/A,(VLOOKUP(B129,Data!$A:$AX,MATCH($S$1,Data!$A$1:$AX$1,),)-VLOOKUP(EDATE(B129,-12),Data!$A:$AX,MATCH($S$1,Data!$A$1:$AX$1,),))/VLOOKUP(EDATE(B129,-12),Data!$A:$AX,MATCH($S$1,Data!$A$1:$AX$1,),))</f>
        <v/>
      </c>
      <c r="T129" s="20">
        <f>IF(VLOOKUP(B129,Data!$A:$AX,MATCH($T$1,Data!$A$1:$AX$1,))=0,#N/A,(VLOOKUP(B129,Data!$A:$AX,MATCH($T$1,Data!$A$1:$AX$1,),)-VLOOKUP(EDATE(B129,-12),Data!$A:$AX,MATCH($T$1,Data!$A$1:$AX$1,),))/VLOOKUP(EDATE(B129,-12),Data!$A:$AX,MATCH($T$1,Data!$A$1:$AX$1,),))</f>
        <v/>
      </c>
      <c r="U129" s="20">
        <f>IF(VLOOKUP(B129,Data!$A:$AX,MATCH($U$1,Data!$A$1:$AX$1,))=0,#N/A,(VLOOKUP(B129,Data!$A:$AX,MATCH($U$1,Data!$A$1:$AX$1,),)-VLOOKUP(EDATE(B129,-12),Data!$A:$AX,MATCH($U$1,Data!$A$1:$AX$1,),))/VLOOKUP(EDATE(B129,-12),Data!$A:$AX,MATCH($U$1,Data!$A$1:$AX$1,),))</f>
        <v/>
      </c>
      <c r="V129" s="20">
        <f>(VLOOKUP(B129,Data!$A:$AX,MATCH($V$1,Data!$A$1:$AX$1,),)-VLOOKUP(EDATE(B129,-12),Data!$A:$AX,MATCH($V$1,Data!$A$1:$AX$1,),))/VLOOKUP(EDATE(B129,-12),Data!$A:$AX,MATCH($V$1,Data!$A$1:$AX$1,),)</f>
        <v/>
      </c>
      <c r="W129" s="20">
        <f>IF(VLOOKUP(B129,Data!$A:$AX,MATCH($W$1,Data!$A$1:$AX$1,))=0,#N/A,(VLOOKUP(B129,Data!$A:$AX,MATCH($W$1,Data!$A$1:$AX$1,),)-VLOOKUP(EDATE(B129,-12),Data!$A:$AX,MATCH($W$1,Data!$A$1:$AX$1,),))/VLOOKUP(EDATE(B129,-12),Data!$A:$AX,MATCH($W$1,Data!$A$1:$AX$1,),))</f>
        <v/>
      </c>
      <c r="X129" s="20">
        <f>IF(VLOOKUP(B129,Data!$A:$AX,MATCH($X$1,Data!$A$1:$AX$1,))=0,#N/A,(VLOOKUP(B129,Data!$A:$AX,MATCH($X$1,Data!$A$1:$AX$1,),)-VLOOKUP(EDATE(B129,-12),Data!$A:$AX,MATCH($X$1,Data!$A$1:$AX$1,),))/VLOOKUP(EDATE(B129,-12),Data!$A:$AX,MATCH($X$1,Data!$A$1:$AX$1,),))</f>
        <v/>
      </c>
      <c r="Y129" s="20">
        <f>IF(VLOOKUP(B129,Data!$A:$AX,MATCH($Y$1,Data!$A$1:$AX$1,))=0,#N/A,(VLOOKUP(B129,Data!$A:$AX,MATCH($Y$1,Data!$A$1:$AX$1,),)-VLOOKUP(EDATE(B129,-12),Data!$A:$AX,MATCH($Y$1,Data!$A$1:$AX$1,),))/VLOOKUP(EDATE(B129,-12),Data!$A:$AX,MATCH($Y$1,Data!$A$1:$AX$1,),))</f>
        <v/>
      </c>
    </row>
    <row r="130" customFormat="1" s="78">
      <c r="B130" s="15" t="n">
        <v>44166</v>
      </c>
      <c r="C130" s="20">
        <f>IF(VLOOKUP(B130,Data!$A:$AX,MATCH($C$1,Data!$A$1:$AX$1,))=0,#N/A,(VLOOKUP(B130,Data!$A:$AX,MATCH($C$1,Data!$A$1:$AX$1,),)-VLOOKUP(EDATE(B130,-12),Data!$A:$AX,MATCH($C$1,Data!$A$1:$AX$1,),))/VLOOKUP(EDATE(B130,-12),Data!$A:$AX,MATCH($C$1,Data!$A$1:$AX$1,),))</f>
        <v/>
      </c>
      <c r="D130" s="20">
        <f>IF(VLOOKUP(B130,Data!$A:$AX,MATCH($D$1,Data!$A$1:$AX$1,))=0,#N/A,(VLOOKUP(B130,Data!$A:$AX,MATCH($D$1,Data!$A$1:$AX$1,),)-VLOOKUP(EDATE(B130,-12),Data!$A:$AX,MATCH($D$1,Data!$A$1:$AX$1,),))/VLOOKUP(EDATE(B130,-12),Data!$A:$AX,MATCH($D$1,Data!$A$1:$AX$1,),))</f>
        <v/>
      </c>
      <c r="E130" s="20">
        <f>IF(VLOOKUP(B130,Data!$A:$AX,MATCH($E$1,Data!$A$1:$AX$1,))=0,#N/A,(VLOOKUP(B130,Data!$A:$AX,MATCH($E$1,Data!$A$1:$AX$1,),)-VLOOKUP(EDATE(B130,-12),Data!$A:$AX,MATCH($E$1,Data!$A$1:$AX$1,),))/VLOOKUP(EDATE(B130,-12),Data!$A:$AX,MATCH($E$1,Data!$A$1:$AX$1,),))</f>
        <v/>
      </c>
      <c r="F130" s="20">
        <f>IF(VLOOKUP(B130,Data!$A:$AX,MATCH($F$1,Data!$A$1:$AX$1,))=0,#N/A,(VLOOKUP(B130,Data!$A:$AX,MATCH($F$1,Data!$A$1:$AX$1,),)-VLOOKUP(EDATE(B130,-12),Data!$A:$AX,MATCH($F$1,Data!$A$1:$AX$1,),))/VLOOKUP(EDATE(B130,-12),Data!$A:$AX,MATCH($F$1,Data!$A$1:$AX$1,),))</f>
        <v/>
      </c>
      <c r="G130" s="20">
        <f>IF(VLOOKUP(B130,Data!$A:$AX,MATCH($G$1,Data!$A$1:$AX$1,))=0,#N/A,(VLOOKUP(B130,Data!$A:$AX,MATCH($G$1,Data!$A$1:$AX$1,),)-VLOOKUP(EDATE(B130,-12),Data!$A:$AX,MATCH($G$1,Data!$A$1:$AX$1,),))/VLOOKUP(EDATE(B130,-12),Data!$A:$AX,MATCH($G$1,Data!$A$1:$AX$1,),))</f>
        <v/>
      </c>
      <c r="H130" s="20">
        <f>IF(VLOOKUP(B130,Data!$A:$AX,MATCH($H$1,Data!$A$1:$AX$1,))=0,#N/A,(VLOOKUP(B130,Data!$A:$AX,MATCH($H$1,Data!$A$1:$AX$1,),)-VLOOKUP(EDATE(B130,-12),Data!$A:$AX,MATCH($H$1,Data!$A$1:$AX$1,),))/VLOOKUP(EDATE(B130,-12),Data!$A:$AX,MATCH($H$1,Data!$A$1:$AX$1,),))</f>
        <v/>
      </c>
      <c r="I130" s="20">
        <f>IF(VLOOKUP(B130,Data!$A:$AX,MATCH($I$1,Data!$A$1:$AX$1,))=0,#N/A,(VLOOKUP(B130,Data!$A:$AX,MATCH($I$1,Data!$A$1:$AX$1,),)-VLOOKUP(EDATE(B130,-12),Data!$A:$AX,MATCH($I$1,Data!$A$1:$AX$1,),))/VLOOKUP(EDATE(B130,-12),Data!$A:$AX,MATCH($I$1,Data!$A$1:$AX$1,),))</f>
        <v/>
      </c>
      <c r="J130" s="20">
        <f>IF(VLOOKUP(B130,Data!$A:$AX,MATCH($J$1,Data!$A$1:$AX$1,))=0,#N/A,(VLOOKUP(B130,Data!$A:$AX,MATCH($J$1,Data!$A$1:$AX$1,),)-VLOOKUP(EDATE(B130,-12),Data!$A:$AX,MATCH($J$1,Data!$A$1:$AX$1,),))/VLOOKUP(EDATE(B130,-12),Data!$A:$AX,MATCH($J$1,Data!$A$1:$AX$1,),))</f>
        <v/>
      </c>
      <c r="K130" s="20">
        <f>IF(VLOOKUP(B130,Data!$A:$AX,MATCH($K$1,Data!$A$1:$AX$1,))=0,#N/A,(VLOOKUP(B130,Data!$A:$AX,MATCH($K$1,Data!$A$1:$AX$1,),)-VLOOKUP(EDATE(B130,-12),Data!$A:$AX,MATCH($K$1,Data!$A$1:$AX$1,),))/VLOOKUP(EDATE(B130,-12),Data!$A:$AX,MATCH($K$1,Data!$A$1:$AX$1,),))</f>
        <v/>
      </c>
      <c r="L130" s="20">
        <f>IF(VLOOKUP(B130,Data!$A:$AX,MATCH($L$1,Data!$A$1:$AX$1,))=0,#N/A,(VLOOKUP(B130,Data!$A:$AX,MATCH($L$1,Data!$A$1:$AX$1,),)-VLOOKUP(EDATE(B130,-12),Data!$A:$AX,MATCH($L$1,Data!$A$1:$AX$1,),))/VLOOKUP(EDATE(B130,-12),Data!$A:$AX,MATCH($L$1,Data!$A$1:$AX$1,),))</f>
        <v/>
      </c>
      <c r="M130" s="20">
        <f>IF(VLOOKUP(B130,Data!$A:$AX,MATCH($M$1,Data!$A$1:$AX$1,))=0,#N/A,(VLOOKUP(B130,Data!$A:$AX,MATCH($M$1,Data!$A$1:$AX$1,),)-VLOOKUP(EDATE(B130,-12),Data!$A:$AX,MATCH($M$1,Data!$A$1:$AX$1,),))/VLOOKUP(EDATE(B130,-12),Data!$A:$AX,MATCH($M$1,Data!$A$1:$AX$1,),))</f>
        <v/>
      </c>
      <c r="N130" s="20">
        <f>(VLOOKUP(B130,Data!$A:$AX,MATCH($N$1,Data!$A$1:$AX$1,),)-VLOOKUP(EDATE(B130,-12),Data!$A:$AX,MATCH($N$1,Data!$A$1:$AX$1,),))/VLOOKUP(EDATE(B130,-12),Data!$A:$AX,MATCH($N$1,Data!$A$1:$AX$1,),)</f>
        <v/>
      </c>
      <c r="O130" s="20">
        <f>IF(VLOOKUP(B130,Data!$A:$AX,MATCH($O$1,Data!$A$1:$AX$1,))=0,#N/A,(VLOOKUP(B130,Data!$A:$AX,MATCH($O$1,Data!$A$1:$AX$1,),)-VLOOKUP(EDATE(B130,-12),Data!$A:$AX,MATCH($O$1,Data!$A$1:$AX$1,),))/VLOOKUP(EDATE(B130,-12),Data!$A:$AX,MATCH($O$1,Data!$A$1:$AX$1,),))</f>
        <v/>
      </c>
      <c r="P130" s="20">
        <f>IF(VLOOKUP(B130,Data!$A:$AX,MATCH($P$1,Data!$A$1:$AX$1,))=0,#N/A,(VLOOKUP(B130,Data!$A:$AX,MATCH($P$1,Data!$A$1:$AX$1,),)-VLOOKUP(EDATE(B130,-12),Data!$A:$AX,MATCH($P$1,Data!$A$1:$AX$1,),))/VLOOKUP(EDATE(B130,-12),Data!$A:$AX,MATCH($P$1,Data!$A$1:$AX$1,),))</f>
        <v/>
      </c>
      <c r="Q130" s="20">
        <f>(VLOOKUP(B130,Data!$A:$AX,MATCH($Q$1,Data!$A$1:$AX$1,),)-VLOOKUP(EDATE(B130,-12),Data!$A:$AX,MATCH($Q$1,Data!$A$1:$AX$1,),))/VLOOKUP(EDATE(B130,-12),Data!$A:$AX,MATCH($Q$1,Data!$A$1:$AX$1,),)</f>
        <v/>
      </c>
      <c r="R130" s="20">
        <f>IF(VLOOKUP(B130,Data!$A:$AX,MATCH($R$1,Data!$A$1:$AX$1,))=0,#N/A,(VLOOKUP(B130,Data!$A:$AX,MATCH($R$1,Data!$A$1:$AX$1,),)-VLOOKUP(EDATE(B130,-12),Data!$A:$AX,MATCH($R$1,Data!$A$1:$AX$1,),))/VLOOKUP(EDATE(B130,-12),Data!$A:$AX,MATCH($R$1,Data!$A$1:$AX$1,),))</f>
        <v/>
      </c>
      <c r="S130" s="20">
        <f>IF(VLOOKUP(B130,Data!$A:$AX,MATCH($S$1,Data!$A$1:$AX$1,))=0,#N/A,(VLOOKUP(B130,Data!$A:$AX,MATCH($S$1,Data!$A$1:$AX$1,),)-VLOOKUP(EDATE(B130,-12),Data!$A:$AX,MATCH($S$1,Data!$A$1:$AX$1,),))/VLOOKUP(EDATE(B130,-12),Data!$A:$AX,MATCH($S$1,Data!$A$1:$AX$1,),))</f>
        <v/>
      </c>
      <c r="T130" s="20">
        <f>IF(VLOOKUP(B130,Data!$A:$AX,MATCH($T$1,Data!$A$1:$AX$1,))=0,#N/A,(VLOOKUP(B130,Data!$A:$AX,MATCH($T$1,Data!$A$1:$AX$1,),)-VLOOKUP(EDATE(B130,-12),Data!$A:$AX,MATCH($T$1,Data!$A$1:$AX$1,),))/VLOOKUP(EDATE(B130,-12),Data!$A:$AX,MATCH($T$1,Data!$A$1:$AX$1,),))</f>
        <v/>
      </c>
      <c r="U130" s="20">
        <f>IF(VLOOKUP(B130,Data!$A:$AX,MATCH($U$1,Data!$A$1:$AX$1,))=0,#N/A,(VLOOKUP(B130,Data!$A:$AX,MATCH($U$1,Data!$A$1:$AX$1,),)-VLOOKUP(EDATE(B130,-12),Data!$A:$AX,MATCH($U$1,Data!$A$1:$AX$1,),))/VLOOKUP(EDATE(B130,-12),Data!$A:$AX,MATCH($U$1,Data!$A$1:$AX$1,),))</f>
        <v/>
      </c>
      <c r="V130" s="20">
        <f>(VLOOKUP(B130,Data!$A:$AX,MATCH($V$1,Data!$A$1:$AX$1,),)-VLOOKUP(EDATE(B130,-12),Data!$A:$AX,MATCH($V$1,Data!$A$1:$AX$1,),))/VLOOKUP(EDATE(B130,-12),Data!$A:$AX,MATCH($V$1,Data!$A$1:$AX$1,),)</f>
        <v/>
      </c>
      <c r="W130" s="20">
        <f>IF(VLOOKUP(B130,Data!$A:$AX,MATCH($W$1,Data!$A$1:$AX$1,))=0,#N/A,(VLOOKUP(B130,Data!$A:$AX,MATCH($W$1,Data!$A$1:$AX$1,),)-VLOOKUP(EDATE(B130,-12),Data!$A:$AX,MATCH($W$1,Data!$A$1:$AX$1,),))/VLOOKUP(EDATE(B130,-12),Data!$A:$AX,MATCH($W$1,Data!$A$1:$AX$1,),))</f>
        <v/>
      </c>
      <c r="X130" s="20">
        <f>IF(VLOOKUP(B130,Data!$A:$AX,MATCH($X$1,Data!$A$1:$AX$1,))=0,#N/A,(VLOOKUP(B130,Data!$A:$AX,MATCH($X$1,Data!$A$1:$AX$1,),)-VLOOKUP(EDATE(B130,-12),Data!$A:$AX,MATCH($X$1,Data!$A$1:$AX$1,),))/VLOOKUP(EDATE(B130,-12),Data!$A:$AX,MATCH($X$1,Data!$A$1:$AX$1,),))</f>
        <v/>
      </c>
      <c r="Y130" s="20">
        <f>IF(VLOOKUP(B130,Data!$A:$AX,MATCH($Y$1,Data!$A$1:$AX$1,))=0,#N/A,(VLOOKUP(B130,Data!$A:$AX,MATCH($Y$1,Data!$A$1:$AX$1,),)-VLOOKUP(EDATE(B130,-12),Data!$A:$AX,MATCH($Y$1,Data!$A$1:$AX$1,),))/VLOOKUP(EDATE(B130,-12),Data!$A:$AX,MATCH($Y$1,Data!$A$1:$AX$1,),))</f>
        <v/>
      </c>
    </row>
    <row r="131" customFormat="1" s="78">
      <c r="B131" s="15" t="n">
        <v>44197</v>
      </c>
      <c r="C131" s="20">
        <f>IF(VLOOKUP(B131,Data!$A:$AX,MATCH($C$1,Data!$A$1:$AX$1,))=0,#N/A,(VLOOKUP(B131,Data!$A:$AX,MATCH($C$1,Data!$A$1:$AX$1,),)-VLOOKUP(EDATE(B131,-12),Data!$A:$AX,MATCH($C$1,Data!$A$1:$AX$1,),))/VLOOKUP(EDATE(B131,-12),Data!$A:$AX,MATCH($C$1,Data!$A$1:$AX$1,),))</f>
        <v/>
      </c>
      <c r="D131" s="20">
        <f>IF(VLOOKUP(B131,Data!$A:$AX,MATCH($D$1,Data!$A$1:$AX$1,))=0,#N/A,(VLOOKUP(B131,Data!$A:$AX,MATCH($D$1,Data!$A$1:$AX$1,),)-VLOOKUP(EDATE(B131,-12),Data!$A:$AX,MATCH($D$1,Data!$A$1:$AX$1,),))/VLOOKUP(EDATE(B131,-12),Data!$A:$AX,MATCH($D$1,Data!$A$1:$AX$1,),))</f>
        <v/>
      </c>
      <c r="E131" s="20">
        <f>IF(VLOOKUP(B131,Data!$A:$AX,MATCH($E$1,Data!$A$1:$AX$1,))=0,#N/A,(VLOOKUP(B131,Data!$A:$AX,MATCH($E$1,Data!$A$1:$AX$1,),)-VLOOKUP(EDATE(B131,-12),Data!$A:$AX,MATCH($E$1,Data!$A$1:$AX$1,),))/VLOOKUP(EDATE(B131,-12),Data!$A:$AX,MATCH($E$1,Data!$A$1:$AX$1,),))</f>
        <v/>
      </c>
      <c r="F131" s="20">
        <f>IF(VLOOKUP(B131,Data!$A:$AX,MATCH($F$1,Data!$A$1:$AX$1,))=0,#N/A,(VLOOKUP(B131,Data!$A:$AX,MATCH($F$1,Data!$A$1:$AX$1,),)-VLOOKUP(EDATE(B131,-12),Data!$A:$AX,MATCH($F$1,Data!$A$1:$AX$1,),))/VLOOKUP(EDATE(B131,-12),Data!$A:$AX,MATCH($F$1,Data!$A$1:$AX$1,),))</f>
        <v/>
      </c>
      <c r="G131" s="20">
        <f>IF(VLOOKUP(B131,Data!$A:$AX,MATCH($G$1,Data!$A$1:$AX$1,))=0,#N/A,(VLOOKUP(B131,Data!$A:$AX,MATCH($G$1,Data!$A$1:$AX$1,),)-VLOOKUP(EDATE(B131,-12),Data!$A:$AX,MATCH($G$1,Data!$A$1:$AX$1,),))/VLOOKUP(EDATE(B131,-12),Data!$A:$AX,MATCH($G$1,Data!$A$1:$AX$1,),))</f>
        <v/>
      </c>
      <c r="H131" s="20">
        <f>IF(VLOOKUP(B131,Data!$A:$AX,MATCH($H$1,Data!$A$1:$AX$1,))=0,#N/A,(VLOOKUP(B131,Data!$A:$AX,MATCH($H$1,Data!$A$1:$AX$1,),)-VLOOKUP(EDATE(B131,-12),Data!$A:$AX,MATCH($H$1,Data!$A$1:$AX$1,),))/VLOOKUP(EDATE(B131,-12),Data!$A:$AX,MATCH($H$1,Data!$A$1:$AX$1,),))</f>
        <v/>
      </c>
      <c r="I131" s="20">
        <f>IF(VLOOKUP(B131,Data!$A:$AX,MATCH($I$1,Data!$A$1:$AX$1,))=0,#N/A,(VLOOKUP(B131,Data!$A:$AX,MATCH($I$1,Data!$A$1:$AX$1,),)-VLOOKUP(EDATE(B131,-12),Data!$A:$AX,MATCH($I$1,Data!$A$1:$AX$1,),))/VLOOKUP(EDATE(B131,-12),Data!$A:$AX,MATCH($I$1,Data!$A$1:$AX$1,),))</f>
        <v/>
      </c>
      <c r="J131" s="20">
        <f>IF(VLOOKUP(B131,Data!$A:$AX,MATCH($J$1,Data!$A$1:$AX$1,))=0,#N/A,(VLOOKUP(B131,Data!$A:$AX,MATCH($J$1,Data!$A$1:$AX$1,),)-VLOOKUP(EDATE(B131,-12),Data!$A:$AX,MATCH($J$1,Data!$A$1:$AX$1,),))/VLOOKUP(EDATE(B131,-12),Data!$A:$AX,MATCH($J$1,Data!$A$1:$AX$1,),))</f>
        <v/>
      </c>
      <c r="K131" s="20">
        <f>IF(VLOOKUP(B131,Data!$A:$AX,MATCH($K$1,Data!$A$1:$AX$1,))=0,#N/A,(VLOOKUP(B131,Data!$A:$AX,MATCH($K$1,Data!$A$1:$AX$1,),)-VLOOKUP(EDATE(B131,-12),Data!$A:$AX,MATCH($K$1,Data!$A$1:$AX$1,),))/VLOOKUP(EDATE(B131,-12),Data!$A:$AX,MATCH($K$1,Data!$A$1:$AX$1,),))</f>
        <v/>
      </c>
      <c r="L131" s="20">
        <f>IF(VLOOKUP(B131,Data!$A:$AX,MATCH($L$1,Data!$A$1:$AX$1,))=0,#N/A,(VLOOKUP(B131,Data!$A:$AX,MATCH($L$1,Data!$A$1:$AX$1,),)-VLOOKUP(EDATE(B131,-12),Data!$A:$AX,MATCH($L$1,Data!$A$1:$AX$1,),))/VLOOKUP(EDATE(B131,-12),Data!$A:$AX,MATCH($L$1,Data!$A$1:$AX$1,),))</f>
        <v/>
      </c>
      <c r="M131" s="20">
        <f>IF(VLOOKUP(B131,Data!$A:$AX,MATCH($M$1,Data!$A$1:$AX$1,))=0,#N/A,(VLOOKUP(B131,Data!$A:$AX,MATCH($M$1,Data!$A$1:$AX$1,),)-VLOOKUP(EDATE(B131,-12),Data!$A:$AX,MATCH($M$1,Data!$A$1:$AX$1,),))/VLOOKUP(EDATE(B131,-12),Data!$A:$AX,MATCH($M$1,Data!$A$1:$AX$1,),))</f>
        <v/>
      </c>
      <c r="N131" s="20">
        <f>(VLOOKUP(B131,Data!$A:$AX,MATCH($N$1,Data!$A$1:$AX$1,),)-VLOOKUP(EDATE(B131,-12),Data!$A:$AX,MATCH($N$1,Data!$A$1:$AX$1,),))/VLOOKUP(EDATE(B131,-12),Data!$A:$AX,MATCH($N$1,Data!$A$1:$AX$1,),)</f>
        <v/>
      </c>
      <c r="O131" s="20">
        <f>IF(VLOOKUP(B131,Data!$A:$AX,MATCH($O$1,Data!$A$1:$AX$1,))=0,#N/A,(VLOOKUP(B131,Data!$A:$AX,MATCH($O$1,Data!$A$1:$AX$1,),)-VLOOKUP(EDATE(B131,-12),Data!$A:$AX,MATCH($O$1,Data!$A$1:$AX$1,),))/VLOOKUP(EDATE(B131,-12),Data!$A:$AX,MATCH($O$1,Data!$A$1:$AX$1,),))</f>
        <v/>
      </c>
      <c r="P131" s="20">
        <f>IF(VLOOKUP(B131,Data!$A:$AX,MATCH($P$1,Data!$A$1:$AX$1,))=0,#N/A,(VLOOKUP(B131,Data!$A:$AX,MATCH($P$1,Data!$A$1:$AX$1,),)-VLOOKUP(EDATE(B131,-12),Data!$A:$AX,MATCH($P$1,Data!$A$1:$AX$1,),))/VLOOKUP(EDATE(B131,-12),Data!$A:$AX,MATCH($P$1,Data!$A$1:$AX$1,),))</f>
        <v/>
      </c>
      <c r="Q131" s="20">
        <f>(VLOOKUP(B131,Data!$A:$AX,MATCH($Q$1,Data!$A$1:$AX$1,),)-VLOOKUP(EDATE(B131,-12),Data!$A:$AX,MATCH($Q$1,Data!$A$1:$AX$1,),))/VLOOKUP(EDATE(B131,-12),Data!$A:$AX,MATCH($Q$1,Data!$A$1:$AX$1,),)</f>
        <v/>
      </c>
      <c r="R131" s="20">
        <f>IF(VLOOKUP(B131,Data!$A:$AX,MATCH($R$1,Data!$A$1:$AX$1,))=0,#N/A,(VLOOKUP(B131,Data!$A:$AX,MATCH($R$1,Data!$A$1:$AX$1,),)-VLOOKUP(EDATE(B131,-12),Data!$A:$AX,MATCH($R$1,Data!$A$1:$AX$1,),))/VLOOKUP(EDATE(B131,-12),Data!$A:$AX,MATCH($R$1,Data!$A$1:$AX$1,),))</f>
        <v/>
      </c>
      <c r="S131" s="20">
        <f>IF(VLOOKUP(B131,Data!$A:$AX,MATCH($S$1,Data!$A$1:$AX$1,))=0,#N/A,(VLOOKUP(B131,Data!$A:$AX,MATCH($S$1,Data!$A$1:$AX$1,),)-VLOOKUP(EDATE(B131,-12),Data!$A:$AX,MATCH($S$1,Data!$A$1:$AX$1,),))/VLOOKUP(EDATE(B131,-12),Data!$A:$AX,MATCH($S$1,Data!$A$1:$AX$1,),))</f>
        <v/>
      </c>
      <c r="T131" s="20">
        <f>IF(VLOOKUP(B131,Data!$A:$AX,MATCH($T$1,Data!$A$1:$AX$1,))=0,#N/A,(VLOOKUP(B131,Data!$A:$AX,MATCH($T$1,Data!$A$1:$AX$1,),)-VLOOKUP(EDATE(B131,-12),Data!$A:$AX,MATCH($T$1,Data!$A$1:$AX$1,),))/VLOOKUP(EDATE(B131,-12),Data!$A:$AX,MATCH($T$1,Data!$A$1:$AX$1,),))</f>
        <v/>
      </c>
      <c r="U131" s="20">
        <f>IF(VLOOKUP(B131,Data!$A:$AX,MATCH($U$1,Data!$A$1:$AX$1,))=0,#N/A,(VLOOKUP(B131,Data!$A:$AX,MATCH($U$1,Data!$A$1:$AX$1,),)-VLOOKUP(EDATE(B131,-12),Data!$A:$AX,MATCH($U$1,Data!$A$1:$AX$1,),))/VLOOKUP(EDATE(B131,-12),Data!$A:$AX,MATCH($U$1,Data!$A$1:$AX$1,),))</f>
        <v/>
      </c>
      <c r="V131" s="20">
        <f>(VLOOKUP(B131,Data!$A:$AX,MATCH($V$1,Data!$A$1:$AX$1,),)-VLOOKUP(EDATE(B131,-12),Data!$A:$AX,MATCH($V$1,Data!$A$1:$AX$1,),))/VLOOKUP(EDATE(B131,-12),Data!$A:$AX,MATCH($V$1,Data!$A$1:$AX$1,),)</f>
        <v/>
      </c>
      <c r="W131" s="20">
        <f>IF(VLOOKUP(B131,Data!$A:$AX,MATCH($W$1,Data!$A$1:$AX$1,))=0,#N/A,(VLOOKUP(B131,Data!$A:$AX,MATCH($W$1,Data!$A$1:$AX$1,),)-VLOOKUP(EDATE(B131,-12),Data!$A:$AX,MATCH($W$1,Data!$A$1:$AX$1,),))/VLOOKUP(EDATE(B131,-12),Data!$A:$AX,MATCH($W$1,Data!$A$1:$AX$1,),))</f>
        <v/>
      </c>
      <c r="X131" s="20">
        <f>IF(VLOOKUP(B131,Data!$A:$AX,MATCH($X$1,Data!$A$1:$AX$1,))=0,#N/A,(VLOOKUP(B131,Data!$A:$AX,MATCH($X$1,Data!$A$1:$AX$1,),)-VLOOKUP(EDATE(B131,-12),Data!$A:$AX,MATCH($X$1,Data!$A$1:$AX$1,),))/VLOOKUP(EDATE(B131,-12),Data!$A:$AX,MATCH($X$1,Data!$A$1:$AX$1,),))</f>
        <v/>
      </c>
      <c r="Y131" s="20">
        <f>IF(VLOOKUP(B131,Data!$A:$AX,MATCH($Y$1,Data!$A$1:$AX$1,))=0,#N/A,(VLOOKUP(B131,Data!$A:$AX,MATCH($Y$1,Data!$A$1:$AX$1,),)-VLOOKUP(EDATE(B131,-12),Data!$A:$AX,MATCH($Y$1,Data!$A$1:$AX$1,),))/VLOOKUP(EDATE(B131,-12),Data!$A:$AX,MATCH($Y$1,Data!$A$1:$AX$1,),))</f>
        <v/>
      </c>
    </row>
    <row r="132" customFormat="1" s="78">
      <c r="B132" s="15" t="n">
        <v>44228</v>
      </c>
      <c r="C132" s="20">
        <f>IF(VLOOKUP(B132,Data!$A:$AX,MATCH($C$1,Data!$A$1:$AX$1,))=0,#N/A,(VLOOKUP(B132,Data!$A:$AX,MATCH($C$1,Data!$A$1:$AX$1,),)-VLOOKUP(EDATE(B132,-12),Data!$A:$AX,MATCH($C$1,Data!$A$1:$AX$1,),))/VLOOKUP(EDATE(B132,-12),Data!$A:$AX,MATCH($C$1,Data!$A$1:$AX$1,),))</f>
        <v/>
      </c>
      <c r="D132" s="20">
        <f>IF(VLOOKUP(B132,Data!$A:$AX,MATCH($D$1,Data!$A$1:$AX$1,))=0,#N/A,(VLOOKUP(B132,Data!$A:$AX,MATCH($D$1,Data!$A$1:$AX$1,),)-VLOOKUP(EDATE(B132,-12),Data!$A:$AX,MATCH($D$1,Data!$A$1:$AX$1,),))/VLOOKUP(EDATE(B132,-12),Data!$A:$AX,MATCH($D$1,Data!$A$1:$AX$1,),))</f>
        <v/>
      </c>
      <c r="E132" s="20">
        <f>IF(VLOOKUP(B132,Data!$A:$AX,MATCH($E$1,Data!$A$1:$AX$1,))=0,#N/A,(VLOOKUP(B132,Data!$A:$AX,MATCH($E$1,Data!$A$1:$AX$1,),)-VLOOKUP(EDATE(B132,-12),Data!$A:$AX,MATCH($E$1,Data!$A$1:$AX$1,),))/VLOOKUP(EDATE(B132,-12),Data!$A:$AX,MATCH($E$1,Data!$A$1:$AX$1,),))</f>
        <v/>
      </c>
      <c r="F132" s="20">
        <f>IF(VLOOKUP(B132,Data!$A:$AX,MATCH($F$1,Data!$A$1:$AX$1,))=0,#N/A,(VLOOKUP(B132,Data!$A:$AX,MATCH($F$1,Data!$A$1:$AX$1,),)-VLOOKUP(EDATE(B132,-12),Data!$A:$AX,MATCH($F$1,Data!$A$1:$AX$1,),))/VLOOKUP(EDATE(B132,-12),Data!$A:$AX,MATCH($F$1,Data!$A$1:$AX$1,),))</f>
        <v/>
      </c>
      <c r="G132" s="20">
        <f>IF(VLOOKUP(B132,Data!$A:$AX,MATCH($G$1,Data!$A$1:$AX$1,))=0,#N/A,(VLOOKUP(B132,Data!$A:$AX,MATCH($G$1,Data!$A$1:$AX$1,),)-VLOOKUP(EDATE(B132,-12),Data!$A:$AX,MATCH($G$1,Data!$A$1:$AX$1,),))/VLOOKUP(EDATE(B132,-12),Data!$A:$AX,MATCH($G$1,Data!$A$1:$AX$1,),))</f>
        <v/>
      </c>
      <c r="H132" s="20">
        <f>IF(VLOOKUP(B132,Data!$A:$AX,MATCH($H$1,Data!$A$1:$AX$1,))=0,#N/A,(VLOOKUP(B132,Data!$A:$AX,MATCH($H$1,Data!$A$1:$AX$1,),)-VLOOKUP(EDATE(B132,-12),Data!$A:$AX,MATCH($H$1,Data!$A$1:$AX$1,),))/VLOOKUP(EDATE(B132,-12),Data!$A:$AX,MATCH($H$1,Data!$A$1:$AX$1,),))</f>
        <v/>
      </c>
      <c r="I132" s="20">
        <f>IF(VLOOKUP(B132,Data!$A:$AX,MATCH($I$1,Data!$A$1:$AX$1,))=0,#N/A,(VLOOKUP(B132,Data!$A:$AX,MATCH($I$1,Data!$A$1:$AX$1,),)-VLOOKUP(EDATE(B132,-12),Data!$A:$AX,MATCH($I$1,Data!$A$1:$AX$1,),))/VLOOKUP(EDATE(B132,-12),Data!$A:$AX,MATCH($I$1,Data!$A$1:$AX$1,),))</f>
        <v/>
      </c>
      <c r="J132" s="20">
        <f>IF(VLOOKUP(B132,Data!$A:$AX,MATCH($J$1,Data!$A$1:$AX$1,))=0,#N/A,(VLOOKUP(B132,Data!$A:$AX,MATCH($J$1,Data!$A$1:$AX$1,),)-VLOOKUP(EDATE(B132,-12),Data!$A:$AX,MATCH($J$1,Data!$A$1:$AX$1,),))/VLOOKUP(EDATE(B132,-12),Data!$A:$AX,MATCH($J$1,Data!$A$1:$AX$1,),))</f>
        <v/>
      </c>
      <c r="K132" s="20">
        <f>IF(VLOOKUP(B132,Data!$A:$AX,MATCH($K$1,Data!$A$1:$AX$1,))=0,#N/A,(VLOOKUP(B132,Data!$A:$AX,MATCH($K$1,Data!$A$1:$AX$1,),)-VLOOKUP(EDATE(B132,-12),Data!$A:$AX,MATCH($K$1,Data!$A$1:$AX$1,),))/VLOOKUP(EDATE(B132,-12),Data!$A:$AX,MATCH($K$1,Data!$A$1:$AX$1,),))</f>
        <v/>
      </c>
      <c r="L132" s="20">
        <f>IF(VLOOKUP(B132,Data!$A:$AX,MATCH($L$1,Data!$A$1:$AX$1,))=0,#N/A,(VLOOKUP(B132,Data!$A:$AX,MATCH($L$1,Data!$A$1:$AX$1,),)-VLOOKUP(EDATE(B132,-12),Data!$A:$AX,MATCH($L$1,Data!$A$1:$AX$1,),))/VLOOKUP(EDATE(B132,-12),Data!$A:$AX,MATCH($L$1,Data!$A$1:$AX$1,),))</f>
        <v/>
      </c>
      <c r="M132" s="20">
        <f>IF(VLOOKUP(B132,Data!$A:$AX,MATCH($M$1,Data!$A$1:$AX$1,))=0,#N/A,(VLOOKUP(B132,Data!$A:$AX,MATCH($M$1,Data!$A$1:$AX$1,),)-VLOOKUP(EDATE(B132,-12),Data!$A:$AX,MATCH($M$1,Data!$A$1:$AX$1,),))/VLOOKUP(EDATE(B132,-12),Data!$A:$AX,MATCH($M$1,Data!$A$1:$AX$1,),))</f>
        <v/>
      </c>
      <c r="N132" s="20">
        <f>(VLOOKUP(B132,Data!$A:$AX,MATCH($N$1,Data!$A$1:$AX$1,),)-VLOOKUP(EDATE(B132,-12),Data!$A:$AX,MATCH($N$1,Data!$A$1:$AX$1,),))/VLOOKUP(EDATE(B132,-12),Data!$A:$AX,MATCH($N$1,Data!$A$1:$AX$1,),)</f>
        <v/>
      </c>
      <c r="O132" s="20">
        <f>IF(VLOOKUP(B132,Data!$A:$AX,MATCH($O$1,Data!$A$1:$AX$1,))=0,#N/A,(VLOOKUP(B132,Data!$A:$AX,MATCH($O$1,Data!$A$1:$AX$1,),)-VLOOKUP(EDATE(B132,-12),Data!$A:$AX,MATCH($O$1,Data!$A$1:$AX$1,),))/VLOOKUP(EDATE(B132,-12),Data!$A:$AX,MATCH($O$1,Data!$A$1:$AX$1,),))</f>
        <v/>
      </c>
      <c r="P132" s="20">
        <f>IF(VLOOKUP(B132,Data!$A:$AX,MATCH($P$1,Data!$A$1:$AX$1,))=0,#N/A,(VLOOKUP(B132,Data!$A:$AX,MATCH($P$1,Data!$A$1:$AX$1,),)-VLOOKUP(EDATE(B132,-12),Data!$A:$AX,MATCH($P$1,Data!$A$1:$AX$1,),))/VLOOKUP(EDATE(B132,-12),Data!$A:$AX,MATCH($P$1,Data!$A$1:$AX$1,),))</f>
        <v/>
      </c>
      <c r="Q132" s="20">
        <f>(VLOOKUP(B132,Data!$A:$AX,MATCH($Q$1,Data!$A$1:$AX$1,),)-VLOOKUP(EDATE(B132,-12),Data!$A:$AX,MATCH($Q$1,Data!$A$1:$AX$1,),))/VLOOKUP(EDATE(B132,-12),Data!$A:$AX,MATCH($Q$1,Data!$A$1:$AX$1,),)</f>
        <v/>
      </c>
      <c r="R132" s="20">
        <f>IF(VLOOKUP(B132,Data!$A:$AX,MATCH($R$1,Data!$A$1:$AX$1,))=0,#N/A,(VLOOKUP(B132,Data!$A:$AX,MATCH($R$1,Data!$A$1:$AX$1,),)-VLOOKUP(EDATE(B132,-12),Data!$A:$AX,MATCH($R$1,Data!$A$1:$AX$1,),))/VLOOKUP(EDATE(B132,-12),Data!$A:$AX,MATCH($R$1,Data!$A$1:$AX$1,),))</f>
        <v/>
      </c>
      <c r="S132" s="20">
        <f>IF(VLOOKUP(B132,Data!$A:$AX,MATCH($S$1,Data!$A$1:$AX$1,))=0,#N/A,(VLOOKUP(B132,Data!$A:$AX,MATCH($S$1,Data!$A$1:$AX$1,),)-VLOOKUP(EDATE(B132,-12),Data!$A:$AX,MATCH($S$1,Data!$A$1:$AX$1,),))/VLOOKUP(EDATE(B132,-12),Data!$A:$AX,MATCH($S$1,Data!$A$1:$AX$1,),))</f>
        <v/>
      </c>
      <c r="T132" s="20">
        <f>IF(VLOOKUP(B132,Data!$A:$AX,MATCH($T$1,Data!$A$1:$AX$1,))=0,#N/A,(VLOOKUP(B132,Data!$A:$AX,MATCH($T$1,Data!$A$1:$AX$1,),)-VLOOKUP(EDATE(B132,-12),Data!$A:$AX,MATCH($T$1,Data!$A$1:$AX$1,),))/VLOOKUP(EDATE(B132,-12),Data!$A:$AX,MATCH($T$1,Data!$A$1:$AX$1,),))</f>
        <v/>
      </c>
      <c r="U132" s="20">
        <f>IF(VLOOKUP(B132,Data!$A:$AX,MATCH($U$1,Data!$A$1:$AX$1,))=0,#N/A,(VLOOKUP(B132,Data!$A:$AX,MATCH($U$1,Data!$A$1:$AX$1,),)-VLOOKUP(EDATE(B132,-12),Data!$A:$AX,MATCH($U$1,Data!$A$1:$AX$1,),))/VLOOKUP(EDATE(B132,-12),Data!$A:$AX,MATCH($U$1,Data!$A$1:$AX$1,),))</f>
        <v/>
      </c>
      <c r="V132" s="20">
        <f>(VLOOKUP(B132,Data!$A:$AX,MATCH($V$1,Data!$A$1:$AX$1,),)-VLOOKUP(EDATE(B132,-12),Data!$A:$AX,MATCH($V$1,Data!$A$1:$AX$1,),))/VLOOKUP(EDATE(B132,-12),Data!$A:$AX,MATCH($V$1,Data!$A$1:$AX$1,),)</f>
        <v/>
      </c>
      <c r="W132" s="20">
        <f>IF(VLOOKUP(B132,Data!$A:$AX,MATCH($W$1,Data!$A$1:$AX$1,))=0,#N/A,(VLOOKUP(B132,Data!$A:$AX,MATCH($W$1,Data!$A$1:$AX$1,),)-VLOOKUP(EDATE(B132,-12),Data!$A:$AX,MATCH($W$1,Data!$A$1:$AX$1,),))/VLOOKUP(EDATE(B132,-12),Data!$A:$AX,MATCH($W$1,Data!$A$1:$AX$1,),))</f>
        <v/>
      </c>
      <c r="X132" s="20">
        <f>IF(VLOOKUP(B132,Data!$A:$AX,MATCH($X$1,Data!$A$1:$AX$1,))=0,#N/A,(VLOOKUP(B132,Data!$A:$AX,MATCH($X$1,Data!$A$1:$AX$1,),)-VLOOKUP(EDATE(B132,-12),Data!$A:$AX,MATCH($X$1,Data!$A$1:$AX$1,),))/VLOOKUP(EDATE(B132,-12),Data!$A:$AX,MATCH($X$1,Data!$A$1:$AX$1,),))</f>
        <v/>
      </c>
      <c r="Y132" s="20">
        <f>IF(VLOOKUP(B132,Data!$A:$AX,MATCH($Y$1,Data!$A$1:$AX$1,))=0,#N/A,(VLOOKUP(B132,Data!$A:$AX,MATCH($Y$1,Data!$A$1:$AX$1,),)-VLOOKUP(EDATE(B132,-12),Data!$A:$AX,MATCH($Y$1,Data!$A$1:$AX$1,),))/VLOOKUP(EDATE(B132,-12),Data!$A:$AX,MATCH($Y$1,Data!$A$1:$AX$1,),))</f>
        <v/>
      </c>
    </row>
    <row r="133" customFormat="1" s="78">
      <c r="B133" s="15" t="n">
        <v>44256</v>
      </c>
      <c r="C133" s="20">
        <f>IF(VLOOKUP(B133,Data!$A:$AX,MATCH($C$1,Data!$A$1:$AX$1,))=0,#N/A,(VLOOKUP(B133,Data!$A:$AX,MATCH($C$1,Data!$A$1:$AX$1,),)-VLOOKUP(EDATE(B133,-12),Data!$A:$AX,MATCH($C$1,Data!$A$1:$AX$1,),))/VLOOKUP(EDATE(B133,-12),Data!$A:$AX,MATCH($C$1,Data!$A$1:$AX$1,),))</f>
        <v/>
      </c>
      <c r="D133" s="20">
        <f>IF(VLOOKUP(B133,Data!$A:$AX,MATCH($D$1,Data!$A$1:$AX$1,))=0,#N/A,(VLOOKUP(B133,Data!$A:$AX,MATCH($D$1,Data!$A$1:$AX$1,),)-VLOOKUP(EDATE(B133,-12),Data!$A:$AX,MATCH($D$1,Data!$A$1:$AX$1,),))/VLOOKUP(EDATE(B133,-12),Data!$A:$AX,MATCH($D$1,Data!$A$1:$AX$1,),))</f>
        <v/>
      </c>
      <c r="E133" s="20">
        <f>IF(VLOOKUP(B133,Data!$A:$AX,MATCH($E$1,Data!$A$1:$AX$1,))=0,#N/A,(VLOOKUP(B133,Data!$A:$AX,MATCH($E$1,Data!$A$1:$AX$1,),)-VLOOKUP(EDATE(B133,-12),Data!$A:$AX,MATCH($E$1,Data!$A$1:$AX$1,),))/VLOOKUP(EDATE(B133,-12),Data!$A:$AX,MATCH($E$1,Data!$A$1:$AX$1,),))</f>
        <v/>
      </c>
      <c r="F133" s="20">
        <f>IF(VLOOKUP(B133,Data!$A:$AX,MATCH($F$1,Data!$A$1:$AX$1,))=0,#N/A,(VLOOKUP(B133,Data!$A:$AX,MATCH($F$1,Data!$A$1:$AX$1,),)-VLOOKUP(EDATE(B133,-12),Data!$A:$AX,MATCH($F$1,Data!$A$1:$AX$1,),))/VLOOKUP(EDATE(B133,-12),Data!$A:$AX,MATCH($F$1,Data!$A$1:$AX$1,),))</f>
        <v/>
      </c>
      <c r="G133" s="20">
        <f>IF(VLOOKUP(B133,Data!$A:$AX,MATCH($G$1,Data!$A$1:$AX$1,))=0,#N/A,(VLOOKUP(B133,Data!$A:$AX,MATCH($G$1,Data!$A$1:$AX$1,),)-VLOOKUP(EDATE(B133,-12),Data!$A:$AX,MATCH($G$1,Data!$A$1:$AX$1,),))/VLOOKUP(EDATE(B133,-12),Data!$A:$AX,MATCH($G$1,Data!$A$1:$AX$1,),))</f>
        <v/>
      </c>
      <c r="H133" s="20">
        <f>IF(VLOOKUP(B133,Data!$A:$AX,MATCH($H$1,Data!$A$1:$AX$1,))=0,#N/A,(VLOOKUP(B133,Data!$A:$AX,MATCH($H$1,Data!$A$1:$AX$1,),)-VLOOKUP(EDATE(B133,-12),Data!$A:$AX,MATCH($H$1,Data!$A$1:$AX$1,),))/VLOOKUP(EDATE(B133,-12),Data!$A:$AX,MATCH($H$1,Data!$A$1:$AX$1,),))</f>
        <v/>
      </c>
      <c r="I133" s="20">
        <f>IF(VLOOKUP(B133,Data!$A:$AX,MATCH($I$1,Data!$A$1:$AX$1,))=0,#N/A,(VLOOKUP(B133,Data!$A:$AX,MATCH($I$1,Data!$A$1:$AX$1,),)-VLOOKUP(EDATE(B133,-12),Data!$A:$AX,MATCH($I$1,Data!$A$1:$AX$1,),))/VLOOKUP(EDATE(B133,-12),Data!$A:$AX,MATCH($I$1,Data!$A$1:$AX$1,),))</f>
        <v/>
      </c>
      <c r="J133" s="20">
        <f>IF(VLOOKUP(B133,Data!$A:$AX,MATCH($J$1,Data!$A$1:$AX$1,))=0,#N/A,(VLOOKUP(B133,Data!$A:$AX,MATCH($J$1,Data!$A$1:$AX$1,),)-VLOOKUP(EDATE(B133,-12),Data!$A:$AX,MATCH($J$1,Data!$A$1:$AX$1,),))/VLOOKUP(EDATE(B133,-12),Data!$A:$AX,MATCH($J$1,Data!$A$1:$AX$1,),))</f>
        <v/>
      </c>
      <c r="K133" s="20">
        <f>IF(VLOOKUP(B133,Data!$A:$AX,MATCH($K$1,Data!$A$1:$AX$1,))=0,#N/A,(VLOOKUP(B133,Data!$A:$AX,MATCH($K$1,Data!$A$1:$AX$1,),)-VLOOKUP(EDATE(B133,-12),Data!$A:$AX,MATCH($K$1,Data!$A$1:$AX$1,),))/VLOOKUP(EDATE(B133,-12),Data!$A:$AX,MATCH($K$1,Data!$A$1:$AX$1,),))</f>
        <v/>
      </c>
      <c r="L133" s="20">
        <f>IF(VLOOKUP(B133,Data!$A:$AX,MATCH($L$1,Data!$A$1:$AX$1,))=0,#N/A,(VLOOKUP(B133,Data!$A:$AX,MATCH($L$1,Data!$A$1:$AX$1,),)-VLOOKUP(EDATE(B133,-12),Data!$A:$AX,MATCH($L$1,Data!$A$1:$AX$1,),))/VLOOKUP(EDATE(B133,-12),Data!$A:$AX,MATCH($L$1,Data!$A$1:$AX$1,),))</f>
        <v/>
      </c>
      <c r="M133" s="20">
        <f>IF(VLOOKUP(B133,Data!$A:$AX,MATCH($M$1,Data!$A$1:$AX$1,))=0,#N/A,(VLOOKUP(B133,Data!$A:$AX,MATCH($M$1,Data!$A$1:$AX$1,),)-VLOOKUP(EDATE(B133,-12),Data!$A:$AX,MATCH($M$1,Data!$A$1:$AX$1,),))/VLOOKUP(EDATE(B133,-12),Data!$A:$AX,MATCH($M$1,Data!$A$1:$AX$1,),))</f>
        <v/>
      </c>
      <c r="N133" s="20">
        <f>(VLOOKUP(B133,Data!$A:$AX,MATCH($N$1,Data!$A$1:$AX$1,),)-VLOOKUP(EDATE(B133,-12),Data!$A:$AX,MATCH($N$1,Data!$A$1:$AX$1,),))/VLOOKUP(EDATE(B133,-12),Data!$A:$AX,MATCH($N$1,Data!$A$1:$AX$1,),)</f>
        <v/>
      </c>
      <c r="O133" s="20">
        <f>IF(VLOOKUP(B133,Data!$A:$AX,MATCH($O$1,Data!$A$1:$AX$1,))=0,#N/A,(VLOOKUP(B133,Data!$A:$AX,MATCH($O$1,Data!$A$1:$AX$1,),)-VLOOKUP(EDATE(B133,-12),Data!$A:$AX,MATCH($O$1,Data!$A$1:$AX$1,),))/VLOOKUP(EDATE(B133,-12),Data!$A:$AX,MATCH($O$1,Data!$A$1:$AX$1,),))</f>
        <v/>
      </c>
      <c r="P133" s="20">
        <f>IF(VLOOKUP(B133,Data!$A:$AX,MATCH($P$1,Data!$A$1:$AX$1,))=0,#N/A,(VLOOKUP(B133,Data!$A:$AX,MATCH($P$1,Data!$A$1:$AX$1,),)-VLOOKUP(EDATE(B133,-12),Data!$A:$AX,MATCH($P$1,Data!$A$1:$AX$1,),))/VLOOKUP(EDATE(B133,-12),Data!$A:$AX,MATCH($P$1,Data!$A$1:$AX$1,),))</f>
        <v/>
      </c>
      <c r="Q133" s="20">
        <f>(VLOOKUP(B133,Data!$A:$AX,MATCH($Q$1,Data!$A$1:$AX$1,),)-VLOOKUP(EDATE(B133,-12),Data!$A:$AX,MATCH($Q$1,Data!$A$1:$AX$1,),))/VLOOKUP(EDATE(B133,-12),Data!$A:$AX,MATCH($Q$1,Data!$A$1:$AX$1,),)</f>
        <v/>
      </c>
      <c r="R133" s="20">
        <f>IF(VLOOKUP(B133,Data!$A:$AX,MATCH($R$1,Data!$A$1:$AX$1,))=0,#N/A,(VLOOKUP(B133,Data!$A:$AX,MATCH($R$1,Data!$A$1:$AX$1,),)-VLOOKUP(EDATE(B133,-12),Data!$A:$AX,MATCH($R$1,Data!$A$1:$AX$1,),))/VLOOKUP(EDATE(B133,-12),Data!$A:$AX,MATCH($R$1,Data!$A$1:$AX$1,),))</f>
        <v/>
      </c>
      <c r="S133" s="20">
        <f>IF(VLOOKUP(B133,Data!$A:$AX,MATCH($S$1,Data!$A$1:$AX$1,))=0,#N/A,(VLOOKUP(B133,Data!$A:$AX,MATCH($S$1,Data!$A$1:$AX$1,),)-VLOOKUP(EDATE(B133,-12),Data!$A:$AX,MATCH($S$1,Data!$A$1:$AX$1,),))/VLOOKUP(EDATE(B133,-12),Data!$A:$AX,MATCH($S$1,Data!$A$1:$AX$1,),))</f>
        <v/>
      </c>
      <c r="T133" s="20">
        <f>IF(VLOOKUP(B133,Data!$A:$AX,MATCH($T$1,Data!$A$1:$AX$1,))=0,#N/A,(VLOOKUP(B133,Data!$A:$AX,MATCH($T$1,Data!$A$1:$AX$1,),)-VLOOKUP(EDATE(B133,-12),Data!$A:$AX,MATCH($T$1,Data!$A$1:$AX$1,),))/VLOOKUP(EDATE(B133,-12),Data!$A:$AX,MATCH($T$1,Data!$A$1:$AX$1,),))</f>
        <v/>
      </c>
      <c r="U133" s="20">
        <f>IF(VLOOKUP(B133,Data!$A:$AX,MATCH($U$1,Data!$A$1:$AX$1,))=0,#N/A,(VLOOKUP(B133,Data!$A:$AX,MATCH($U$1,Data!$A$1:$AX$1,),)-VLOOKUP(EDATE(B133,-12),Data!$A:$AX,MATCH($U$1,Data!$A$1:$AX$1,),))/VLOOKUP(EDATE(B133,-12),Data!$A:$AX,MATCH($U$1,Data!$A$1:$AX$1,),))</f>
        <v/>
      </c>
      <c r="V133" s="20">
        <f>(VLOOKUP(B133,Data!$A:$AX,MATCH($V$1,Data!$A$1:$AX$1,),)-VLOOKUP(EDATE(B133,-12),Data!$A:$AX,MATCH($V$1,Data!$A$1:$AX$1,),))/VLOOKUP(EDATE(B133,-12),Data!$A:$AX,MATCH($V$1,Data!$A$1:$AX$1,),)</f>
        <v/>
      </c>
      <c r="W133" s="20">
        <f>IF(VLOOKUP(B133,Data!$A:$AX,MATCH($W$1,Data!$A$1:$AX$1,))=0,#N/A,(VLOOKUP(B133,Data!$A:$AX,MATCH($W$1,Data!$A$1:$AX$1,),)-VLOOKUP(EDATE(B133,-12),Data!$A:$AX,MATCH($W$1,Data!$A$1:$AX$1,),))/VLOOKUP(EDATE(B133,-12),Data!$A:$AX,MATCH($W$1,Data!$A$1:$AX$1,),))</f>
        <v/>
      </c>
      <c r="X133" s="20">
        <f>IF(VLOOKUP(B133,Data!$A:$AX,MATCH($X$1,Data!$A$1:$AX$1,))=0,#N/A,(VLOOKUP(B133,Data!$A:$AX,MATCH($X$1,Data!$A$1:$AX$1,),)-VLOOKUP(EDATE(B133,-12),Data!$A:$AX,MATCH($X$1,Data!$A$1:$AX$1,),))/VLOOKUP(EDATE(B133,-12),Data!$A:$AX,MATCH($X$1,Data!$A$1:$AX$1,),))</f>
        <v/>
      </c>
      <c r="Y133" s="20">
        <f>IF(VLOOKUP(B133,Data!$A:$AX,MATCH($Y$1,Data!$A$1:$AX$1,))=0,#N/A,(VLOOKUP(B133,Data!$A:$AX,MATCH($Y$1,Data!$A$1:$AX$1,),)-VLOOKUP(EDATE(B133,-12),Data!$A:$AX,MATCH($Y$1,Data!$A$1:$AX$1,),))/VLOOKUP(EDATE(B133,-12),Data!$A:$AX,MATCH($Y$1,Data!$A$1:$AX$1,),))</f>
        <v/>
      </c>
    </row>
    <row r="134" customFormat="1" s="78">
      <c r="B134" s="15" t="n">
        <v>44287</v>
      </c>
      <c r="C134" s="20">
        <f>IF(VLOOKUP(B134,Data!$A:$AX,MATCH($C$1,Data!$A$1:$AX$1,))=0,#N/A,(VLOOKUP(B134,Data!$A:$AX,MATCH($C$1,Data!$A$1:$AX$1,),)-VLOOKUP(EDATE(B134,-12),Data!$A:$AX,MATCH($C$1,Data!$A$1:$AX$1,),))/VLOOKUP(EDATE(B134,-12),Data!$A:$AX,MATCH($C$1,Data!$A$1:$AX$1,),))</f>
        <v/>
      </c>
      <c r="D134" s="20">
        <f>IF(VLOOKUP(B134,Data!$A:$AX,MATCH($D$1,Data!$A$1:$AX$1,))=0,#N/A,(VLOOKUP(B134,Data!$A:$AX,MATCH($D$1,Data!$A$1:$AX$1,),)-VLOOKUP(EDATE(B134,-12),Data!$A:$AX,MATCH($D$1,Data!$A$1:$AX$1,),))/VLOOKUP(EDATE(B134,-12),Data!$A:$AX,MATCH($D$1,Data!$A$1:$AX$1,),))</f>
        <v/>
      </c>
      <c r="E134" s="20">
        <f>IF(VLOOKUP(B134,Data!$A:$AX,MATCH($E$1,Data!$A$1:$AX$1,))=0,#N/A,(VLOOKUP(B134,Data!$A:$AX,MATCH($E$1,Data!$A$1:$AX$1,),)-VLOOKUP(EDATE(B134,-12),Data!$A:$AX,MATCH($E$1,Data!$A$1:$AX$1,),))/VLOOKUP(EDATE(B134,-12),Data!$A:$AX,MATCH($E$1,Data!$A$1:$AX$1,),))</f>
        <v/>
      </c>
      <c r="F134" s="20">
        <f>IF(VLOOKUP(B134,Data!$A:$AX,MATCH($F$1,Data!$A$1:$AX$1,))=0,#N/A,(VLOOKUP(B134,Data!$A:$AX,MATCH($F$1,Data!$A$1:$AX$1,),)-VLOOKUP(EDATE(B134,-12),Data!$A:$AX,MATCH($F$1,Data!$A$1:$AX$1,),))/VLOOKUP(EDATE(B134,-12),Data!$A:$AX,MATCH($F$1,Data!$A$1:$AX$1,),))</f>
        <v/>
      </c>
      <c r="G134" s="20">
        <f>IF(VLOOKUP(B134,Data!$A:$AX,MATCH($G$1,Data!$A$1:$AX$1,))=0,#N/A,(VLOOKUP(B134,Data!$A:$AX,MATCH($G$1,Data!$A$1:$AX$1,),)-VLOOKUP(EDATE(B134,-12),Data!$A:$AX,MATCH($G$1,Data!$A$1:$AX$1,),))/VLOOKUP(EDATE(B134,-12),Data!$A:$AX,MATCH($G$1,Data!$A$1:$AX$1,),))</f>
        <v/>
      </c>
      <c r="H134" s="20">
        <f>IF(VLOOKUP(B134,Data!$A:$AX,MATCH($H$1,Data!$A$1:$AX$1,))=0,#N/A,(VLOOKUP(B134,Data!$A:$AX,MATCH($H$1,Data!$A$1:$AX$1,),)-VLOOKUP(EDATE(B134,-12),Data!$A:$AX,MATCH($H$1,Data!$A$1:$AX$1,),))/VLOOKUP(EDATE(B134,-12),Data!$A:$AX,MATCH($H$1,Data!$A$1:$AX$1,),))</f>
        <v/>
      </c>
      <c r="I134" s="20">
        <f>IF(VLOOKUP(B134,Data!$A:$AX,MATCH($I$1,Data!$A$1:$AX$1,))=0,#N/A,(VLOOKUP(B134,Data!$A:$AX,MATCH($I$1,Data!$A$1:$AX$1,),)-VLOOKUP(EDATE(B134,-12),Data!$A:$AX,MATCH($I$1,Data!$A$1:$AX$1,),))/VLOOKUP(EDATE(B134,-12),Data!$A:$AX,MATCH($I$1,Data!$A$1:$AX$1,),))</f>
        <v/>
      </c>
      <c r="J134" s="20">
        <f>IF(VLOOKUP(B134,Data!$A:$AX,MATCH($J$1,Data!$A$1:$AX$1,))=0,#N/A,(VLOOKUP(B134,Data!$A:$AX,MATCH($J$1,Data!$A$1:$AX$1,),)-VLOOKUP(EDATE(B134,-12),Data!$A:$AX,MATCH($J$1,Data!$A$1:$AX$1,),))/VLOOKUP(EDATE(B134,-12),Data!$A:$AX,MATCH($J$1,Data!$A$1:$AX$1,),))</f>
        <v/>
      </c>
      <c r="K134" s="20">
        <f>IF(VLOOKUP(B134,Data!$A:$AX,MATCH($K$1,Data!$A$1:$AX$1,))=0,#N/A,(VLOOKUP(B134,Data!$A:$AX,MATCH($K$1,Data!$A$1:$AX$1,),)-VLOOKUP(EDATE(B134,-12),Data!$A:$AX,MATCH($K$1,Data!$A$1:$AX$1,),))/VLOOKUP(EDATE(B134,-12),Data!$A:$AX,MATCH($K$1,Data!$A$1:$AX$1,),))</f>
        <v/>
      </c>
      <c r="L134" s="20">
        <f>IF(VLOOKUP(B134,Data!$A:$AX,MATCH($L$1,Data!$A$1:$AX$1,))=0,#N/A,(VLOOKUP(B134,Data!$A:$AX,MATCH($L$1,Data!$A$1:$AX$1,),)-VLOOKUP(EDATE(B134,-12),Data!$A:$AX,MATCH($L$1,Data!$A$1:$AX$1,),))/VLOOKUP(EDATE(B134,-12),Data!$A:$AX,MATCH($L$1,Data!$A$1:$AX$1,),))</f>
        <v/>
      </c>
      <c r="M134" s="20">
        <f>IF(VLOOKUP(B134,Data!$A:$AX,MATCH($M$1,Data!$A$1:$AX$1,))=0,#N/A,(VLOOKUP(B134,Data!$A:$AX,MATCH($M$1,Data!$A$1:$AX$1,),)-VLOOKUP(EDATE(B134,-12),Data!$A:$AX,MATCH($M$1,Data!$A$1:$AX$1,),))/VLOOKUP(EDATE(B134,-12),Data!$A:$AX,MATCH($M$1,Data!$A$1:$AX$1,),))</f>
        <v/>
      </c>
      <c r="N134" s="20">
        <f>(VLOOKUP(B134,Data!$A:$AX,MATCH($N$1,Data!$A$1:$AX$1,),)-VLOOKUP(EDATE(B134,-12),Data!$A:$AX,MATCH($N$1,Data!$A$1:$AX$1,),))/VLOOKUP(EDATE(B134,-12),Data!$A:$AX,MATCH($N$1,Data!$A$1:$AX$1,),)</f>
        <v/>
      </c>
      <c r="O134" s="20">
        <f>IF(VLOOKUP(B134,Data!$A:$AX,MATCH($O$1,Data!$A$1:$AX$1,))=0,#N/A,(VLOOKUP(B134,Data!$A:$AX,MATCH($O$1,Data!$A$1:$AX$1,),)-VLOOKUP(EDATE(B134,-12),Data!$A:$AX,MATCH($O$1,Data!$A$1:$AX$1,),))/VLOOKUP(EDATE(B134,-12),Data!$A:$AX,MATCH($O$1,Data!$A$1:$AX$1,),))</f>
        <v/>
      </c>
      <c r="P134" s="20">
        <f>IF(VLOOKUP(B134,Data!$A:$AX,MATCH($P$1,Data!$A$1:$AX$1,))=0,#N/A,(VLOOKUP(B134,Data!$A:$AX,MATCH($P$1,Data!$A$1:$AX$1,),)-VLOOKUP(EDATE(B134,-12),Data!$A:$AX,MATCH($P$1,Data!$A$1:$AX$1,),))/VLOOKUP(EDATE(B134,-12),Data!$A:$AX,MATCH($P$1,Data!$A$1:$AX$1,),))</f>
        <v/>
      </c>
      <c r="Q134" s="20">
        <f>(VLOOKUP(B134,Data!$A:$AX,MATCH($Q$1,Data!$A$1:$AX$1,),)-VLOOKUP(EDATE(B134,-12),Data!$A:$AX,MATCH($Q$1,Data!$A$1:$AX$1,),))/VLOOKUP(EDATE(B134,-12),Data!$A:$AX,MATCH($Q$1,Data!$A$1:$AX$1,),)</f>
        <v/>
      </c>
      <c r="R134" s="20">
        <f>IF(VLOOKUP(B134,Data!$A:$AX,MATCH($R$1,Data!$A$1:$AX$1,))=0,#N/A,(VLOOKUP(B134,Data!$A:$AX,MATCH($R$1,Data!$A$1:$AX$1,),)-VLOOKUP(EDATE(B134,-12),Data!$A:$AX,MATCH($R$1,Data!$A$1:$AX$1,),))/VLOOKUP(EDATE(B134,-12),Data!$A:$AX,MATCH($R$1,Data!$A$1:$AX$1,),))</f>
        <v/>
      </c>
      <c r="S134" s="20">
        <f>IF(VLOOKUP(B134,Data!$A:$AX,MATCH($S$1,Data!$A$1:$AX$1,))=0,#N/A,(VLOOKUP(B134,Data!$A:$AX,MATCH($S$1,Data!$A$1:$AX$1,),)-VLOOKUP(EDATE(B134,-12),Data!$A:$AX,MATCH($S$1,Data!$A$1:$AX$1,),))/VLOOKUP(EDATE(B134,-12),Data!$A:$AX,MATCH($S$1,Data!$A$1:$AX$1,),))</f>
        <v/>
      </c>
      <c r="T134" s="20">
        <f>IF(VLOOKUP(B134,Data!$A:$AX,MATCH($T$1,Data!$A$1:$AX$1,))=0,#N/A,(VLOOKUP(B134,Data!$A:$AX,MATCH($T$1,Data!$A$1:$AX$1,),)-VLOOKUP(EDATE(B134,-12),Data!$A:$AX,MATCH($T$1,Data!$A$1:$AX$1,),))/VLOOKUP(EDATE(B134,-12),Data!$A:$AX,MATCH($T$1,Data!$A$1:$AX$1,),))</f>
        <v/>
      </c>
      <c r="U134" s="20">
        <f>IF(VLOOKUP(B134,Data!$A:$AX,MATCH($U$1,Data!$A$1:$AX$1,))=0,#N/A,(VLOOKUP(B134,Data!$A:$AX,MATCH($U$1,Data!$A$1:$AX$1,),)-VLOOKUP(EDATE(B134,-12),Data!$A:$AX,MATCH($U$1,Data!$A$1:$AX$1,),))/VLOOKUP(EDATE(B134,-12),Data!$A:$AX,MATCH($U$1,Data!$A$1:$AX$1,),))</f>
        <v/>
      </c>
      <c r="V134" s="20">
        <f>(VLOOKUP(B134,Data!$A:$AX,MATCH($V$1,Data!$A$1:$AX$1,),)-VLOOKUP(EDATE(B134,-12),Data!$A:$AX,MATCH($V$1,Data!$A$1:$AX$1,),))/VLOOKUP(EDATE(B134,-12),Data!$A:$AX,MATCH($V$1,Data!$A$1:$AX$1,),)</f>
        <v/>
      </c>
      <c r="W134" s="20">
        <f>IF(VLOOKUP(B134,Data!$A:$AX,MATCH($W$1,Data!$A$1:$AX$1,))=0,#N/A,(VLOOKUP(B134,Data!$A:$AX,MATCH($W$1,Data!$A$1:$AX$1,),)-VLOOKUP(EDATE(B134,-12),Data!$A:$AX,MATCH($W$1,Data!$A$1:$AX$1,),))/VLOOKUP(EDATE(B134,-12),Data!$A:$AX,MATCH($W$1,Data!$A$1:$AX$1,),))</f>
        <v/>
      </c>
      <c r="X134" s="20">
        <f>IF(VLOOKUP(B134,Data!$A:$AX,MATCH($X$1,Data!$A$1:$AX$1,))=0,#N/A,(VLOOKUP(B134,Data!$A:$AX,MATCH($X$1,Data!$A$1:$AX$1,),)-VLOOKUP(EDATE(B134,-12),Data!$A:$AX,MATCH($X$1,Data!$A$1:$AX$1,),))/VLOOKUP(EDATE(B134,-12),Data!$A:$AX,MATCH($X$1,Data!$A$1:$AX$1,),))</f>
        <v/>
      </c>
      <c r="Y134" s="20">
        <f>IF(VLOOKUP(B134,Data!$A:$AX,MATCH($Y$1,Data!$A$1:$AX$1,))=0,#N/A,(VLOOKUP(B134,Data!$A:$AX,MATCH($Y$1,Data!$A$1:$AX$1,),)-VLOOKUP(EDATE(B134,-12),Data!$A:$AX,MATCH($Y$1,Data!$A$1:$AX$1,),))/VLOOKUP(EDATE(B134,-12),Data!$A:$AX,MATCH($Y$1,Data!$A$1:$AX$1,),))</f>
        <v/>
      </c>
    </row>
    <row r="135" customFormat="1" s="78">
      <c r="B135" s="15" t="n">
        <v>44317</v>
      </c>
      <c r="C135" s="20">
        <f>IF(VLOOKUP(B135,Data!$A:$AX,MATCH($C$1,Data!$A$1:$AX$1,))=0,#N/A,(VLOOKUP(B135,Data!$A:$AX,MATCH($C$1,Data!$A$1:$AX$1,),)-VLOOKUP(EDATE(B135,-12),Data!$A:$AX,MATCH($C$1,Data!$A$1:$AX$1,),))/VLOOKUP(EDATE(B135,-12),Data!$A:$AX,MATCH($C$1,Data!$A$1:$AX$1,),))</f>
        <v/>
      </c>
      <c r="D135" s="20">
        <f>IF(VLOOKUP(B135,Data!$A:$AX,MATCH($D$1,Data!$A$1:$AX$1,))=0,#N/A,(VLOOKUP(B135,Data!$A:$AX,MATCH($D$1,Data!$A$1:$AX$1,),)-VLOOKUP(EDATE(B135,-12),Data!$A:$AX,MATCH($D$1,Data!$A$1:$AX$1,),))/VLOOKUP(EDATE(B135,-12),Data!$A:$AX,MATCH($D$1,Data!$A$1:$AX$1,),))</f>
        <v/>
      </c>
      <c r="E135" s="20">
        <f>IF(VLOOKUP(B135,Data!$A:$AX,MATCH($E$1,Data!$A$1:$AX$1,))=0,#N/A,(VLOOKUP(B135,Data!$A:$AX,MATCH($E$1,Data!$A$1:$AX$1,),)-VLOOKUP(EDATE(B135,-12),Data!$A:$AX,MATCH($E$1,Data!$A$1:$AX$1,),))/VLOOKUP(EDATE(B135,-12),Data!$A:$AX,MATCH($E$1,Data!$A$1:$AX$1,),))</f>
        <v/>
      </c>
      <c r="F135" s="20">
        <f>IF(VLOOKUP(B135,Data!$A:$AX,MATCH($F$1,Data!$A$1:$AX$1,))=0,#N/A,(VLOOKUP(B135,Data!$A:$AX,MATCH($F$1,Data!$A$1:$AX$1,),)-VLOOKUP(EDATE(B135,-12),Data!$A:$AX,MATCH($F$1,Data!$A$1:$AX$1,),))/VLOOKUP(EDATE(B135,-12),Data!$A:$AX,MATCH($F$1,Data!$A$1:$AX$1,),))</f>
        <v/>
      </c>
      <c r="G135" s="20">
        <f>IF(VLOOKUP(B135,Data!$A:$AX,MATCH($G$1,Data!$A$1:$AX$1,))=0,#N/A,(VLOOKUP(B135,Data!$A:$AX,MATCH($G$1,Data!$A$1:$AX$1,),)-VLOOKUP(EDATE(B135,-12),Data!$A:$AX,MATCH($G$1,Data!$A$1:$AX$1,),))/VLOOKUP(EDATE(B135,-12),Data!$A:$AX,MATCH($G$1,Data!$A$1:$AX$1,),))</f>
        <v/>
      </c>
      <c r="H135" s="20">
        <f>IF(VLOOKUP(B135,Data!$A:$AX,MATCH($H$1,Data!$A$1:$AX$1,))=0,#N/A,(VLOOKUP(B135,Data!$A:$AX,MATCH($H$1,Data!$A$1:$AX$1,),)-VLOOKUP(EDATE(B135,-12),Data!$A:$AX,MATCH($H$1,Data!$A$1:$AX$1,),))/VLOOKUP(EDATE(B135,-12),Data!$A:$AX,MATCH($H$1,Data!$A$1:$AX$1,),))</f>
        <v/>
      </c>
      <c r="I135" s="20">
        <f>IF(VLOOKUP(B135,Data!$A:$AX,MATCH($I$1,Data!$A$1:$AX$1,))=0,#N/A,(VLOOKUP(B135,Data!$A:$AX,MATCH($I$1,Data!$A$1:$AX$1,),)-VLOOKUP(EDATE(B135,-12),Data!$A:$AX,MATCH($I$1,Data!$A$1:$AX$1,),))/VLOOKUP(EDATE(B135,-12),Data!$A:$AX,MATCH($I$1,Data!$A$1:$AX$1,),))</f>
        <v/>
      </c>
      <c r="J135" s="20">
        <f>IF(VLOOKUP(B135,Data!$A:$AX,MATCH($J$1,Data!$A$1:$AX$1,))=0,#N/A,(VLOOKUP(B135,Data!$A:$AX,MATCH($J$1,Data!$A$1:$AX$1,),)-VLOOKUP(EDATE(B135,-12),Data!$A:$AX,MATCH($J$1,Data!$A$1:$AX$1,),))/VLOOKUP(EDATE(B135,-12),Data!$A:$AX,MATCH($J$1,Data!$A$1:$AX$1,),))</f>
        <v/>
      </c>
      <c r="K135" s="20">
        <f>IF(VLOOKUP(B135,Data!$A:$AX,MATCH($K$1,Data!$A$1:$AX$1,))=0,#N/A,(VLOOKUP(B135,Data!$A:$AX,MATCH($K$1,Data!$A$1:$AX$1,),)-VLOOKUP(EDATE(B135,-12),Data!$A:$AX,MATCH($K$1,Data!$A$1:$AX$1,),))/VLOOKUP(EDATE(B135,-12),Data!$A:$AX,MATCH($K$1,Data!$A$1:$AX$1,),))</f>
        <v/>
      </c>
      <c r="L135" s="20">
        <f>IF(VLOOKUP(B135,Data!$A:$AX,MATCH($L$1,Data!$A$1:$AX$1,))=0,#N/A,(VLOOKUP(B135,Data!$A:$AX,MATCH($L$1,Data!$A$1:$AX$1,),)-VLOOKUP(EDATE(B135,-12),Data!$A:$AX,MATCH($L$1,Data!$A$1:$AX$1,),))/VLOOKUP(EDATE(B135,-12),Data!$A:$AX,MATCH($L$1,Data!$A$1:$AX$1,),))</f>
        <v/>
      </c>
      <c r="M135" s="20">
        <f>IF(VLOOKUP(B135,Data!$A:$AX,MATCH($M$1,Data!$A$1:$AX$1,))=0,#N/A,(VLOOKUP(B135,Data!$A:$AX,MATCH($M$1,Data!$A$1:$AX$1,),)-VLOOKUP(EDATE(B135,-12),Data!$A:$AX,MATCH($M$1,Data!$A$1:$AX$1,),))/VLOOKUP(EDATE(B135,-12),Data!$A:$AX,MATCH($M$1,Data!$A$1:$AX$1,),))</f>
        <v/>
      </c>
      <c r="N135" s="20">
        <f>(VLOOKUP(B135,Data!$A:$AX,MATCH($N$1,Data!$A$1:$AX$1,),)-VLOOKUP(EDATE(B135,-12),Data!$A:$AX,MATCH($N$1,Data!$A$1:$AX$1,),))/VLOOKUP(EDATE(B135,-12),Data!$A:$AX,MATCH($N$1,Data!$A$1:$AX$1,),)</f>
        <v/>
      </c>
      <c r="O135" s="20">
        <f>IF(VLOOKUP(B135,Data!$A:$AX,MATCH($O$1,Data!$A$1:$AX$1,))=0,#N/A,(VLOOKUP(B135,Data!$A:$AX,MATCH($O$1,Data!$A$1:$AX$1,),)-VLOOKUP(EDATE(B135,-12),Data!$A:$AX,MATCH($O$1,Data!$A$1:$AX$1,),))/VLOOKUP(EDATE(B135,-12),Data!$A:$AX,MATCH($O$1,Data!$A$1:$AX$1,),))</f>
        <v/>
      </c>
      <c r="P135" s="20">
        <f>IF(VLOOKUP(B135,Data!$A:$AX,MATCH($P$1,Data!$A$1:$AX$1,))=0,#N/A,(VLOOKUP(B135,Data!$A:$AX,MATCH($P$1,Data!$A$1:$AX$1,),)-VLOOKUP(EDATE(B135,-12),Data!$A:$AX,MATCH($P$1,Data!$A$1:$AX$1,),))/VLOOKUP(EDATE(B135,-12),Data!$A:$AX,MATCH($P$1,Data!$A$1:$AX$1,),))</f>
        <v/>
      </c>
      <c r="Q135" s="20">
        <f>(VLOOKUP(B135,Data!$A:$AX,MATCH($Q$1,Data!$A$1:$AX$1,),)-VLOOKUP(EDATE(B135,-12),Data!$A:$AX,MATCH($Q$1,Data!$A$1:$AX$1,),))/VLOOKUP(EDATE(B135,-12),Data!$A:$AX,MATCH($Q$1,Data!$A$1:$AX$1,),)</f>
        <v/>
      </c>
      <c r="R135" s="20">
        <f>IF(VLOOKUP(B135,Data!$A:$AX,MATCH($R$1,Data!$A$1:$AX$1,))=0,#N/A,(VLOOKUP(B135,Data!$A:$AX,MATCH($R$1,Data!$A$1:$AX$1,),)-VLOOKUP(EDATE(B135,-12),Data!$A:$AX,MATCH($R$1,Data!$A$1:$AX$1,),))/VLOOKUP(EDATE(B135,-12),Data!$A:$AX,MATCH($R$1,Data!$A$1:$AX$1,),))</f>
        <v/>
      </c>
      <c r="S135" s="20">
        <f>IF(VLOOKUP(B135,Data!$A:$AX,MATCH($S$1,Data!$A$1:$AX$1,))=0,#N/A,(VLOOKUP(B135,Data!$A:$AX,MATCH($S$1,Data!$A$1:$AX$1,),)-VLOOKUP(EDATE(B135,-12),Data!$A:$AX,MATCH($S$1,Data!$A$1:$AX$1,),))/VLOOKUP(EDATE(B135,-12),Data!$A:$AX,MATCH($S$1,Data!$A$1:$AX$1,),))</f>
        <v/>
      </c>
      <c r="T135" s="20">
        <f>IF(VLOOKUP(B135,Data!$A:$AX,MATCH($T$1,Data!$A$1:$AX$1,))=0,#N/A,(VLOOKUP(B135,Data!$A:$AX,MATCH($T$1,Data!$A$1:$AX$1,),)-VLOOKUP(EDATE(B135,-12),Data!$A:$AX,MATCH($T$1,Data!$A$1:$AX$1,),))/VLOOKUP(EDATE(B135,-12),Data!$A:$AX,MATCH($T$1,Data!$A$1:$AX$1,),))</f>
        <v/>
      </c>
      <c r="U135" s="20">
        <f>IF(VLOOKUP(B135,Data!$A:$AX,MATCH($U$1,Data!$A$1:$AX$1,))=0,#N/A,(VLOOKUP(B135,Data!$A:$AX,MATCH($U$1,Data!$A$1:$AX$1,),)-VLOOKUP(EDATE(B135,-12),Data!$A:$AX,MATCH($U$1,Data!$A$1:$AX$1,),))/VLOOKUP(EDATE(B135,-12),Data!$A:$AX,MATCH($U$1,Data!$A$1:$AX$1,),))</f>
        <v/>
      </c>
      <c r="V135" s="20">
        <f>(VLOOKUP(B135,Data!$A:$AX,MATCH($V$1,Data!$A$1:$AX$1,),)-VLOOKUP(EDATE(B135,-12),Data!$A:$AX,MATCH($V$1,Data!$A$1:$AX$1,),))/VLOOKUP(EDATE(B135,-12),Data!$A:$AX,MATCH($V$1,Data!$A$1:$AX$1,),)</f>
        <v/>
      </c>
      <c r="W135" s="20">
        <f>IF(VLOOKUP(B135,Data!$A:$AX,MATCH($W$1,Data!$A$1:$AX$1,))=0,#N/A,(VLOOKUP(B135,Data!$A:$AX,MATCH($W$1,Data!$A$1:$AX$1,),)-VLOOKUP(EDATE(B135,-12),Data!$A:$AX,MATCH($W$1,Data!$A$1:$AX$1,),))/VLOOKUP(EDATE(B135,-12),Data!$A:$AX,MATCH($W$1,Data!$A$1:$AX$1,),))</f>
        <v/>
      </c>
      <c r="X135" s="20">
        <f>IF(VLOOKUP(B135,Data!$A:$AX,MATCH($X$1,Data!$A$1:$AX$1,))=0,#N/A,(VLOOKUP(B135,Data!$A:$AX,MATCH($X$1,Data!$A$1:$AX$1,),)-VLOOKUP(EDATE(B135,-12),Data!$A:$AX,MATCH($X$1,Data!$A$1:$AX$1,),))/VLOOKUP(EDATE(B135,-12),Data!$A:$AX,MATCH($X$1,Data!$A$1:$AX$1,),))</f>
        <v/>
      </c>
      <c r="Y135" s="20">
        <f>IF(VLOOKUP(B135,Data!$A:$AX,MATCH($Y$1,Data!$A$1:$AX$1,))=0,#N/A,(VLOOKUP(B135,Data!$A:$AX,MATCH($Y$1,Data!$A$1:$AX$1,),)-VLOOKUP(EDATE(B135,-12),Data!$A:$AX,MATCH($Y$1,Data!$A$1:$AX$1,),))/VLOOKUP(EDATE(B135,-12),Data!$A:$AX,MATCH($Y$1,Data!$A$1:$AX$1,),))</f>
        <v/>
      </c>
    </row>
    <row r="136" customFormat="1" s="78">
      <c r="B136" s="15" t="n">
        <v>44348</v>
      </c>
      <c r="C136" s="20">
        <f>IF(VLOOKUP(B136,Data!$A:$AX,MATCH($C$1,Data!$A$1:$AX$1,))=0,#N/A,(VLOOKUP(B136,Data!$A:$AX,MATCH($C$1,Data!$A$1:$AX$1,),)-VLOOKUP(EDATE(B136,-12),Data!$A:$AX,MATCH($C$1,Data!$A$1:$AX$1,),))/VLOOKUP(EDATE(B136,-12),Data!$A:$AX,MATCH($C$1,Data!$A$1:$AX$1,),))</f>
        <v/>
      </c>
      <c r="D136" s="20">
        <f>IF(VLOOKUP(B136,Data!$A:$AX,MATCH($D$1,Data!$A$1:$AX$1,))=0,#N/A,(VLOOKUP(B136,Data!$A:$AX,MATCH($D$1,Data!$A$1:$AX$1,),)-VLOOKUP(EDATE(B136,-12),Data!$A:$AX,MATCH($D$1,Data!$A$1:$AX$1,),))/VLOOKUP(EDATE(B136,-12),Data!$A:$AX,MATCH($D$1,Data!$A$1:$AX$1,),))</f>
        <v/>
      </c>
      <c r="E136" s="20">
        <f>IF(VLOOKUP(B136,Data!$A:$AX,MATCH($E$1,Data!$A$1:$AX$1,))=0,#N/A,(VLOOKUP(B136,Data!$A:$AX,MATCH($E$1,Data!$A$1:$AX$1,),)-VLOOKUP(EDATE(B136,-12),Data!$A:$AX,MATCH($E$1,Data!$A$1:$AX$1,),))/VLOOKUP(EDATE(B136,-12),Data!$A:$AX,MATCH($E$1,Data!$A$1:$AX$1,),))</f>
        <v/>
      </c>
      <c r="F136" s="20">
        <f>IF(VLOOKUP(B136,Data!$A:$AX,MATCH($F$1,Data!$A$1:$AX$1,))=0,#N/A,(VLOOKUP(B136,Data!$A:$AX,MATCH($F$1,Data!$A$1:$AX$1,),)-VLOOKUP(EDATE(B136,-12),Data!$A:$AX,MATCH($F$1,Data!$A$1:$AX$1,),))/VLOOKUP(EDATE(B136,-12),Data!$A:$AX,MATCH($F$1,Data!$A$1:$AX$1,),))</f>
        <v/>
      </c>
      <c r="G136" s="20">
        <f>IF(VLOOKUP(B136,Data!$A:$AX,MATCH($G$1,Data!$A$1:$AX$1,))=0,#N/A,(VLOOKUP(B136,Data!$A:$AX,MATCH($G$1,Data!$A$1:$AX$1,),)-VLOOKUP(EDATE(B136,-12),Data!$A:$AX,MATCH($G$1,Data!$A$1:$AX$1,),))/VLOOKUP(EDATE(B136,-12),Data!$A:$AX,MATCH($G$1,Data!$A$1:$AX$1,),))</f>
        <v/>
      </c>
      <c r="H136" s="20">
        <f>IF(VLOOKUP(B136,Data!$A:$AX,MATCH($H$1,Data!$A$1:$AX$1,))=0,#N/A,(VLOOKUP(B136,Data!$A:$AX,MATCH($H$1,Data!$A$1:$AX$1,),)-VLOOKUP(EDATE(B136,-12),Data!$A:$AX,MATCH($H$1,Data!$A$1:$AX$1,),))/VLOOKUP(EDATE(B136,-12),Data!$A:$AX,MATCH($H$1,Data!$A$1:$AX$1,),))</f>
        <v/>
      </c>
      <c r="I136" s="20">
        <f>IF(VLOOKUP(B136,Data!$A:$AX,MATCH($I$1,Data!$A$1:$AX$1,))=0,#N/A,(VLOOKUP(B136,Data!$A:$AX,MATCH($I$1,Data!$A$1:$AX$1,),)-VLOOKUP(EDATE(B136,-12),Data!$A:$AX,MATCH($I$1,Data!$A$1:$AX$1,),))/VLOOKUP(EDATE(B136,-12),Data!$A:$AX,MATCH($I$1,Data!$A$1:$AX$1,),))</f>
        <v/>
      </c>
      <c r="J136" s="20">
        <f>IF(VLOOKUP(B136,Data!$A:$AX,MATCH($J$1,Data!$A$1:$AX$1,))=0,#N/A,(VLOOKUP(B136,Data!$A:$AX,MATCH($J$1,Data!$A$1:$AX$1,),)-VLOOKUP(EDATE(B136,-12),Data!$A:$AX,MATCH($J$1,Data!$A$1:$AX$1,),))/VLOOKUP(EDATE(B136,-12),Data!$A:$AX,MATCH($J$1,Data!$A$1:$AX$1,),))</f>
        <v/>
      </c>
      <c r="K136" s="20">
        <f>IF(VLOOKUP(B136,Data!$A:$AX,MATCH($K$1,Data!$A$1:$AX$1,))=0,#N/A,(VLOOKUP(B136,Data!$A:$AX,MATCH($K$1,Data!$A$1:$AX$1,),)-VLOOKUP(EDATE(B136,-12),Data!$A:$AX,MATCH($K$1,Data!$A$1:$AX$1,),))/VLOOKUP(EDATE(B136,-12),Data!$A:$AX,MATCH($K$1,Data!$A$1:$AX$1,),))</f>
        <v/>
      </c>
      <c r="L136" s="20">
        <f>IF(VLOOKUP(B136,Data!$A:$AX,MATCH($L$1,Data!$A$1:$AX$1,))=0,#N/A,(VLOOKUP(B136,Data!$A:$AX,MATCH($L$1,Data!$A$1:$AX$1,),)-VLOOKUP(EDATE(B136,-12),Data!$A:$AX,MATCH($L$1,Data!$A$1:$AX$1,),))/VLOOKUP(EDATE(B136,-12),Data!$A:$AX,MATCH($L$1,Data!$A$1:$AX$1,),))</f>
        <v/>
      </c>
      <c r="M136" s="20">
        <f>IF(VLOOKUP(B136,Data!$A:$AX,MATCH($M$1,Data!$A$1:$AX$1,))=0,#N/A,(VLOOKUP(B136,Data!$A:$AX,MATCH($M$1,Data!$A$1:$AX$1,),)-VLOOKUP(EDATE(B136,-12),Data!$A:$AX,MATCH($M$1,Data!$A$1:$AX$1,),))/VLOOKUP(EDATE(B136,-12),Data!$A:$AX,MATCH($M$1,Data!$A$1:$AX$1,),))</f>
        <v/>
      </c>
      <c r="N136" s="20">
        <f>(VLOOKUP(B136,Data!$A:$AX,MATCH($N$1,Data!$A$1:$AX$1,),)-VLOOKUP(EDATE(B136,-12),Data!$A:$AX,MATCH($N$1,Data!$A$1:$AX$1,),))/VLOOKUP(EDATE(B136,-12),Data!$A:$AX,MATCH($N$1,Data!$A$1:$AX$1,),)</f>
        <v/>
      </c>
      <c r="O136" s="20">
        <f>IF(VLOOKUP(B136,Data!$A:$AX,MATCH($O$1,Data!$A$1:$AX$1,))=0,#N/A,(VLOOKUP(B136,Data!$A:$AX,MATCH($O$1,Data!$A$1:$AX$1,),)-VLOOKUP(EDATE(B136,-12),Data!$A:$AX,MATCH($O$1,Data!$A$1:$AX$1,),))/VLOOKUP(EDATE(B136,-12),Data!$A:$AX,MATCH($O$1,Data!$A$1:$AX$1,),))</f>
        <v/>
      </c>
      <c r="P136" s="20">
        <f>IF(VLOOKUP(B136,Data!$A:$AX,MATCH($P$1,Data!$A$1:$AX$1,))=0,#N/A,(VLOOKUP(B136,Data!$A:$AX,MATCH($P$1,Data!$A$1:$AX$1,),)-VLOOKUP(EDATE(B136,-12),Data!$A:$AX,MATCH($P$1,Data!$A$1:$AX$1,),))/VLOOKUP(EDATE(B136,-12),Data!$A:$AX,MATCH($P$1,Data!$A$1:$AX$1,),))</f>
        <v/>
      </c>
      <c r="Q136" s="20">
        <f>(VLOOKUP(B136,Data!$A:$AX,MATCH($Q$1,Data!$A$1:$AX$1,),)-VLOOKUP(EDATE(B136,-12),Data!$A:$AX,MATCH($Q$1,Data!$A$1:$AX$1,),))/VLOOKUP(EDATE(B136,-12),Data!$A:$AX,MATCH($Q$1,Data!$A$1:$AX$1,),)</f>
        <v/>
      </c>
      <c r="R136" s="20">
        <f>IF(VLOOKUP(B136,Data!$A:$AX,MATCH($R$1,Data!$A$1:$AX$1,))=0,#N/A,(VLOOKUP(B136,Data!$A:$AX,MATCH($R$1,Data!$A$1:$AX$1,),)-VLOOKUP(EDATE(B136,-12),Data!$A:$AX,MATCH($R$1,Data!$A$1:$AX$1,),))/VLOOKUP(EDATE(B136,-12),Data!$A:$AX,MATCH($R$1,Data!$A$1:$AX$1,),))</f>
        <v/>
      </c>
      <c r="S136" s="20">
        <f>IF(VLOOKUP(B136,Data!$A:$AX,MATCH($S$1,Data!$A$1:$AX$1,))=0,#N/A,(VLOOKUP(B136,Data!$A:$AX,MATCH($S$1,Data!$A$1:$AX$1,),)-VLOOKUP(EDATE(B136,-12),Data!$A:$AX,MATCH($S$1,Data!$A$1:$AX$1,),))/VLOOKUP(EDATE(B136,-12),Data!$A:$AX,MATCH($S$1,Data!$A$1:$AX$1,),))</f>
        <v/>
      </c>
      <c r="T136" s="20">
        <f>IF(VLOOKUP(B136,Data!$A:$AX,MATCH($T$1,Data!$A$1:$AX$1,))=0,#N/A,(VLOOKUP(B136,Data!$A:$AX,MATCH($T$1,Data!$A$1:$AX$1,),)-VLOOKUP(EDATE(B136,-12),Data!$A:$AX,MATCH($T$1,Data!$A$1:$AX$1,),))/VLOOKUP(EDATE(B136,-12),Data!$A:$AX,MATCH($T$1,Data!$A$1:$AX$1,),))</f>
        <v/>
      </c>
      <c r="U136" s="20">
        <f>IF(VLOOKUP(B136,Data!$A:$AX,MATCH($U$1,Data!$A$1:$AX$1,))=0,#N/A,(VLOOKUP(B136,Data!$A:$AX,MATCH($U$1,Data!$A$1:$AX$1,),)-VLOOKUP(EDATE(B136,-12),Data!$A:$AX,MATCH($U$1,Data!$A$1:$AX$1,),))/VLOOKUP(EDATE(B136,-12),Data!$A:$AX,MATCH($U$1,Data!$A$1:$AX$1,),))</f>
        <v/>
      </c>
      <c r="V136" s="20">
        <f>(VLOOKUP(B136,Data!$A:$AX,MATCH($V$1,Data!$A$1:$AX$1,),)-VLOOKUP(EDATE(B136,-12),Data!$A:$AX,MATCH($V$1,Data!$A$1:$AX$1,),))/VLOOKUP(EDATE(B136,-12),Data!$A:$AX,MATCH($V$1,Data!$A$1:$AX$1,),)</f>
        <v/>
      </c>
      <c r="W136" s="20">
        <f>IF(VLOOKUP(B136,Data!$A:$AX,MATCH($W$1,Data!$A$1:$AX$1,))=0,#N/A,(VLOOKUP(B136,Data!$A:$AX,MATCH($W$1,Data!$A$1:$AX$1,),)-VLOOKUP(EDATE(B136,-12),Data!$A:$AX,MATCH($W$1,Data!$A$1:$AX$1,),))/VLOOKUP(EDATE(B136,-12),Data!$A:$AX,MATCH($W$1,Data!$A$1:$AX$1,),))</f>
        <v/>
      </c>
      <c r="X136" s="20">
        <f>IF(VLOOKUP(B136,Data!$A:$AX,MATCH($X$1,Data!$A$1:$AX$1,))=0,#N/A,(VLOOKUP(B136,Data!$A:$AX,MATCH($X$1,Data!$A$1:$AX$1,),)-VLOOKUP(EDATE(B136,-12),Data!$A:$AX,MATCH($X$1,Data!$A$1:$AX$1,),))/VLOOKUP(EDATE(B136,-12),Data!$A:$AX,MATCH($X$1,Data!$A$1:$AX$1,),))</f>
        <v/>
      </c>
      <c r="Y136" s="20">
        <f>IF(VLOOKUP(B136,Data!$A:$AX,MATCH($Y$1,Data!$A$1:$AX$1,))=0,#N/A,(VLOOKUP(B136,Data!$A:$AX,MATCH($Y$1,Data!$A$1:$AX$1,),)-VLOOKUP(EDATE(B136,-12),Data!$A:$AX,MATCH($Y$1,Data!$A$1:$AX$1,),))/VLOOKUP(EDATE(B136,-12),Data!$A:$AX,MATCH($Y$1,Data!$A$1:$AX$1,),))</f>
        <v/>
      </c>
    </row>
    <row r="137" customFormat="1" s="78">
      <c r="B137" s="15" t="n">
        <v>44378</v>
      </c>
      <c r="C137" s="20">
        <f>IF(VLOOKUP(B137,Data!$A:$AX,MATCH($C$1,Data!$A$1:$AX$1,))=0,#N/A,(VLOOKUP(B137,Data!$A:$AX,MATCH($C$1,Data!$A$1:$AX$1,),)-VLOOKUP(EDATE(B137,-12),Data!$A:$AX,MATCH($C$1,Data!$A$1:$AX$1,),))/VLOOKUP(EDATE(B137,-12),Data!$A:$AX,MATCH($C$1,Data!$A$1:$AX$1,),))</f>
        <v/>
      </c>
      <c r="D137" s="20">
        <f>IF(VLOOKUP(B137,Data!$A:$AX,MATCH($D$1,Data!$A$1:$AX$1,))=0,#N/A,(VLOOKUP(B137,Data!$A:$AX,MATCH($D$1,Data!$A$1:$AX$1,),)-VLOOKUP(EDATE(B137,-12),Data!$A:$AX,MATCH($D$1,Data!$A$1:$AX$1,),))/VLOOKUP(EDATE(B137,-12),Data!$A:$AX,MATCH($D$1,Data!$A$1:$AX$1,),))</f>
        <v/>
      </c>
      <c r="E137" s="20">
        <f>IF(VLOOKUP(B137,Data!$A:$AX,MATCH($E$1,Data!$A$1:$AX$1,))=0,#N/A,(VLOOKUP(B137,Data!$A:$AX,MATCH($E$1,Data!$A$1:$AX$1,),)-VLOOKUP(EDATE(B137,-12),Data!$A:$AX,MATCH($E$1,Data!$A$1:$AX$1,),))/VLOOKUP(EDATE(B137,-12),Data!$A:$AX,MATCH($E$1,Data!$A$1:$AX$1,),))</f>
        <v/>
      </c>
      <c r="F137" s="20">
        <f>IF(VLOOKUP(B137,Data!$A:$AX,MATCH($F$1,Data!$A$1:$AX$1,))=0,#N/A,(VLOOKUP(B137,Data!$A:$AX,MATCH($F$1,Data!$A$1:$AX$1,),)-VLOOKUP(EDATE(B137,-12),Data!$A:$AX,MATCH($F$1,Data!$A$1:$AX$1,),))/VLOOKUP(EDATE(B137,-12),Data!$A:$AX,MATCH($F$1,Data!$A$1:$AX$1,),))</f>
        <v/>
      </c>
      <c r="G137" s="20">
        <f>IF(VLOOKUP(B137,Data!$A:$AX,MATCH($G$1,Data!$A$1:$AX$1,))=0,#N/A,(VLOOKUP(B137,Data!$A:$AX,MATCH($G$1,Data!$A$1:$AX$1,),)-VLOOKUP(EDATE(B137,-12),Data!$A:$AX,MATCH($G$1,Data!$A$1:$AX$1,),))/VLOOKUP(EDATE(B137,-12),Data!$A:$AX,MATCH($G$1,Data!$A$1:$AX$1,),))</f>
        <v/>
      </c>
      <c r="H137" s="20">
        <f>IF(VLOOKUP(B137,Data!$A:$AX,MATCH($H$1,Data!$A$1:$AX$1,))=0,#N/A,(VLOOKUP(B137,Data!$A:$AX,MATCH($H$1,Data!$A$1:$AX$1,),)-VLOOKUP(EDATE(B137,-12),Data!$A:$AX,MATCH($H$1,Data!$A$1:$AX$1,),))/VLOOKUP(EDATE(B137,-12),Data!$A:$AX,MATCH($H$1,Data!$A$1:$AX$1,),))</f>
        <v/>
      </c>
      <c r="I137" s="20">
        <f>IF(VLOOKUP(B137,Data!$A:$AX,MATCH($I$1,Data!$A$1:$AX$1,))=0,#N/A,(VLOOKUP(B137,Data!$A:$AX,MATCH($I$1,Data!$A$1:$AX$1,),)-VLOOKUP(EDATE(B137,-12),Data!$A:$AX,MATCH($I$1,Data!$A$1:$AX$1,),))/VLOOKUP(EDATE(B137,-12),Data!$A:$AX,MATCH($I$1,Data!$A$1:$AX$1,),))</f>
        <v/>
      </c>
      <c r="J137" s="20">
        <f>IF(VLOOKUP(B137,Data!$A:$AX,MATCH($J$1,Data!$A$1:$AX$1,))=0,#N/A,(VLOOKUP(B137,Data!$A:$AX,MATCH($J$1,Data!$A$1:$AX$1,),)-VLOOKUP(EDATE(B137,-12),Data!$A:$AX,MATCH($J$1,Data!$A$1:$AX$1,),))/VLOOKUP(EDATE(B137,-12),Data!$A:$AX,MATCH($J$1,Data!$A$1:$AX$1,),))</f>
        <v/>
      </c>
      <c r="K137" s="20">
        <f>IF(VLOOKUP(B137,Data!$A:$AX,MATCH($K$1,Data!$A$1:$AX$1,))=0,#N/A,(VLOOKUP(B137,Data!$A:$AX,MATCH($K$1,Data!$A$1:$AX$1,),)-VLOOKUP(EDATE(B137,-12),Data!$A:$AX,MATCH($K$1,Data!$A$1:$AX$1,),))/VLOOKUP(EDATE(B137,-12),Data!$A:$AX,MATCH($K$1,Data!$A$1:$AX$1,),))</f>
        <v/>
      </c>
      <c r="L137" s="20">
        <f>IF(VLOOKUP(B137,Data!$A:$AX,MATCH($L$1,Data!$A$1:$AX$1,))=0,#N/A,(VLOOKUP(B137,Data!$A:$AX,MATCH($L$1,Data!$A$1:$AX$1,),)-VLOOKUP(EDATE(B137,-12),Data!$A:$AX,MATCH($L$1,Data!$A$1:$AX$1,),))/VLOOKUP(EDATE(B137,-12),Data!$A:$AX,MATCH($L$1,Data!$A$1:$AX$1,),))</f>
        <v/>
      </c>
      <c r="M137" s="20">
        <f>IF(VLOOKUP(B137,Data!$A:$AX,MATCH($M$1,Data!$A$1:$AX$1,))=0,#N/A,(VLOOKUP(B137,Data!$A:$AX,MATCH($M$1,Data!$A$1:$AX$1,),)-VLOOKUP(EDATE(B137,-12),Data!$A:$AX,MATCH($M$1,Data!$A$1:$AX$1,),))/VLOOKUP(EDATE(B137,-12),Data!$A:$AX,MATCH($M$1,Data!$A$1:$AX$1,),))</f>
        <v/>
      </c>
      <c r="N137" s="20">
        <f>(VLOOKUP(B137,Data!$A:$AX,MATCH($N$1,Data!$A$1:$AX$1,),)-VLOOKUP(EDATE(B137,-12),Data!$A:$AX,MATCH($N$1,Data!$A$1:$AX$1,),))/VLOOKUP(EDATE(B137,-12),Data!$A:$AX,MATCH($N$1,Data!$A$1:$AX$1,),)</f>
        <v/>
      </c>
      <c r="O137" s="20">
        <f>IF(VLOOKUP(B137,Data!$A:$AX,MATCH($O$1,Data!$A$1:$AX$1,))=0,#N/A,(VLOOKUP(B137,Data!$A:$AX,MATCH($O$1,Data!$A$1:$AX$1,),)-VLOOKUP(EDATE(B137,-12),Data!$A:$AX,MATCH($O$1,Data!$A$1:$AX$1,),))/VLOOKUP(EDATE(B137,-12),Data!$A:$AX,MATCH($O$1,Data!$A$1:$AX$1,),))</f>
        <v/>
      </c>
      <c r="P137" s="20">
        <f>IF(VLOOKUP(B137,Data!$A:$AX,MATCH($P$1,Data!$A$1:$AX$1,))=0,#N/A,(VLOOKUP(B137,Data!$A:$AX,MATCH($P$1,Data!$A$1:$AX$1,),)-VLOOKUP(EDATE(B137,-12),Data!$A:$AX,MATCH($P$1,Data!$A$1:$AX$1,),))/VLOOKUP(EDATE(B137,-12),Data!$A:$AX,MATCH($P$1,Data!$A$1:$AX$1,),))</f>
        <v/>
      </c>
      <c r="Q137" s="20">
        <f>(VLOOKUP(B137,Data!$A:$AX,MATCH($Q$1,Data!$A$1:$AX$1,),)-VLOOKUP(EDATE(B137,-12),Data!$A:$AX,MATCH($Q$1,Data!$A$1:$AX$1,),))/VLOOKUP(EDATE(B137,-12),Data!$A:$AX,MATCH($Q$1,Data!$A$1:$AX$1,),)</f>
        <v/>
      </c>
      <c r="R137" s="20">
        <f>IF(VLOOKUP(B137,Data!$A:$AX,MATCH($R$1,Data!$A$1:$AX$1,))=0,#N/A,(VLOOKUP(B137,Data!$A:$AX,MATCH($R$1,Data!$A$1:$AX$1,),)-VLOOKUP(EDATE(B137,-12),Data!$A:$AX,MATCH($R$1,Data!$A$1:$AX$1,),))/VLOOKUP(EDATE(B137,-12),Data!$A:$AX,MATCH($R$1,Data!$A$1:$AX$1,),))</f>
        <v/>
      </c>
      <c r="S137" s="20">
        <f>IF(VLOOKUP(B137,Data!$A:$AX,MATCH($S$1,Data!$A$1:$AX$1,))=0,#N/A,(VLOOKUP(B137,Data!$A:$AX,MATCH($S$1,Data!$A$1:$AX$1,),)-VLOOKUP(EDATE(B137,-12),Data!$A:$AX,MATCH($S$1,Data!$A$1:$AX$1,),))/VLOOKUP(EDATE(B137,-12),Data!$A:$AX,MATCH($S$1,Data!$A$1:$AX$1,),))</f>
        <v/>
      </c>
      <c r="T137" s="20">
        <f>IF(VLOOKUP(B137,Data!$A:$AX,MATCH($T$1,Data!$A$1:$AX$1,))=0,#N/A,(VLOOKUP(B137,Data!$A:$AX,MATCH($T$1,Data!$A$1:$AX$1,),)-VLOOKUP(EDATE(B137,-12),Data!$A:$AX,MATCH($T$1,Data!$A$1:$AX$1,),))/VLOOKUP(EDATE(B137,-12),Data!$A:$AX,MATCH($T$1,Data!$A$1:$AX$1,),))</f>
        <v/>
      </c>
      <c r="U137" s="20">
        <f>IF(VLOOKUP(B137,Data!$A:$AX,MATCH($U$1,Data!$A$1:$AX$1,))=0,#N/A,(VLOOKUP(B137,Data!$A:$AX,MATCH($U$1,Data!$A$1:$AX$1,),)-VLOOKUP(EDATE(B137,-12),Data!$A:$AX,MATCH($U$1,Data!$A$1:$AX$1,),))/VLOOKUP(EDATE(B137,-12),Data!$A:$AX,MATCH($U$1,Data!$A$1:$AX$1,),))</f>
        <v/>
      </c>
      <c r="V137" s="20">
        <f>(VLOOKUP(B137,Data!$A:$AX,MATCH($V$1,Data!$A$1:$AX$1,),)-VLOOKUP(EDATE(B137,-12),Data!$A:$AX,MATCH($V$1,Data!$A$1:$AX$1,),))/VLOOKUP(EDATE(B137,-12),Data!$A:$AX,MATCH($V$1,Data!$A$1:$AX$1,),)</f>
        <v/>
      </c>
      <c r="W137" s="20">
        <f>IF(VLOOKUP(B137,Data!$A:$AX,MATCH($W$1,Data!$A$1:$AX$1,))=0,#N/A,(VLOOKUP(B137,Data!$A:$AX,MATCH($W$1,Data!$A$1:$AX$1,),)-VLOOKUP(EDATE(B137,-12),Data!$A:$AX,MATCH($W$1,Data!$A$1:$AX$1,),))/VLOOKUP(EDATE(B137,-12),Data!$A:$AX,MATCH($W$1,Data!$A$1:$AX$1,),))</f>
        <v/>
      </c>
      <c r="X137" s="20">
        <f>IF(VLOOKUP(B137,Data!$A:$AX,MATCH($X$1,Data!$A$1:$AX$1,))=0,#N/A,(VLOOKUP(B137,Data!$A:$AX,MATCH($X$1,Data!$A$1:$AX$1,),)-VLOOKUP(EDATE(B137,-12),Data!$A:$AX,MATCH($X$1,Data!$A$1:$AX$1,),))/VLOOKUP(EDATE(B137,-12),Data!$A:$AX,MATCH($X$1,Data!$A$1:$AX$1,),))</f>
        <v/>
      </c>
      <c r="Y137" s="20">
        <f>IF(VLOOKUP(B137,Data!$A:$AX,MATCH($Y$1,Data!$A$1:$AX$1,))=0,#N/A,(VLOOKUP(B137,Data!$A:$AX,MATCH($Y$1,Data!$A$1:$AX$1,),)-VLOOKUP(EDATE(B137,-12),Data!$A:$AX,MATCH($Y$1,Data!$A$1:$AX$1,),))/VLOOKUP(EDATE(B137,-12),Data!$A:$AX,MATCH($Y$1,Data!$A$1:$AX$1,),))</f>
        <v/>
      </c>
    </row>
    <row r="138" customFormat="1" s="78">
      <c r="B138" s="15" t="n">
        <v>44409</v>
      </c>
      <c r="C138" s="20">
        <f>IF(VLOOKUP(B138,Data!$A:$AX,MATCH($C$1,Data!$A$1:$AX$1,))=0,#N/A,(VLOOKUP(B138,Data!$A:$AX,MATCH($C$1,Data!$A$1:$AX$1,),)-VLOOKUP(EDATE(B138,-12),Data!$A:$AX,MATCH($C$1,Data!$A$1:$AX$1,),))/VLOOKUP(EDATE(B138,-12),Data!$A:$AX,MATCH($C$1,Data!$A$1:$AX$1,),))</f>
        <v/>
      </c>
      <c r="D138" s="20">
        <f>IF(VLOOKUP(B138,Data!$A:$AX,MATCH($D$1,Data!$A$1:$AX$1,))=0,#N/A,(VLOOKUP(B138,Data!$A:$AX,MATCH($D$1,Data!$A$1:$AX$1,),)-VLOOKUP(EDATE(B138,-12),Data!$A:$AX,MATCH($D$1,Data!$A$1:$AX$1,),))/VLOOKUP(EDATE(B138,-12),Data!$A:$AX,MATCH($D$1,Data!$A$1:$AX$1,),))</f>
        <v/>
      </c>
      <c r="E138" s="20">
        <f>IF(VLOOKUP(B138,Data!$A:$AX,MATCH($E$1,Data!$A$1:$AX$1,))=0,#N/A,(VLOOKUP(B138,Data!$A:$AX,MATCH($E$1,Data!$A$1:$AX$1,),)-VLOOKUP(EDATE(B138,-12),Data!$A:$AX,MATCH($E$1,Data!$A$1:$AX$1,),))/VLOOKUP(EDATE(B138,-12),Data!$A:$AX,MATCH($E$1,Data!$A$1:$AX$1,),))</f>
        <v/>
      </c>
      <c r="F138" s="20">
        <f>IF(VLOOKUP(B138,Data!$A:$AX,MATCH($F$1,Data!$A$1:$AX$1,))=0,#N/A,(VLOOKUP(B138,Data!$A:$AX,MATCH($F$1,Data!$A$1:$AX$1,),)-VLOOKUP(EDATE(B138,-12),Data!$A:$AX,MATCH($F$1,Data!$A$1:$AX$1,),))/VLOOKUP(EDATE(B138,-12),Data!$A:$AX,MATCH($F$1,Data!$A$1:$AX$1,),))</f>
        <v/>
      </c>
      <c r="G138" s="20">
        <f>IF(VLOOKUP(B138,Data!$A:$AX,MATCH($G$1,Data!$A$1:$AX$1,))=0,#N/A,(VLOOKUP(B138,Data!$A:$AX,MATCH($G$1,Data!$A$1:$AX$1,),)-VLOOKUP(EDATE(B138,-12),Data!$A:$AX,MATCH($G$1,Data!$A$1:$AX$1,),))/VLOOKUP(EDATE(B138,-12),Data!$A:$AX,MATCH($G$1,Data!$A$1:$AX$1,),))</f>
        <v/>
      </c>
      <c r="H138" s="20">
        <f>IF(VLOOKUP(B138,Data!$A:$AX,MATCH($H$1,Data!$A$1:$AX$1,))=0,#N/A,(VLOOKUP(B138,Data!$A:$AX,MATCH($H$1,Data!$A$1:$AX$1,),)-VLOOKUP(EDATE(B138,-12),Data!$A:$AX,MATCH($H$1,Data!$A$1:$AX$1,),))/VLOOKUP(EDATE(B138,-12),Data!$A:$AX,MATCH($H$1,Data!$A$1:$AX$1,),))</f>
        <v/>
      </c>
      <c r="I138" s="20">
        <f>IF(VLOOKUP(B138,Data!$A:$AX,MATCH($I$1,Data!$A$1:$AX$1,))=0,#N/A,(VLOOKUP(B138,Data!$A:$AX,MATCH($I$1,Data!$A$1:$AX$1,),)-VLOOKUP(EDATE(B138,-12),Data!$A:$AX,MATCH($I$1,Data!$A$1:$AX$1,),))/VLOOKUP(EDATE(B138,-12),Data!$A:$AX,MATCH($I$1,Data!$A$1:$AX$1,),))</f>
        <v/>
      </c>
      <c r="J138" s="20">
        <f>IF(VLOOKUP(B138,Data!$A:$AX,MATCH($J$1,Data!$A$1:$AX$1,))=0,#N/A,(VLOOKUP(B138,Data!$A:$AX,MATCH($J$1,Data!$A$1:$AX$1,),)-VLOOKUP(EDATE(B138,-12),Data!$A:$AX,MATCH($J$1,Data!$A$1:$AX$1,),))/VLOOKUP(EDATE(B138,-12),Data!$A:$AX,MATCH($J$1,Data!$A$1:$AX$1,),))</f>
        <v/>
      </c>
      <c r="K138" s="20">
        <f>IF(VLOOKUP(B138,Data!$A:$AX,MATCH($K$1,Data!$A$1:$AX$1,))=0,#N/A,(VLOOKUP(B138,Data!$A:$AX,MATCH($K$1,Data!$A$1:$AX$1,),)-VLOOKUP(EDATE(B138,-12),Data!$A:$AX,MATCH($K$1,Data!$A$1:$AX$1,),))/VLOOKUP(EDATE(B138,-12),Data!$A:$AX,MATCH($K$1,Data!$A$1:$AX$1,),))</f>
        <v/>
      </c>
      <c r="L138" s="20">
        <f>IF(VLOOKUP(B138,Data!$A:$AX,MATCH($L$1,Data!$A$1:$AX$1,))=0,#N/A,(VLOOKUP(B138,Data!$A:$AX,MATCH($L$1,Data!$A$1:$AX$1,),)-VLOOKUP(EDATE(B138,-12),Data!$A:$AX,MATCH($L$1,Data!$A$1:$AX$1,),))/VLOOKUP(EDATE(B138,-12),Data!$A:$AX,MATCH($L$1,Data!$A$1:$AX$1,),))</f>
        <v/>
      </c>
      <c r="M138" s="20">
        <f>IF(VLOOKUP(B138,Data!$A:$AX,MATCH($M$1,Data!$A$1:$AX$1,))=0,#N/A,(VLOOKUP(B138,Data!$A:$AX,MATCH($M$1,Data!$A$1:$AX$1,),)-VLOOKUP(EDATE(B138,-12),Data!$A:$AX,MATCH($M$1,Data!$A$1:$AX$1,),))/VLOOKUP(EDATE(B138,-12),Data!$A:$AX,MATCH($M$1,Data!$A$1:$AX$1,),))</f>
        <v/>
      </c>
      <c r="N138" s="20">
        <f>(VLOOKUP(B138,Data!$A:$AX,MATCH($N$1,Data!$A$1:$AX$1,),)-VLOOKUP(EDATE(B138,-12),Data!$A:$AX,MATCH($N$1,Data!$A$1:$AX$1,),))/VLOOKUP(EDATE(B138,-12),Data!$A:$AX,MATCH($N$1,Data!$A$1:$AX$1,),)</f>
        <v/>
      </c>
      <c r="O138" s="20">
        <f>IF(VLOOKUP(B138,Data!$A:$AX,MATCH($O$1,Data!$A$1:$AX$1,))=0,#N/A,(VLOOKUP(B138,Data!$A:$AX,MATCH($O$1,Data!$A$1:$AX$1,),)-VLOOKUP(EDATE(B138,-12),Data!$A:$AX,MATCH($O$1,Data!$A$1:$AX$1,),))/VLOOKUP(EDATE(B138,-12),Data!$A:$AX,MATCH($O$1,Data!$A$1:$AX$1,),))</f>
        <v/>
      </c>
      <c r="P138" s="20">
        <f>IF(VLOOKUP(B138,Data!$A:$AX,MATCH($P$1,Data!$A$1:$AX$1,))=0,#N/A,(VLOOKUP(B138,Data!$A:$AX,MATCH($P$1,Data!$A$1:$AX$1,),)-VLOOKUP(EDATE(B138,-12),Data!$A:$AX,MATCH($P$1,Data!$A$1:$AX$1,),))/VLOOKUP(EDATE(B138,-12),Data!$A:$AX,MATCH($P$1,Data!$A$1:$AX$1,),))</f>
        <v/>
      </c>
      <c r="Q138" s="20">
        <f>(VLOOKUP(B138,Data!$A:$AX,MATCH($Q$1,Data!$A$1:$AX$1,),)-VLOOKUP(EDATE(B138,-12),Data!$A:$AX,MATCH($Q$1,Data!$A$1:$AX$1,),))/VLOOKUP(EDATE(B138,-12),Data!$A:$AX,MATCH($Q$1,Data!$A$1:$AX$1,),)</f>
        <v/>
      </c>
      <c r="R138" s="20">
        <f>IF(VLOOKUP(B138,Data!$A:$AX,MATCH($R$1,Data!$A$1:$AX$1,))=0,#N/A,(VLOOKUP(B138,Data!$A:$AX,MATCH($R$1,Data!$A$1:$AX$1,),)-VLOOKUP(EDATE(B138,-12),Data!$A:$AX,MATCH($R$1,Data!$A$1:$AX$1,),))/VLOOKUP(EDATE(B138,-12),Data!$A:$AX,MATCH($R$1,Data!$A$1:$AX$1,),))</f>
        <v/>
      </c>
      <c r="S138" s="20">
        <f>IF(VLOOKUP(B138,Data!$A:$AX,MATCH($S$1,Data!$A$1:$AX$1,))=0,#N/A,(VLOOKUP(B138,Data!$A:$AX,MATCH($S$1,Data!$A$1:$AX$1,),)-VLOOKUP(EDATE(B138,-12),Data!$A:$AX,MATCH($S$1,Data!$A$1:$AX$1,),))/VLOOKUP(EDATE(B138,-12),Data!$A:$AX,MATCH($S$1,Data!$A$1:$AX$1,),))</f>
        <v/>
      </c>
      <c r="T138" s="20">
        <f>IF(VLOOKUP(B138,Data!$A:$AX,MATCH($T$1,Data!$A$1:$AX$1,))=0,#N/A,(VLOOKUP(B138,Data!$A:$AX,MATCH($T$1,Data!$A$1:$AX$1,),)-VLOOKUP(EDATE(B138,-12),Data!$A:$AX,MATCH($T$1,Data!$A$1:$AX$1,),))/VLOOKUP(EDATE(B138,-12),Data!$A:$AX,MATCH($T$1,Data!$A$1:$AX$1,),))</f>
        <v/>
      </c>
      <c r="U138" s="20">
        <f>IF(VLOOKUP(B138,Data!$A:$AX,MATCH($U$1,Data!$A$1:$AX$1,))=0,#N/A,(VLOOKUP(B138,Data!$A:$AX,MATCH($U$1,Data!$A$1:$AX$1,),)-VLOOKUP(EDATE(B138,-12),Data!$A:$AX,MATCH($U$1,Data!$A$1:$AX$1,),))/VLOOKUP(EDATE(B138,-12),Data!$A:$AX,MATCH($U$1,Data!$A$1:$AX$1,),))</f>
        <v/>
      </c>
      <c r="V138" s="20">
        <f>(VLOOKUP(B138,Data!$A:$AX,MATCH($V$1,Data!$A$1:$AX$1,),)-VLOOKUP(EDATE(B138,-12),Data!$A:$AX,MATCH($V$1,Data!$A$1:$AX$1,),))/VLOOKUP(EDATE(B138,-12),Data!$A:$AX,MATCH($V$1,Data!$A$1:$AX$1,),)</f>
        <v/>
      </c>
      <c r="W138" s="20">
        <f>IF(VLOOKUP(B138,Data!$A:$AX,MATCH($W$1,Data!$A$1:$AX$1,))=0,#N/A,(VLOOKUP(B138,Data!$A:$AX,MATCH($W$1,Data!$A$1:$AX$1,),)-VLOOKUP(EDATE(B138,-12),Data!$A:$AX,MATCH($W$1,Data!$A$1:$AX$1,),))/VLOOKUP(EDATE(B138,-12),Data!$A:$AX,MATCH($W$1,Data!$A$1:$AX$1,),))</f>
        <v/>
      </c>
      <c r="X138" s="20">
        <f>IF(VLOOKUP(B138,Data!$A:$AX,MATCH($X$1,Data!$A$1:$AX$1,))=0,#N/A,(VLOOKUP(B138,Data!$A:$AX,MATCH($X$1,Data!$A$1:$AX$1,),)-VLOOKUP(EDATE(B138,-12),Data!$A:$AX,MATCH($X$1,Data!$A$1:$AX$1,),))/VLOOKUP(EDATE(B138,-12),Data!$A:$AX,MATCH($X$1,Data!$A$1:$AX$1,),))</f>
        <v/>
      </c>
      <c r="Y138" s="20">
        <f>IF(VLOOKUP(B138,Data!$A:$AX,MATCH($Y$1,Data!$A$1:$AX$1,))=0,#N/A,(VLOOKUP(B138,Data!$A:$AX,MATCH($Y$1,Data!$A$1:$AX$1,),)-VLOOKUP(EDATE(B138,-12),Data!$A:$AX,MATCH($Y$1,Data!$A$1:$AX$1,),))/VLOOKUP(EDATE(B138,-12),Data!$A:$AX,MATCH($Y$1,Data!$A$1:$AX$1,),))</f>
        <v/>
      </c>
    </row>
    <row r="139" customFormat="1" s="78">
      <c r="B139" s="15" t="n">
        <v>44440</v>
      </c>
      <c r="C139" s="20">
        <f>IF(VLOOKUP(B139,Data!$A:$AX,MATCH($C$1,Data!$A$1:$AX$1,))=0,#N/A,(VLOOKUP(B139,Data!$A:$AX,MATCH($C$1,Data!$A$1:$AX$1,),)-VLOOKUP(EDATE(B139,-12),Data!$A:$AX,MATCH($C$1,Data!$A$1:$AX$1,),))/VLOOKUP(EDATE(B139,-12),Data!$A:$AX,MATCH($C$1,Data!$A$1:$AX$1,),))</f>
        <v/>
      </c>
      <c r="D139" s="20">
        <f>IF(VLOOKUP(B139,Data!$A:$AX,MATCH($D$1,Data!$A$1:$AX$1,))=0,#N/A,(VLOOKUP(B139,Data!$A:$AX,MATCH($D$1,Data!$A$1:$AX$1,),)-VLOOKUP(EDATE(B139,-12),Data!$A:$AX,MATCH($D$1,Data!$A$1:$AX$1,),))/VLOOKUP(EDATE(B139,-12),Data!$A:$AX,MATCH($D$1,Data!$A$1:$AX$1,),))</f>
        <v/>
      </c>
      <c r="E139" s="20">
        <f>IF(VLOOKUP(B139,Data!$A:$AX,MATCH($E$1,Data!$A$1:$AX$1,))=0,#N/A,(VLOOKUP(B139,Data!$A:$AX,MATCH($E$1,Data!$A$1:$AX$1,),)-VLOOKUP(EDATE(B139,-12),Data!$A:$AX,MATCH($E$1,Data!$A$1:$AX$1,),))/VLOOKUP(EDATE(B139,-12),Data!$A:$AX,MATCH($E$1,Data!$A$1:$AX$1,),))</f>
        <v/>
      </c>
      <c r="F139" s="20">
        <f>IF(VLOOKUP(B139,Data!$A:$AX,MATCH($F$1,Data!$A$1:$AX$1,))=0,#N/A,(VLOOKUP(B139,Data!$A:$AX,MATCH($F$1,Data!$A$1:$AX$1,),)-VLOOKUP(EDATE(B139,-12),Data!$A:$AX,MATCH($F$1,Data!$A$1:$AX$1,),))/VLOOKUP(EDATE(B139,-12),Data!$A:$AX,MATCH($F$1,Data!$A$1:$AX$1,),))</f>
        <v/>
      </c>
      <c r="G139" s="20">
        <f>IF(VLOOKUP(B139,Data!$A:$AX,MATCH($G$1,Data!$A$1:$AX$1,))=0,#N/A,(VLOOKUP(B139,Data!$A:$AX,MATCH($G$1,Data!$A$1:$AX$1,),)-VLOOKUP(EDATE(B139,-12),Data!$A:$AX,MATCH($G$1,Data!$A$1:$AX$1,),))/VLOOKUP(EDATE(B139,-12),Data!$A:$AX,MATCH($G$1,Data!$A$1:$AX$1,),))</f>
        <v/>
      </c>
      <c r="H139" s="20">
        <f>IF(VLOOKUP(B139,Data!$A:$AX,MATCH($H$1,Data!$A$1:$AX$1,))=0,#N/A,(VLOOKUP(B139,Data!$A:$AX,MATCH($H$1,Data!$A$1:$AX$1,),)-VLOOKUP(EDATE(B139,-12),Data!$A:$AX,MATCH($H$1,Data!$A$1:$AX$1,),))/VLOOKUP(EDATE(B139,-12),Data!$A:$AX,MATCH($H$1,Data!$A$1:$AX$1,),))</f>
        <v/>
      </c>
      <c r="I139" s="20">
        <f>IF(VLOOKUP(B139,Data!$A:$AX,MATCH($I$1,Data!$A$1:$AX$1,))=0,#N/A,(VLOOKUP(B139,Data!$A:$AX,MATCH($I$1,Data!$A$1:$AX$1,),)-VLOOKUP(EDATE(B139,-12),Data!$A:$AX,MATCH($I$1,Data!$A$1:$AX$1,),))/VLOOKUP(EDATE(B139,-12),Data!$A:$AX,MATCH($I$1,Data!$A$1:$AX$1,),))</f>
        <v/>
      </c>
      <c r="J139" s="20">
        <f>IF(VLOOKUP(B139,Data!$A:$AX,MATCH($J$1,Data!$A$1:$AX$1,))=0,#N/A,(VLOOKUP(B139,Data!$A:$AX,MATCH($J$1,Data!$A$1:$AX$1,),)-VLOOKUP(EDATE(B139,-12),Data!$A:$AX,MATCH($J$1,Data!$A$1:$AX$1,),))/VLOOKUP(EDATE(B139,-12),Data!$A:$AX,MATCH($J$1,Data!$A$1:$AX$1,),))</f>
        <v/>
      </c>
      <c r="K139" s="20">
        <f>IF(VLOOKUP(B139,Data!$A:$AX,MATCH($K$1,Data!$A$1:$AX$1,))=0,#N/A,(VLOOKUP(B139,Data!$A:$AX,MATCH($K$1,Data!$A$1:$AX$1,),)-VLOOKUP(EDATE(B139,-12),Data!$A:$AX,MATCH($K$1,Data!$A$1:$AX$1,),))/VLOOKUP(EDATE(B139,-12),Data!$A:$AX,MATCH($K$1,Data!$A$1:$AX$1,),))</f>
        <v/>
      </c>
      <c r="L139" s="20">
        <f>IF(VLOOKUP(B139,Data!$A:$AX,MATCH($L$1,Data!$A$1:$AX$1,))=0,#N/A,(VLOOKUP(B139,Data!$A:$AX,MATCH($L$1,Data!$A$1:$AX$1,),)-VLOOKUP(EDATE(B139,-12),Data!$A:$AX,MATCH($L$1,Data!$A$1:$AX$1,),))/VLOOKUP(EDATE(B139,-12),Data!$A:$AX,MATCH($L$1,Data!$A$1:$AX$1,),))</f>
        <v/>
      </c>
      <c r="M139" s="20">
        <f>IF(VLOOKUP(B139,Data!$A:$AX,MATCH($M$1,Data!$A$1:$AX$1,))=0,#N/A,(VLOOKUP(B139,Data!$A:$AX,MATCH($M$1,Data!$A$1:$AX$1,),)-VLOOKUP(EDATE(B139,-12),Data!$A:$AX,MATCH($M$1,Data!$A$1:$AX$1,),))/VLOOKUP(EDATE(B139,-12),Data!$A:$AX,MATCH($M$1,Data!$A$1:$AX$1,),))</f>
        <v/>
      </c>
      <c r="N139" s="20">
        <f>(VLOOKUP(B139,Data!$A:$AX,MATCH($N$1,Data!$A$1:$AX$1,),)-VLOOKUP(EDATE(B139,-12),Data!$A:$AX,MATCH($N$1,Data!$A$1:$AX$1,),))/VLOOKUP(EDATE(B139,-12),Data!$A:$AX,MATCH($N$1,Data!$A$1:$AX$1,),)</f>
        <v/>
      </c>
      <c r="O139" s="20">
        <f>IF(VLOOKUP(B139,Data!$A:$AX,MATCH($O$1,Data!$A$1:$AX$1,))=0,#N/A,(VLOOKUP(B139,Data!$A:$AX,MATCH($O$1,Data!$A$1:$AX$1,),)-VLOOKUP(EDATE(B139,-12),Data!$A:$AX,MATCH($O$1,Data!$A$1:$AX$1,),))/VLOOKUP(EDATE(B139,-12),Data!$A:$AX,MATCH($O$1,Data!$A$1:$AX$1,),))</f>
        <v/>
      </c>
      <c r="P139" s="20">
        <f>IF(VLOOKUP(B139,Data!$A:$AX,MATCH($P$1,Data!$A$1:$AX$1,))=0,#N/A,(VLOOKUP(B139,Data!$A:$AX,MATCH($P$1,Data!$A$1:$AX$1,),)-VLOOKUP(EDATE(B139,-12),Data!$A:$AX,MATCH($P$1,Data!$A$1:$AX$1,),))/VLOOKUP(EDATE(B139,-12),Data!$A:$AX,MATCH($P$1,Data!$A$1:$AX$1,),))</f>
        <v/>
      </c>
      <c r="Q139" s="20">
        <f>(VLOOKUP(B139,Data!$A:$AX,MATCH($Q$1,Data!$A$1:$AX$1,),)-VLOOKUP(EDATE(B139,-12),Data!$A:$AX,MATCH($Q$1,Data!$A$1:$AX$1,),))/VLOOKUP(EDATE(B139,-12),Data!$A:$AX,MATCH($Q$1,Data!$A$1:$AX$1,),)</f>
        <v/>
      </c>
      <c r="R139" s="20">
        <f>IF(VLOOKUP(B139,Data!$A:$AX,MATCH($R$1,Data!$A$1:$AX$1,))=0,#N/A,(VLOOKUP(B139,Data!$A:$AX,MATCH($R$1,Data!$A$1:$AX$1,),)-VLOOKUP(EDATE(B139,-12),Data!$A:$AX,MATCH($R$1,Data!$A$1:$AX$1,),))/VLOOKUP(EDATE(B139,-12),Data!$A:$AX,MATCH($R$1,Data!$A$1:$AX$1,),))</f>
        <v/>
      </c>
      <c r="S139" s="20">
        <f>IF(VLOOKUP(B139,Data!$A:$AX,MATCH($S$1,Data!$A$1:$AX$1,))=0,#N/A,(VLOOKUP(B139,Data!$A:$AX,MATCH($S$1,Data!$A$1:$AX$1,),)-VLOOKUP(EDATE(B139,-12),Data!$A:$AX,MATCH($S$1,Data!$A$1:$AX$1,),))/VLOOKUP(EDATE(B139,-12),Data!$A:$AX,MATCH($S$1,Data!$A$1:$AX$1,),))</f>
        <v/>
      </c>
      <c r="T139" s="20">
        <f>IF(VLOOKUP(B139,Data!$A:$AX,MATCH($T$1,Data!$A$1:$AX$1,))=0,#N/A,(VLOOKUP(B139,Data!$A:$AX,MATCH($T$1,Data!$A$1:$AX$1,),)-VLOOKUP(EDATE(B139,-12),Data!$A:$AX,MATCH($T$1,Data!$A$1:$AX$1,),))/VLOOKUP(EDATE(B139,-12),Data!$A:$AX,MATCH($T$1,Data!$A$1:$AX$1,),))</f>
        <v/>
      </c>
      <c r="U139" s="20">
        <f>IF(VLOOKUP(B139,Data!$A:$AX,MATCH($U$1,Data!$A$1:$AX$1,))=0,#N/A,(VLOOKUP(B139,Data!$A:$AX,MATCH($U$1,Data!$A$1:$AX$1,),)-VLOOKUP(EDATE(B139,-12),Data!$A:$AX,MATCH($U$1,Data!$A$1:$AX$1,),))/VLOOKUP(EDATE(B139,-12),Data!$A:$AX,MATCH($U$1,Data!$A$1:$AX$1,),))</f>
        <v/>
      </c>
      <c r="V139" s="20">
        <f>(VLOOKUP(B139,Data!$A:$AX,MATCH($V$1,Data!$A$1:$AX$1,),)-VLOOKUP(EDATE(B139,-12),Data!$A:$AX,MATCH($V$1,Data!$A$1:$AX$1,),))/VLOOKUP(EDATE(B139,-12),Data!$A:$AX,MATCH($V$1,Data!$A$1:$AX$1,),)</f>
        <v/>
      </c>
      <c r="W139" s="20">
        <f>IF(VLOOKUP(B139,Data!$A:$AX,MATCH($W$1,Data!$A$1:$AX$1,))=0,#N/A,(VLOOKUP(B139,Data!$A:$AX,MATCH($W$1,Data!$A$1:$AX$1,),)-VLOOKUP(EDATE(B139,-12),Data!$A:$AX,MATCH($W$1,Data!$A$1:$AX$1,),))/VLOOKUP(EDATE(B139,-12),Data!$A:$AX,MATCH($W$1,Data!$A$1:$AX$1,),))</f>
        <v/>
      </c>
      <c r="X139" s="20">
        <f>IF(VLOOKUP(B139,Data!$A:$AX,MATCH($X$1,Data!$A$1:$AX$1,))=0,#N/A,(VLOOKUP(B139,Data!$A:$AX,MATCH($X$1,Data!$A$1:$AX$1,),)-VLOOKUP(EDATE(B139,-12),Data!$A:$AX,MATCH($X$1,Data!$A$1:$AX$1,),))/VLOOKUP(EDATE(B139,-12),Data!$A:$AX,MATCH($X$1,Data!$A$1:$AX$1,),))</f>
        <v/>
      </c>
      <c r="Y139" s="20">
        <f>IF(VLOOKUP(B139,Data!$A:$AX,MATCH($Y$1,Data!$A$1:$AX$1,))=0,#N/A,(VLOOKUP(B139,Data!$A:$AX,MATCH($Y$1,Data!$A$1:$AX$1,),)-VLOOKUP(EDATE(B139,-12),Data!$A:$AX,MATCH($Y$1,Data!$A$1:$AX$1,),))/VLOOKUP(EDATE(B139,-12),Data!$A:$AX,MATCH($Y$1,Data!$A$1:$AX$1,),))</f>
        <v/>
      </c>
    </row>
    <row r="140" customFormat="1" s="78">
      <c r="B140" s="15" t="n">
        <v>44470</v>
      </c>
      <c r="C140" s="20">
        <f>IF(VLOOKUP(B140,Data!$A:$AX,MATCH($C$1,Data!$A$1:$AX$1,))=0,#N/A,(VLOOKUP(B140,Data!$A:$AX,MATCH($C$1,Data!$A$1:$AX$1,),)-VLOOKUP(EDATE(B140,-12),Data!$A:$AX,MATCH($C$1,Data!$A$1:$AX$1,),))/VLOOKUP(EDATE(B140,-12),Data!$A:$AX,MATCH($C$1,Data!$A$1:$AX$1,),))</f>
        <v/>
      </c>
      <c r="D140" s="20">
        <f>IF(VLOOKUP(B140,Data!$A:$AX,MATCH($D$1,Data!$A$1:$AX$1,))=0,#N/A,(VLOOKUP(B140,Data!$A:$AX,MATCH($D$1,Data!$A$1:$AX$1,),)-VLOOKUP(EDATE(B140,-12),Data!$A:$AX,MATCH($D$1,Data!$A$1:$AX$1,),))/VLOOKUP(EDATE(B140,-12),Data!$A:$AX,MATCH($D$1,Data!$A$1:$AX$1,),))</f>
        <v/>
      </c>
      <c r="E140" s="20">
        <f>IF(VLOOKUP(B140,Data!$A:$AX,MATCH($E$1,Data!$A$1:$AX$1,))=0,#N/A,(VLOOKUP(B140,Data!$A:$AX,MATCH($E$1,Data!$A$1:$AX$1,),)-VLOOKUP(EDATE(B140,-12),Data!$A:$AX,MATCH($E$1,Data!$A$1:$AX$1,),))/VLOOKUP(EDATE(B140,-12),Data!$A:$AX,MATCH($E$1,Data!$A$1:$AX$1,),))</f>
        <v/>
      </c>
      <c r="F140" s="20">
        <f>IF(VLOOKUP(B140,Data!$A:$AX,MATCH($F$1,Data!$A$1:$AX$1,))=0,#N/A,(VLOOKUP(B140,Data!$A:$AX,MATCH($F$1,Data!$A$1:$AX$1,),)-VLOOKUP(EDATE(B140,-12),Data!$A:$AX,MATCH($F$1,Data!$A$1:$AX$1,),))/VLOOKUP(EDATE(B140,-12),Data!$A:$AX,MATCH($F$1,Data!$A$1:$AX$1,),))</f>
        <v/>
      </c>
      <c r="G140" s="20">
        <f>IF(VLOOKUP(B140,Data!$A:$AX,MATCH($G$1,Data!$A$1:$AX$1,))=0,#N/A,(VLOOKUP(B140,Data!$A:$AX,MATCH($G$1,Data!$A$1:$AX$1,),)-VLOOKUP(EDATE(B140,-12),Data!$A:$AX,MATCH($G$1,Data!$A$1:$AX$1,),))/VLOOKUP(EDATE(B140,-12),Data!$A:$AX,MATCH($G$1,Data!$A$1:$AX$1,),))</f>
        <v/>
      </c>
      <c r="H140" s="20">
        <f>IF(VLOOKUP(B140,Data!$A:$AX,MATCH($H$1,Data!$A$1:$AX$1,))=0,#N/A,(VLOOKUP(B140,Data!$A:$AX,MATCH($H$1,Data!$A$1:$AX$1,),)-VLOOKUP(EDATE(B140,-12),Data!$A:$AX,MATCH($H$1,Data!$A$1:$AX$1,),))/VLOOKUP(EDATE(B140,-12),Data!$A:$AX,MATCH($H$1,Data!$A$1:$AX$1,),))</f>
        <v/>
      </c>
      <c r="I140" s="20">
        <f>IF(VLOOKUP(B140,Data!$A:$AX,MATCH($I$1,Data!$A$1:$AX$1,))=0,#N/A,(VLOOKUP(B140,Data!$A:$AX,MATCH($I$1,Data!$A$1:$AX$1,),)-VLOOKUP(EDATE(B140,-12),Data!$A:$AX,MATCH($I$1,Data!$A$1:$AX$1,),))/VLOOKUP(EDATE(B140,-12),Data!$A:$AX,MATCH($I$1,Data!$A$1:$AX$1,),))</f>
        <v/>
      </c>
      <c r="J140" s="20">
        <f>IF(VLOOKUP(B140,Data!$A:$AX,MATCH($J$1,Data!$A$1:$AX$1,))=0,#N/A,(VLOOKUP(B140,Data!$A:$AX,MATCH($J$1,Data!$A$1:$AX$1,),)-VLOOKUP(EDATE(B140,-12),Data!$A:$AX,MATCH($J$1,Data!$A$1:$AX$1,),))/VLOOKUP(EDATE(B140,-12),Data!$A:$AX,MATCH($J$1,Data!$A$1:$AX$1,),))</f>
        <v/>
      </c>
      <c r="K140" s="20">
        <f>IF(VLOOKUP(B140,Data!$A:$AX,MATCH($K$1,Data!$A$1:$AX$1,))=0,#N/A,(VLOOKUP(B140,Data!$A:$AX,MATCH($K$1,Data!$A$1:$AX$1,),)-VLOOKUP(EDATE(B140,-12),Data!$A:$AX,MATCH($K$1,Data!$A$1:$AX$1,),))/VLOOKUP(EDATE(B140,-12),Data!$A:$AX,MATCH($K$1,Data!$A$1:$AX$1,),))</f>
        <v/>
      </c>
      <c r="L140" s="20">
        <f>IF(VLOOKUP(B140,Data!$A:$AX,MATCH($L$1,Data!$A$1:$AX$1,))=0,#N/A,(VLOOKUP(B140,Data!$A:$AX,MATCH($L$1,Data!$A$1:$AX$1,),)-VLOOKUP(EDATE(B140,-12),Data!$A:$AX,MATCH($L$1,Data!$A$1:$AX$1,),))/VLOOKUP(EDATE(B140,-12),Data!$A:$AX,MATCH($L$1,Data!$A$1:$AX$1,),))</f>
        <v/>
      </c>
      <c r="M140" s="20">
        <f>IF(VLOOKUP(B140,Data!$A:$AX,MATCH($M$1,Data!$A$1:$AX$1,))=0,#N/A,(VLOOKUP(B140,Data!$A:$AX,MATCH($M$1,Data!$A$1:$AX$1,),)-VLOOKUP(EDATE(B140,-12),Data!$A:$AX,MATCH($M$1,Data!$A$1:$AX$1,),))/VLOOKUP(EDATE(B140,-12),Data!$A:$AX,MATCH($M$1,Data!$A$1:$AX$1,),))</f>
        <v/>
      </c>
      <c r="N140" s="20">
        <f>(VLOOKUP(B140,Data!$A:$AX,MATCH($N$1,Data!$A$1:$AX$1,),)-VLOOKUP(EDATE(B140,-12),Data!$A:$AX,MATCH($N$1,Data!$A$1:$AX$1,),))/VLOOKUP(EDATE(B140,-12),Data!$A:$AX,MATCH($N$1,Data!$A$1:$AX$1,),)</f>
        <v/>
      </c>
      <c r="O140" s="20">
        <f>IF(VLOOKUP(B140,Data!$A:$AX,MATCH($O$1,Data!$A$1:$AX$1,))=0,#N/A,(VLOOKUP(B140,Data!$A:$AX,MATCH($O$1,Data!$A$1:$AX$1,),)-VLOOKUP(EDATE(B140,-12),Data!$A:$AX,MATCH($O$1,Data!$A$1:$AX$1,),))/VLOOKUP(EDATE(B140,-12),Data!$A:$AX,MATCH($O$1,Data!$A$1:$AX$1,),))</f>
        <v/>
      </c>
      <c r="P140" s="20">
        <f>IF(VLOOKUP(B140,Data!$A:$AX,MATCH($P$1,Data!$A$1:$AX$1,))=0,#N/A,(VLOOKUP(B140,Data!$A:$AX,MATCH($P$1,Data!$A$1:$AX$1,),)-VLOOKUP(EDATE(B140,-12),Data!$A:$AX,MATCH($P$1,Data!$A$1:$AX$1,),))/VLOOKUP(EDATE(B140,-12),Data!$A:$AX,MATCH($P$1,Data!$A$1:$AX$1,),))</f>
        <v/>
      </c>
      <c r="Q140" s="20">
        <f>(VLOOKUP(B140,Data!$A:$AX,MATCH($Q$1,Data!$A$1:$AX$1,),)-VLOOKUP(EDATE(B140,-12),Data!$A:$AX,MATCH($Q$1,Data!$A$1:$AX$1,),))/VLOOKUP(EDATE(B140,-12),Data!$A:$AX,MATCH($Q$1,Data!$A$1:$AX$1,),)</f>
        <v/>
      </c>
      <c r="R140" s="20">
        <f>IF(VLOOKUP(B140,Data!$A:$AX,MATCH($R$1,Data!$A$1:$AX$1,))=0,#N/A,(VLOOKUP(B140,Data!$A:$AX,MATCH($R$1,Data!$A$1:$AX$1,),)-VLOOKUP(EDATE(B140,-12),Data!$A:$AX,MATCH($R$1,Data!$A$1:$AX$1,),))/VLOOKUP(EDATE(B140,-12),Data!$A:$AX,MATCH($R$1,Data!$A$1:$AX$1,),))</f>
        <v/>
      </c>
      <c r="S140" s="20">
        <f>IF(VLOOKUP(B140,Data!$A:$AX,MATCH($S$1,Data!$A$1:$AX$1,))=0,#N/A,(VLOOKUP(B140,Data!$A:$AX,MATCH($S$1,Data!$A$1:$AX$1,),)-VLOOKUP(EDATE(B140,-12),Data!$A:$AX,MATCH($S$1,Data!$A$1:$AX$1,),))/VLOOKUP(EDATE(B140,-12),Data!$A:$AX,MATCH($S$1,Data!$A$1:$AX$1,),))</f>
        <v/>
      </c>
      <c r="T140" s="20">
        <f>IF(VLOOKUP(B140,Data!$A:$AX,MATCH($T$1,Data!$A$1:$AX$1,))=0,#N/A,(VLOOKUP(B140,Data!$A:$AX,MATCH($T$1,Data!$A$1:$AX$1,),)-VLOOKUP(EDATE(B140,-12),Data!$A:$AX,MATCH($T$1,Data!$A$1:$AX$1,),))/VLOOKUP(EDATE(B140,-12),Data!$A:$AX,MATCH($T$1,Data!$A$1:$AX$1,),))</f>
        <v/>
      </c>
      <c r="U140" s="20">
        <f>IF(VLOOKUP(B140,Data!$A:$AX,MATCH($U$1,Data!$A$1:$AX$1,))=0,#N/A,(VLOOKUP(B140,Data!$A:$AX,MATCH($U$1,Data!$A$1:$AX$1,),)-VLOOKUP(EDATE(B140,-12),Data!$A:$AX,MATCH($U$1,Data!$A$1:$AX$1,),))/VLOOKUP(EDATE(B140,-12),Data!$A:$AX,MATCH($U$1,Data!$A$1:$AX$1,),))</f>
        <v/>
      </c>
      <c r="V140" s="20">
        <f>(VLOOKUP(B140,Data!$A:$AX,MATCH($V$1,Data!$A$1:$AX$1,),)-VLOOKUP(EDATE(B140,-12),Data!$A:$AX,MATCH($V$1,Data!$A$1:$AX$1,),))/VLOOKUP(EDATE(B140,-12),Data!$A:$AX,MATCH($V$1,Data!$A$1:$AX$1,),)</f>
        <v/>
      </c>
      <c r="W140" s="20">
        <f>IF(VLOOKUP(B140,Data!$A:$AX,MATCH($W$1,Data!$A$1:$AX$1,))=0,#N/A,(VLOOKUP(B140,Data!$A:$AX,MATCH($W$1,Data!$A$1:$AX$1,),)-VLOOKUP(EDATE(B140,-12),Data!$A:$AX,MATCH($W$1,Data!$A$1:$AX$1,),))/VLOOKUP(EDATE(B140,-12),Data!$A:$AX,MATCH($W$1,Data!$A$1:$AX$1,),))</f>
        <v/>
      </c>
      <c r="X140" s="20">
        <f>IF(VLOOKUP(B140,Data!$A:$AX,MATCH($X$1,Data!$A$1:$AX$1,))=0,#N/A,(VLOOKUP(B140,Data!$A:$AX,MATCH($X$1,Data!$A$1:$AX$1,),)-VLOOKUP(EDATE(B140,-12),Data!$A:$AX,MATCH($X$1,Data!$A$1:$AX$1,),))/VLOOKUP(EDATE(B140,-12),Data!$A:$AX,MATCH($X$1,Data!$A$1:$AX$1,),))</f>
        <v/>
      </c>
      <c r="Y140" s="20">
        <f>IF(VLOOKUP(B140,Data!$A:$AX,MATCH($Y$1,Data!$A$1:$AX$1,))=0,#N/A,(VLOOKUP(B140,Data!$A:$AX,MATCH($Y$1,Data!$A$1:$AX$1,),)-VLOOKUP(EDATE(B140,-12),Data!$A:$AX,MATCH($Y$1,Data!$A$1:$AX$1,),))/VLOOKUP(EDATE(B140,-12),Data!$A:$AX,MATCH($Y$1,Data!$A$1:$AX$1,),))</f>
        <v/>
      </c>
    </row>
    <row r="141" customFormat="1" s="78">
      <c r="B141" s="15" t="n">
        <v>44501</v>
      </c>
      <c r="C141" s="20">
        <f>IF(VLOOKUP(B141,Data!$A:$AX,MATCH($C$1,Data!$A$1:$AX$1,))=0,#N/A,(VLOOKUP(B141,Data!$A:$AX,MATCH($C$1,Data!$A$1:$AX$1,),)-VLOOKUP(EDATE(B141,-12),Data!$A:$AX,MATCH($C$1,Data!$A$1:$AX$1,),))/VLOOKUP(EDATE(B141,-12),Data!$A:$AX,MATCH($C$1,Data!$A$1:$AX$1,),))</f>
        <v/>
      </c>
      <c r="D141" s="20">
        <f>IF(VLOOKUP(B141,Data!$A:$AX,MATCH($D$1,Data!$A$1:$AX$1,))=0,#N/A,(VLOOKUP(B141,Data!$A:$AX,MATCH($D$1,Data!$A$1:$AX$1,),)-VLOOKUP(EDATE(B141,-12),Data!$A:$AX,MATCH($D$1,Data!$A$1:$AX$1,),))/VLOOKUP(EDATE(B141,-12),Data!$A:$AX,MATCH($D$1,Data!$A$1:$AX$1,),))</f>
        <v/>
      </c>
      <c r="E141" s="20">
        <f>IF(VLOOKUP(B141,Data!$A:$AX,MATCH($E$1,Data!$A$1:$AX$1,))=0,#N/A,(VLOOKUP(B141,Data!$A:$AX,MATCH($E$1,Data!$A$1:$AX$1,),)-VLOOKUP(EDATE(B141,-12),Data!$A:$AX,MATCH($E$1,Data!$A$1:$AX$1,),))/VLOOKUP(EDATE(B141,-12),Data!$A:$AX,MATCH($E$1,Data!$A$1:$AX$1,),))</f>
        <v/>
      </c>
      <c r="F141" s="20">
        <f>IF(VLOOKUP(B141,Data!$A:$AX,MATCH($F$1,Data!$A$1:$AX$1,))=0,#N/A,(VLOOKUP(B141,Data!$A:$AX,MATCH($F$1,Data!$A$1:$AX$1,),)-VLOOKUP(EDATE(B141,-12),Data!$A:$AX,MATCH($F$1,Data!$A$1:$AX$1,),))/VLOOKUP(EDATE(B141,-12),Data!$A:$AX,MATCH($F$1,Data!$A$1:$AX$1,),))</f>
        <v/>
      </c>
      <c r="G141" s="20">
        <f>IF(VLOOKUP(B141,Data!$A:$AX,MATCH($G$1,Data!$A$1:$AX$1,))=0,#N/A,(VLOOKUP(B141,Data!$A:$AX,MATCH($G$1,Data!$A$1:$AX$1,),)-VLOOKUP(EDATE(B141,-12),Data!$A:$AX,MATCH($G$1,Data!$A$1:$AX$1,),))/VLOOKUP(EDATE(B141,-12),Data!$A:$AX,MATCH($G$1,Data!$A$1:$AX$1,),))</f>
        <v/>
      </c>
      <c r="H141" s="20">
        <f>IF(VLOOKUP(B141,Data!$A:$AX,MATCH($H$1,Data!$A$1:$AX$1,))=0,#N/A,(VLOOKUP(B141,Data!$A:$AX,MATCH($H$1,Data!$A$1:$AX$1,),)-VLOOKUP(EDATE(B141,-12),Data!$A:$AX,MATCH($H$1,Data!$A$1:$AX$1,),))/VLOOKUP(EDATE(B141,-12),Data!$A:$AX,MATCH($H$1,Data!$A$1:$AX$1,),))</f>
        <v/>
      </c>
      <c r="I141" s="20">
        <f>IF(VLOOKUP(B141,Data!$A:$AX,MATCH($I$1,Data!$A$1:$AX$1,))=0,#N/A,(VLOOKUP(B141,Data!$A:$AX,MATCH($I$1,Data!$A$1:$AX$1,),)-VLOOKUP(EDATE(B141,-12),Data!$A:$AX,MATCH($I$1,Data!$A$1:$AX$1,),))/VLOOKUP(EDATE(B141,-12),Data!$A:$AX,MATCH($I$1,Data!$A$1:$AX$1,),))</f>
        <v/>
      </c>
      <c r="J141" s="20">
        <f>IF(VLOOKUP(B141,Data!$A:$AX,MATCH($J$1,Data!$A$1:$AX$1,))=0,#N/A,(VLOOKUP(B141,Data!$A:$AX,MATCH($J$1,Data!$A$1:$AX$1,),)-VLOOKUP(EDATE(B141,-12),Data!$A:$AX,MATCH($J$1,Data!$A$1:$AX$1,),))/VLOOKUP(EDATE(B141,-12),Data!$A:$AX,MATCH($J$1,Data!$A$1:$AX$1,),))</f>
        <v/>
      </c>
      <c r="K141" s="20">
        <f>IF(VLOOKUP(B141,Data!$A:$AX,MATCH($K$1,Data!$A$1:$AX$1,))=0,#N/A,(VLOOKUP(B141,Data!$A:$AX,MATCH($K$1,Data!$A$1:$AX$1,),)-VLOOKUP(EDATE(B141,-12),Data!$A:$AX,MATCH($K$1,Data!$A$1:$AX$1,),))/VLOOKUP(EDATE(B141,-12),Data!$A:$AX,MATCH($K$1,Data!$A$1:$AX$1,),))</f>
        <v/>
      </c>
      <c r="L141" s="20">
        <f>IF(VLOOKUP(B141,Data!$A:$AX,MATCH($L$1,Data!$A$1:$AX$1,))=0,#N/A,(VLOOKUP(B141,Data!$A:$AX,MATCH($L$1,Data!$A$1:$AX$1,),)-VLOOKUP(EDATE(B141,-12),Data!$A:$AX,MATCH($L$1,Data!$A$1:$AX$1,),))/VLOOKUP(EDATE(B141,-12),Data!$A:$AX,MATCH($L$1,Data!$A$1:$AX$1,),))</f>
        <v/>
      </c>
      <c r="M141" s="20">
        <f>IF(VLOOKUP(B141,Data!$A:$AX,MATCH($M$1,Data!$A$1:$AX$1,))=0,#N/A,(VLOOKUP(B141,Data!$A:$AX,MATCH($M$1,Data!$A$1:$AX$1,),)-VLOOKUP(EDATE(B141,-12),Data!$A:$AX,MATCH($M$1,Data!$A$1:$AX$1,),))/VLOOKUP(EDATE(B141,-12),Data!$A:$AX,MATCH($M$1,Data!$A$1:$AX$1,),))</f>
        <v/>
      </c>
      <c r="N141" s="20">
        <f>(VLOOKUP(B141,Data!$A:$AX,MATCH($N$1,Data!$A$1:$AX$1,),)-VLOOKUP(EDATE(B141,-12),Data!$A:$AX,MATCH($N$1,Data!$A$1:$AX$1,),))/VLOOKUP(EDATE(B141,-12),Data!$A:$AX,MATCH($N$1,Data!$A$1:$AX$1,),)</f>
        <v/>
      </c>
      <c r="O141" s="20">
        <f>IF(VLOOKUP(B141,Data!$A:$AX,MATCH($O$1,Data!$A$1:$AX$1,))=0,#N/A,(VLOOKUP(B141,Data!$A:$AX,MATCH($O$1,Data!$A$1:$AX$1,),)-VLOOKUP(EDATE(B141,-12),Data!$A:$AX,MATCH($O$1,Data!$A$1:$AX$1,),))/VLOOKUP(EDATE(B141,-12),Data!$A:$AX,MATCH($O$1,Data!$A$1:$AX$1,),))</f>
        <v/>
      </c>
      <c r="P141" s="20">
        <f>IF(VLOOKUP(B141,Data!$A:$AX,MATCH($P$1,Data!$A$1:$AX$1,))=0,#N/A,(VLOOKUP(B141,Data!$A:$AX,MATCH($P$1,Data!$A$1:$AX$1,),)-VLOOKUP(EDATE(B141,-12),Data!$A:$AX,MATCH($P$1,Data!$A$1:$AX$1,),))/VLOOKUP(EDATE(B141,-12),Data!$A:$AX,MATCH($P$1,Data!$A$1:$AX$1,),))</f>
        <v/>
      </c>
      <c r="Q141" s="20">
        <f>(VLOOKUP(B141,Data!$A:$AX,MATCH($Q$1,Data!$A$1:$AX$1,),)-VLOOKUP(EDATE(B141,-12),Data!$A:$AX,MATCH($Q$1,Data!$A$1:$AX$1,),))/VLOOKUP(EDATE(B141,-12),Data!$A:$AX,MATCH($Q$1,Data!$A$1:$AX$1,),)</f>
        <v/>
      </c>
      <c r="R141" s="20">
        <f>IF(VLOOKUP(B141,Data!$A:$AX,MATCH($R$1,Data!$A$1:$AX$1,))=0,#N/A,(VLOOKUP(B141,Data!$A:$AX,MATCH($R$1,Data!$A$1:$AX$1,),)-VLOOKUP(EDATE(B141,-12),Data!$A:$AX,MATCH($R$1,Data!$A$1:$AX$1,),))/VLOOKUP(EDATE(B141,-12),Data!$A:$AX,MATCH($R$1,Data!$A$1:$AX$1,),))</f>
        <v/>
      </c>
      <c r="S141" s="20">
        <f>IF(VLOOKUP(B141,Data!$A:$AX,MATCH($S$1,Data!$A$1:$AX$1,))=0,#N/A,(VLOOKUP(B141,Data!$A:$AX,MATCH($S$1,Data!$A$1:$AX$1,),)-VLOOKUP(EDATE(B141,-12),Data!$A:$AX,MATCH($S$1,Data!$A$1:$AX$1,),))/VLOOKUP(EDATE(B141,-12),Data!$A:$AX,MATCH($S$1,Data!$A$1:$AX$1,),))</f>
        <v/>
      </c>
      <c r="T141" s="20">
        <f>IF(VLOOKUP(B141,Data!$A:$AX,MATCH($T$1,Data!$A$1:$AX$1,))=0,#N/A,(VLOOKUP(B141,Data!$A:$AX,MATCH($T$1,Data!$A$1:$AX$1,),)-VLOOKUP(EDATE(B141,-12),Data!$A:$AX,MATCH($T$1,Data!$A$1:$AX$1,),))/VLOOKUP(EDATE(B141,-12),Data!$A:$AX,MATCH($T$1,Data!$A$1:$AX$1,),))</f>
        <v/>
      </c>
      <c r="U141" s="20">
        <f>IF(VLOOKUP(B141,Data!$A:$AX,MATCH($U$1,Data!$A$1:$AX$1,))=0,#N/A,(VLOOKUP(B141,Data!$A:$AX,MATCH($U$1,Data!$A$1:$AX$1,),)-VLOOKUP(EDATE(B141,-12),Data!$A:$AX,MATCH($U$1,Data!$A$1:$AX$1,),))/VLOOKUP(EDATE(B141,-12),Data!$A:$AX,MATCH($U$1,Data!$A$1:$AX$1,),))</f>
        <v/>
      </c>
      <c r="V141" s="20">
        <f>(VLOOKUP(B141,Data!$A:$AX,MATCH($V$1,Data!$A$1:$AX$1,),)-VLOOKUP(EDATE(B141,-12),Data!$A:$AX,MATCH($V$1,Data!$A$1:$AX$1,),))/VLOOKUP(EDATE(B141,-12),Data!$A:$AX,MATCH($V$1,Data!$A$1:$AX$1,),)</f>
        <v/>
      </c>
      <c r="W141" s="20">
        <f>IF(VLOOKUP(B141,Data!$A:$AX,MATCH($W$1,Data!$A$1:$AX$1,))=0,#N/A,(VLOOKUP(B141,Data!$A:$AX,MATCH($W$1,Data!$A$1:$AX$1,),)-VLOOKUP(EDATE(B141,-12),Data!$A:$AX,MATCH($W$1,Data!$A$1:$AX$1,),))/VLOOKUP(EDATE(B141,-12),Data!$A:$AX,MATCH($W$1,Data!$A$1:$AX$1,),))</f>
        <v/>
      </c>
      <c r="X141" s="20">
        <f>IF(VLOOKUP(B141,Data!$A:$AX,MATCH($X$1,Data!$A$1:$AX$1,))=0,#N/A,(VLOOKUP(B141,Data!$A:$AX,MATCH($X$1,Data!$A$1:$AX$1,),)-VLOOKUP(EDATE(B141,-12),Data!$A:$AX,MATCH($X$1,Data!$A$1:$AX$1,),))/VLOOKUP(EDATE(B141,-12),Data!$A:$AX,MATCH($X$1,Data!$A$1:$AX$1,),))</f>
        <v/>
      </c>
      <c r="Y141" s="20">
        <f>IF(VLOOKUP(B141,Data!$A:$AX,MATCH($Y$1,Data!$A$1:$AX$1,))=0,#N/A,(VLOOKUP(B141,Data!$A:$AX,MATCH($Y$1,Data!$A$1:$AX$1,),)-VLOOKUP(EDATE(B141,-12),Data!$A:$AX,MATCH($Y$1,Data!$A$1:$AX$1,),))/VLOOKUP(EDATE(B141,-12),Data!$A:$AX,MATCH($Y$1,Data!$A$1:$AX$1,),))</f>
        <v/>
      </c>
    </row>
    <row r="142" customFormat="1" s="78">
      <c r="B142" s="15" t="n">
        <v>44531</v>
      </c>
      <c r="C142" s="20">
        <f>IF(VLOOKUP(B142,Data!$A:$AX,MATCH($C$1,Data!$A$1:$AX$1,))=0,#N/A,(VLOOKUP(B142,Data!$A:$AX,MATCH($C$1,Data!$A$1:$AX$1,),)-VLOOKUP(EDATE(B142,-12),Data!$A:$AX,MATCH($C$1,Data!$A$1:$AX$1,),))/VLOOKUP(EDATE(B142,-12),Data!$A:$AX,MATCH($C$1,Data!$A$1:$AX$1,),))</f>
        <v/>
      </c>
      <c r="D142" s="20">
        <f>IF(VLOOKUP(B142,Data!$A:$AX,MATCH($D$1,Data!$A$1:$AX$1,))=0,#N/A,(VLOOKUP(B142,Data!$A:$AX,MATCH($D$1,Data!$A$1:$AX$1,),)-VLOOKUP(EDATE(B142,-12),Data!$A:$AX,MATCH($D$1,Data!$A$1:$AX$1,),))/VLOOKUP(EDATE(B142,-12),Data!$A:$AX,MATCH($D$1,Data!$A$1:$AX$1,),))</f>
        <v/>
      </c>
      <c r="E142" s="20">
        <f>IF(VLOOKUP(B142,Data!$A:$AX,MATCH($E$1,Data!$A$1:$AX$1,))=0,#N/A,(VLOOKUP(B142,Data!$A:$AX,MATCH($E$1,Data!$A$1:$AX$1,),)-VLOOKUP(EDATE(B142,-12),Data!$A:$AX,MATCH($E$1,Data!$A$1:$AX$1,),))/VLOOKUP(EDATE(B142,-12),Data!$A:$AX,MATCH($E$1,Data!$A$1:$AX$1,),))</f>
        <v/>
      </c>
      <c r="F142" s="20">
        <f>IF(VLOOKUP(B142,Data!$A:$AX,MATCH($F$1,Data!$A$1:$AX$1,))=0,#N/A,(VLOOKUP(B142,Data!$A:$AX,MATCH($F$1,Data!$A$1:$AX$1,),)-VLOOKUP(EDATE(B142,-12),Data!$A:$AX,MATCH($F$1,Data!$A$1:$AX$1,),))/VLOOKUP(EDATE(B142,-12),Data!$A:$AX,MATCH($F$1,Data!$A$1:$AX$1,),))</f>
        <v/>
      </c>
      <c r="G142" s="20">
        <f>IF(VLOOKUP(B142,Data!$A:$AX,MATCH($G$1,Data!$A$1:$AX$1,))=0,#N/A,(VLOOKUP(B142,Data!$A:$AX,MATCH($G$1,Data!$A$1:$AX$1,),)-VLOOKUP(EDATE(B142,-12),Data!$A:$AX,MATCH($G$1,Data!$A$1:$AX$1,),))/VLOOKUP(EDATE(B142,-12),Data!$A:$AX,MATCH($G$1,Data!$A$1:$AX$1,),))</f>
        <v/>
      </c>
      <c r="H142" s="20">
        <f>IF(VLOOKUP(B142,Data!$A:$AX,MATCH($H$1,Data!$A$1:$AX$1,))=0,#N/A,(VLOOKUP(B142,Data!$A:$AX,MATCH($H$1,Data!$A$1:$AX$1,),)-VLOOKUP(EDATE(B142,-12),Data!$A:$AX,MATCH($H$1,Data!$A$1:$AX$1,),))/VLOOKUP(EDATE(B142,-12),Data!$A:$AX,MATCH($H$1,Data!$A$1:$AX$1,),))</f>
        <v/>
      </c>
      <c r="I142" s="20">
        <f>IF(VLOOKUP(B142,Data!$A:$AX,MATCH($I$1,Data!$A$1:$AX$1,))=0,#N/A,(VLOOKUP(B142,Data!$A:$AX,MATCH($I$1,Data!$A$1:$AX$1,),)-VLOOKUP(EDATE(B142,-12),Data!$A:$AX,MATCH($I$1,Data!$A$1:$AX$1,),))/VLOOKUP(EDATE(B142,-12),Data!$A:$AX,MATCH($I$1,Data!$A$1:$AX$1,),))</f>
        <v/>
      </c>
      <c r="J142" s="20">
        <f>IF(VLOOKUP(B142,Data!$A:$AX,MATCH($J$1,Data!$A$1:$AX$1,))=0,#N/A,(VLOOKUP(B142,Data!$A:$AX,MATCH($J$1,Data!$A$1:$AX$1,),)-VLOOKUP(EDATE(B142,-12),Data!$A:$AX,MATCH($J$1,Data!$A$1:$AX$1,),))/VLOOKUP(EDATE(B142,-12),Data!$A:$AX,MATCH($J$1,Data!$A$1:$AX$1,),))</f>
        <v/>
      </c>
      <c r="K142" s="20">
        <f>IF(VLOOKUP(B142,Data!$A:$AX,MATCH($K$1,Data!$A$1:$AX$1,))=0,#N/A,(VLOOKUP(B142,Data!$A:$AX,MATCH($K$1,Data!$A$1:$AX$1,),)-VLOOKUP(EDATE(B142,-12),Data!$A:$AX,MATCH($K$1,Data!$A$1:$AX$1,),))/VLOOKUP(EDATE(B142,-12),Data!$A:$AX,MATCH($K$1,Data!$A$1:$AX$1,),))</f>
        <v/>
      </c>
      <c r="L142" s="20">
        <f>IF(VLOOKUP(B142,Data!$A:$AX,MATCH($L$1,Data!$A$1:$AX$1,))=0,#N/A,(VLOOKUP(B142,Data!$A:$AX,MATCH($L$1,Data!$A$1:$AX$1,),)-VLOOKUP(EDATE(B142,-12),Data!$A:$AX,MATCH($L$1,Data!$A$1:$AX$1,),))/VLOOKUP(EDATE(B142,-12),Data!$A:$AX,MATCH($L$1,Data!$A$1:$AX$1,),))</f>
        <v/>
      </c>
      <c r="M142" s="20">
        <f>IF(VLOOKUP(B142,Data!$A:$AX,MATCH($M$1,Data!$A$1:$AX$1,))=0,#N/A,(VLOOKUP(B142,Data!$A:$AX,MATCH($M$1,Data!$A$1:$AX$1,),)-VLOOKUP(EDATE(B142,-12),Data!$A:$AX,MATCH($M$1,Data!$A$1:$AX$1,),))/VLOOKUP(EDATE(B142,-12),Data!$A:$AX,MATCH($M$1,Data!$A$1:$AX$1,),))</f>
        <v/>
      </c>
      <c r="N142" s="20">
        <f>(VLOOKUP(B142,Data!$A:$AX,MATCH($N$1,Data!$A$1:$AX$1,),)-VLOOKUP(EDATE(B142,-12),Data!$A:$AX,MATCH($N$1,Data!$A$1:$AX$1,),))/VLOOKUP(EDATE(B142,-12),Data!$A:$AX,MATCH($N$1,Data!$A$1:$AX$1,),)</f>
        <v/>
      </c>
      <c r="O142" s="20">
        <f>IF(VLOOKUP(B142,Data!$A:$AX,MATCH($O$1,Data!$A$1:$AX$1,))=0,#N/A,(VLOOKUP(B142,Data!$A:$AX,MATCH($O$1,Data!$A$1:$AX$1,),)-VLOOKUP(EDATE(B142,-12),Data!$A:$AX,MATCH($O$1,Data!$A$1:$AX$1,),))/VLOOKUP(EDATE(B142,-12),Data!$A:$AX,MATCH($O$1,Data!$A$1:$AX$1,),))</f>
        <v/>
      </c>
      <c r="P142" s="20">
        <f>IF(VLOOKUP(B142,Data!$A:$AX,MATCH($P$1,Data!$A$1:$AX$1,))=0,#N/A,(VLOOKUP(B142,Data!$A:$AX,MATCH($P$1,Data!$A$1:$AX$1,),)-VLOOKUP(EDATE(B142,-12),Data!$A:$AX,MATCH($P$1,Data!$A$1:$AX$1,),))/VLOOKUP(EDATE(B142,-12),Data!$A:$AX,MATCH($P$1,Data!$A$1:$AX$1,),))</f>
        <v/>
      </c>
      <c r="Q142" s="20">
        <f>(VLOOKUP(B142,Data!$A:$AX,MATCH($Q$1,Data!$A$1:$AX$1,),)-VLOOKUP(EDATE(B142,-12),Data!$A:$AX,MATCH($Q$1,Data!$A$1:$AX$1,),))/VLOOKUP(EDATE(B142,-12),Data!$A:$AX,MATCH($Q$1,Data!$A$1:$AX$1,),)</f>
        <v/>
      </c>
      <c r="R142" s="20">
        <f>IF(VLOOKUP(B142,Data!$A:$AX,MATCH($R$1,Data!$A$1:$AX$1,))=0,#N/A,(VLOOKUP(B142,Data!$A:$AX,MATCH($R$1,Data!$A$1:$AX$1,),)-VLOOKUP(EDATE(B142,-12),Data!$A:$AX,MATCH($R$1,Data!$A$1:$AX$1,),))/VLOOKUP(EDATE(B142,-12),Data!$A:$AX,MATCH($R$1,Data!$A$1:$AX$1,),))</f>
        <v/>
      </c>
      <c r="S142" s="20">
        <f>IF(VLOOKUP(B142,Data!$A:$AX,MATCH($S$1,Data!$A$1:$AX$1,))=0,#N/A,(VLOOKUP(B142,Data!$A:$AX,MATCH($S$1,Data!$A$1:$AX$1,),)-VLOOKUP(EDATE(B142,-12),Data!$A:$AX,MATCH($S$1,Data!$A$1:$AX$1,),))/VLOOKUP(EDATE(B142,-12),Data!$A:$AX,MATCH($S$1,Data!$A$1:$AX$1,),))</f>
        <v/>
      </c>
      <c r="T142" s="20">
        <f>IF(VLOOKUP(B142,Data!$A:$AX,MATCH($T$1,Data!$A$1:$AX$1,))=0,#N/A,(VLOOKUP(B142,Data!$A:$AX,MATCH($T$1,Data!$A$1:$AX$1,),)-VLOOKUP(EDATE(B142,-12),Data!$A:$AX,MATCH($T$1,Data!$A$1:$AX$1,),))/VLOOKUP(EDATE(B142,-12),Data!$A:$AX,MATCH($T$1,Data!$A$1:$AX$1,),))</f>
        <v/>
      </c>
      <c r="U142" s="20">
        <f>IF(VLOOKUP(B142,Data!$A:$AX,MATCH($U$1,Data!$A$1:$AX$1,))=0,#N/A,(VLOOKUP(B142,Data!$A:$AX,MATCH($U$1,Data!$A$1:$AX$1,),)-VLOOKUP(EDATE(B142,-12),Data!$A:$AX,MATCH($U$1,Data!$A$1:$AX$1,),))/VLOOKUP(EDATE(B142,-12),Data!$A:$AX,MATCH($U$1,Data!$A$1:$AX$1,),))</f>
        <v/>
      </c>
      <c r="V142" s="20">
        <f>(VLOOKUP(B142,Data!$A:$AX,MATCH($V$1,Data!$A$1:$AX$1,),)-VLOOKUP(EDATE(B142,-12),Data!$A:$AX,MATCH($V$1,Data!$A$1:$AX$1,),))/VLOOKUP(EDATE(B142,-12),Data!$A:$AX,MATCH($V$1,Data!$A$1:$AX$1,),)</f>
        <v/>
      </c>
      <c r="W142" s="20">
        <f>IF(VLOOKUP(B142,Data!$A:$AX,MATCH($W$1,Data!$A$1:$AX$1,))=0,#N/A,(VLOOKUP(B142,Data!$A:$AX,MATCH($W$1,Data!$A$1:$AX$1,),)-VLOOKUP(EDATE(B142,-12),Data!$A:$AX,MATCH($W$1,Data!$A$1:$AX$1,),))/VLOOKUP(EDATE(B142,-12),Data!$A:$AX,MATCH($W$1,Data!$A$1:$AX$1,),))</f>
        <v/>
      </c>
      <c r="X142" s="20">
        <f>IF(VLOOKUP(B142,Data!$A:$AX,MATCH($X$1,Data!$A$1:$AX$1,))=0,#N/A,(VLOOKUP(B142,Data!$A:$AX,MATCH($X$1,Data!$A$1:$AX$1,),)-VLOOKUP(EDATE(B142,-12),Data!$A:$AX,MATCH($X$1,Data!$A$1:$AX$1,),))/VLOOKUP(EDATE(B142,-12),Data!$A:$AX,MATCH($X$1,Data!$A$1:$AX$1,),))</f>
        <v/>
      </c>
      <c r="Y142" s="20">
        <f>IF(VLOOKUP(B142,Data!$A:$AX,MATCH($Y$1,Data!$A$1:$AX$1,))=0,#N/A,(VLOOKUP(B142,Data!$A:$AX,MATCH($Y$1,Data!$A$1:$AX$1,),)-VLOOKUP(EDATE(B142,-12),Data!$A:$AX,MATCH($Y$1,Data!$A$1:$AX$1,),))/VLOOKUP(EDATE(B142,-12),Data!$A:$AX,MATCH($Y$1,Data!$A$1:$AX$1,),))</f>
        <v/>
      </c>
    </row>
    <row r="143" customFormat="1" s="78">
      <c r="B143" s="15" t="n">
        <v>44562</v>
      </c>
      <c r="C143" s="20">
        <f>IF(VLOOKUP(B143,Data!$A:$AX,MATCH($C$1,Data!$A$1:$AX$1,))=0,#N/A,(VLOOKUP(B143,Data!$A:$AX,MATCH($C$1,Data!$A$1:$AX$1,),)-VLOOKUP(EDATE(B143,-12),Data!$A:$AX,MATCH($C$1,Data!$A$1:$AX$1,),))/VLOOKUP(EDATE(B143,-12),Data!$A:$AX,MATCH($C$1,Data!$A$1:$AX$1,),))</f>
        <v/>
      </c>
      <c r="D143" s="20">
        <f>IF(VLOOKUP(B143,Data!$A:$AX,MATCH($D$1,Data!$A$1:$AX$1,))=0,#N/A,(VLOOKUP(B143,Data!$A:$AX,MATCH($D$1,Data!$A$1:$AX$1,),)-VLOOKUP(EDATE(B143,-12),Data!$A:$AX,MATCH($D$1,Data!$A$1:$AX$1,),))/VLOOKUP(EDATE(B143,-12),Data!$A:$AX,MATCH($D$1,Data!$A$1:$AX$1,),))</f>
        <v/>
      </c>
      <c r="E143" s="20">
        <f>IF(VLOOKUP(B143,Data!$A:$AX,MATCH($E$1,Data!$A$1:$AX$1,))=0,#N/A,(VLOOKUP(B143,Data!$A:$AX,MATCH($E$1,Data!$A$1:$AX$1,),)-VLOOKUP(EDATE(B143,-12),Data!$A:$AX,MATCH($E$1,Data!$A$1:$AX$1,),))/VLOOKUP(EDATE(B143,-12),Data!$A:$AX,MATCH($E$1,Data!$A$1:$AX$1,),))</f>
        <v/>
      </c>
      <c r="F143" s="20">
        <f>IF(VLOOKUP(B143,Data!$A:$AX,MATCH($F$1,Data!$A$1:$AX$1,))=0,#N/A,(VLOOKUP(B143,Data!$A:$AX,MATCH($F$1,Data!$A$1:$AX$1,),)-VLOOKUP(EDATE(B143,-12),Data!$A:$AX,MATCH($F$1,Data!$A$1:$AX$1,),))/VLOOKUP(EDATE(B143,-12),Data!$A:$AX,MATCH($F$1,Data!$A$1:$AX$1,),))</f>
        <v/>
      </c>
      <c r="G143" s="20">
        <f>IF(VLOOKUP(B143,Data!$A:$AX,MATCH($G$1,Data!$A$1:$AX$1,))=0,#N/A,(VLOOKUP(B143,Data!$A:$AX,MATCH($G$1,Data!$A$1:$AX$1,),)-VLOOKUP(EDATE(B143,-12),Data!$A:$AX,MATCH($G$1,Data!$A$1:$AX$1,),))/VLOOKUP(EDATE(B143,-12),Data!$A:$AX,MATCH($G$1,Data!$A$1:$AX$1,),))</f>
        <v/>
      </c>
      <c r="H143" s="20">
        <f>IF(VLOOKUP(B143,Data!$A:$AX,MATCH($H$1,Data!$A$1:$AX$1,))=0,#N/A,(VLOOKUP(B143,Data!$A:$AX,MATCH($H$1,Data!$A$1:$AX$1,),)-VLOOKUP(EDATE(B143,-12),Data!$A:$AX,MATCH($H$1,Data!$A$1:$AX$1,),))/VLOOKUP(EDATE(B143,-12),Data!$A:$AX,MATCH($H$1,Data!$A$1:$AX$1,),))</f>
        <v/>
      </c>
      <c r="I143" s="20">
        <f>IF(VLOOKUP(B143,Data!$A:$AX,MATCH($I$1,Data!$A$1:$AX$1,))=0,#N/A,(VLOOKUP(B143,Data!$A:$AX,MATCH($I$1,Data!$A$1:$AX$1,),)-VLOOKUP(EDATE(B143,-12),Data!$A:$AX,MATCH($I$1,Data!$A$1:$AX$1,),))/VLOOKUP(EDATE(B143,-12),Data!$A:$AX,MATCH($I$1,Data!$A$1:$AX$1,),))</f>
        <v/>
      </c>
      <c r="J143" s="20">
        <f>IF(VLOOKUP(B143,Data!$A:$AX,MATCH($J$1,Data!$A$1:$AX$1,))=0,#N/A,(VLOOKUP(B143,Data!$A:$AX,MATCH($J$1,Data!$A$1:$AX$1,),)-VLOOKUP(EDATE(B143,-12),Data!$A:$AX,MATCH($J$1,Data!$A$1:$AX$1,),))/VLOOKUP(EDATE(B143,-12),Data!$A:$AX,MATCH($J$1,Data!$A$1:$AX$1,),))</f>
        <v/>
      </c>
      <c r="K143" s="20">
        <f>IF(VLOOKUP(B143,Data!$A:$AX,MATCH($K$1,Data!$A$1:$AX$1,))=0,#N/A,(VLOOKUP(B143,Data!$A:$AX,MATCH($K$1,Data!$A$1:$AX$1,),)-VLOOKUP(EDATE(B143,-12),Data!$A:$AX,MATCH($K$1,Data!$A$1:$AX$1,),))/VLOOKUP(EDATE(B143,-12),Data!$A:$AX,MATCH($K$1,Data!$A$1:$AX$1,),))</f>
        <v/>
      </c>
      <c r="L143" s="20">
        <f>IF(VLOOKUP(B143,Data!$A:$AX,MATCH($L$1,Data!$A$1:$AX$1,))=0,#N/A,(VLOOKUP(B143,Data!$A:$AX,MATCH($L$1,Data!$A$1:$AX$1,),)-VLOOKUP(EDATE(B143,-12),Data!$A:$AX,MATCH($L$1,Data!$A$1:$AX$1,),))/VLOOKUP(EDATE(B143,-12),Data!$A:$AX,MATCH($L$1,Data!$A$1:$AX$1,),))</f>
        <v/>
      </c>
      <c r="M143" s="20">
        <f>IF(VLOOKUP(B143,Data!$A:$AX,MATCH($M$1,Data!$A$1:$AX$1,))=0,#N/A,(VLOOKUP(B143,Data!$A:$AX,MATCH($M$1,Data!$A$1:$AX$1,),)-VLOOKUP(EDATE(B143,-12),Data!$A:$AX,MATCH($M$1,Data!$A$1:$AX$1,),))/VLOOKUP(EDATE(B143,-12),Data!$A:$AX,MATCH($M$1,Data!$A$1:$AX$1,),))</f>
        <v/>
      </c>
      <c r="N143" s="20">
        <f>(VLOOKUP(B143,Data!$A:$AX,MATCH($N$1,Data!$A$1:$AX$1,),)-VLOOKUP(EDATE(B143,-12),Data!$A:$AX,MATCH($N$1,Data!$A$1:$AX$1,),))/VLOOKUP(EDATE(B143,-12),Data!$A:$AX,MATCH($N$1,Data!$A$1:$AX$1,),)</f>
        <v/>
      </c>
      <c r="O143" s="20">
        <f>IF(VLOOKUP(B143,Data!$A:$AX,MATCH($O$1,Data!$A$1:$AX$1,))=0,#N/A,(VLOOKUP(B143,Data!$A:$AX,MATCH($O$1,Data!$A$1:$AX$1,),)-VLOOKUP(EDATE(B143,-12),Data!$A:$AX,MATCH($O$1,Data!$A$1:$AX$1,),))/VLOOKUP(EDATE(B143,-12),Data!$A:$AX,MATCH($O$1,Data!$A$1:$AX$1,),))</f>
        <v/>
      </c>
      <c r="P143" s="20">
        <f>IF(VLOOKUP(B143,Data!$A:$AX,MATCH($P$1,Data!$A$1:$AX$1,))=0,#N/A,(VLOOKUP(B143,Data!$A:$AX,MATCH($P$1,Data!$A$1:$AX$1,),)-VLOOKUP(EDATE(B143,-12),Data!$A:$AX,MATCH($P$1,Data!$A$1:$AX$1,),))/VLOOKUP(EDATE(B143,-12),Data!$A:$AX,MATCH($P$1,Data!$A$1:$AX$1,),))</f>
        <v/>
      </c>
      <c r="Q143" s="20">
        <f>(VLOOKUP(B143,Data!$A:$AX,MATCH($Q$1,Data!$A$1:$AX$1,),)-VLOOKUP(EDATE(B143,-12),Data!$A:$AX,MATCH($Q$1,Data!$A$1:$AX$1,),))/VLOOKUP(EDATE(B143,-12),Data!$A:$AX,MATCH($Q$1,Data!$A$1:$AX$1,),)</f>
        <v/>
      </c>
      <c r="R143" s="20">
        <f>IF(VLOOKUP(B143,Data!$A:$AX,MATCH($R$1,Data!$A$1:$AX$1,))=0,#N/A,(VLOOKUP(B143,Data!$A:$AX,MATCH($R$1,Data!$A$1:$AX$1,),)-VLOOKUP(EDATE(B143,-12),Data!$A:$AX,MATCH($R$1,Data!$A$1:$AX$1,),))/VLOOKUP(EDATE(B143,-12),Data!$A:$AX,MATCH($R$1,Data!$A$1:$AX$1,),))</f>
        <v/>
      </c>
      <c r="S143" s="20">
        <f>IF(VLOOKUP(B143,Data!$A:$AX,MATCH($S$1,Data!$A$1:$AX$1,))=0,#N/A,(VLOOKUP(B143,Data!$A:$AX,MATCH($S$1,Data!$A$1:$AX$1,),)-VLOOKUP(EDATE(B143,-12),Data!$A:$AX,MATCH($S$1,Data!$A$1:$AX$1,),))/VLOOKUP(EDATE(B143,-12),Data!$A:$AX,MATCH($S$1,Data!$A$1:$AX$1,),))</f>
        <v/>
      </c>
      <c r="T143" s="20">
        <f>IF(VLOOKUP(B143,Data!$A:$AX,MATCH($T$1,Data!$A$1:$AX$1,))=0,#N/A,(VLOOKUP(B143,Data!$A:$AX,MATCH($T$1,Data!$A$1:$AX$1,),)-VLOOKUP(EDATE(B143,-12),Data!$A:$AX,MATCH($T$1,Data!$A$1:$AX$1,),))/VLOOKUP(EDATE(B143,-12),Data!$A:$AX,MATCH($T$1,Data!$A$1:$AX$1,),))</f>
        <v/>
      </c>
      <c r="U143" s="20">
        <f>IF(VLOOKUP(B143,Data!$A:$AX,MATCH($U$1,Data!$A$1:$AX$1,))=0,#N/A,(VLOOKUP(B143,Data!$A:$AX,MATCH($U$1,Data!$A$1:$AX$1,),)-VLOOKUP(EDATE(B143,-12),Data!$A:$AX,MATCH($U$1,Data!$A$1:$AX$1,),))/VLOOKUP(EDATE(B143,-12),Data!$A:$AX,MATCH($U$1,Data!$A$1:$AX$1,),))</f>
        <v/>
      </c>
      <c r="V143" s="20">
        <f>(VLOOKUP(B143,Data!$A:$AX,MATCH($V$1,Data!$A$1:$AX$1,),)-VLOOKUP(EDATE(B143,-12),Data!$A:$AX,MATCH($V$1,Data!$A$1:$AX$1,),))/VLOOKUP(EDATE(B143,-12),Data!$A:$AX,MATCH($V$1,Data!$A$1:$AX$1,),)</f>
        <v/>
      </c>
      <c r="W143" s="20">
        <f>IF(VLOOKUP(B143,Data!$A:$AX,MATCH($W$1,Data!$A$1:$AX$1,))=0,#N/A,(VLOOKUP(B143,Data!$A:$AX,MATCH($W$1,Data!$A$1:$AX$1,),)-VLOOKUP(EDATE(B143,-12),Data!$A:$AX,MATCH($W$1,Data!$A$1:$AX$1,),))/VLOOKUP(EDATE(B143,-12),Data!$A:$AX,MATCH($W$1,Data!$A$1:$AX$1,),))</f>
        <v/>
      </c>
      <c r="X143" s="20">
        <f>IF(VLOOKUP(B143,Data!$A:$AX,MATCH($X$1,Data!$A$1:$AX$1,))=0,#N/A,(VLOOKUP(B143,Data!$A:$AX,MATCH($X$1,Data!$A$1:$AX$1,),)-VLOOKUP(EDATE(B143,-12),Data!$A:$AX,MATCH($X$1,Data!$A$1:$AX$1,),))/VLOOKUP(EDATE(B143,-12),Data!$A:$AX,MATCH($X$1,Data!$A$1:$AX$1,),))</f>
        <v/>
      </c>
      <c r="Y143" s="20">
        <f>IF(VLOOKUP(B143,Data!$A:$AX,MATCH($Y$1,Data!$A$1:$AX$1,))=0,#N/A,(VLOOKUP(B143,Data!$A:$AX,MATCH($Y$1,Data!$A$1:$AX$1,),)-VLOOKUP(EDATE(B143,-12),Data!$A:$AX,MATCH($Y$1,Data!$A$1:$AX$1,),))/VLOOKUP(EDATE(B143,-12),Data!$A:$AX,MATCH($Y$1,Data!$A$1:$AX$1,),))</f>
        <v/>
      </c>
    </row>
    <row r="144" customFormat="1" s="78">
      <c r="B144" s="15" t="n">
        <v>44593</v>
      </c>
      <c r="C144" s="20">
        <f>IF(VLOOKUP(B144,Data!$A:$AX,MATCH($C$1,Data!$A$1:$AX$1,))=0,#N/A,(VLOOKUP(B144,Data!$A:$AX,MATCH($C$1,Data!$A$1:$AX$1,),)-VLOOKUP(EDATE(B144,-12),Data!$A:$AX,MATCH($C$1,Data!$A$1:$AX$1,),))/VLOOKUP(EDATE(B144,-12),Data!$A:$AX,MATCH($C$1,Data!$A$1:$AX$1,),))</f>
        <v/>
      </c>
      <c r="D144" s="20">
        <f>IF(VLOOKUP(B144,Data!$A:$AX,MATCH($D$1,Data!$A$1:$AX$1,))=0,#N/A,(VLOOKUP(B144,Data!$A:$AX,MATCH($D$1,Data!$A$1:$AX$1,),)-VLOOKUP(EDATE(B144,-12),Data!$A:$AX,MATCH($D$1,Data!$A$1:$AX$1,),))/VLOOKUP(EDATE(B144,-12),Data!$A:$AX,MATCH($D$1,Data!$A$1:$AX$1,),))</f>
        <v/>
      </c>
      <c r="E144" s="20">
        <f>IF(VLOOKUP(B144,Data!$A:$AX,MATCH($E$1,Data!$A$1:$AX$1,))=0,#N/A,(VLOOKUP(B144,Data!$A:$AX,MATCH($E$1,Data!$A$1:$AX$1,),)-VLOOKUP(EDATE(B144,-12),Data!$A:$AX,MATCH($E$1,Data!$A$1:$AX$1,),))/VLOOKUP(EDATE(B144,-12),Data!$A:$AX,MATCH($E$1,Data!$A$1:$AX$1,),))</f>
        <v/>
      </c>
      <c r="F144" s="20">
        <f>IF(VLOOKUP(B144,Data!$A:$AX,MATCH($F$1,Data!$A$1:$AX$1,))=0,#N/A,(VLOOKUP(B144,Data!$A:$AX,MATCH($F$1,Data!$A$1:$AX$1,),)-VLOOKUP(EDATE(B144,-12),Data!$A:$AX,MATCH($F$1,Data!$A$1:$AX$1,),))/VLOOKUP(EDATE(B144,-12),Data!$A:$AX,MATCH($F$1,Data!$A$1:$AX$1,),))</f>
        <v/>
      </c>
      <c r="G144" s="20">
        <f>IF(VLOOKUP(B144,Data!$A:$AX,MATCH($G$1,Data!$A$1:$AX$1,))=0,#N/A,(VLOOKUP(B144,Data!$A:$AX,MATCH($G$1,Data!$A$1:$AX$1,),)-VLOOKUP(EDATE(B144,-12),Data!$A:$AX,MATCH($G$1,Data!$A$1:$AX$1,),))/VLOOKUP(EDATE(B144,-12),Data!$A:$AX,MATCH($G$1,Data!$A$1:$AX$1,),))</f>
        <v/>
      </c>
      <c r="H144" s="20">
        <f>IF(VLOOKUP(B144,Data!$A:$AX,MATCH($H$1,Data!$A$1:$AX$1,))=0,#N/A,(VLOOKUP(B144,Data!$A:$AX,MATCH($H$1,Data!$A$1:$AX$1,),)-VLOOKUP(EDATE(B144,-12),Data!$A:$AX,MATCH($H$1,Data!$A$1:$AX$1,),))/VLOOKUP(EDATE(B144,-12),Data!$A:$AX,MATCH($H$1,Data!$A$1:$AX$1,),))</f>
        <v/>
      </c>
      <c r="I144" s="20">
        <f>IF(VLOOKUP(B144,Data!$A:$AX,MATCH($I$1,Data!$A$1:$AX$1,))=0,#N/A,(VLOOKUP(B144,Data!$A:$AX,MATCH($I$1,Data!$A$1:$AX$1,),)-VLOOKUP(EDATE(B144,-12),Data!$A:$AX,MATCH($I$1,Data!$A$1:$AX$1,),))/VLOOKUP(EDATE(B144,-12),Data!$A:$AX,MATCH($I$1,Data!$A$1:$AX$1,),))</f>
        <v/>
      </c>
      <c r="J144" s="20">
        <f>IF(VLOOKUP(B144,Data!$A:$AX,MATCH($J$1,Data!$A$1:$AX$1,))=0,#N/A,(VLOOKUP(B144,Data!$A:$AX,MATCH($J$1,Data!$A$1:$AX$1,),)-VLOOKUP(EDATE(B144,-12),Data!$A:$AX,MATCH($J$1,Data!$A$1:$AX$1,),))/VLOOKUP(EDATE(B144,-12),Data!$A:$AX,MATCH($J$1,Data!$A$1:$AX$1,),))</f>
        <v/>
      </c>
      <c r="K144" s="20">
        <f>IF(VLOOKUP(B144,Data!$A:$AX,MATCH($K$1,Data!$A$1:$AX$1,))=0,#N/A,(VLOOKUP(B144,Data!$A:$AX,MATCH($K$1,Data!$A$1:$AX$1,),)-VLOOKUP(EDATE(B144,-12),Data!$A:$AX,MATCH($K$1,Data!$A$1:$AX$1,),))/VLOOKUP(EDATE(B144,-12),Data!$A:$AX,MATCH($K$1,Data!$A$1:$AX$1,),))</f>
        <v/>
      </c>
      <c r="L144" s="20">
        <f>IF(VLOOKUP(B144,Data!$A:$AX,MATCH($L$1,Data!$A$1:$AX$1,))=0,#N/A,(VLOOKUP(B144,Data!$A:$AX,MATCH($L$1,Data!$A$1:$AX$1,),)-VLOOKUP(EDATE(B144,-12),Data!$A:$AX,MATCH($L$1,Data!$A$1:$AX$1,),))/VLOOKUP(EDATE(B144,-12),Data!$A:$AX,MATCH($L$1,Data!$A$1:$AX$1,),))</f>
        <v/>
      </c>
      <c r="M144" s="20">
        <f>IF(VLOOKUP(B144,Data!$A:$AX,MATCH($M$1,Data!$A$1:$AX$1,))=0,#N/A,(VLOOKUP(B144,Data!$A:$AX,MATCH($M$1,Data!$A$1:$AX$1,),)-VLOOKUP(EDATE(B144,-12),Data!$A:$AX,MATCH($M$1,Data!$A$1:$AX$1,),))/VLOOKUP(EDATE(B144,-12),Data!$A:$AX,MATCH($M$1,Data!$A$1:$AX$1,),))</f>
        <v/>
      </c>
      <c r="N144" s="20">
        <f>(VLOOKUP(B144,Data!$A:$AX,MATCH($N$1,Data!$A$1:$AX$1,),)-VLOOKUP(EDATE(B144,-12),Data!$A:$AX,MATCH($N$1,Data!$A$1:$AX$1,),))/VLOOKUP(EDATE(B144,-12),Data!$A:$AX,MATCH($N$1,Data!$A$1:$AX$1,),)</f>
        <v/>
      </c>
      <c r="O144" s="20">
        <f>IF(VLOOKUP(B144,Data!$A:$AX,MATCH($O$1,Data!$A$1:$AX$1,))=0,#N/A,(VLOOKUP(B144,Data!$A:$AX,MATCH($O$1,Data!$A$1:$AX$1,),)-VLOOKUP(EDATE(B144,-12),Data!$A:$AX,MATCH($O$1,Data!$A$1:$AX$1,),))/VLOOKUP(EDATE(B144,-12),Data!$A:$AX,MATCH($O$1,Data!$A$1:$AX$1,),))</f>
        <v/>
      </c>
      <c r="P144" s="20">
        <f>IF(VLOOKUP(B144,Data!$A:$AX,MATCH($P$1,Data!$A$1:$AX$1,))=0,#N/A,(VLOOKUP(B144,Data!$A:$AX,MATCH($P$1,Data!$A$1:$AX$1,),)-VLOOKUP(EDATE(B144,-12),Data!$A:$AX,MATCH($P$1,Data!$A$1:$AX$1,),))/VLOOKUP(EDATE(B144,-12),Data!$A:$AX,MATCH($P$1,Data!$A$1:$AX$1,),))</f>
        <v/>
      </c>
      <c r="Q144" s="20">
        <f>(VLOOKUP(B144,Data!$A:$AX,MATCH($Q$1,Data!$A$1:$AX$1,),)-VLOOKUP(EDATE(B144,-12),Data!$A:$AX,MATCH($Q$1,Data!$A$1:$AX$1,),))/VLOOKUP(EDATE(B144,-12),Data!$A:$AX,MATCH($Q$1,Data!$A$1:$AX$1,),)</f>
        <v/>
      </c>
      <c r="R144" s="20">
        <f>IF(VLOOKUP(B144,Data!$A:$AX,MATCH($R$1,Data!$A$1:$AX$1,))=0,#N/A,(VLOOKUP(B144,Data!$A:$AX,MATCH($R$1,Data!$A$1:$AX$1,),)-VLOOKUP(EDATE(B144,-12),Data!$A:$AX,MATCH($R$1,Data!$A$1:$AX$1,),))/VLOOKUP(EDATE(B144,-12),Data!$A:$AX,MATCH($R$1,Data!$A$1:$AX$1,),))</f>
        <v/>
      </c>
      <c r="S144" s="20">
        <f>IF(VLOOKUP(B144,Data!$A:$AX,MATCH($S$1,Data!$A$1:$AX$1,))=0,#N/A,(VLOOKUP(B144,Data!$A:$AX,MATCH($S$1,Data!$A$1:$AX$1,),)-VLOOKUP(EDATE(B144,-12),Data!$A:$AX,MATCH($S$1,Data!$A$1:$AX$1,),))/VLOOKUP(EDATE(B144,-12),Data!$A:$AX,MATCH($S$1,Data!$A$1:$AX$1,),))</f>
        <v/>
      </c>
      <c r="T144" s="20">
        <f>IF(VLOOKUP(B144,Data!$A:$AX,MATCH($T$1,Data!$A$1:$AX$1,))=0,#N/A,(VLOOKUP(B144,Data!$A:$AX,MATCH($T$1,Data!$A$1:$AX$1,),)-VLOOKUP(EDATE(B144,-12),Data!$A:$AX,MATCH($T$1,Data!$A$1:$AX$1,),))/VLOOKUP(EDATE(B144,-12),Data!$A:$AX,MATCH($T$1,Data!$A$1:$AX$1,),))</f>
        <v/>
      </c>
      <c r="U144" s="20">
        <f>IF(VLOOKUP(B144,Data!$A:$AX,MATCH($U$1,Data!$A$1:$AX$1,))=0,#N/A,(VLOOKUP(B144,Data!$A:$AX,MATCH($U$1,Data!$A$1:$AX$1,),)-VLOOKUP(EDATE(B144,-12),Data!$A:$AX,MATCH($U$1,Data!$A$1:$AX$1,),))/VLOOKUP(EDATE(B144,-12),Data!$A:$AX,MATCH($U$1,Data!$A$1:$AX$1,),))</f>
        <v/>
      </c>
      <c r="V144" s="20">
        <f>(VLOOKUP(B144,Data!$A:$AX,MATCH($V$1,Data!$A$1:$AX$1,),)-VLOOKUP(EDATE(B144,-12),Data!$A:$AX,MATCH($V$1,Data!$A$1:$AX$1,),))/VLOOKUP(EDATE(B144,-12),Data!$A:$AX,MATCH($V$1,Data!$A$1:$AX$1,),)</f>
        <v/>
      </c>
      <c r="W144" s="20">
        <f>IF(VLOOKUP(B144,Data!$A:$AX,MATCH($W$1,Data!$A$1:$AX$1,))=0,#N/A,(VLOOKUP(B144,Data!$A:$AX,MATCH($W$1,Data!$A$1:$AX$1,),)-VLOOKUP(EDATE(B144,-12),Data!$A:$AX,MATCH($W$1,Data!$A$1:$AX$1,),))/VLOOKUP(EDATE(B144,-12),Data!$A:$AX,MATCH($W$1,Data!$A$1:$AX$1,),))</f>
        <v/>
      </c>
      <c r="X144" s="20">
        <f>IF(VLOOKUP(B144,Data!$A:$AX,MATCH($X$1,Data!$A$1:$AX$1,))=0,#N/A,(VLOOKUP(B144,Data!$A:$AX,MATCH($X$1,Data!$A$1:$AX$1,),)-VLOOKUP(EDATE(B144,-12),Data!$A:$AX,MATCH($X$1,Data!$A$1:$AX$1,),))/VLOOKUP(EDATE(B144,-12),Data!$A:$AX,MATCH($X$1,Data!$A$1:$AX$1,),))</f>
        <v/>
      </c>
      <c r="Y144" s="20">
        <f>IF(VLOOKUP(B144,Data!$A:$AX,MATCH($Y$1,Data!$A$1:$AX$1,))=0,#N/A,(VLOOKUP(B144,Data!$A:$AX,MATCH($Y$1,Data!$A$1:$AX$1,),)-VLOOKUP(EDATE(B144,-12),Data!$A:$AX,MATCH($Y$1,Data!$A$1:$AX$1,),))/VLOOKUP(EDATE(B144,-12),Data!$A:$AX,MATCH($Y$1,Data!$A$1:$AX$1,),))</f>
        <v/>
      </c>
    </row>
    <row r="145" customFormat="1" s="78">
      <c r="B145" s="15" t="n">
        <v>44621</v>
      </c>
      <c r="C145" s="20">
        <f>IF(VLOOKUP(B145,Data!$A:$AX,MATCH($C$1,Data!$A$1:$AX$1,))=0,#N/A,(VLOOKUP(B145,Data!$A:$AX,MATCH($C$1,Data!$A$1:$AX$1,),)-VLOOKUP(EDATE(B145,-12),Data!$A:$AX,MATCH($C$1,Data!$A$1:$AX$1,),))/VLOOKUP(EDATE(B145,-12),Data!$A:$AX,MATCH($C$1,Data!$A$1:$AX$1,),))</f>
        <v/>
      </c>
      <c r="D145" s="20">
        <f>IF(VLOOKUP(B145,Data!$A:$AX,MATCH($D$1,Data!$A$1:$AX$1,))=0,#N/A,(VLOOKUP(B145,Data!$A:$AX,MATCH($D$1,Data!$A$1:$AX$1,),)-VLOOKUP(EDATE(B145,-12),Data!$A:$AX,MATCH($D$1,Data!$A$1:$AX$1,),))/VLOOKUP(EDATE(B145,-12),Data!$A:$AX,MATCH($D$1,Data!$A$1:$AX$1,),))</f>
        <v/>
      </c>
      <c r="E145" s="20">
        <f>IF(VLOOKUP(B145,Data!$A:$AX,MATCH($E$1,Data!$A$1:$AX$1,))=0,#N/A,(VLOOKUP(B145,Data!$A:$AX,MATCH($E$1,Data!$A$1:$AX$1,),)-VLOOKUP(EDATE(B145,-12),Data!$A:$AX,MATCH($E$1,Data!$A$1:$AX$1,),))/VLOOKUP(EDATE(B145,-12),Data!$A:$AX,MATCH($E$1,Data!$A$1:$AX$1,),))</f>
        <v/>
      </c>
      <c r="F145" s="20">
        <f>IF(VLOOKUP(B145,Data!$A:$AX,MATCH($F$1,Data!$A$1:$AX$1,))=0,#N/A,(VLOOKUP(B145,Data!$A:$AX,MATCH($F$1,Data!$A$1:$AX$1,),)-VLOOKUP(EDATE(B145,-12),Data!$A:$AX,MATCH($F$1,Data!$A$1:$AX$1,),))/VLOOKUP(EDATE(B145,-12),Data!$A:$AX,MATCH($F$1,Data!$A$1:$AX$1,),))</f>
        <v/>
      </c>
      <c r="G145" s="20">
        <f>IF(VLOOKUP(B145,Data!$A:$AX,MATCH($G$1,Data!$A$1:$AX$1,))=0,#N/A,(VLOOKUP(B145,Data!$A:$AX,MATCH($G$1,Data!$A$1:$AX$1,),)-VLOOKUP(EDATE(B145,-12),Data!$A:$AX,MATCH($G$1,Data!$A$1:$AX$1,),))/VLOOKUP(EDATE(B145,-12),Data!$A:$AX,MATCH($G$1,Data!$A$1:$AX$1,),))</f>
        <v/>
      </c>
      <c r="H145" s="20">
        <f>IF(VLOOKUP(B145,Data!$A:$AX,MATCH($H$1,Data!$A$1:$AX$1,))=0,#N/A,(VLOOKUP(B145,Data!$A:$AX,MATCH($H$1,Data!$A$1:$AX$1,),)-VLOOKUP(EDATE(B145,-12),Data!$A:$AX,MATCH($H$1,Data!$A$1:$AX$1,),))/VLOOKUP(EDATE(B145,-12),Data!$A:$AX,MATCH($H$1,Data!$A$1:$AX$1,),))</f>
        <v/>
      </c>
      <c r="I145" s="20">
        <f>IF(VLOOKUP(B145,Data!$A:$AX,MATCH($I$1,Data!$A$1:$AX$1,))=0,#N/A,(VLOOKUP(B145,Data!$A:$AX,MATCH($I$1,Data!$A$1:$AX$1,),)-VLOOKUP(EDATE(B145,-12),Data!$A:$AX,MATCH($I$1,Data!$A$1:$AX$1,),))/VLOOKUP(EDATE(B145,-12),Data!$A:$AX,MATCH($I$1,Data!$A$1:$AX$1,),))</f>
        <v/>
      </c>
      <c r="J145" s="20">
        <f>IF(VLOOKUP(B145,Data!$A:$AX,MATCH($J$1,Data!$A$1:$AX$1,))=0,#N/A,(VLOOKUP(B145,Data!$A:$AX,MATCH($J$1,Data!$A$1:$AX$1,),)-VLOOKUP(EDATE(B145,-12),Data!$A:$AX,MATCH($J$1,Data!$A$1:$AX$1,),))/VLOOKUP(EDATE(B145,-12),Data!$A:$AX,MATCH($J$1,Data!$A$1:$AX$1,),))</f>
        <v/>
      </c>
      <c r="K145" s="20">
        <f>IF(VLOOKUP(B145,Data!$A:$AX,MATCH($K$1,Data!$A$1:$AX$1,))=0,#N/A,(VLOOKUP(B145,Data!$A:$AX,MATCH($K$1,Data!$A$1:$AX$1,),)-VLOOKUP(EDATE(B145,-12),Data!$A:$AX,MATCH($K$1,Data!$A$1:$AX$1,),))/VLOOKUP(EDATE(B145,-12),Data!$A:$AX,MATCH($K$1,Data!$A$1:$AX$1,),))</f>
        <v/>
      </c>
      <c r="L145" s="20">
        <f>IF(VLOOKUP(B145,Data!$A:$AX,MATCH($L$1,Data!$A$1:$AX$1,))=0,#N/A,(VLOOKUP(B145,Data!$A:$AX,MATCH($L$1,Data!$A$1:$AX$1,),)-VLOOKUP(EDATE(B145,-12),Data!$A:$AX,MATCH($L$1,Data!$A$1:$AX$1,),))/VLOOKUP(EDATE(B145,-12),Data!$A:$AX,MATCH($L$1,Data!$A$1:$AX$1,),))</f>
        <v/>
      </c>
      <c r="M145" s="20">
        <f>IF(VLOOKUP(B145,Data!$A:$AX,MATCH($M$1,Data!$A$1:$AX$1,))=0,#N/A,(VLOOKUP(B145,Data!$A:$AX,MATCH($M$1,Data!$A$1:$AX$1,),)-VLOOKUP(EDATE(B145,-12),Data!$A:$AX,MATCH($M$1,Data!$A$1:$AX$1,),))/VLOOKUP(EDATE(B145,-12),Data!$A:$AX,MATCH($M$1,Data!$A$1:$AX$1,),))</f>
        <v/>
      </c>
      <c r="N145" s="20">
        <f>(VLOOKUP(B145,Data!$A:$AX,MATCH($N$1,Data!$A$1:$AX$1,),)-VLOOKUP(EDATE(B145,-12),Data!$A:$AX,MATCH($N$1,Data!$A$1:$AX$1,),))/VLOOKUP(EDATE(B145,-12),Data!$A:$AX,MATCH($N$1,Data!$A$1:$AX$1,),)</f>
        <v/>
      </c>
      <c r="O145" s="20">
        <f>IF(VLOOKUP(B145,Data!$A:$AX,MATCH($O$1,Data!$A$1:$AX$1,))=0,#N/A,(VLOOKUP(B145,Data!$A:$AX,MATCH($O$1,Data!$A$1:$AX$1,),)-VLOOKUP(EDATE(B145,-12),Data!$A:$AX,MATCH($O$1,Data!$A$1:$AX$1,),))/VLOOKUP(EDATE(B145,-12),Data!$A:$AX,MATCH($O$1,Data!$A$1:$AX$1,),))</f>
        <v/>
      </c>
      <c r="P145" s="20">
        <f>IF(VLOOKUP(B145,Data!$A:$AX,MATCH($P$1,Data!$A$1:$AX$1,))=0,#N/A,(VLOOKUP(B145,Data!$A:$AX,MATCH($P$1,Data!$A$1:$AX$1,),)-VLOOKUP(EDATE(B145,-12),Data!$A:$AX,MATCH($P$1,Data!$A$1:$AX$1,),))/VLOOKUP(EDATE(B145,-12),Data!$A:$AX,MATCH($P$1,Data!$A$1:$AX$1,),))</f>
        <v/>
      </c>
      <c r="Q145" s="20">
        <f>(VLOOKUP(B145,Data!$A:$AX,MATCH($Q$1,Data!$A$1:$AX$1,),)-VLOOKUP(EDATE(B145,-12),Data!$A:$AX,MATCH($Q$1,Data!$A$1:$AX$1,),))/VLOOKUP(EDATE(B145,-12),Data!$A:$AX,MATCH($Q$1,Data!$A$1:$AX$1,),)</f>
        <v/>
      </c>
      <c r="R145" s="20">
        <f>IF(VLOOKUP(B145,Data!$A:$AX,MATCH($R$1,Data!$A$1:$AX$1,))=0,#N/A,(VLOOKUP(B145,Data!$A:$AX,MATCH($R$1,Data!$A$1:$AX$1,),)-VLOOKUP(EDATE(B145,-12),Data!$A:$AX,MATCH($R$1,Data!$A$1:$AX$1,),))/VLOOKUP(EDATE(B145,-12),Data!$A:$AX,MATCH($R$1,Data!$A$1:$AX$1,),))</f>
        <v/>
      </c>
      <c r="S145" s="20">
        <f>IF(VLOOKUP(B145,Data!$A:$AX,MATCH($S$1,Data!$A$1:$AX$1,))=0,#N/A,(VLOOKUP(B145,Data!$A:$AX,MATCH($S$1,Data!$A$1:$AX$1,),)-VLOOKUP(EDATE(B145,-12),Data!$A:$AX,MATCH($S$1,Data!$A$1:$AX$1,),))/VLOOKUP(EDATE(B145,-12),Data!$A:$AX,MATCH($S$1,Data!$A$1:$AX$1,),))</f>
        <v/>
      </c>
      <c r="T145" s="20">
        <f>IF(VLOOKUP(B145,Data!$A:$AX,MATCH($T$1,Data!$A$1:$AX$1,))=0,#N/A,(VLOOKUP(B145,Data!$A:$AX,MATCH($T$1,Data!$A$1:$AX$1,),)-VLOOKUP(EDATE(B145,-12),Data!$A:$AX,MATCH($T$1,Data!$A$1:$AX$1,),))/VLOOKUP(EDATE(B145,-12),Data!$A:$AX,MATCH($T$1,Data!$A$1:$AX$1,),))</f>
        <v/>
      </c>
      <c r="U145" s="20">
        <f>IF(VLOOKUP(B145,Data!$A:$AX,MATCH($U$1,Data!$A$1:$AX$1,))=0,#N/A,(VLOOKUP(B145,Data!$A:$AX,MATCH($U$1,Data!$A$1:$AX$1,),)-VLOOKUP(EDATE(B145,-12),Data!$A:$AX,MATCH($U$1,Data!$A$1:$AX$1,),))/VLOOKUP(EDATE(B145,-12),Data!$A:$AX,MATCH($U$1,Data!$A$1:$AX$1,),))</f>
        <v/>
      </c>
      <c r="V145" s="20">
        <f>(VLOOKUP(B145,Data!$A:$AX,MATCH($V$1,Data!$A$1:$AX$1,),)-VLOOKUP(EDATE(B145,-12),Data!$A:$AX,MATCH($V$1,Data!$A$1:$AX$1,),))/VLOOKUP(EDATE(B145,-12),Data!$A:$AX,MATCH($V$1,Data!$A$1:$AX$1,),)</f>
        <v/>
      </c>
      <c r="W145" s="20">
        <f>IF(VLOOKUP(B145,Data!$A:$AX,MATCH($W$1,Data!$A$1:$AX$1,))=0,#N/A,(VLOOKUP(B145,Data!$A:$AX,MATCH($W$1,Data!$A$1:$AX$1,),)-VLOOKUP(EDATE(B145,-12),Data!$A:$AX,MATCH($W$1,Data!$A$1:$AX$1,),))/VLOOKUP(EDATE(B145,-12),Data!$A:$AX,MATCH($W$1,Data!$A$1:$AX$1,),))</f>
        <v/>
      </c>
      <c r="X145" s="20">
        <f>IF(VLOOKUP(B145,Data!$A:$AX,MATCH($X$1,Data!$A$1:$AX$1,))=0,#N/A,(VLOOKUP(B145,Data!$A:$AX,MATCH($X$1,Data!$A$1:$AX$1,),)-VLOOKUP(EDATE(B145,-12),Data!$A:$AX,MATCH($X$1,Data!$A$1:$AX$1,),))/VLOOKUP(EDATE(B145,-12),Data!$A:$AX,MATCH($X$1,Data!$A$1:$AX$1,),))</f>
        <v/>
      </c>
      <c r="Y145" s="20">
        <f>IF(VLOOKUP(B145,Data!$A:$AX,MATCH($Y$1,Data!$A$1:$AX$1,))=0,#N/A,(VLOOKUP(B145,Data!$A:$AX,MATCH($Y$1,Data!$A$1:$AX$1,),)-VLOOKUP(EDATE(B145,-12),Data!$A:$AX,MATCH($Y$1,Data!$A$1:$AX$1,),))/VLOOKUP(EDATE(B145,-12),Data!$A:$AX,MATCH($Y$1,Data!$A$1:$AX$1,),))</f>
        <v/>
      </c>
    </row>
    <row r="146" customFormat="1" s="78">
      <c r="B146" s="15" t="n">
        <v>44652</v>
      </c>
      <c r="C146" s="20">
        <f>IF(VLOOKUP(B146,Data!$A:$AX,MATCH($C$1,Data!$A$1:$AX$1,))=0,#N/A,(VLOOKUP(B146,Data!$A:$AX,MATCH($C$1,Data!$A$1:$AX$1,),)-VLOOKUP(EDATE(B146,-12),Data!$A:$AX,MATCH($C$1,Data!$A$1:$AX$1,),))/VLOOKUP(EDATE(B146,-12),Data!$A:$AX,MATCH($C$1,Data!$A$1:$AX$1,),))</f>
        <v/>
      </c>
      <c r="D146" s="20">
        <f>IF(VLOOKUP(B146,Data!$A:$AX,MATCH($D$1,Data!$A$1:$AX$1,))=0,#N/A,(VLOOKUP(B146,Data!$A:$AX,MATCH($D$1,Data!$A$1:$AX$1,),)-VLOOKUP(EDATE(B146,-12),Data!$A:$AX,MATCH($D$1,Data!$A$1:$AX$1,),))/VLOOKUP(EDATE(B146,-12),Data!$A:$AX,MATCH($D$1,Data!$A$1:$AX$1,),))</f>
        <v/>
      </c>
      <c r="E146" s="20">
        <f>IF(VLOOKUP(B146,Data!$A:$AX,MATCH($E$1,Data!$A$1:$AX$1,))=0,#N/A,(VLOOKUP(B146,Data!$A:$AX,MATCH($E$1,Data!$A$1:$AX$1,),)-VLOOKUP(EDATE(B146,-12),Data!$A:$AX,MATCH($E$1,Data!$A$1:$AX$1,),))/VLOOKUP(EDATE(B146,-12),Data!$A:$AX,MATCH($E$1,Data!$A$1:$AX$1,),))</f>
        <v/>
      </c>
      <c r="F146" s="20">
        <f>IF(VLOOKUP(B146,Data!$A:$AX,MATCH($F$1,Data!$A$1:$AX$1,))=0,#N/A,(VLOOKUP(B146,Data!$A:$AX,MATCH($F$1,Data!$A$1:$AX$1,),)-VLOOKUP(EDATE(B146,-12),Data!$A:$AX,MATCH($F$1,Data!$A$1:$AX$1,),))/VLOOKUP(EDATE(B146,-12),Data!$A:$AX,MATCH($F$1,Data!$A$1:$AX$1,),))</f>
        <v/>
      </c>
      <c r="G146" s="20">
        <f>IF(VLOOKUP(B146,Data!$A:$AX,MATCH($G$1,Data!$A$1:$AX$1,))=0,#N/A,(VLOOKUP(B146,Data!$A:$AX,MATCH($G$1,Data!$A$1:$AX$1,),)-VLOOKUP(EDATE(B146,-12),Data!$A:$AX,MATCH($G$1,Data!$A$1:$AX$1,),))/VLOOKUP(EDATE(B146,-12),Data!$A:$AX,MATCH($G$1,Data!$A$1:$AX$1,),))</f>
        <v/>
      </c>
      <c r="H146" s="20">
        <f>IF(VLOOKUP(B146,Data!$A:$AX,MATCH($H$1,Data!$A$1:$AX$1,))=0,#N/A,(VLOOKUP(B146,Data!$A:$AX,MATCH($H$1,Data!$A$1:$AX$1,),)-VLOOKUP(EDATE(B146,-12),Data!$A:$AX,MATCH($H$1,Data!$A$1:$AX$1,),))/VLOOKUP(EDATE(B146,-12),Data!$A:$AX,MATCH($H$1,Data!$A$1:$AX$1,),))</f>
        <v/>
      </c>
      <c r="I146" s="20">
        <f>IF(VLOOKUP(B146,Data!$A:$AX,MATCH($I$1,Data!$A$1:$AX$1,))=0,#N/A,(VLOOKUP(B146,Data!$A:$AX,MATCH($I$1,Data!$A$1:$AX$1,),)-VLOOKUP(EDATE(B146,-12),Data!$A:$AX,MATCH($I$1,Data!$A$1:$AX$1,),))/VLOOKUP(EDATE(B146,-12),Data!$A:$AX,MATCH($I$1,Data!$A$1:$AX$1,),))</f>
        <v/>
      </c>
      <c r="J146" s="20">
        <f>IF(VLOOKUP(B146,Data!$A:$AX,MATCH($J$1,Data!$A$1:$AX$1,))=0,#N/A,(VLOOKUP(B146,Data!$A:$AX,MATCH($J$1,Data!$A$1:$AX$1,),)-VLOOKUP(EDATE(B146,-12),Data!$A:$AX,MATCH($J$1,Data!$A$1:$AX$1,),))/VLOOKUP(EDATE(B146,-12),Data!$A:$AX,MATCH($J$1,Data!$A$1:$AX$1,),))</f>
        <v/>
      </c>
      <c r="K146" s="20">
        <f>IF(VLOOKUP(B146,Data!$A:$AX,MATCH($K$1,Data!$A$1:$AX$1,))=0,#N/A,(VLOOKUP(B146,Data!$A:$AX,MATCH($K$1,Data!$A$1:$AX$1,),)-VLOOKUP(EDATE(B146,-12),Data!$A:$AX,MATCH($K$1,Data!$A$1:$AX$1,),))/VLOOKUP(EDATE(B146,-12),Data!$A:$AX,MATCH($K$1,Data!$A$1:$AX$1,),))</f>
        <v/>
      </c>
      <c r="L146" s="20">
        <f>IF(VLOOKUP(B146,Data!$A:$AX,MATCH($L$1,Data!$A$1:$AX$1,))=0,#N/A,(VLOOKUP(B146,Data!$A:$AX,MATCH($L$1,Data!$A$1:$AX$1,),)-VLOOKUP(EDATE(B146,-12),Data!$A:$AX,MATCH($L$1,Data!$A$1:$AX$1,),))/VLOOKUP(EDATE(B146,-12),Data!$A:$AX,MATCH($L$1,Data!$A$1:$AX$1,),))</f>
        <v/>
      </c>
      <c r="M146" s="20">
        <f>IF(VLOOKUP(B146,Data!$A:$AX,MATCH($M$1,Data!$A$1:$AX$1,))=0,#N/A,(VLOOKUP(B146,Data!$A:$AX,MATCH($M$1,Data!$A$1:$AX$1,),)-VLOOKUP(EDATE(B146,-12),Data!$A:$AX,MATCH($M$1,Data!$A$1:$AX$1,),))/VLOOKUP(EDATE(B146,-12),Data!$A:$AX,MATCH($M$1,Data!$A$1:$AX$1,),))</f>
        <v/>
      </c>
      <c r="N146" s="20">
        <f>(VLOOKUP(B146,Data!$A:$AX,MATCH($N$1,Data!$A$1:$AX$1,),)-VLOOKUP(EDATE(B146,-12),Data!$A:$AX,MATCH($N$1,Data!$A$1:$AX$1,),))/VLOOKUP(EDATE(B146,-12),Data!$A:$AX,MATCH($N$1,Data!$A$1:$AX$1,),)</f>
        <v/>
      </c>
      <c r="O146" s="20">
        <f>IF(VLOOKUP(B146,Data!$A:$AX,MATCH($O$1,Data!$A$1:$AX$1,))=0,#N/A,(VLOOKUP(B146,Data!$A:$AX,MATCH($O$1,Data!$A$1:$AX$1,),)-VLOOKUP(EDATE(B146,-12),Data!$A:$AX,MATCH($O$1,Data!$A$1:$AX$1,),))/VLOOKUP(EDATE(B146,-12),Data!$A:$AX,MATCH($O$1,Data!$A$1:$AX$1,),))</f>
        <v/>
      </c>
      <c r="P146" s="20">
        <f>IF(VLOOKUP(B146,Data!$A:$AX,MATCH($P$1,Data!$A$1:$AX$1,))=0,#N/A,(VLOOKUP(B146,Data!$A:$AX,MATCH($P$1,Data!$A$1:$AX$1,),)-VLOOKUP(EDATE(B146,-12),Data!$A:$AX,MATCH($P$1,Data!$A$1:$AX$1,),))/VLOOKUP(EDATE(B146,-12),Data!$A:$AX,MATCH($P$1,Data!$A$1:$AX$1,),))</f>
        <v/>
      </c>
      <c r="Q146" s="20">
        <f>(VLOOKUP(B146,Data!$A:$AX,MATCH($Q$1,Data!$A$1:$AX$1,),)-VLOOKUP(EDATE(B146,-12),Data!$A:$AX,MATCH($Q$1,Data!$A$1:$AX$1,),))/VLOOKUP(EDATE(B146,-12),Data!$A:$AX,MATCH($Q$1,Data!$A$1:$AX$1,),)</f>
        <v/>
      </c>
      <c r="R146" s="20">
        <f>IF(VLOOKUP(B146,Data!$A:$AX,MATCH($R$1,Data!$A$1:$AX$1,))=0,#N/A,(VLOOKUP(B146,Data!$A:$AX,MATCH($R$1,Data!$A$1:$AX$1,),)-VLOOKUP(EDATE(B146,-12),Data!$A:$AX,MATCH($R$1,Data!$A$1:$AX$1,),))/VLOOKUP(EDATE(B146,-12),Data!$A:$AX,MATCH($R$1,Data!$A$1:$AX$1,),))</f>
        <v/>
      </c>
      <c r="S146" s="20">
        <f>IF(VLOOKUP(B146,Data!$A:$AX,MATCH($S$1,Data!$A$1:$AX$1,))=0,#N/A,(VLOOKUP(B146,Data!$A:$AX,MATCH($S$1,Data!$A$1:$AX$1,),)-VLOOKUP(EDATE(B146,-12),Data!$A:$AX,MATCH($S$1,Data!$A$1:$AX$1,),))/VLOOKUP(EDATE(B146,-12),Data!$A:$AX,MATCH($S$1,Data!$A$1:$AX$1,),))</f>
        <v/>
      </c>
      <c r="T146" s="20">
        <f>IF(VLOOKUP(B146,Data!$A:$AX,MATCH($T$1,Data!$A$1:$AX$1,))=0,#N/A,(VLOOKUP(B146,Data!$A:$AX,MATCH($T$1,Data!$A$1:$AX$1,),)-VLOOKUP(EDATE(B146,-12),Data!$A:$AX,MATCH($T$1,Data!$A$1:$AX$1,),))/VLOOKUP(EDATE(B146,-12),Data!$A:$AX,MATCH($T$1,Data!$A$1:$AX$1,),))</f>
        <v/>
      </c>
      <c r="U146" s="20">
        <f>IF(VLOOKUP(B146,Data!$A:$AX,MATCH($U$1,Data!$A$1:$AX$1,))=0,#N/A,(VLOOKUP(B146,Data!$A:$AX,MATCH($U$1,Data!$A$1:$AX$1,),)-VLOOKUP(EDATE(B146,-12),Data!$A:$AX,MATCH($U$1,Data!$A$1:$AX$1,),))/VLOOKUP(EDATE(B146,-12),Data!$A:$AX,MATCH($U$1,Data!$A$1:$AX$1,),))</f>
        <v/>
      </c>
      <c r="V146" s="20">
        <f>(VLOOKUP(B146,Data!$A:$AX,MATCH($V$1,Data!$A$1:$AX$1,),)-VLOOKUP(EDATE(B146,-12),Data!$A:$AX,MATCH($V$1,Data!$A$1:$AX$1,),))/VLOOKUP(EDATE(B146,-12),Data!$A:$AX,MATCH($V$1,Data!$A$1:$AX$1,),)</f>
        <v/>
      </c>
      <c r="W146" s="20">
        <f>IF(VLOOKUP(B146,Data!$A:$AX,MATCH($W$1,Data!$A$1:$AX$1,))=0,#N/A,(VLOOKUP(B146,Data!$A:$AX,MATCH($W$1,Data!$A$1:$AX$1,),)-VLOOKUP(EDATE(B146,-12),Data!$A:$AX,MATCH($W$1,Data!$A$1:$AX$1,),))/VLOOKUP(EDATE(B146,-12),Data!$A:$AX,MATCH($W$1,Data!$A$1:$AX$1,),))</f>
        <v/>
      </c>
      <c r="X146" s="20">
        <f>IF(VLOOKUP(B146,Data!$A:$AX,MATCH($X$1,Data!$A$1:$AX$1,))=0,#N/A,(VLOOKUP(B146,Data!$A:$AX,MATCH($X$1,Data!$A$1:$AX$1,),)-VLOOKUP(EDATE(B146,-12),Data!$A:$AX,MATCH($X$1,Data!$A$1:$AX$1,),))/VLOOKUP(EDATE(B146,-12),Data!$A:$AX,MATCH($X$1,Data!$A$1:$AX$1,),))</f>
        <v/>
      </c>
      <c r="Y146" s="20">
        <f>IF(VLOOKUP(B146,Data!$A:$AX,MATCH($Y$1,Data!$A$1:$AX$1,))=0,#N/A,(VLOOKUP(B146,Data!$A:$AX,MATCH($Y$1,Data!$A$1:$AX$1,),)-VLOOKUP(EDATE(B146,-12),Data!$A:$AX,MATCH($Y$1,Data!$A$1:$AX$1,),))/VLOOKUP(EDATE(B146,-12),Data!$A:$AX,MATCH($Y$1,Data!$A$1:$AX$1,),))</f>
        <v/>
      </c>
    </row>
    <row r="147" customFormat="1" s="78">
      <c r="B147" s="15" t="n">
        <v>44682</v>
      </c>
      <c r="C147" s="20">
        <f>IF(VLOOKUP(B147,Data!$A:$AX,MATCH($C$1,Data!$A$1:$AX$1,))=0,#N/A,(VLOOKUP(B147,Data!$A:$AX,MATCH($C$1,Data!$A$1:$AX$1,),)-VLOOKUP(EDATE(B147,-12),Data!$A:$AX,MATCH($C$1,Data!$A$1:$AX$1,),))/VLOOKUP(EDATE(B147,-12),Data!$A:$AX,MATCH($C$1,Data!$A$1:$AX$1,),))</f>
        <v/>
      </c>
      <c r="D147" s="20">
        <f>IF(VLOOKUP(B147,Data!$A:$AX,MATCH($D$1,Data!$A$1:$AX$1,))=0,#N/A,(VLOOKUP(B147,Data!$A:$AX,MATCH($D$1,Data!$A$1:$AX$1,),)-VLOOKUP(EDATE(B147,-12),Data!$A:$AX,MATCH($D$1,Data!$A$1:$AX$1,),))/VLOOKUP(EDATE(B147,-12),Data!$A:$AX,MATCH($D$1,Data!$A$1:$AX$1,),))</f>
        <v/>
      </c>
      <c r="E147" s="20">
        <f>IF(VLOOKUP(B147,Data!$A:$AX,MATCH($E$1,Data!$A$1:$AX$1,))=0,#N/A,(VLOOKUP(B147,Data!$A:$AX,MATCH($E$1,Data!$A$1:$AX$1,),)-VLOOKUP(EDATE(B147,-12),Data!$A:$AX,MATCH($E$1,Data!$A$1:$AX$1,),))/VLOOKUP(EDATE(B147,-12),Data!$A:$AX,MATCH($E$1,Data!$A$1:$AX$1,),))</f>
        <v/>
      </c>
      <c r="F147" s="20">
        <f>IF(VLOOKUP(B147,Data!$A:$AX,MATCH($F$1,Data!$A$1:$AX$1,))=0,#N/A,(VLOOKUP(B147,Data!$A:$AX,MATCH($F$1,Data!$A$1:$AX$1,),)-VLOOKUP(EDATE(B147,-12),Data!$A:$AX,MATCH($F$1,Data!$A$1:$AX$1,),))/VLOOKUP(EDATE(B147,-12),Data!$A:$AX,MATCH($F$1,Data!$A$1:$AX$1,),))</f>
        <v/>
      </c>
      <c r="G147" s="20">
        <f>IF(VLOOKUP(B147,Data!$A:$AX,MATCH($G$1,Data!$A$1:$AX$1,))=0,#N/A,(VLOOKUP(B147,Data!$A:$AX,MATCH($G$1,Data!$A$1:$AX$1,),)-VLOOKUP(EDATE(B147,-12),Data!$A:$AX,MATCH($G$1,Data!$A$1:$AX$1,),))/VLOOKUP(EDATE(B147,-12),Data!$A:$AX,MATCH($G$1,Data!$A$1:$AX$1,),))</f>
        <v/>
      </c>
      <c r="H147" s="20">
        <f>IF(VLOOKUP(B147,Data!$A:$AX,MATCH($H$1,Data!$A$1:$AX$1,))=0,#N/A,(VLOOKUP(B147,Data!$A:$AX,MATCH($H$1,Data!$A$1:$AX$1,),)-VLOOKUP(EDATE(B147,-12),Data!$A:$AX,MATCH($H$1,Data!$A$1:$AX$1,),))/VLOOKUP(EDATE(B147,-12),Data!$A:$AX,MATCH($H$1,Data!$A$1:$AX$1,),))</f>
        <v/>
      </c>
      <c r="I147" s="20">
        <f>IF(VLOOKUP(B147,Data!$A:$AX,MATCH($I$1,Data!$A$1:$AX$1,))=0,#N/A,(VLOOKUP(B147,Data!$A:$AX,MATCH($I$1,Data!$A$1:$AX$1,),)-VLOOKUP(EDATE(B147,-12),Data!$A:$AX,MATCH($I$1,Data!$A$1:$AX$1,),))/VLOOKUP(EDATE(B147,-12),Data!$A:$AX,MATCH($I$1,Data!$A$1:$AX$1,),))</f>
        <v/>
      </c>
      <c r="J147" s="20">
        <f>IF(VLOOKUP(B147,Data!$A:$AX,MATCH($J$1,Data!$A$1:$AX$1,))=0,#N/A,(VLOOKUP(B147,Data!$A:$AX,MATCH($J$1,Data!$A$1:$AX$1,),)-VLOOKUP(EDATE(B147,-12),Data!$A:$AX,MATCH($J$1,Data!$A$1:$AX$1,),))/VLOOKUP(EDATE(B147,-12),Data!$A:$AX,MATCH($J$1,Data!$A$1:$AX$1,),))</f>
        <v/>
      </c>
      <c r="K147" s="20">
        <f>IF(VLOOKUP(B147,Data!$A:$AX,MATCH($K$1,Data!$A$1:$AX$1,))=0,#N/A,(VLOOKUP(B147,Data!$A:$AX,MATCH($K$1,Data!$A$1:$AX$1,),)-VLOOKUP(EDATE(B147,-12),Data!$A:$AX,MATCH($K$1,Data!$A$1:$AX$1,),))/VLOOKUP(EDATE(B147,-12),Data!$A:$AX,MATCH($K$1,Data!$A$1:$AX$1,),))</f>
        <v/>
      </c>
      <c r="L147" s="20">
        <f>IF(VLOOKUP(B147,Data!$A:$AX,MATCH($L$1,Data!$A$1:$AX$1,))=0,#N/A,(VLOOKUP(B147,Data!$A:$AX,MATCH($L$1,Data!$A$1:$AX$1,),)-VLOOKUP(EDATE(B147,-12),Data!$A:$AX,MATCH($L$1,Data!$A$1:$AX$1,),))/VLOOKUP(EDATE(B147,-12),Data!$A:$AX,MATCH($L$1,Data!$A$1:$AX$1,),))</f>
        <v/>
      </c>
      <c r="M147" s="20">
        <f>IF(VLOOKUP(B147,Data!$A:$AX,MATCH($M$1,Data!$A$1:$AX$1,))=0,#N/A,(VLOOKUP(B147,Data!$A:$AX,MATCH($M$1,Data!$A$1:$AX$1,),)-VLOOKUP(EDATE(B147,-12),Data!$A:$AX,MATCH($M$1,Data!$A$1:$AX$1,),))/VLOOKUP(EDATE(B147,-12),Data!$A:$AX,MATCH($M$1,Data!$A$1:$AX$1,),))</f>
        <v/>
      </c>
      <c r="N147" s="20">
        <f>(VLOOKUP(B147,Data!$A:$AX,MATCH($N$1,Data!$A$1:$AX$1,),)-VLOOKUP(EDATE(B147,-12),Data!$A:$AX,MATCH($N$1,Data!$A$1:$AX$1,),))/VLOOKUP(EDATE(B147,-12),Data!$A:$AX,MATCH($N$1,Data!$A$1:$AX$1,),)</f>
        <v/>
      </c>
      <c r="O147" s="20">
        <f>IF(VLOOKUP(B147,Data!$A:$AX,MATCH($O$1,Data!$A$1:$AX$1,))=0,#N/A,(VLOOKUP(B147,Data!$A:$AX,MATCH($O$1,Data!$A$1:$AX$1,),)-VLOOKUP(EDATE(B147,-12),Data!$A:$AX,MATCH($O$1,Data!$A$1:$AX$1,),))/VLOOKUP(EDATE(B147,-12),Data!$A:$AX,MATCH($O$1,Data!$A$1:$AX$1,),))</f>
        <v/>
      </c>
      <c r="P147" s="20">
        <f>IF(VLOOKUP(B147,Data!$A:$AX,MATCH($P$1,Data!$A$1:$AX$1,))=0,#N/A,(VLOOKUP(B147,Data!$A:$AX,MATCH($P$1,Data!$A$1:$AX$1,),)-VLOOKUP(EDATE(B147,-12),Data!$A:$AX,MATCH($P$1,Data!$A$1:$AX$1,),))/VLOOKUP(EDATE(B147,-12),Data!$A:$AX,MATCH($P$1,Data!$A$1:$AX$1,),))</f>
        <v/>
      </c>
      <c r="Q147" s="20">
        <f>(VLOOKUP(B147,Data!$A:$AX,MATCH($Q$1,Data!$A$1:$AX$1,),)-VLOOKUP(EDATE(B147,-12),Data!$A:$AX,MATCH($Q$1,Data!$A$1:$AX$1,),))/VLOOKUP(EDATE(B147,-12),Data!$A:$AX,MATCH($Q$1,Data!$A$1:$AX$1,),)</f>
        <v/>
      </c>
      <c r="R147" s="20">
        <f>IF(VLOOKUP(B147,Data!$A:$AX,MATCH($R$1,Data!$A$1:$AX$1,))=0,#N/A,(VLOOKUP(B147,Data!$A:$AX,MATCH($R$1,Data!$A$1:$AX$1,),)-VLOOKUP(EDATE(B147,-12),Data!$A:$AX,MATCH($R$1,Data!$A$1:$AX$1,),))/VLOOKUP(EDATE(B147,-12),Data!$A:$AX,MATCH($R$1,Data!$A$1:$AX$1,),))</f>
        <v/>
      </c>
      <c r="S147" s="20">
        <f>IF(VLOOKUP(B147,Data!$A:$AX,MATCH($S$1,Data!$A$1:$AX$1,))=0,#N/A,(VLOOKUP(B147,Data!$A:$AX,MATCH($S$1,Data!$A$1:$AX$1,),)-VLOOKUP(EDATE(B147,-12),Data!$A:$AX,MATCH($S$1,Data!$A$1:$AX$1,),))/VLOOKUP(EDATE(B147,-12),Data!$A:$AX,MATCH($S$1,Data!$A$1:$AX$1,),))</f>
        <v/>
      </c>
      <c r="T147" s="20">
        <f>IF(VLOOKUP(B147,Data!$A:$AX,MATCH($T$1,Data!$A$1:$AX$1,))=0,#N/A,(VLOOKUP(B147,Data!$A:$AX,MATCH($T$1,Data!$A$1:$AX$1,),)-VLOOKUP(EDATE(B147,-12),Data!$A:$AX,MATCH($T$1,Data!$A$1:$AX$1,),))/VLOOKUP(EDATE(B147,-12),Data!$A:$AX,MATCH($T$1,Data!$A$1:$AX$1,),))</f>
        <v/>
      </c>
      <c r="U147" s="20">
        <f>IF(VLOOKUP(B147,Data!$A:$AX,MATCH($U$1,Data!$A$1:$AX$1,))=0,#N/A,(VLOOKUP(B147,Data!$A:$AX,MATCH($U$1,Data!$A$1:$AX$1,),)-VLOOKUP(EDATE(B147,-12),Data!$A:$AX,MATCH($U$1,Data!$A$1:$AX$1,),))/VLOOKUP(EDATE(B147,-12),Data!$A:$AX,MATCH($U$1,Data!$A$1:$AX$1,),))</f>
        <v/>
      </c>
      <c r="V147" s="20">
        <f>(VLOOKUP(B147,Data!$A:$AX,MATCH($V$1,Data!$A$1:$AX$1,),)-VLOOKUP(EDATE(B147,-12),Data!$A:$AX,MATCH($V$1,Data!$A$1:$AX$1,),))/VLOOKUP(EDATE(B147,-12),Data!$A:$AX,MATCH($V$1,Data!$A$1:$AX$1,),)</f>
        <v/>
      </c>
      <c r="W147" s="20">
        <f>IF(VLOOKUP(B147,Data!$A:$AX,MATCH($W$1,Data!$A$1:$AX$1,))=0,#N/A,(VLOOKUP(B147,Data!$A:$AX,MATCH($W$1,Data!$A$1:$AX$1,),)-VLOOKUP(EDATE(B147,-12),Data!$A:$AX,MATCH($W$1,Data!$A$1:$AX$1,),))/VLOOKUP(EDATE(B147,-12),Data!$A:$AX,MATCH($W$1,Data!$A$1:$AX$1,),))</f>
        <v/>
      </c>
      <c r="X147" s="20">
        <f>IF(VLOOKUP(B147,Data!$A:$AX,MATCH($X$1,Data!$A$1:$AX$1,))=0,#N/A,(VLOOKUP(B147,Data!$A:$AX,MATCH($X$1,Data!$A$1:$AX$1,),)-VLOOKUP(EDATE(B147,-12),Data!$A:$AX,MATCH($X$1,Data!$A$1:$AX$1,),))/VLOOKUP(EDATE(B147,-12),Data!$A:$AX,MATCH($X$1,Data!$A$1:$AX$1,),))</f>
        <v/>
      </c>
      <c r="Y147" s="20">
        <f>IF(VLOOKUP(B147,Data!$A:$AX,MATCH($Y$1,Data!$A$1:$AX$1,))=0,#N/A,(VLOOKUP(B147,Data!$A:$AX,MATCH($Y$1,Data!$A$1:$AX$1,),)-VLOOKUP(EDATE(B147,-12),Data!$A:$AX,MATCH($Y$1,Data!$A$1:$AX$1,),))/VLOOKUP(EDATE(B147,-12),Data!$A:$AX,MATCH($Y$1,Data!$A$1:$AX$1,),))</f>
        <v/>
      </c>
    </row>
    <row r="148" customFormat="1" s="78">
      <c r="B148" s="15" t="n">
        <v>44713</v>
      </c>
      <c r="C148" s="20">
        <f>IF(VLOOKUP(B148,Data!$A:$AX,MATCH($C$1,Data!$A$1:$AX$1,))=0,#N/A,(VLOOKUP(B148,Data!$A:$AX,MATCH($C$1,Data!$A$1:$AX$1,),)-VLOOKUP(EDATE(B148,-12),Data!$A:$AX,MATCH($C$1,Data!$A$1:$AX$1,),))/VLOOKUP(EDATE(B148,-12),Data!$A:$AX,MATCH($C$1,Data!$A$1:$AX$1,),))</f>
        <v/>
      </c>
      <c r="D148" s="20">
        <f>IF(VLOOKUP(B148,Data!$A:$AX,MATCH($D$1,Data!$A$1:$AX$1,))=0,#N/A,(VLOOKUP(B148,Data!$A:$AX,MATCH($D$1,Data!$A$1:$AX$1,),)-VLOOKUP(EDATE(B148,-12),Data!$A:$AX,MATCH($D$1,Data!$A$1:$AX$1,),))/VLOOKUP(EDATE(B148,-12),Data!$A:$AX,MATCH($D$1,Data!$A$1:$AX$1,),))</f>
        <v/>
      </c>
      <c r="E148" s="20">
        <f>IF(VLOOKUP(B148,Data!$A:$AX,MATCH($E$1,Data!$A$1:$AX$1,))=0,#N/A,(VLOOKUP(B148,Data!$A:$AX,MATCH($E$1,Data!$A$1:$AX$1,),)-VLOOKUP(EDATE(B148,-12),Data!$A:$AX,MATCH($E$1,Data!$A$1:$AX$1,),))/VLOOKUP(EDATE(B148,-12),Data!$A:$AX,MATCH($E$1,Data!$A$1:$AX$1,),))</f>
        <v/>
      </c>
      <c r="F148" s="20">
        <f>IF(VLOOKUP(B148,Data!$A:$AX,MATCH($F$1,Data!$A$1:$AX$1,))=0,#N/A,(VLOOKUP(B148,Data!$A:$AX,MATCH($F$1,Data!$A$1:$AX$1,),)-VLOOKUP(EDATE(B148,-12),Data!$A:$AX,MATCH($F$1,Data!$A$1:$AX$1,),))/VLOOKUP(EDATE(B148,-12),Data!$A:$AX,MATCH($F$1,Data!$A$1:$AX$1,),))</f>
        <v/>
      </c>
      <c r="G148" s="20">
        <f>IF(VLOOKUP(B148,Data!$A:$AX,MATCH($G$1,Data!$A$1:$AX$1,))=0,#N/A,(VLOOKUP(B148,Data!$A:$AX,MATCH($G$1,Data!$A$1:$AX$1,),)-VLOOKUP(EDATE(B148,-12),Data!$A:$AX,MATCH($G$1,Data!$A$1:$AX$1,),))/VLOOKUP(EDATE(B148,-12),Data!$A:$AX,MATCH($G$1,Data!$A$1:$AX$1,),))</f>
        <v/>
      </c>
      <c r="H148" s="20">
        <f>IF(VLOOKUP(B148,Data!$A:$AX,MATCH($H$1,Data!$A$1:$AX$1,))=0,#N/A,(VLOOKUP(B148,Data!$A:$AX,MATCH($H$1,Data!$A$1:$AX$1,),)-VLOOKUP(EDATE(B148,-12),Data!$A:$AX,MATCH($H$1,Data!$A$1:$AX$1,),))/VLOOKUP(EDATE(B148,-12),Data!$A:$AX,MATCH($H$1,Data!$A$1:$AX$1,),))</f>
        <v/>
      </c>
      <c r="I148" s="20">
        <f>IF(VLOOKUP(B148,Data!$A:$AX,MATCH($I$1,Data!$A$1:$AX$1,))=0,#N/A,(VLOOKUP(B148,Data!$A:$AX,MATCH($I$1,Data!$A$1:$AX$1,),)-VLOOKUP(EDATE(B148,-12),Data!$A:$AX,MATCH($I$1,Data!$A$1:$AX$1,),))/VLOOKUP(EDATE(B148,-12),Data!$A:$AX,MATCH($I$1,Data!$A$1:$AX$1,),))</f>
        <v/>
      </c>
      <c r="J148" s="20">
        <f>IF(VLOOKUP(B148,Data!$A:$AX,MATCH($J$1,Data!$A$1:$AX$1,))=0,#N/A,(VLOOKUP(B148,Data!$A:$AX,MATCH($J$1,Data!$A$1:$AX$1,),)-VLOOKUP(EDATE(B148,-12),Data!$A:$AX,MATCH($J$1,Data!$A$1:$AX$1,),))/VLOOKUP(EDATE(B148,-12),Data!$A:$AX,MATCH($J$1,Data!$A$1:$AX$1,),))</f>
        <v/>
      </c>
      <c r="K148" s="20">
        <f>IF(VLOOKUP(B148,Data!$A:$AX,MATCH($K$1,Data!$A$1:$AX$1,))=0,#N/A,(VLOOKUP(B148,Data!$A:$AX,MATCH($K$1,Data!$A$1:$AX$1,),)-VLOOKUP(EDATE(B148,-12),Data!$A:$AX,MATCH($K$1,Data!$A$1:$AX$1,),))/VLOOKUP(EDATE(B148,-12),Data!$A:$AX,MATCH($K$1,Data!$A$1:$AX$1,),))</f>
        <v/>
      </c>
      <c r="L148" s="20">
        <f>IF(VLOOKUP(B148,Data!$A:$AX,MATCH($L$1,Data!$A$1:$AX$1,))=0,#N/A,(VLOOKUP(B148,Data!$A:$AX,MATCH($L$1,Data!$A$1:$AX$1,),)-VLOOKUP(EDATE(B148,-12),Data!$A:$AX,MATCH($L$1,Data!$A$1:$AX$1,),))/VLOOKUP(EDATE(B148,-12),Data!$A:$AX,MATCH($L$1,Data!$A$1:$AX$1,),))</f>
        <v/>
      </c>
      <c r="M148" s="20">
        <f>IF(VLOOKUP(B148,Data!$A:$AX,MATCH($M$1,Data!$A$1:$AX$1,))=0,#N/A,(VLOOKUP(B148,Data!$A:$AX,MATCH($M$1,Data!$A$1:$AX$1,),)-VLOOKUP(EDATE(B148,-12),Data!$A:$AX,MATCH($M$1,Data!$A$1:$AX$1,),))/VLOOKUP(EDATE(B148,-12),Data!$A:$AX,MATCH($M$1,Data!$A$1:$AX$1,),))</f>
        <v/>
      </c>
      <c r="N148" s="20">
        <f>(VLOOKUP(B148,Data!$A:$AX,MATCH($N$1,Data!$A$1:$AX$1,),)-VLOOKUP(EDATE(B148,-12),Data!$A:$AX,MATCH($N$1,Data!$A$1:$AX$1,),))/VLOOKUP(EDATE(B148,-12),Data!$A:$AX,MATCH($N$1,Data!$A$1:$AX$1,),)</f>
        <v/>
      </c>
      <c r="O148" s="20">
        <f>IF(VLOOKUP(B148,Data!$A:$AX,MATCH($O$1,Data!$A$1:$AX$1,))=0,#N/A,(VLOOKUP(B148,Data!$A:$AX,MATCH($O$1,Data!$A$1:$AX$1,),)-VLOOKUP(EDATE(B148,-12),Data!$A:$AX,MATCH($O$1,Data!$A$1:$AX$1,),))/VLOOKUP(EDATE(B148,-12),Data!$A:$AX,MATCH($O$1,Data!$A$1:$AX$1,),))</f>
        <v/>
      </c>
      <c r="P148" s="20">
        <f>IF(VLOOKUP(B148,Data!$A:$AX,MATCH($P$1,Data!$A$1:$AX$1,))=0,#N/A,(VLOOKUP(B148,Data!$A:$AX,MATCH($P$1,Data!$A$1:$AX$1,),)-VLOOKUP(EDATE(B148,-12),Data!$A:$AX,MATCH($P$1,Data!$A$1:$AX$1,),))/VLOOKUP(EDATE(B148,-12),Data!$A:$AX,MATCH($P$1,Data!$A$1:$AX$1,),))</f>
        <v/>
      </c>
      <c r="Q148" s="20">
        <f>(VLOOKUP(B148,Data!$A:$AX,MATCH($Q$1,Data!$A$1:$AX$1,),)-VLOOKUP(EDATE(B148,-12),Data!$A:$AX,MATCH($Q$1,Data!$A$1:$AX$1,),))/VLOOKUP(EDATE(B148,-12),Data!$A:$AX,MATCH($Q$1,Data!$A$1:$AX$1,),)</f>
        <v/>
      </c>
      <c r="R148" s="20">
        <f>IF(VLOOKUP(B148,Data!$A:$AX,MATCH($R$1,Data!$A$1:$AX$1,))=0,#N/A,(VLOOKUP(B148,Data!$A:$AX,MATCH($R$1,Data!$A$1:$AX$1,),)-VLOOKUP(EDATE(B148,-12),Data!$A:$AX,MATCH($R$1,Data!$A$1:$AX$1,),))/VLOOKUP(EDATE(B148,-12),Data!$A:$AX,MATCH($R$1,Data!$A$1:$AX$1,),))</f>
        <v/>
      </c>
      <c r="S148" s="20">
        <f>IF(VLOOKUP(B148,Data!$A:$AX,MATCH($S$1,Data!$A$1:$AX$1,))=0,#N/A,(VLOOKUP(B148,Data!$A:$AX,MATCH($S$1,Data!$A$1:$AX$1,),)-VLOOKUP(EDATE(B148,-12),Data!$A:$AX,MATCH($S$1,Data!$A$1:$AX$1,),))/VLOOKUP(EDATE(B148,-12),Data!$A:$AX,MATCH($S$1,Data!$A$1:$AX$1,),))</f>
        <v/>
      </c>
      <c r="T148" s="20">
        <f>IF(VLOOKUP(B148,Data!$A:$AX,MATCH($T$1,Data!$A$1:$AX$1,))=0,#N/A,(VLOOKUP(B148,Data!$A:$AX,MATCH($T$1,Data!$A$1:$AX$1,),)-VLOOKUP(EDATE(B148,-12),Data!$A:$AX,MATCH($T$1,Data!$A$1:$AX$1,),))/VLOOKUP(EDATE(B148,-12),Data!$A:$AX,MATCH($T$1,Data!$A$1:$AX$1,),))</f>
        <v/>
      </c>
      <c r="U148" s="20">
        <f>IF(VLOOKUP(B148,Data!$A:$AX,MATCH($U$1,Data!$A$1:$AX$1,))=0,#N/A,(VLOOKUP(B148,Data!$A:$AX,MATCH($U$1,Data!$A$1:$AX$1,),)-VLOOKUP(EDATE(B148,-12),Data!$A:$AX,MATCH($U$1,Data!$A$1:$AX$1,),))/VLOOKUP(EDATE(B148,-12),Data!$A:$AX,MATCH($U$1,Data!$A$1:$AX$1,),))</f>
        <v/>
      </c>
      <c r="V148" s="20">
        <f>(VLOOKUP(B148,Data!$A:$AX,MATCH($V$1,Data!$A$1:$AX$1,),)-VLOOKUP(EDATE(B148,-12),Data!$A:$AX,MATCH($V$1,Data!$A$1:$AX$1,),))/VLOOKUP(EDATE(B148,-12),Data!$A:$AX,MATCH($V$1,Data!$A$1:$AX$1,),)</f>
        <v/>
      </c>
      <c r="W148" s="20">
        <f>IF(VLOOKUP(B148,Data!$A:$AX,MATCH($W$1,Data!$A$1:$AX$1,))=0,#N/A,(VLOOKUP(B148,Data!$A:$AX,MATCH($W$1,Data!$A$1:$AX$1,),)-VLOOKUP(EDATE(B148,-12),Data!$A:$AX,MATCH($W$1,Data!$A$1:$AX$1,),))/VLOOKUP(EDATE(B148,-12),Data!$A:$AX,MATCH($W$1,Data!$A$1:$AX$1,),))</f>
        <v/>
      </c>
      <c r="X148" s="20">
        <f>IF(VLOOKUP(B148,Data!$A:$AX,MATCH($X$1,Data!$A$1:$AX$1,))=0,#N/A,(VLOOKUP(B148,Data!$A:$AX,MATCH($X$1,Data!$A$1:$AX$1,),)-VLOOKUP(EDATE(B148,-12),Data!$A:$AX,MATCH($X$1,Data!$A$1:$AX$1,),))/VLOOKUP(EDATE(B148,-12),Data!$A:$AX,MATCH($X$1,Data!$A$1:$AX$1,),))</f>
        <v/>
      </c>
      <c r="Y148" s="20">
        <f>IF(VLOOKUP(B148,Data!$A:$AX,MATCH($Y$1,Data!$A$1:$AX$1,))=0,#N/A,(VLOOKUP(B148,Data!$A:$AX,MATCH($Y$1,Data!$A$1:$AX$1,),)-VLOOKUP(EDATE(B148,-12),Data!$A:$AX,MATCH($Y$1,Data!$A$1:$AX$1,),))/VLOOKUP(EDATE(B148,-12),Data!$A:$AX,MATCH($Y$1,Data!$A$1:$AX$1,),))</f>
        <v/>
      </c>
    </row>
    <row r="149" customFormat="1" s="78">
      <c r="B149" s="15" t="n">
        <v>44743</v>
      </c>
      <c r="C149" s="20">
        <f>IF(VLOOKUP(B149,Data!$A:$AX,MATCH($C$1,Data!$A$1:$AX$1,))=0,#N/A,(VLOOKUP(B149,Data!$A:$AX,MATCH($C$1,Data!$A$1:$AX$1,),)-VLOOKUP(EDATE(B149,-12),Data!$A:$AX,MATCH($C$1,Data!$A$1:$AX$1,),))/VLOOKUP(EDATE(B149,-12),Data!$A:$AX,MATCH($C$1,Data!$A$1:$AX$1,),))</f>
        <v/>
      </c>
      <c r="D149" s="20">
        <f>IF(VLOOKUP(B149,Data!$A:$AX,MATCH($D$1,Data!$A$1:$AX$1,))=0,#N/A,(VLOOKUP(B149,Data!$A:$AX,MATCH($D$1,Data!$A$1:$AX$1,),)-VLOOKUP(EDATE(B149,-12),Data!$A:$AX,MATCH($D$1,Data!$A$1:$AX$1,),))/VLOOKUP(EDATE(B149,-12),Data!$A:$AX,MATCH($D$1,Data!$A$1:$AX$1,),))</f>
        <v/>
      </c>
      <c r="E149" s="20">
        <f>IF(VLOOKUP(B149,Data!$A:$AX,MATCH($E$1,Data!$A$1:$AX$1,))=0,#N/A,(VLOOKUP(B149,Data!$A:$AX,MATCH($E$1,Data!$A$1:$AX$1,),)-VLOOKUP(EDATE(B149,-12),Data!$A:$AX,MATCH($E$1,Data!$A$1:$AX$1,),))/VLOOKUP(EDATE(B149,-12),Data!$A:$AX,MATCH($E$1,Data!$A$1:$AX$1,),))</f>
        <v/>
      </c>
      <c r="F149" s="20">
        <f>IF(VLOOKUP(B149,Data!$A:$AX,MATCH($F$1,Data!$A$1:$AX$1,))=0,#N/A,(VLOOKUP(B149,Data!$A:$AX,MATCH($F$1,Data!$A$1:$AX$1,),)-VLOOKUP(EDATE(B149,-12),Data!$A:$AX,MATCH($F$1,Data!$A$1:$AX$1,),))/VLOOKUP(EDATE(B149,-12),Data!$A:$AX,MATCH($F$1,Data!$A$1:$AX$1,),))</f>
        <v/>
      </c>
      <c r="G149" s="20">
        <f>IF(VLOOKUP(B149,Data!$A:$AX,MATCH($G$1,Data!$A$1:$AX$1,))=0,#N/A,(VLOOKUP(B149,Data!$A:$AX,MATCH($G$1,Data!$A$1:$AX$1,),)-VLOOKUP(EDATE(B149,-12),Data!$A:$AX,MATCH($G$1,Data!$A$1:$AX$1,),))/VLOOKUP(EDATE(B149,-12),Data!$A:$AX,MATCH($G$1,Data!$A$1:$AX$1,),))</f>
        <v/>
      </c>
      <c r="H149" s="20">
        <f>IF(VLOOKUP(B149,Data!$A:$AX,MATCH($H$1,Data!$A$1:$AX$1,))=0,#N/A,(VLOOKUP(B149,Data!$A:$AX,MATCH($H$1,Data!$A$1:$AX$1,),)-VLOOKUP(EDATE(B149,-12),Data!$A:$AX,MATCH($H$1,Data!$A$1:$AX$1,),))/VLOOKUP(EDATE(B149,-12),Data!$A:$AX,MATCH($H$1,Data!$A$1:$AX$1,),))</f>
        <v/>
      </c>
      <c r="I149" s="20">
        <f>IF(VLOOKUP(B149,Data!$A:$AX,MATCH($I$1,Data!$A$1:$AX$1,))=0,#N/A,(VLOOKUP(B149,Data!$A:$AX,MATCH($I$1,Data!$A$1:$AX$1,),)-VLOOKUP(EDATE(B149,-12),Data!$A:$AX,MATCH($I$1,Data!$A$1:$AX$1,),))/VLOOKUP(EDATE(B149,-12),Data!$A:$AX,MATCH($I$1,Data!$A$1:$AX$1,),))</f>
        <v/>
      </c>
      <c r="J149" s="20">
        <f>IF(VLOOKUP(B149,Data!$A:$AX,MATCH($J$1,Data!$A$1:$AX$1,))=0,#N/A,(VLOOKUP(B149,Data!$A:$AX,MATCH($J$1,Data!$A$1:$AX$1,),)-VLOOKUP(EDATE(B149,-12),Data!$A:$AX,MATCH($J$1,Data!$A$1:$AX$1,),))/VLOOKUP(EDATE(B149,-12),Data!$A:$AX,MATCH($J$1,Data!$A$1:$AX$1,),))</f>
        <v/>
      </c>
      <c r="K149" s="20">
        <f>IF(VLOOKUP(B149,Data!$A:$AX,MATCH($K$1,Data!$A$1:$AX$1,))=0,#N/A,(VLOOKUP(B149,Data!$A:$AX,MATCH($K$1,Data!$A$1:$AX$1,),)-VLOOKUP(EDATE(B149,-12),Data!$A:$AX,MATCH($K$1,Data!$A$1:$AX$1,),))/VLOOKUP(EDATE(B149,-12),Data!$A:$AX,MATCH($K$1,Data!$A$1:$AX$1,),))</f>
        <v/>
      </c>
      <c r="L149" s="20">
        <f>IF(VLOOKUP(B149,Data!$A:$AX,MATCH($L$1,Data!$A$1:$AX$1,))=0,#N/A,(VLOOKUP(B149,Data!$A:$AX,MATCH($L$1,Data!$A$1:$AX$1,),)-VLOOKUP(EDATE(B149,-12),Data!$A:$AX,MATCH($L$1,Data!$A$1:$AX$1,),))/VLOOKUP(EDATE(B149,-12),Data!$A:$AX,MATCH($L$1,Data!$A$1:$AX$1,),))</f>
        <v/>
      </c>
      <c r="M149" s="20">
        <f>IF(VLOOKUP(B149,Data!$A:$AX,MATCH($M$1,Data!$A$1:$AX$1,))=0,#N/A,(VLOOKUP(B149,Data!$A:$AX,MATCH($M$1,Data!$A$1:$AX$1,),)-VLOOKUP(EDATE(B149,-12),Data!$A:$AX,MATCH($M$1,Data!$A$1:$AX$1,),))/VLOOKUP(EDATE(B149,-12),Data!$A:$AX,MATCH($M$1,Data!$A$1:$AX$1,),))</f>
        <v/>
      </c>
      <c r="N149" s="20">
        <f>(VLOOKUP(B149,Data!$A:$AX,MATCH($N$1,Data!$A$1:$AX$1,),)-VLOOKUP(EDATE(B149,-12),Data!$A:$AX,MATCH($N$1,Data!$A$1:$AX$1,),))/VLOOKUP(EDATE(B149,-12),Data!$A:$AX,MATCH($N$1,Data!$A$1:$AX$1,),)</f>
        <v/>
      </c>
      <c r="O149" s="20">
        <f>IF(VLOOKUP(B149,Data!$A:$AX,MATCH($O$1,Data!$A$1:$AX$1,))=0,#N/A,(VLOOKUP(B149,Data!$A:$AX,MATCH($O$1,Data!$A$1:$AX$1,),)-VLOOKUP(EDATE(B149,-12),Data!$A:$AX,MATCH($O$1,Data!$A$1:$AX$1,),))/VLOOKUP(EDATE(B149,-12),Data!$A:$AX,MATCH($O$1,Data!$A$1:$AX$1,),))</f>
        <v/>
      </c>
      <c r="P149" s="20">
        <f>IF(VLOOKUP(B149,Data!$A:$AX,MATCH($P$1,Data!$A$1:$AX$1,))=0,#N/A,(VLOOKUP(B149,Data!$A:$AX,MATCH($P$1,Data!$A$1:$AX$1,),)-VLOOKUP(EDATE(B149,-12),Data!$A:$AX,MATCH($P$1,Data!$A$1:$AX$1,),))/VLOOKUP(EDATE(B149,-12),Data!$A:$AX,MATCH($P$1,Data!$A$1:$AX$1,),))</f>
        <v/>
      </c>
      <c r="Q149" s="20">
        <f>(VLOOKUP(B149,Data!$A:$AX,MATCH($Q$1,Data!$A$1:$AX$1,),)-VLOOKUP(EDATE(B149,-12),Data!$A:$AX,MATCH($Q$1,Data!$A$1:$AX$1,),))/VLOOKUP(EDATE(B149,-12),Data!$A:$AX,MATCH($Q$1,Data!$A$1:$AX$1,),)</f>
        <v/>
      </c>
      <c r="R149" s="20">
        <f>IF(VLOOKUP(B149,Data!$A:$AX,MATCH($R$1,Data!$A$1:$AX$1,))=0,#N/A,(VLOOKUP(B149,Data!$A:$AX,MATCH($R$1,Data!$A$1:$AX$1,),)-VLOOKUP(EDATE(B149,-12),Data!$A:$AX,MATCH($R$1,Data!$A$1:$AX$1,),))/VLOOKUP(EDATE(B149,-12),Data!$A:$AX,MATCH($R$1,Data!$A$1:$AX$1,),))</f>
        <v/>
      </c>
      <c r="S149" s="20">
        <f>IF(VLOOKUP(B149,Data!$A:$AX,MATCH($S$1,Data!$A$1:$AX$1,))=0,#N/A,(VLOOKUP(B149,Data!$A:$AX,MATCH($S$1,Data!$A$1:$AX$1,),)-VLOOKUP(EDATE(B149,-12),Data!$A:$AX,MATCH($S$1,Data!$A$1:$AX$1,),))/VLOOKUP(EDATE(B149,-12),Data!$A:$AX,MATCH($S$1,Data!$A$1:$AX$1,),))</f>
        <v/>
      </c>
      <c r="T149" s="20">
        <f>IF(VLOOKUP(B149,Data!$A:$AX,MATCH($T$1,Data!$A$1:$AX$1,))=0,#N/A,(VLOOKUP(B149,Data!$A:$AX,MATCH($T$1,Data!$A$1:$AX$1,),)-VLOOKUP(EDATE(B149,-12),Data!$A:$AX,MATCH($T$1,Data!$A$1:$AX$1,),))/VLOOKUP(EDATE(B149,-12),Data!$A:$AX,MATCH($T$1,Data!$A$1:$AX$1,),))</f>
        <v/>
      </c>
      <c r="U149" s="20">
        <f>IF(VLOOKUP(B149,Data!$A:$AX,MATCH($U$1,Data!$A$1:$AX$1,))=0,#N/A,(VLOOKUP(B149,Data!$A:$AX,MATCH($U$1,Data!$A$1:$AX$1,),)-VLOOKUP(EDATE(B149,-12),Data!$A:$AX,MATCH($U$1,Data!$A$1:$AX$1,),))/VLOOKUP(EDATE(B149,-12),Data!$A:$AX,MATCH($U$1,Data!$A$1:$AX$1,),))</f>
        <v/>
      </c>
      <c r="V149" s="20">
        <f>(VLOOKUP(B149,Data!$A:$AX,MATCH($V$1,Data!$A$1:$AX$1,),)-VLOOKUP(EDATE(B149,-12),Data!$A:$AX,MATCH($V$1,Data!$A$1:$AX$1,),))/VLOOKUP(EDATE(B149,-12),Data!$A:$AX,MATCH($V$1,Data!$A$1:$AX$1,),)</f>
        <v/>
      </c>
      <c r="W149" s="20">
        <f>IF(VLOOKUP(B149,Data!$A:$AX,MATCH($W$1,Data!$A$1:$AX$1,))=0,#N/A,(VLOOKUP(B149,Data!$A:$AX,MATCH($W$1,Data!$A$1:$AX$1,),)-VLOOKUP(EDATE(B149,-12),Data!$A:$AX,MATCH($W$1,Data!$A$1:$AX$1,),))/VLOOKUP(EDATE(B149,-12),Data!$A:$AX,MATCH($W$1,Data!$A$1:$AX$1,),))</f>
        <v/>
      </c>
      <c r="X149" s="20">
        <f>IF(VLOOKUP(B149,Data!$A:$AX,MATCH($X$1,Data!$A$1:$AX$1,))=0,#N/A,(VLOOKUP(B149,Data!$A:$AX,MATCH($X$1,Data!$A$1:$AX$1,),)-VLOOKUP(EDATE(B149,-12),Data!$A:$AX,MATCH($X$1,Data!$A$1:$AX$1,),))/VLOOKUP(EDATE(B149,-12),Data!$A:$AX,MATCH($X$1,Data!$A$1:$AX$1,),))</f>
        <v/>
      </c>
      <c r="Y149" s="20">
        <f>IF(VLOOKUP(B149,Data!$A:$AX,MATCH($Y$1,Data!$A$1:$AX$1,))=0,#N/A,(VLOOKUP(B149,Data!$A:$AX,MATCH($Y$1,Data!$A$1:$AX$1,),)-VLOOKUP(EDATE(B149,-12),Data!$A:$AX,MATCH($Y$1,Data!$A$1:$AX$1,),))/VLOOKUP(EDATE(B149,-12),Data!$A:$AX,MATCH($Y$1,Data!$A$1:$AX$1,),))</f>
        <v/>
      </c>
    </row>
    <row r="150" customFormat="1" s="78"/>
    <row r="151" customFormat="1" s="78"/>
    <row r="152" customFormat="1" s="78"/>
    <row r="153" customFormat="1" s="78"/>
    <row r="154" customFormat="1" s="78"/>
    <row r="155" customFormat="1" s="78"/>
    <row r="156" customFormat="1" s="78"/>
    <row r="157" customFormat="1" s="78"/>
    <row r="158" customFormat="1" s="78"/>
    <row r="159" customFormat="1" s="78"/>
    <row r="160" customFormat="1" s="78"/>
    <row r="161" customFormat="1" s="78"/>
    <row r="162" customFormat="1" s="78"/>
    <row r="163" customFormat="1" s="78"/>
    <row r="164" customFormat="1" s="78"/>
    <row r="165" customFormat="1" s="78"/>
    <row r="166" customFormat="1" s="78"/>
    <row r="167" customFormat="1" s="78"/>
    <row r="168" customFormat="1" s="78"/>
    <row r="169" customFormat="1" s="78"/>
    <row r="170" customFormat="1" s="78"/>
    <row r="171" customFormat="1" s="78"/>
    <row r="172" customFormat="1" s="78"/>
    <row r="173" customFormat="1" s="78"/>
    <row r="174" customFormat="1" s="78"/>
    <row r="175" customFormat="1" s="78"/>
    <row r="176" customFormat="1" s="78"/>
    <row r="177" customFormat="1" s="78"/>
    <row r="178" customFormat="1" s="78"/>
    <row r="179" customFormat="1" s="78"/>
    <row r="180" customFormat="1" s="78"/>
    <row r="181" customFormat="1" s="78"/>
    <row r="182" customFormat="1" s="78"/>
    <row r="183" customFormat="1" s="78"/>
    <row r="184" customFormat="1" s="78"/>
    <row r="185" customFormat="1" s="78"/>
    <row r="186" customFormat="1" s="78"/>
    <row r="187" customFormat="1" s="78"/>
    <row r="188" customFormat="1" s="78"/>
    <row r="189" customFormat="1" s="78"/>
    <row r="190" customFormat="1" s="78"/>
    <row r="191" customFormat="1" s="78"/>
    <row r="192" customFormat="1" s="78"/>
    <row r="193" customFormat="1" s="78"/>
    <row r="194" customFormat="1" s="78"/>
    <row r="195" customFormat="1" s="78"/>
    <row r="196" customFormat="1" s="78"/>
    <row r="197" customFormat="1" s="78"/>
    <row r="198" customFormat="1" s="78"/>
    <row r="199" customFormat="1" s="78"/>
    <row r="200" customFormat="1" s="78"/>
    <row r="201" customFormat="1" s="78"/>
    <row r="202" customFormat="1" s="78"/>
    <row r="203" customFormat="1" s="78"/>
    <row r="204" customFormat="1" s="78"/>
    <row r="205" customFormat="1" s="78"/>
    <row r="206" customFormat="1" s="78"/>
    <row r="207" customFormat="1" s="78"/>
    <row r="208" customFormat="1" s="78"/>
    <row r="209" customFormat="1" s="78"/>
    <row r="210" customFormat="1" s="78"/>
    <row r="211" customFormat="1" s="78"/>
    <row r="212" customFormat="1" s="78"/>
    <row r="213" customFormat="1" s="78"/>
    <row r="214" customFormat="1" s="78"/>
    <row r="215" customFormat="1" s="78"/>
    <row r="216" customFormat="1" s="78"/>
    <row r="217" customFormat="1" s="78"/>
    <row r="218" customFormat="1" s="78"/>
    <row r="219" customFormat="1" s="78"/>
    <row r="220" customFormat="1" s="78"/>
    <row r="221" customFormat="1" s="78"/>
    <row r="222" customFormat="1" s="78"/>
    <row r="223" customFormat="1" s="78"/>
    <row r="224" customFormat="1" s="78"/>
    <row r="225" customFormat="1" s="78"/>
    <row r="226" customFormat="1" s="78"/>
    <row r="227" customFormat="1" s="78"/>
    <row r="228" customFormat="1" s="78"/>
    <row r="229" customFormat="1" s="78"/>
    <row r="230" customFormat="1" s="78"/>
    <row r="231" customFormat="1" s="78"/>
    <row r="232" customFormat="1" s="78"/>
    <row r="233" customFormat="1" s="78"/>
    <row r="234" customFormat="1" s="78"/>
    <row r="235" customFormat="1" s="78"/>
    <row r="236" customFormat="1" s="78"/>
    <row r="237" customFormat="1" s="78"/>
    <row r="238" customFormat="1" s="78"/>
    <row r="239" customFormat="1" s="78"/>
    <row r="240" customFormat="1" s="78"/>
    <row r="241" customFormat="1" s="78"/>
    <row r="242" customFormat="1" s="78"/>
    <row r="243" customFormat="1" s="78"/>
    <row r="244" customFormat="1" s="78"/>
    <row r="245" customFormat="1" s="78"/>
    <row r="246" customFormat="1" s="78"/>
    <row r="247" customFormat="1" s="78"/>
    <row r="248" customFormat="1" s="78"/>
    <row r="249" customFormat="1" s="78"/>
    <row r="250" customFormat="1" s="78"/>
    <row r="251" customFormat="1" s="78"/>
    <row r="252" customFormat="1" s="78"/>
    <row r="253" customFormat="1" s="78"/>
    <row r="254" customFormat="1" s="78"/>
    <row r="255" customFormat="1" s="78"/>
    <row r="256" customFormat="1" s="78"/>
    <row r="257" customFormat="1" s="78"/>
    <row r="258" customFormat="1" s="78"/>
    <row r="259" customFormat="1" s="78"/>
    <row r="260" customFormat="1" s="78"/>
    <row r="261" customFormat="1" s="78"/>
    <row r="262" customFormat="1" s="78"/>
    <row r="263" customFormat="1" s="78"/>
    <row r="264" customFormat="1" s="78"/>
    <row r="265" customFormat="1" s="78"/>
    <row r="266" customFormat="1" s="78"/>
    <row r="267" customFormat="1" s="78"/>
    <row r="268" customFormat="1" s="78"/>
    <row r="269" customFormat="1" s="78"/>
    <row r="270" customFormat="1" s="78"/>
    <row r="271" customFormat="1" s="78"/>
    <row r="272" customFormat="1" s="78"/>
    <row r="273" customFormat="1" s="78"/>
    <row r="274" customFormat="1" s="78"/>
    <row r="275" customFormat="1" s="78"/>
    <row r="276" customFormat="1" s="78"/>
    <row r="277" customFormat="1" s="78"/>
    <row r="278" customFormat="1" s="78"/>
    <row r="279" customFormat="1" s="78"/>
    <row r="280" customFormat="1" s="78"/>
    <row r="281" customFormat="1" s="78"/>
    <row r="282" customFormat="1" s="78"/>
    <row r="283" customFormat="1" s="78"/>
    <row r="284" customFormat="1" s="78"/>
    <row r="285" customFormat="1" s="78"/>
    <row r="286" customFormat="1" s="78"/>
    <row r="287" customFormat="1" s="78"/>
    <row r="288" customFormat="1" s="78"/>
    <row r="289" customFormat="1" s="78"/>
    <row r="290" customFormat="1" s="78"/>
    <row r="291" customFormat="1" s="78"/>
    <row r="292" customFormat="1" s="78"/>
    <row r="293" customFormat="1" s="78"/>
    <row r="294" customFormat="1" s="78"/>
    <row r="295" customFormat="1" s="78"/>
    <row r="296" customFormat="1" s="78"/>
    <row r="297" customFormat="1" s="78"/>
    <row r="298" customFormat="1" s="78"/>
    <row r="299" customFormat="1" s="78"/>
    <row r="300" customFormat="1" s="78"/>
    <row r="301" customFormat="1" s="78"/>
    <row r="302" customFormat="1" s="78"/>
    <row r="303" customFormat="1" s="78"/>
    <row r="304" customFormat="1" s="78"/>
    <row r="305" customFormat="1" s="78"/>
    <row r="306" customFormat="1" s="78"/>
    <row r="307" customFormat="1" s="78"/>
    <row r="308" customFormat="1" s="78"/>
    <row r="309" customFormat="1" s="78"/>
    <row r="310" customFormat="1" s="78"/>
    <row r="311" customFormat="1" s="78"/>
    <row r="312" customFormat="1" s="78"/>
    <row r="313" customFormat="1" s="78"/>
    <row r="314" customFormat="1" s="78"/>
    <row r="315" customFormat="1" s="78"/>
    <row r="316" customFormat="1" s="78"/>
    <row r="317" customFormat="1" s="78"/>
    <row r="318" customFormat="1" s="78"/>
    <row r="319" customFormat="1" s="78"/>
    <row r="320" customFormat="1" s="78"/>
    <row r="321" customFormat="1" s="78"/>
    <row r="322" customFormat="1" s="78"/>
    <row r="323" customFormat="1" s="78"/>
    <row r="324" customFormat="1" s="78"/>
    <row r="325" customFormat="1" s="78"/>
    <row r="326" customFormat="1" s="78"/>
    <row r="327" customFormat="1" s="78"/>
    <row r="328" customFormat="1" s="78"/>
    <row r="329" customFormat="1" s="78"/>
    <row r="330" customFormat="1" s="78"/>
    <row r="331" customFormat="1" s="78"/>
    <row r="332" customFormat="1" s="78"/>
    <row r="333" customFormat="1" s="78"/>
    <row r="334" customFormat="1" s="78"/>
    <row r="335" customFormat="1" s="78"/>
    <row r="336" customFormat="1" s="78"/>
    <row r="337" customFormat="1" s="78"/>
    <row r="338" customFormat="1" s="78"/>
    <row r="339" customFormat="1" s="78"/>
    <row r="340" customFormat="1" s="78"/>
    <row r="341" customFormat="1" s="78"/>
    <row r="342" customFormat="1" s="78"/>
    <row r="343" customFormat="1" s="78"/>
    <row r="344" customFormat="1" s="78"/>
    <row r="345" customFormat="1" s="78"/>
    <row r="346" customFormat="1" s="78"/>
    <row r="347" customFormat="1" s="78"/>
    <row r="348" customFormat="1" s="78"/>
    <row r="349" customFormat="1" s="78"/>
    <row r="350" customFormat="1" s="78"/>
    <row r="351" customFormat="1" s="78"/>
    <row r="352" customFormat="1" s="78"/>
    <row r="353" customFormat="1" s="78"/>
    <row r="354" customFormat="1" s="78"/>
    <row r="355" customFormat="1" s="78"/>
    <row r="356" customFormat="1" s="78"/>
    <row r="357" customFormat="1" s="78"/>
    <row r="358" customFormat="1" s="78"/>
    <row r="359" customFormat="1" s="78"/>
    <row r="360" customFormat="1" s="78"/>
    <row r="361" customFormat="1" s="78"/>
    <row r="362" customFormat="1" s="78"/>
    <row r="363" customFormat="1" s="78"/>
    <row r="364" customFormat="1" s="78"/>
    <row r="365" customFormat="1" s="78"/>
    <row r="366" customFormat="1" s="78"/>
    <row r="367" customFormat="1" s="78"/>
    <row r="368" customFormat="1" s="78"/>
    <row r="369" customFormat="1" s="78"/>
    <row r="370" customFormat="1" s="78"/>
    <row r="371" customFormat="1" s="78"/>
    <row r="372" customFormat="1" s="78"/>
    <row r="373" customFormat="1" s="78"/>
    <row r="374" customFormat="1" s="78"/>
    <row r="375" customFormat="1" s="78"/>
    <row r="376" customFormat="1" s="78"/>
    <row r="377" customFormat="1" s="78"/>
    <row r="378" customFormat="1" s="78"/>
    <row r="379" customFormat="1" s="78"/>
    <row r="380" customFormat="1" s="78"/>
    <row r="381" customFormat="1" s="78"/>
    <row r="382" customFormat="1" s="78"/>
    <row r="383" customFormat="1" s="78"/>
    <row r="384" customFormat="1" s="78"/>
    <row r="385" customFormat="1" s="78"/>
    <row r="386" customFormat="1" s="78"/>
    <row r="387" customFormat="1" s="78"/>
    <row r="388" customFormat="1" s="78"/>
    <row r="389" customFormat="1" s="78"/>
    <row r="390" customFormat="1" s="78"/>
    <row r="391" customFormat="1" s="78"/>
    <row r="392" customFormat="1" s="78"/>
  </sheetData>
  <conditionalFormatting sqref="C24:C149">
    <cfRule type="colorScale" priority="50">
      <colorScale>
        <cfvo type="min"/>
        <cfvo type="percentile" val="50"/>
        <cfvo type="max"/>
        <color rgb="FFF8696B"/>
        <color rgb="FFFFEB84"/>
        <color rgb="FF63BE7B"/>
      </colorScale>
    </cfRule>
  </conditionalFormatting>
  <conditionalFormatting sqref="D24:D58">
    <cfRule type="colorScale" priority="49">
      <colorScale>
        <cfvo type="min"/>
        <cfvo type="percentile" val="50"/>
        <cfvo type="max"/>
        <color rgb="FFF8696B"/>
        <color rgb="FFFFEB84"/>
        <color rgb="FF63BE7B"/>
      </colorScale>
    </cfRule>
  </conditionalFormatting>
  <conditionalFormatting sqref="E24:E58">
    <cfRule type="colorScale" priority="48">
      <colorScale>
        <cfvo type="min"/>
        <cfvo type="percentile" val="50"/>
        <cfvo type="max"/>
        <color rgb="FFF8696B"/>
        <color rgb="FFFFEB84"/>
        <color rgb="FF63BE7B"/>
      </colorScale>
    </cfRule>
  </conditionalFormatting>
  <conditionalFormatting sqref="F24:F58">
    <cfRule type="colorScale" priority="47">
      <colorScale>
        <cfvo type="min"/>
        <cfvo type="percentile" val="50"/>
        <cfvo type="max"/>
        <color rgb="FFF8696B"/>
        <color rgb="FFFFEB84"/>
        <color rgb="FF63BE7B"/>
      </colorScale>
    </cfRule>
  </conditionalFormatting>
  <conditionalFormatting sqref="G24:G58">
    <cfRule type="colorScale" priority="46">
      <colorScale>
        <cfvo type="min"/>
        <cfvo type="percentile" val="50"/>
        <cfvo type="max"/>
        <color rgb="FFF8696B"/>
        <color rgb="FFFFEB84"/>
        <color rgb="FF63BE7B"/>
      </colorScale>
    </cfRule>
  </conditionalFormatting>
  <conditionalFormatting sqref="H24:H58">
    <cfRule type="colorScale" priority="45">
      <colorScale>
        <cfvo type="min"/>
        <cfvo type="percentile" val="50"/>
        <cfvo type="max"/>
        <color rgb="FFF8696B"/>
        <color rgb="FFFFEB84"/>
        <color rgb="FF63BE7B"/>
      </colorScale>
    </cfRule>
  </conditionalFormatting>
  <conditionalFormatting sqref="I24:I58">
    <cfRule type="colorScale" priority="44">
      <colorScale>
        <cfvo type="min"/>
        <cfvo type="percentile" val="50"/>
        <cfvo type="max"/>
        <color rgb="FFF8696B"/>
        <color rgb="FFFFEB84"/>
        <color rgb="FF63BE7B"/>
      </colorScale>
    </cfRule>
  </conditionalFormatting>
  <conditionalFormatting sqref="J24:J58">
    <cfRule type="colorScale" priority="43">
      <colorScale>
        <cfvo type="min"/>
        <cfvo type="percentile" val="50"/>
        <cfvo type="max"/>
        <color rgb="FFF8696B"/>
        <color rgb="FFFFEB84"/>
        <color rgb="FF63BE7B"/>
      </colorScale>
    </cfRule>
  </conditionalFormatting>
  <conditionalFormatting sqref="K24:K58">
    <cfRule type="colorScale" priority="42">
      <colorScale>
        <cfvo type="min"/>
        <cfvo type="percentile" val="50"/>
        <cfvo type="max"/>
        <color rgb="FFF8696B"/>
        <color rgb="FFFFEB84"/>
        <color rgb="FF63BE7B"/>
      </colorScale>
    </cfRule>
  </conditionalFormatting>
  <conditionalFormatting sqref="L24:L58">
    <cfRule type="colorScale" priority="41">
      <colorScale>
        <cfvo type="min"/>
        <cfvo type="percentile" val="50"/>
        <cfvo type="max"/>
        <color rgb="FFF8696B"/>
        <color rgb="FFFFEB84"/>
        <color rgb="FF63BE7B"/>
      </colorScale>
    </cfRule>
  </conditionalFormatting>
  <conditionalFormatting sqref="M24:M58">
    <cfRule type="colorScale" priority="40">
      <colorScale>
        <cfvo type="min"/>
        <cfvo type="percentile" val="50"/>
        <cfvo type="max"/>
        <color rgb="FFF8696B"/>
        <color rgb="FFFFEB84"/>
        <color rgb="FF63BE7B"/>
      </colorScale>
    </cfRule>
  </conditionalFormatting>
  <conditionalFormatting sqref="N24:N58">
    <cfRule type="colorScale" priority="39">
      <colorScale>
        <cfvo type="min"/>
        <cfvo type="percentile" val="50"/>
        <cfvo type="max"/>
        <color rgb="FFF8696B"/>
        <color rgb="FFFFEB84"/>
        <color rgb="FF63BE7B"/>
      </colorScale>
    </cfRule>
  </conditionalFormatting>
  <conditionalFormatting sqref="O24:O58">
    <cfRule type="colorScale" priority="38">
      <colorScale>
        <cfvo type="min"/>
        <cfvo type="percentile" val="50"/>
        <cfvo type="max"/>
        <color rgb="FFF8696B"/>
        <color rgb="FFFFEB84"/>
        <color rgb="FF63BE7B"/>
      </colorScale>
    </cfRule>
  </conditionalFormatting>
  <conditionalFormatting sqref="P24:P58">
    <cfRule type="colorScale" priority="37">
      <colorScale>
        <cfvo type="min"/>
        <cfvo type="percentile" val="50"/>
        <cfvo type="max"/>
        <color rgb="FFF8696B"/>
        <color rgb="FFFFEB84"/>
        <color rgb="FF63BE7B"/>
      </colorScale>
    </cfRule>
  </conditionalFormatting>
  <conditionalFormatting sqref="Q24:Q58">
    <cfRule type="colorScale" priority="36">
      <colorScale>
        <cfvo type="min"/>
        <cfvo type="percentile" val="50"/>
        <cfvo type="max"/>
        <color rgb="FFF8696B"/>
        <color rgb="FFFFEB84"/>
        <color rgb="FF63BE7B"/>
      </colorScale>
    </cfRule>
  </conditionalFormatting>
  <conditionalFormatting sqref="R24:R58">
    <cfRule type="colorScale" priority="35">
      <colorScale>
        <cfvo type="min"/>
        <cfvo type="percentile" val="50"/>
        <cfvo type="max"/>
        <color rgb="FFF8696B"/>
        <color rgb="FFFFEB84"/>
        <color rgb="FF63BE7B"/>
      </colorScale>
    </cfRule>
  </conditionalFormatting>
  <conditionalFormatting sqref="S24:S58">
    <cfRule type="colorScale" priority="34">
      <colorScale>
        <cfvo type="min"/>
        <cfvo type="percentile" val="50"/>
        <cfvo type="max"/>
        <color rgb="FFF8696B"/>
        <color rgb="FFFFEB84"/>
        <color rgb="FF63BE7B"/>
      </colorScale>
    </cfRule>
  </conditionalFormatting>
  <conditionalFormatting sqref="T24:T58">
    <cfRule type="colorScale" priority="33">
      <colorScale>
        <cfvo type="min"/>
        <cfvo type="percentile" val="50"/>
        <cfvo type="max"/>
        <color rgb="FFF8696B"/>
        <color rgb="FFFFEB84"/>
        <color rgb="FF63BE7B"/>
      </colorScale>
    </cfRule>
  </conditionalFormatting>
  <conditionalFormatting sqref="U24:U58">
    <cfRule type="colorScale" priority="32">
      <colorScale>
        <cfvo type="min"/>
        <cfvo type="percentile" val="50"/>
        <cfvo type="max"/>
        <color rgb="FFF8696B"/>
        <color rgb="FFFFEB84"/>
        <color rgb="FF63BE7B"/>
      </colorScale>
    </cfRule>
  </conditionalFormatting>
  <conditionalFormatting sqref="V24:V58">
    <cfRule type="colorScale" priority="31">
      <colorScale>
        <cfvo type="min"/>
        <cfvo type="percentile" val="50"/>
        <cfvo type="max"/>
        <color rgb="FFF8696B"/>
        <color rgb="FFFFEB84"/>
        <color rgb="FF63BE7B"/>
      </colorScale>
    </cfRule>
  </conditionalFormatting>
  <conditionalFormatting sqref="W24:W58">
    <cfRule type="colorScale" priority="30">
      <colorScale>
        <cfvo type="min"/>
        <cfvo type="percentile" val="50"/>
        <cfvo type="max"/>
        <color rgb="FFF8696B"/>
        <color rgb="FFFFEB84"/>
        <color rgb="FF63BE7B"/>
      </colorScale>
    </cfRule>
  </conditionalFormatting>
  <conditionalFormatting sqref="X24:X58">
    <cfRule type="colorScale" priority="29">
      <colorScale>
        <cfvo type="min"/>
        <cfvo type="percentile" val="50"/>
        <cfvo type="max"/>
        <color rgb="FFF8696B"/>
        <color rgb="FFFFEB84"/>
        <color rgb="FF63BE7B"/>
      </colorScale>
    </cfRule>
  </conditionalFormatting>
  <conditionalFormatting sqref="Y24:Y58">
    <cfRule type="colorScale" priority="28">
      <colorScale>
        <cfvo type="min"/>
        <cfvo type="percentile" val="50"/>
        <cfvo type="max"/>
        <color rgb="FFF8696B"/>
        <color rgb="FFFFEB84"/>
        <color rgb="FF63BE7B"/>
      </colorScale>
    </cfRule>
  </conditionalFormatting>
  <conditionalFormatting sqref="Z24:Z58">
    <cfRule type="colorScale" priority="27">
      <colorScale>
        <cfvo type="min"/>
        <cfvo type="percentile" val="50"/>
        <cfvo type="max"/>
        <color rgb="FFF8696B"/>
        <color rgb="FFFFEB84"/>
        <color rgb="FF63BE7B"/>
      </colorScale>
    </cfRule>
  </conditionalFormatting>
  <conditionalFormatting sqref="AA24:AB58 AB59:AB98">
    <cfRule type="colorScale" priority="26">
      <colorScale>
        <cfvo type="min"/>
        <cfvo type="percentile" val="50"/>
        <cfvo type="max"/>
        <color rgb="FFF8696B"/>
        <color rgb="FFFFEB84"/>
        <color rgb="FF63BE7B"/>
      </colorScale>
    </cfRule>
  </conditionalFormatting>
  <conditionalFormatting sqref="D59:D149">
    <cfRule type="colorScale" priority="1">
      <colorScale>
        <cfvo type="min"/>
        <cfvo type="percentile" val="50"/>
        <cfvo type="max"/>
        <color rgb="FFF8696B"/>
        <color rgb="FFFFEB84"/>
        <color rgb="FF63BE7B"/>
      </colorScale>
    </cfRule>
  </conditionalFormatting>
  <conditionalFormatting sqref="E59:AA59 Z60:AA106 E60:Y149">
    <cfRule type="colorScale" priority="24">
      <colorScale>
        <cfvo type="min"/>
        <cfvo type="percentile" val="50"/>
        <cfvo type="max"/>
        <color rgb="FFF8696B"/>
        <color rgb="FFFFEB84"/>
        <color rgb="FF63BE7B"/>
      </colorScale>
    </cfRule>
  </conditionalFormatting>
  <conditionalFormatting sqref="O15:O149">
    <cfRule type="colorScale" priority="23">
      <colorScale>
        <cfvo type="min"/>
        <cfvo type="percentile" val="50"/>
        <cfvo type="max"/>
        <color rgb="FFF8696B"/>
        <color rgb="FFFFEB84"/>
        <color rgb="FF63BE7B"/>
      </colorScale>
    </cfRule>
  </conditionalFormatting>
  <conditionalFormatting sqref="O59:O149">
    <cfRule type="colorScale" priority="22">
      <colorScale>
        <cfvo type="min"/>
        <cfvo type="percentile" val="50"/>
        <cfvo type="max"/>
        <color rgb="FFF8696B"/>
        <color rgb="FFFFEB84"/>
        <color rgb="FF63BE7B"/>
      </colorScale>
    </cfRule>
    <cfRule type="colorScale" priority="20">
      <colorScale>
        <cfvo type="min"/>
        <cfvo type="percentile" val="50"/>
        <cfvo type="max"/>
        <color rgb="FFF8696B"/>
        <color rgb="FFFFEB84"/>
        <color rgb="FF63BE7B"/>
      </colorScale>
    </cfRule>
  </conditionalFormatting>
  <conditionalFormatting sqref="E59:E149">
    <cfRule type="colorScale" priority="21">
      <colorScale>
        <cfvo type="min"/>
        <cfvo type="percentile" val="50"/>
        <cfvo type="max"/>
        <color rgb="FFF8696B"/>
        <color rgb="FFFFEB84"/>
        <color rgb="FF63BE7B"/>
      </colorScale>
    </cfRule>
  </conditionalFormatting>
  <conditionalFormatting sqref="F59:F149">
    <cfRule type="colorScale" priority="19">
      <colorScale>
        <cfvo type="min"/>
        <cfvo type="percentile" val="50"/>
        <cfvo type="max"/>
        <color rgb="FFF8696B"/>
        <color rgb="FFFFEB84"/>
        <color rgb="FF63BE7B"/>
      </colorScale>
    </cfRule>
  </conditionalFormatting>
  <conditionalFormatting sqref="G59:G149">
    <cfRule type="colorScale" priority="18">
      <colorScale>
        <cfvo type="min"/>
        <cfvo type="percentile" val="50"/>
        <cfvo type="max"/>
        <color rgb="FFF8696B"/>
        <color rgb="FFFFEB84"/>
        <color rgb="FF63BE7B"/>
      </colorScale>
    </cfRule>
  </conditionalFormatting>
  <conditionalFormatting sqref="H59:H149">
    <cfRule type="colorScale" priority="17">
      <colorScale>
        <cfvo type="min"/>
        <cfvo type="percentile" val="50"/>
        <cfvo type="max"/>
        <color rgb="FFF8696B"/>
        <color rgb="FFFFEB84"/>
        <color rgb="FF63BE7B"/>
      </colorScale>
    </cfRule>
  </conditionalFormatting>
  <conditionalFormatting sqref="I59:I149">
    <cfRule type="colorScale" priority="16">
      <colorScale>
        <cfvo type="min"/>
        <cfvo type="percentile" val="50"/>
        <cfvo type="max"/>
        <color rgb="FFF8696B"/>
        <color rgb="FFFFEB84"/>
        <color rgb="FF63BE7B"/>
      </colorScale>
    </cfRule>
  </conditionalFormatting>
  <conditionalFormatting sqref="J59:J149">
    <cfRule type="colorScale" priority="15">
      <colorScale>
        <cfvo type="min"/>
        <cfvo type="percentile" val="50"/>
        <cfvo type="max"/>
        <color rgb="FFF8696B"/>
        <color rgb="FFFFEB84"/>
        <color rgb="FF63BE7B"/>
      </colorScale>
    </cfRule>
  </conditionalFormatting>
  <conditionalFormatting sqref="K59:K149">
    <cfRule type="colorScale" priority="14">
      <colorScale>
        <cfvo type="min"/>
        <cfvo type="percentile" val="50"/>
        <cfvo type="max"/>
        <color rgb="FFF8696B"/>
        <color rgb="FFFFEB84"/>
        <color rgb="FF63BE7B"/>
      </colorScale>
    </cfRule>
  </conditionalFormatting>
  <conditionalFormatting sqref="L59:L149">
    <cfRule type="colorScale" priority="13">
      <colorScale>
        <cfvo type="min"/>
        <cfvo type="percentile" val="50"/>
        <cfvo type="max"/>
        <color rgb="FFF8696B"/>
        <color rgb="FFFFEB84"/>
        <color rgb="FF63BE7B"/>
      </colorScale>
    </cfRule>
  </conditionalFormatting>
  <conditionalFormatting sqref="M59:M149">
    <cfRule type="colorScale" priority="12">
      <colorScale>
        <cfvo type="min"/>
        <cfvo type="percentile" val="50"/>
        <cfvo type="max"/>
        <color rgb="FFF8696B"/>
        <color rgb="FFFFEB84"/>
        <color rgb="FF63BE7B"/>
      </colorScale>
    </cfRule>
  </conditionalFormatting>
  <conditionalFormatting sqref="P59:P149">
    <cfRule type="colorScale" priority="11">
      <colorScale>
        <cfvo type="min"/>
        <cfvo type="percentile" val="50"/>
        <cfvo type="max"/>
        <color rgb="FFF8696B"/>
        <color rgb="FFFFEB84"/>
        <color rgb="FF63BE7B"/>
      </colorScale>
    </cfRule>
  </conditionalFormatting>
  <conditionalFormatting sqref="R59:R149">
    <cfRule type="colorScale" priority="10">
      <colorScale>
        <cfvo type="min"/>
        <cfvo type="percentile" val="50"/>
        <cfvo type="max"/>
        <color rgb="FFF8696B"/>
        <color rgb="FFFFEB84"/>
        <color rgb="FF63BE7B"/>
      </colorScale>
    </cfRule>
  </conditionalFormatting>
  <conditionalFormatting sqref="S59:S149">
    <cfRule type="colorScale" priority="9">
      <colorScale>
        <cfvo type="min"/>
        <cfvo type="percentile" val="50"/>
        <cfvo type="max"/>
        <color rgb="FFF8696B"/>
        <color rgb="FFFFEB84"/>
        <color rgb="FF63BE7B"/>
      </colorScale>
    </cfRule>
  </conditionalFormatting>
  <conditionalFormatting sqref="T59:T149">
    <cfRule type="colorScale" priority="8">
      <colorScale>
        <cfvo type="min"/>
        <cfvo type="percentile" val="50"/>
        <cfvo type="max"/>
        <color rgb="FFF8696B"/>
        <color rgb="FFFFEB84"/>
        <color rgb="FF63BE7B"/>
      </colorScale>
    </cfRule>
  </conditionalFormatting>
  <conditionalFormatting sqref="U59:U149">
    <cfRule type="colorScale" priority="7">
      <colorScale>
        <cfvo type="min"/>
        <cfvo type="percentile" val="50"/>
        <cfvo type="max"/>
        <color rgb="FFF8696B"/>
        <color rgb="FFFFEB84"/>
        <color rgb="FF63BE7B"/>
      </colorScale>
    </cfRule>
  </conditionalFormatting>
  <conditionalFormatting sqref="W59:W149">
    <cfRule type="colorScale" priority="6">
      <colorScale>
        <cfvo type="min"/>
        <cfvo type="percentile" val="50"/>
        <cfvo type="max"/>
        <color rgb="FFF8696B"/>
        <color rgb="FFFFEB84"/>
        <color rgb="FF63BE7B"/>
      </colorScale>
    </cfRule>
  </conditionalFormatting>
  <conditionalFormatting sqref="X59:X149">
    <cfRule type="colorScale" priority="5">
      <colorScale>
        <cfvo type="min"/>
        <cfvo type="percentile" val="50"/>
        <cfvo type="max"/>
        <color rgb="FFF8696B"/>
        <color rgb="FFFFEB84"/>
        <color rgb="FF63BE7B"/>
      </colorScale>
    </cfRule>
  </conditionalFormatting>
  <conditionalFormatting sqref="Y59:Y149">
    <cfRule type="colorScale" priority="4">
      <colorScale>
        <cfvo type="min"/>
        <cfvo type="percentile" val="50"/>
        <cfvo type="max"/>
        <color rgb="FFF8696B"/>
        <color rgb="FFFFEB84"/>
        <color rgb="FF63BE7B"/>
      </colorScale>
    </cfRule>
  </conditionalFormatting>
  <conditionalFormatting sqref="C59:C149">
    <cfRule type="colorScale" priority="3">
      <colorScale>
        <cfvo type="min"/>
        <cfvo type="percentile" val="50"/>
        <cfvo type="max"/>
        <color rgb="FFF8696B"/>
        <color rgb="FFFFEB84"/>
        <color rgb="FF63BE7B"/>
      </colorScale>
    </cfRule>
  </conditionalFormatting>
  <pageMargins left="0.7" right="0.7" top="0.75" bottom="0.75" header="0.3" footer="0.3"/>
  <pageSetup orientation="portrait" paperSize="9"/>
</worksheet>
</file>

<file path=xl/worksheets/sheet5.xml><?xml version="1.0" encoding="utf-8"?>
<worksheet xmlns="http://schemas.openxmlformats.org/spreadsheetml/2006/main">
  <sheetPr codeName="Sheet4">
    <tabColor rgb="FF00B050"/>
    <outlinePr summaryBelow="1" summaryRight="1"/>
    <pageSetUpPr/>
  </sheetPr>
  <dimension ref="B1:AH149"/>
  <sheetViews>
    <sheetView zoomScale="150" zoomScaleNormal="150" workbookViewId="0">
      <pane xSplit="2" ySplit="9" topLeftCell="C134" activePane="bottomRight" state="frozen"/>
      <selection activeCell="AC102" sqref="AC102"/>
      <selection pane="topRight" activeCell="AC102" sqref="AC102"/>
      <selection pane="bottomLeft" activeCell="AC102" sqref="AC102"/>
      <selection pane="bottomRight" activeCell="X152" sqref="X152"/>
    </sheetView>
  </sheetViews>
  <sheetFormatPr baseColWidth="10" defaultColWidth="8.83203125" defaultRowHeight="15"/>
  <cols>
    <col width="9.1640625" customWidth="1" style="78" min="1" max="1"/>
    <col width="13.6640625" customWidth="1" style="70" min="2" max="2"/>
    <col hidden="1" width="7" customWidth="1" style="70" min="4" max="4"/>
    <col width="7.33203125" customWidth="1" style="70" min="5" max="5"/>
    <col width="7" customWidth="1" style="70" min="6" max="6"/>
    <col width="7.33203125" customWidth="1" style="70" min="7" max="9"/>
    <col width="7.1640625" customWidth="1" style="70" min="10" max="11"/>
    <col width="6.33203125" customWidth="1" style="70" min="12" max="12"/>
    <col width="7.33203125" customWidth="1" style="70" min="13" max="13"/>
    <col hidden="1" width="7" customWidth="1" style="70" min="14" max="14"/>
    <col hidden="1" width="7.1640625" customWidth="1" style="70" min="15" max="15"/>
    <col width="6.1640625" customWidth="1" style="70" min="16" max="16"/>
    <col hidden="1" width="7.6640625" customWidth="1" style="70" min="17" max="17"/>
    <col width="6.6640625" customWidth="1" style="70" min="18" max="18"/>
    <col hidden="1" width="6.1640625" customWidth="1" style="70" min="19" max="19"/>
    <col hidden="1" width="7" customWidth="1" style="70" min="20" max="20"/>
    <col width="7.33203125" customWidth="1" style="70" min="21" max="21"/>
    <col hidden="1" width="7.1640625" customWidth="1" style="70" min="22" max="22"/>
    <col width="7" customWidth="1" style="70" min="23" max="23"/>
    <col width="6.1640625" customWidth="1" style="70" min="24" max="24"/>
    <col width="7" customWidth="1" style="70" min="25" max="25"/>
    <col hidden="1" width="6.33203125" customWidth="1" style="70" min="26" max="27"/>
    <col width="6.1640625" customWidth="1" style="70" min="28" max="28"/>
    <col width="15.33203125" customWidth="1" style="78" min="29" max="30"/>
    <col width="10.6640625" bestFit="1" customWidth="1" style="78" min="31" max="31"/>
    <col width="9.1640625" customWidth="1" style="78" min="32"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c r="AE1" s="27" t="inlineStr">
        <is>
          <t>modify max/min/avg</t>
        </is>
      </c>
    </row>
    <row r="2" customFormat="1" s="78">
      <c r="AD2" s="78" t="inlineStr">
        <is>
          <t>Last month</t>
        </is>
      </c>
      <c r="AE2" s="28" t="n">
        <v>44713</v>
      </c>
      <c r="AH2" s="27" t="n"/>
    </row>
    <row r="3" ht="75.75" customHeight="1" s="70">
      <c r="B3" s="3" t="n"/>
      <c r="C3" s="4" t="inlineStr">
        <is>
          <t>US</t>
        </is>
      </c>
      <c r="D3" s="5" t="inlineStr">
        <is>
          <t xml:space="preserve">China </t>
        </is>
      </c>
      <c r="E3" s="6" t="inlineStr">
        <is>
          <t>Eurozone</t>
        </is>
      </c>
      <c r="F3" s="7" t="inlineStr">
        <is>
          <t xml:space="preserve">Japan </t>
        </is>
      </c>
      <c r="G3" s="8" t="inlineStr">
        <is>
          <t>Germany</t>
        </is>
      </c>
      <c r="H3" s="8" t="inlineStr">
        <is>
          <t>France</t>
        </is>
      </c>
      <c r="I3" s="8" t="inlineStr">
        <is>
          <t>UK</t>
        </is>
      </c>
      <c r="J3" s="8" t="inlineStr">
        <is>
          <t xml:space="preserve">Italy </t>
        </is>
      </c>
      <c r="K3" s="8" t="inlineStr">
        <is>
          <t>Spain</t>
        </is>
      </c>
      <c r="L3" s="8" t="inlineStr">
        <is>
          <t>Sweden</t>
        </is>
      </c>
      <c r="M3" s="8" t="inlineStr">
        <is>
          <t>Mexico</t>
        </is>
      </c>
      <c r="N3" s="8" t="inlineStr">
        <is>
          <t>Russia</t>
        </is>
      </c>
      <c r="O3" s="8" t="inlineStr">
        <is>
          <t>India</t>
        </is>
      </c>
      <c r="P3" s="8" t="inlineStr">
        <is>
          <t>Canada</t>
        </is>
      </c>
      <c r="Q3" s="8" t="inlineStr">
        <is>
          <t>Australia</t>
        </is>
      </c>
      <c r="R3" s="9" t="inlineStr">
        <is>
          <t>Switzerland</t>
        </is>
      </c>
      <c r="S3" s="8" t="inlineStr">
        <is>
          <t xml:space="preserve">S Korea </t>
        </is>
      </c>
      <c r="T3" s="8" t="inlineStr">
        <is>
          <t>Brazil</t>
        </is>
      </c>
      <c r="U3" s="8" t="inlineStr">
        <is>
          <t>Greece</t>
        </is>
      </c>
      <c r="V3" s="8" t="inlineStr">
        <is>
          <t>Ireland</t>
        </is>
      </c>
      <c r="W3" s="8" t="inlineStr">
        <is>
          <t>Turkey</t>
        </is>
      </c>
      <c r="X3" s="8" t="inlineStr">
        <is>
          <t xml:space="preserve">Czech </t>
        </is>
      </c>
      <c r="Y3" s="8" t="inlineStr">
        <is>
          <t>Poland</t>
        </is>
      </c>
      <c r="Z3" s="8" t="inlineStr">
        <is>
          <t>Argentina</t>
        </is>
      </c>
      <c r="AA3" s="8" t="inlineStr">
        <is>
          <t>New Zealand</t>
        </is>
      </c>
      <c r="AB3" s="10" t="n"/>
    </row>
    <row r="4">
      <c r="B4" s="3" t="inlineStr">
        <is>
          <t>max 1y</t>
        </is>
      </c>
      <c r="C4" s="22">
        <f>MAX(OFFSET(C$59,COUNT(C$59:C$250),0,-13,1))</f>
        <v/>
      </c>
      <c r="D4" s="22">
        <f>MAX(OFFSET(D$59,COUNT(D$59:D$250),0,-13,1))</f>
        <v/>
      </c>
      <c r="E4" s="22">
        <f>MAX(OFFSET(E$59,COUNT(E$59:E$250),0,-13,1))</f>
        <v/>
      </c>
      <c r="F4" s="22">
        <f>MAX(OFFSET(F$59,COUNT(F$59:F$250),0,-13,1))</f>
        <v/>
      </c>
      <c r="G4" s="22">
        <f>MAX(OFFSET(G$59,COUNT(G$59:G$250),0,-13,1))</f>
        <v/>
      </c>
      <c r="H4" s="22">
        <f>MAX(OFFSET(H$59,COUNT(H$59:H$250),0,-13,1))</f>
        <v/>
      </c>
      <c r="I4" s="22">
        <f>MAX(OFFSET(I$59,COUNT(I$59:I$250),0,-13,1))</f>
        <v/>
      </c>
      <c r="J4" s="22">
        <f>MAX(OFFSET(J$59,COUNT(J$59:J$250),0,-13,1))</f>
        <v/>
      </c>
      <c r="K4" s="22">
        <f>MAX(OFFSET(K$59,COUNT(K$59:K$250),0,-13,1))</f>
        <v/>
      </c>
      <c r="L4" s="22">
        <f>MAX(OFFSET(L$59,COUNT(L$59:L$250),0,-13,1))</f>
        <v/>
      </c>
      <c r="M4" s="22">
        <f>MAX(OFFSET(M$59,COUNT(M$59:M$250),0,-13,1))</f>
        <v/>
      </c>
      <c r="N4" s="22">
        <f>MAX(OFFSET(N$59,COUNT(N$59:N$250),0,-13,1))</f>
        <v/>
      </c>
      <c r="O4" s="22">
        <f>MAX(OFFSET(O$59,COUNT(O$59:O$250),0,-13,1))</f>
        <v/>
      </c>
      <c r="P4" s="22">
        <f>MAX(OFFSET(P$59,COUNT(P$59:P$250),0,-13,1))</f>
        <v/>
      </c>
      <c r="Q4" s="22">
        <f>MAX(OFFSET(Q$59,COUNT(Q$59:Q$250),0,-13,1))</f>
        <v/>
      </c>
      <c r="R4" s="22">
        <f>MAX(OFFSET(R$59,COUNT(R$59:R$250),0,-13,1))</f>
        <v/>
      </c>
      <c r="S4" s="22">
        <f>MAX(OFFSET(S$59,COUNT(S$59:S$250),0,-13,1))</f>
        <v/>
      </c>
      <c r="T4" s="22">
        <f>MAX(OFFSET(T$59,COUNT(T$59:T$250),0,-13,1))</f>
        <v/>
      </c>
      <c r="U4" s="22">
        <f>MAX(OFFSET(U$59,COUNT(U$59:U$250),0,-13,1))</f>
        <v/>
      </c>
      <c r="V4" s="22">
        <f>MAX(OFFSET(V$59,COUNT(V$59:V$250),0,-13,1))</f>
        <v/>
      </c>
      <c r="W4" s="22">
        <f>MAX(OFFSET(W$59,COUNT(W$59:W$250),0,-13,1))</f>
        <v/>
      </c>
      <c r="X4" s="22">
        <f>MAX(OFFSET(X$59,COUNT(X$59:X$250),0,-13,1))</f>
        <v/>
      </c>
      <c r="Y4" s="22">
        <f>MAX(OFFSET(Y$59,COUNT(Y$59:Y$250),0,-13,1))</f>
        <v/>
      </c>
      <c r="Z4" s="22">
        <f>MAX(Z94:Z106)</f>
        <v/>
      </c>
      <c r="AA4" s="22">
        <f>MAX(AA94:AA106)</f>
        <v/>
      </c>
      <c r="AB4" s="12" t="n"/>
    </row>
    <row r="5">
      <c r="B5" s="3" t="inlineStr">
        <is>
          <t>min 1y</t>
        </is>
      </c>
      <c r="C5" s="22">
        <f>MIN(OFFSET(C$59,COUNT(C$59:C$250),0,-13,1))</f>
        <v/>
      </c>
      <c r="D5" s="22">
        <f>MIN(OFFSET(D$59,COUNT(D$59:D$250),0,-13,1))</f>
        <v/>
      </c>
      <c r="E5" s="22">
        <f>MIN(OFFSET(E$59,COUNT(E$59:E$250),0,-13,1))</f>
        <v/>
      </c>
      <c r="F5" s="22">
        <f>MIN(OFFSET(F$59,COUNT(F$59:F$250),0,-13,1))</f>
        <v/>
      </c>
      <c r="G5" s="22">
        <f>MIN(OFFSET(G$59,COUNT(G$59:G$250),0,-13,1))</f>
        <v/>
      </c>
      <c r="H5" s="22">
        <f>MIN(OFFSET(H$59,COUNT(H$59:H$250),0,-13,1))</f>
        <v/>
      </c>
      <c r="I5" s="22">
        <f>MIN(OFFSET(I$59,COUNT(I$59:I$250),0,-13,1))</f>
        <v/>
      </c>
      <c r="J5" s="22">
        <f>MIN(OFFSET(J$59,COUNT(J$59:J$250),0,-13,1))</f>
        <v/>
      </c>
      <c r="K5" s="22">
        <f>MIN(OFFSET(K$59,COUNT(K$59:K$250),0,-13,1))</f>
        <v/>
      </c>
      <c r="L5" s="22">
        <f>MIN(OFFSET(L$59,COUNT(L$59:L$250),0,-13,1))</f>
        <v/>
      </c>
      <c r="M5" s="22">
        <f>MIN(OFFSET(M$59,COUNT(M$59:M$250),0,-13,1))</f>
        <v/>
      </c>
      <c r="N5" s="22">
        <f>MIN(OFFSET(N$59,COUNT(N$59:N$250),0,-13,1))</f>
        <v/>
      </c>
      <c r="O5" s="22">
        <f>MIN(OFFSET(O$59,COUNT(O$59:O$250),0,-13,1))</f>
        <v/>
      </c>
      <c r="P5" s="22">
        <f>MIN(OFFSET(P$59,COUNT(P$59:P$250),0,-13,1))</f>
        <v/>
      </c>
      <c r="Q5" s="22">
        <f>MIN(OFFSET(Q$59,COUNT(Q$59:Q$250),0,-13,1))</f>
        <v/>
      </c>
      <c r="R5" s="22">
        <f>MIN(OFFSET(R$59,COUNT(R$59:R$250),0,-13,1))</f>
        <v/>
      </c>
      <c r="S5" s="22">
        <f>MIN(OFFSET(S$59,COUNT(S$59:S$250),0,-13,1))</f>
        <v/>
      </c>
      <c r="T5" s="22">
        <f>MIN(OFFSET(T$59,COUNT(T$59:T$250),0,-13,1))</f>
        <v/>
      </c>
      <c r="U5" s="22">
        <f>MIN(OFFSET(U$59,COUNT(U$59:U$250),0,-13,1))</f>
        <v/>
      </c>
      <c r="V5" s="22">
        <f>MIN(OFFSET(V$59,COUNT(V$59:V$250),0,-13,1))</f>
        <v/>
      </c>
      <c r="W5" s="22">
        <f>MIN(OFFSET(W$59,COUNT(W$59:W$250),0,-13,1))</f>
        <v/>
      </c>
      <c r="X5" s="22">
        <f>MIN(OFFSET(X$59,COUNT(X$59:X$250),0,-13,1))</f>
        <v/>
      </c>
      <c r="Y5" s="22">
        <f>MIN(OFFSET(Y$59,COUNT(Y$59:Y$250),0,-13,1))</f>
        <v/>
      </c>
      <c r="Z5" s="22">
        <f>MIN(Z94:Z106)</f>
        <v/>
      </c>
      <c r="AA5" s="22">
        <f>MIN(AA94:AA106)</f>
        <v/>
      </c>
      <c r="AB5" s="12" t="n"/>
    </row>
    <row r="6">
      <c r="B6" s="3" t="inlineStr">
        <is>
          <t>1y avg</t>
        </is>
      </c>
      <c r="C6" s="22">
        <f>AVERAGE(OFFSET(C$59,COUNT(C$59:C$250),0,-13,1))</f>
        <v/>
      </c>
      <c r="D6" s="22">
        <f>AVERAGE(OFFSET(D$59,COUNT(D$59:D$250),0,-13,1))</f>
        <v/>
      </c>
      <c r="E6" s="22">
        <f>AVERAGE(OFFSET(E$59,COUNT(E$59:E$250),0,-13,1))</f>
        <v/>
      </c>
      <c r="F6" s="22">
        <f>AVERAGE(OFFSET(F$59,COUNT(F$59:F$250),0,-13,1))</f>
        <v/>
      </c>
      <c r="G6" s="22">
        <f>AVERAGE(OFFSET(G$59,COUNT(G$59:G$250),0,-13,1))</f>
        <v/>
      </c>
      <c r="H6" s="22">
        <f>AVERAGE(OFFSET(H$59,COUNT(H$59:H$250),0,-13,1))</f>
        <v/>
      </c>
      <c r="I6" s="22">
        <f>AVERAGE(OFFSET(I$59,COUNT(I$59:I$250),0,-13,1))</f>
        <v/>
      </c>
      <c r="J6" s="22">
        <f>AVERAGE(OFFSET(J$59,COUNT(J$59:J$250),0,-13,1))</f>
        <v/>
      </c>
      <c r="K6" s="22">
        <f>AVERAGE(OFFSET(K$59,COUNT(K$59:K$250),0,-13,1))</f>
        <v/>
      </c>
      <c r="L6" s="22">
        <f>AVERAGE(OFFSET(L$59,COUNT(L$59:L$250),0,-13,1))</f>
        <v/>
      </c>
      <c r="M6" s="22">
        <f>AVERAGE(OFFSET(M$59,COUNT(M$59:M$250),0,-13,1))</f>
        <v/>
      </c>
      <c r="N6" s="22">
        <f>AVERAGE(OFFSET(N$59,COUNT(N$59:N$250),0,-13,1))</f>
        <v/>
      </c>
      <c r="O6" s="22">
        <f>AVERAGE(OFFSET(O$59,COUNT(O$59:O$250),0,-13,1))</f>
        <v/>
      </c>
      <c r="P6" s="22">
        <f>AVERAGE(OFFSET(P$59,COUNT(P$59:P$250),0,-13,1))</f>
        <v/>
      </c>
      <c r="Q6" s="22">
        <f>AVERAGE(OFFSET(Q$59,COUNT(Q$59:Q$250),0,-13,1))</f>
        <v/>
      </c>
      <c r="R6" s="22">
        <f>AVERAGE(OFFSET(R$59,COUNT(R$59:R$250),0,-13,1))</f>
        <v/>
      </c>
      <c r="S6" s="22">
        <f>AVERAGE(OFFSET(S$59,COUNT(S$59:S$250),0,-13,1))</f>
        <v/>
      </c>
      <c r="T6" s="22">
        <f>AVERAGE(OFFSET(T$59,COUNT(T$59:T$250),0,-13,1))</f>
        <v/>
      </c>
      <c r="U6" s="22">
        <f>AVERAGE(OFFSET(U$59,COUNT(U$59:U$250),0,-13,1))</f>
        <v/>
      </c>
      <c r="V6" s="22">
        <f>AVERAGE(OFFSET(V$59,COUNT(V$59:V$250),0,-13,1))</f>
        <v/>
      </c>
      <c r="W6" s="22">
        <f>AVERAGE(OFFSET(W$59,COUNT(W$59:W$250),0,-13,1))</f>
        <v/>
      </c>
      <c r="X6" s="22">
        <f>AVERAGE(OFFSET(X$59,COUNT(X$59:X$250),0,-13,1))</f>
        <v/>
      </c>
      <c r="Y6" s="22">
        <f>AVERAGE(OFFSET(Y$59,COUNT(Y$59:Y$250),0,-13,1))</f>
        <v/>
      </c>
      <c r="Z6" s="22">
        <f>AVERAGE(Z94:Z106)</f>
        <v/>
      </c>
      <c r="AA6" s="22">
        <f>AVERAGE(AA94:AA106)</f>
        <v/>
      </c>
      <c r="AB6" s="12" t="n"/>
    </row>
    <row r="7">
      <c r="B7" s="3" t="inlineStr">
        <is>
          <t>Last vs 12m avg</t>
        </is>
      </c>
      <c r="C7" s="23">
        <f>IF((VLOOKUP($AE$2,$B:$Y,MATCH(C3,$B$3:$Y$3,),))&gt;C6,"above","below")</f>
        <v/>
      </c>
      <c r="D7" s="23">
        <f>IF((VLOOKUP($AE$2,$B:$Y,MATCH(D3,$B$3:$Y$3,),))&gt;D6,"above","below")</f>
        <v/>
      </c>
      <c r="E7" s="23">
        <f>IF((VLOOKUP($AE$2,$B:$Y,MATCH(E3,$B$3:$Y$3,),))&gt;E6,"above","below")</f>
        <v/>
      </c>
      <c r="F7" s="23">
        <f>IF((VLOOKUP($AE$2,$B:$Y,MATCH(F3,$B$3:$Y$3,),))&gt;F6,"above","below")</f>
        <v/>
      </c>
      <c r="G7" s="23">
        <f>IF((VLOOKUP($AE$2,$B:$Y,MATCH(G3,$B$3:$Y$3,),))&gt;G6,"above","below")</f>
        <v/>
      </c>
      <c r="H7" s="23">
        <f>IF((VLOOKUP($AE$2,$B:$Y,MATCH(H3,$B$3:$Y$3,),))&gt;H6,"above","below")</f>
        <v/>
      </c>
      <c r="I7" s="23">
        <f>IF((VLOOKUP($AE$2,$B:$Y,MATCH(I3,$B$3:$Y$3,),))&gt;I6,"above","below")</f>
        <v/>
      </c>
      <c r="J7" s="23">
        <f>IF((VLOOKUP($AE$2,$B:$Y,MATCH(J3,$B$3:$Y$3,),))&gt;J6,"above","below")</f>
        <v/>
      </c>
      <c r="K7" s="23">
        <f>IF((VLOOKUP($AE$2,$B:$Y,MATCH(K3,$B$3:$Y$3,),))&gt;K6,"above","below")</f>
        <v/>
      </c>
      <c r="L7" s="23">
        <f>IF((VLOOKUP($AE$2,$B:$Y,MATCH(L3,$B$3:$Y$3,),))&gt;L6,"above","below")</f>
        <v/>
      </c>
      <c r="M7" s="23">
        <f>IF((VLOOKUP($AE$2,$B:$Y,MATCH(M3,$B$3:$Y$3,),))&gt;M6,"above","below")</f>
        <v/>
      </c>
      <c r="N7" s="23">
        <f>IF((VLOOKUP($AE$2,$B:$Y,MATCH(N3,$B$3:$Y$3,),))&gt;N6,"above","below")</f>
        <v/>
      </c>
      <c r="O7" s="23">
        <f>IF((VLOOKUP($AE$2,$B:$Y,MATCH(O3,$B$3:$Y$3,),))&gt;O6,"above","below")</f>
        <v/>
      </c>
      <c r="P7" s="23">
        <f>IF((VLOOKUP($AE$2,$B:$Y,MATCH(P3,$B$3:$Y$3,),))&gt;P6,"above","below")</f>
        <v/>
      </c>
      <c r="Q7" s="23">
        <f>IF((VLOOKUP($AE$2,$B:$Y,MATCH(Q3,$B$3:$Y$3,),))&gt;Q6,"above","below")</f>
        <v/>
      </c>
      <c r="R7" s="23">
        <f>IF((VLOOKUP($AE$2,$B:$Y,MATCH(R3,$B$3:$Y$3,),))&gt;R6,"above","below")</f>
        <v/>
      </c>
      <c r="S7" s="23">
        <f>IF((VLOOKUP($AE$2,$B:$Y,MATCH(S3,$B$3:$Y$3,),))&gt;S6,"above","below")</f>
        <v/>
      </c>
      <c r="T7" s="23">
        <f>IF((VLOOKUP($AE$2,$B:$Y,MATCH(T3,$B$3:$Y$3,),))&gt;T6,"above","below")</f>
        <v/>
      </c>
      <c r="U7" s="23">
        <f>IF((VLOOKUP($AE$2,$B:$Y,MATCH(U3,$B$3:$Y$3,),))&gt;U6,"above","below")</f>
        <v/>
      </c>
      <c r="V7" s="23">
        <f>IF((VLOOKUP($AE$2,$B:$Y,MATCH(V3,$B$3:$Y$3,),))&gt;V6,"above","below")</f>
        <v/>
      </c>
      <c r="W7" s="23">
        <f>IF((VLOOKUP($AE$2,$B:$Y,MATCH(W3,$B$3:$Y$3,),))&gt;W6,"above","below")</f>
        <v/>
      </c>
      <c r="X7" s="23">
        <f>IF((VLOOKUP($AE$2,$B:$Y,MATCH(X3,$B$3:$Y$3,),))&gt;X6,"above","below")</f>
        <v/>
      </c>
      <c r="Y7" s="23">
        <f>IF((VLOOKUP($AE$2,$B:$Y,MATCH(Y3,$B$3:$Y$3,),))&gt;Y6,"above","below")</f>
        <v/>
      </c>
      <c r="Z7" s="11">
        <f>IF((VLOOKUP($AE$2,$B:$Z,MATCH(Z3,$B$3:$Z$3,),))&gt;Z6,"above","below")</f>
        <v/>
      </c>
      <c r="AA7" s="11">
        <f>IF((VLOOKUP($AE$2,$B:$AA,MATCH(AA3,$B$3:$AA$3,),))&gt;AA6,"above","below")</f>
        <v/>
      </c>
      <c r="AB7" s="12" t="n"/>
    </row>
    <row r="8" hidden="1" s="70">
      <c r="B8" s="3" t="inlineStr">
        <is>
          <t>Y/Y</t>
        </is>
      </c>
      <c r="C8" s="23">
        <f>VLOOKUP($AE$2,$B:$Y,MATCH(C3,$B$3:$Y$3,),)-VLOOKUP($AE$4,$B:$Y,MATCH(C3,$B$3:$Y$3,),)</f>
        <v/>
      </c>
      <c r="D8" s="23">
        <f>VLOOKUP($AE$2,$B:$Y,MATCH(D3,$B$3:$Y$3,),)-VLOOKUP($AE$4,$B:$Y,MATCH(D3,$B$3:$Y$3,),)</f>
        <v/>
      </c>
      <c r="E8" s="23">
        <f>VLOOKUP($AE$2,$B:$Y,MATCH(E3,$B$3:$Y$3,),)-VLOOKUP($AE$4,$B:$Y,MATCH(E3,$B$3:$Y$3,),)</f>
        <v/>
      </c>
      <c r="F8" s="23">
        <f>VLOOKUP($AE$2,$B:$Y,MATCH(F3,$B$3:$Y$3,),)-VLOOKUP($AE$4,$B:$Y,MATCH(F3,$B$3:$Y$3,),)</f>
        <v/>
      </c>
      <c r="G8" s="23">
        <f>VLOOKUP($AE$2,$B:$Y,MATCH(G3,$B$3:$Y$3,),)-VLOOKUP($AE$4,$B:$Y,MATCH(G3,$B$3:$Y$3,),)</f>
        <v/>
      </c>
      <c r="H8" s="23">
        <f>VLOOKUP($AE$2,$B:$Y,MATCH(H3,$B$3:$Y$3,),)-VLOOKUP($AE$4,$B:$Y,MATCH(H3,$B$3:$Y$3,),)</f>
        <v/>
      </c>
      <c r="I8" s="23">
        <f>VLOOKUP($AE$2,$B:$Y,MATCH(I3,$B$3:$Y$3,),)-VLOOKUP($AE$4,$B:$Y,MATCH(I3,$B$3:$Y$3,),)</f>
        <v/>
      </c>
      <c r="J8" s="23">
        <f>VLOOKUP($AE$2,$B:$Y,MATCH(J3,$B$3:$Y$3,),)-VLOOKUP($AE$4,$B:$Y,MATCH(J3,$B$3:$Y$3,),)</f>
        <v/>
      </c>
      <c r="K8" s="23">
        <f>VLOOKUP($AE$2,$B:$Y,MATCH(K3,$B$3:$Y$3,),)-VLOOKUP($AE$4,$B:$Y,MATCH(K3,$B$3:$Y$3,),)</f>
        <v/>
      </c>
      <c r="L8" s="23">
        <f>VLOOKUP($AE$2,$B:$Y,MATCH(L3,$B$3:$Y$3,),)-VLOOKUP($AE$4,$B:$Y,MATCH(L3,$B$3:$Y$3,),)</f>
        <v/>
      </c>
      <c r="M8" s="23">
        <f>VLOOKUP($AE$2,$B:$Y,MATCH(M3,$B$3:$Y$3,),)-VLOOKUP($AE$4,$B:$Y,MATCH(M3,$B$3:$Y$3,),)</f>
        <v/>
      </c>
      <c r="N8" s="23">
        <f>VLOOKUP($AE$2,$B:$Y,MATCH(N3,$B$3:$Y$3,),)-VLOOKUP($AE$4,$B:$Y,MATCH(N3,$B$3:$Y$3,),)</f>
        <v/>
      </c>
      <c r="O8" s="23">
        <f>VLOOKUP($AE$2,$B:$Y,MATCH(O3,$B$3:$Y$3,),)-VLOOKUP($AE$4,$B:$Y,MATCH(O3,$B$3:$Y$3,),)</f>
        <v/>
      </c>
      <c r="P8" s="23">
        <f>VLOOKUP($AE$2,$B:$Y,MATCH(P3,$B$3:$Y$3,),)-VLOOKUP($AE$4,$B:$Y,MATCH(P3,$B$3:$Y$3,),)</f>
        <v/>
      </c>
      <c r="Q8" s="23">
        <f>VLOOKUP($AE$2,$B:$Y,MATCH(Q3,$B$3:$Y$3,),)-VLOOKUP($AE$4,$B:$Y,MATCH(Q3,$B$3:$Y$3,),)</f>
        <v/>
      </c>
      <c r="R8" s="23">
        <f>VLOOKUP($AE$2,$B:$Y,MATCH(R3,$B$3:$Y$3,),)-VLOOKUP($AE$4,$B:$Y,MATCH(R3,$B$3:$Y$3,),)</f>
        <v/>
      </c>
      <c r="S8" s="23">
        <f>VLOOKUP($AE$2,$B:$Y,MATCH(S3,$B$3:$Y$3,),)-VLOOKUP($AE$4,$B:$Y,MATCH(S3,$B$3:$Y$3,),)</f>
        <v/>
      </c>
      <c r="T8" s="23">
        <f>VLOOKUP($AE$2,$B:$Y,MATCH(T3,$B$3:$Y$3,),)-VLOOKUP($AE$4,$B:$Y,MATCH(T3,$B$3:$Y$3,),)</f>
        <v/>
      </c>
      <c r="U8" s="23">
        <f>VLOOKUP($AE$2,$B:$Y,MATCH(U3,$B$3:$Y$3,),)-VLOOKUP($AE$4,$B:$Y,MATCH(U3,$B$3:$Y$3,),)</f>
        <v/>
      </c>
      <c r="V8" s="23">
        <f>VLOOKUP($AE$2,$B:$Y,MATCH(V3,$B$3:$Y$3,),)-VLOOKUP($AE$4,$B:$Y,MATCH(V3,$B$3:$Y$3,),)</f>
        <v/>
      </c>
      <c r="W8" s="23">
        <f>VLOOKUP($AE$2,$B:$Y,MATCH(W3,$B$3:$Y$3,),)-VLOOKUP($AE$4,$B:$Y,MATCH(W3,$B$3:$Y$3,),)</f>
        <v/>
      </c>
      <c r="X8" s="23">
        <f>VLOOKUP($AE$2,$B:$Y,MATCH(X3,$B$3:$Y$3,),)-VLOOKUP($AE$4,$B:$Y,MATCH(X3,$B$3:$Y$3,),)</f>
        <v/>
      </c>
      <c r="Y8" s="23">
        <f>VLOOKUP($AE$2,$B:$Y,MATCH(Y3,$B$3:$Y$3,),)-VLOOKUP($AE$4,$B:$Y,MATCH(Y3,$B$3:$Y$3,),)</f>
        <v/>
      </c>
      <c r="Z8" s="11">
        <f>VLOOKUP($AE$2,$B:$Z,MATCH(Z3,$B$3:$Z$3,),)-VLOOKUP($AE$4,$B:$Z,MATCH(Z3,$B$3:$Z$3,),)</f>
        <v/>
      </c>
      <c r="AA8" s="11">
        <f>VLOOKUP($AE$2,$B:$AA,MATCH(AA3,$B$3:$AA$3,),)-VLOOKUP($AE$4,$B:$AA,MATCH(AA3,$B$3:$AA$3,),)</f>
        <v/>
      </c>
      <c r="AB8" s="12" t="n"/>
    </row>
    <row r="9" hidden="1" s="70">
      <c r="B9" s="3" t="inlineStr">
        <is>
          <t>M/M</t>
        </is>
      </c>
      <c r="C9" s="23">
        <f>VLOOKUP($AE$2,$B:$Y,MATCH(C3,$B$3:$Y$3,),)-VLOOKUP($AE$3,$B:$Y,MATCH(C3,$B$3:$Y$3,),)</f>
        <v/>
      </c>
      <c r="D9" s="23">
        <f>VLOOKUP($AE$2,$B:$Y,MATCH(D3,$B$3:$Y$3,),)-VLOOKUP($AE$3,$B:$Y,MATCH(D3,$B$3:$Y$3,),)</f>
        <v/>
      </c>
      <c r="E9" s="23">
        <f>VLOOKUP($AE$2,$B:$Y,MATCH(E3,$B$3:$Y$3,),)-VLOOKUP($AE$3,$B:$Y,MATCH(E3,$B$3:$Y$3,),)</f>
        <v/>
      </c>
      <c r="F9" s="23">
        <f>VLOOKUP($AE$2,$B:$Y,MATCH(F3,$B$3:$Y$3,),)-VLOOKUP($AE$3,$B:$Y,MATCH(F3,$B$3:$Y$3,),)</f>
        <v/>
      </c>
      <c r="G9" s="23">
        <f>VLOOKUP($AE$2,$B:$Y,MATCH(G3,$B$3:$Y$3,),)-VLOOKUP($AE$3,$B:$Y,MATCH(G3,$B$3:$Y$3,),)</f>
        <v/>
      </c>
      <c r="H9" s="23">
        <f>VLOOKUP($AE$2,$B:$Y,MATCH(H3,$B$3:$Y$3,),)-VLOOKUP($AE$3,$B:$Y,MATCH(H3,$B$3:$Y$3,),)</f>
        <v/>
      </c>
      <c r="I9" s="23">
        <f>VLOOKUP($AE$2,$B:$Y,MATCH(I3,$B$3:$Y$3,),)-VLOOKUP($AE$3,$B:$Y,MATCH(I3,$B$3:$Y$3,),)</f>
        <v/>
      </c>
      <c r="J9" s="23">
        <f>VLOOKUP($AE$2,$B:$Y,MATCH(J3,$B$3:$Y$3,),)-VLOOKUP($AE$3,$B:$Y,MATCH(J3,$B$3:$Y$3,),)</f>
        <v/>
      </c>
      <c r="K9" s="23">
        <f>VLOOKUP($AE$2,$B:$Y,MATCH(K3,$B$3:$Y$3,),)-VLOOKUP($AE$3,$B:$Y,MATCH(K3,$B$3:$Y$3,),)</f>
        <v/>
      </c>
      <c r="L9" s="23">
        <f>VLOOKUP($AE$2,$B:$Y,MATCH(L3,$B$3:$Y$3,),)-VLOOKUP($AE$3,$B:$Y,MATCH(L3,$B$3:$Y$3,),)</f>
        <v/>
      </c>
      <c r="M9" s="23">
        <f>VLOOKUP($AE$2,$B:$Y,MATCH(M3,$B$3:$Y$3,),)-VLOOKUP($AE$3,$B:$Y,MATCH(M3,$B$3:$Y$3,),)</f>
        <v/>
      </c>
      <c r="N9" s="23">
        <f>VLOOKUP($AE$2,$B:$Y,MATCH(N3,$B$3:$Y$3,),)-VLOOKUP($AE$3,$B:$Y,MATCH(N3,$B$3:$Y$3,),)</f>
        <v/>
      </c>
      <c r="O9" s="23">
        <f>VLOOKUP($AE$2,$B:$Y,MATCH(O3,$B$3:$Y$3,),)-VLOOKUP($AE$3,$B:$Y,MATCH(O3,$B$3:$Y$3,),)</f>
        <v/>
      </c>
      <c r="P9" s="23">
        <f>VLOOKUP($AE$2,$B:$Y,MATCH(P3,$B$3:$Y$3,),)-VLOOKUP($AE$3,$B:$Y,MATCH(P3,$B$3:$Y$3,),)</f>
        <v/>
      </c>
      <c r="Q9" s="23">
        <f>VLOOKUP($AE$2,$B:$Y,MATCH(Q3,$B$3:$Y$3,),)-VLOOKUP($AE$3,$B:$Y,MATCH(Q3,$B$3:$Y$3,),)</f>
        <v/>
      </c>
      <c r="R9" s="23">
        <f>VLOOKUP($AE$2,$B:$Y,MATCH(R3,$B$3:$Y$3,),)-VLOOKUP($AE$3,$B:$Y,MATCH(R3,$B$3:$Y$3,),)</f>
        <v/>
      </c>
      <c r="S9" s="23">
        <f>VLOOKUP($AE$2,$B:$Y,MATCH(S3,$B$3:$Y$3,),)-VLOOKUP($AE$3,$B:$Y,MATCH(S3,$B$3:$Y$3,),)</f>
        <v/>
      </c>
      <c r="T9" s="23">
        <f>VLOOKUP($AE$2,$B:$Y,MATCH(T3,$B$3:$Y$3,),)-VLOOKUP($AE$3,$B:$Y,MATCH(T3,$B$3:$Y$3,),)</f>
        <v/>
      </c>
      <c r="U9" s="23">
        <f>VLOOKUP($AE$2,$B:$Y,MATCH(U3,$B$3:$Y$3,),)-VLOOKUP($AE$3,$B:$Y,MATCH(U3,$B$3:$Y$3,),)</f>
        <v/>
      </c>
      <c r="V9" s="23">
        <f>VLOOKUP($AE$2,$B:$Y,MATCH(V3,$B$3:$Y$3,),)-VLOOKUP($AE$3,$B:$Y,MATCH(V3,$B$3:$Y$3,),)</f>
        <v/>
      </c>
      <c r="W9" s="23">
        <f>VLOOKUP($AE$2,$B:$Y,MATCH(W3,$B$3:$Y$3,),)-VLOOKUP($AE$3,$B:$Y,MATCH(W3,$B$3:$Y$3,),)</f>
        <v/>
      </c>
      <c r="X9" s="23">
        <f>VLOOKUP($AE$2,$B:$Y,MATCH(X3,$B$3:$Y$3,),)-VLOOKUP($AE$3,$B:$Y,MATCH(X3,$B$3:$Y$3,),)</f>
        <v/>
      </c>
      <c r="Y9" s="23">
        <f>VLOOKUP($AE$2,$B:$Y,MATCH(Y3,$B$3:$Y$3,),)-VLOOKUP($AE$3,$B:$Y,MATCH(Y3,$B$3:$Y$3,),)</f>
        <v/>
      </c>
      <c r="Z9" s="11">
        <f>VLOOKUP($AE$2,$B:$Z,MATCH(Z3,$B$3:$Z$3,),)-VLOOKUP($AE$3,$B:$Z,MATCH(Z3,$B$3:$Z$3,),)</f>
        <v/>
      </c>
      <c r="AA9" s="11">
        <f>VLOOKUP($AE$2,$B:$AA,MATCH(AA3,$B$3:$AA$3,),)-VLOOKUP($AE$3,$B:$AA,MATCH(AA3,$B$3:$AA$3,),)</f>
        <v/>
      </c>
      <c r="AB9" s="12" t="n"/>
    </row>
    <row r="10">
      <c r="B10" s="21" t="n"/>
      <c r="C10" s="23" t="n"/>
      <c r="D10" s="23" t="n"/>
      <c r="E10" s="23" t="n"/>
      <c r="F10" s="23" t="n"/>
      <c r="G10" s="23" t="n"/>
      <c r="H10" s="23" t="n"/>
      <c r="I10" s="23" t="n"/>
      <c r="J10" s="23" t="n"/>
      <c r="K10" s="23" t="n"/>
      <c r="L10" s="23" t="n"/>
      <c r="M10" s="23" t="n"/>
      <c r="N10" s="23" t="n"/>
      <c r="O10" s="23" t="n"/>
      <c r="P10" s="23" t="n"/>
      <c r="Q10" s="23" t="n"/>
      <c r="R10" s="24" t="n"/>
      <c r="S10" s="23" t="n"/>
      <c r="T10" s="23" t="n"/>
      <c r="U10" s="23" t="n"/>
      <c r="V10" s="23" t="n"/>
      <c r="W10" s="23" t="n"/>
      <c r="X10" s="23" t="n"/>
      <c r="Y10" s="23" t="n"/>
      <c r="Z10" s="13" t="n"/>
      <c r="AA10" s="13" t="n"/>
      <c r="AB10" s="14" t="n"/>
    </row>
    <row r="11" hidden="1" s="70">
      <c r="B11" s="15" t="n">
        <v>42064</v>
      </c>
      <c r="C11" s="25" t="n">
        <v>55.3</v>
      </c>
      <c r="D11" s="25" t="n">
        <v>50.1</v>
      </c>
      <c r="E11" s="25" t="n">
        <v>52.2</v>
      </c>
      <c r="F11" s="25" t="n">
        <v>50.3</v>
      </c>
      <c r="G11" s="25" t="n">
        <v>52.8</v>
      </c>
      <c r="H11" s="25" t="n">
        <v>48.8</v>
      </c>
      <c r="I11" s="25" t="n">
        <v>54.4</v>
      </c>
      <c r="J11" s="25" t="n">
        <v>53.3</v>
      </c>
      <c r="K11" s="25" t="n">
        <v>54.3</v>
      </c>
      <c r="L11" s="25" t="n">
        <v>0.09999999999999432</v>
      </c>
      <c r="M11" s="25" t="n">
        <v>53.8</v>
      </c>
      <c r="N11" s="25" t="n">
        <v>48.1</v>
      </c>
      <c r="O11" s="25" t="n">
        <v>52.1</v>
      </c>
      <c r="P11" s="25" t="n">
        <v>48.9</v>
      </c>
      <c r="Q11" s="25" t="n">
        <v>46.3</v>
      </c>
      <c r="R11" s="25" t="n">
        <v>46.4</v>
      </c>
      <c r="S11" s="25" t="n">
        <v>49.2</v>
      </c>
      <c r="T11" s="25" t="n">
        <v>51</v>
      </c>
      <c r="U11" s="25" t="n">
        <v>48.9</v>
      </c>
      <c r="V11" s="25" t="n">
        <v>56.8</v>
      </c>
      <c r="W11" s="25" t="n">
        <v>48</v>
      </c>
      <c r="X11" s="25" t="n">
        <v>56.1</v>
      </c>
      <c r="Y11" s="25" t="n">
        <v>54.8</v>
      </c>
      <c r="Z11" s="16" t="n">
        <v>-0.3000000000000043</v>
      </c>
      <c r="AA11" s="16" t="e">
        <v>#REF!</v>
      </c>
      <c r="AB11" s="17" t="n"/>
    </row>
    <row r="12" hidden="1" s="70">
      <c r="B12" s="15" t="n">
        <v>42095</v>
      </c>
      <c r="C12" s="25" t="n">
        <v>54.1</v>
      </c>
      <c r="D12" s="25" t="n">
        <v>50.1</v>
      </c>
      <c r="E12" s="25" t="n">
        <v>52</v>
      </c>
      <c r="F12" s="25" t="n">
        <v>49.9</v>
      </c>
      <c r="G12" s="25" t="n">
        <v>52.1</v>
      </c>
      <c r="H12" s="25" t="n">
        <v>48</v>
      </c>
      <c r="I12" s="25" t="n">
        <v>51.9</v>
      </c>
      <c r="J12" s="25" t="n">
        <v>53.8</v>
      </c>
      <c r="K12" s="25" t="n">
        <v>54.2</v>
      </c>
      <c r="L12" s="25" t="n">
        <v>-0.09999999999999432</v>
      </c>
      <c r="M12" s="25" t="n">
        <v>53.8</v>
      </c>
      <c r="N12" s="25" t="n">
        <v>48.9</v>
      </c>
      <c r="O12" s="25" t="n">
        <v>51.3</v>
      </c>
      <c r="P12" s="25" t="n">
        <v>49</v>
      </c>
      <c r="Q12" s="25" t="n">
        <v>48</v>
      </c>
      <c r="R12" s="25" t="n">
        <v>46.7</v>
      </c>
      <c r="S12" s="25" t="n">
        <v>48.8</v>
      </c>
      <c r="T12" s="25" t="n">
        <v>49.2</v>
      </c>
      <c r="U12" s="25" t="n">
        <v>46.5</v>
      </c>
      <c r="V12" s="25" t="n">
        <v>55.8</v>
      </c>
      <c r="W12" s="25" t="n">
        <v>48.5</v>
      </c>
      <c r="X12" s="25" t="n">
        <v>54.7</v>
      </c>
      <c r="Y12" s="25" t="n">
        <v>54</v>
      </c>
      <c r="Z12" s="16" t="n">
        <v>-0.7999999999999972</v>
      </c>
      <c r="AA12" s="16" t="e">
        <v>#REF!</v>
      </c>
      <c r="AB12" s="17" t="n"/>
    </row>
    <row r="13" hidden="1" s="70">
      <c r="B13" s="15" t="n">
        <v>42125</v>
      </c>
      <c r="C13" s="25" t="n">
        <v>53.8</v>
      </c>
      <c r="D13" s="25" t="n">
        <v>50.2</v>
      </c>
      <c r="E13" s="25" t="n">
        <v>52.2</v>
      </c>
      <c r="F13" s="25" t="n">
        <v>50.9</v>
      </c>
      <c r="G13" s="25" t="n">
        <v>51.1</v>
      </c>
      <c r="H13" s="25" t="n">
        <v>49.4</v>
      </c>
      <c r="I13" s="25" t="n">
        <v>52.2</v>
      </c>
      <c r="J13" s="25" t="n">
        <v>54.8</v>
      </c>
      <c r="K13" s="25" t="n">
        <v>55.8</v>
      </c>
      <c r="L13" s="25" t="n">
        <v>1.599999999999994</v>
      </c>
      <c r="M13" s="25" t="n">
        <v>53.3</v>
      </c>
      <c r="N13" s="25" t="n">
        <v>47.6</v>
      </c>
      <c r="O13" s="25" t="n">
        <v>52.6</v>
      </c>
      <c r="P13" s="25" t="n">
        <v>49.8</v>
      </c>
      <c r="Q13" s="25" t="n">
        <v>52.29</v>
      </c>
      <c r="R13" s="25" t="n">
        <v>47.1</v>
      </c>
      <c r="S13" s="25" t="n">
        <v>47.8</v>
      </c>
      <c r="T13" s="25" t="n">
        <v>49.3</v>
      </c>
      <c r="U13" s="25" t="n">
        <v>48</v>
      </c>
      <c r="V13" s="25" t="n">
        <v>57.1</v>
      </c>
      <c r="W13" s="25" t="n">
        <v>50.2</v>
      </c>
      <c r="X13" s="25" t="n">
        <v>55.5</v>
      </c>
      <c r="Y13" s="25" t="n">
        <v>52.4</v>
      </c>
      <c r="Z13" s="16" t="n">
        <v>-1.600000000000001</v>
      </c>
      <c r="AA13" s="16" t="e">
        <v>#REF!</v>
      </c>
      <c r="AB13" s="17" t="n"/>
    </row>
    <row r="14" hidden="1" s="70">
      <c r="B14" s="15" t="n">
        <v>42156</v>
      </c>
      <c r="C14" s="25" t="n">
        <v>53.6</v>
      </c>
      <c r="D14" s="25" t="n">
        <v>50.2</v>
      </c>
      <c r="E14" s="25" t="n">
        <v>52.5</v>
      </c>
      <c r="F14" s="25" t="n">
        <v>50.1</v>
      </c>
      <c r="G14" s="25" t="n">
        <v>51.9</v>
      </c>
      <c r="H14" s="25" t="n">
        <v>50.7</v>
      </c>
      <c r="I14" s="25" t="n">
        <v>51.9</v>
      </c>
      <c r="J14" s="25" t="n">
        <v>54.1</v>
      </c>
      <c r="K14" s="25" t="n">
        <v>54.5</v>
      </c>
      <c r="L14" s="25" t="n">
        <v>-1.299999999999997</v>
      </c>
      <c r="M14" s="25" t="n">
        <v>52</v>
      </c>
      <c r="N14" s="25" t="n">
        <v>48.7</v>
      </c>
      <c r="O14" s="25" t="n">
        <v>51.3</v>
      </c>
      <c r="P14" s="25" t="n">
        <v>51.3</v>
      </c>
      <c r="Q14" s="25" t="n">
        <v>44.2</v>
      </c>
      <c r="R14" s="25" t="n">
        <v>47.8</v>
      </c>
      <c r="S14" s="25" t="n">
        <v>46.1</v>
      </c>
      <c r="T14" s="25" t="n">
        <v>46.3</v>
      </c>
      <c r="U14" s="25" t="n">
        <v>46.9</v>
      </c>
      <c r="V14" s="25" t="n">
        <v>54.6</v>
      </c>
      <c r="W14" s="25" t="n">
        <v>49</v>
      </c>
      <c r="X14" s="25" t="n">
        <v>56.9</v>
      </c>
      <c r="Y14" s="25" t="n">
        <v>54.3</v>
      </c>
      <c r="Z14" s="16" t="n">
        <v>1.899999999999999</v>
      </c>
      <c r="AA14" s="16" t="e">
        <v>#REF!</v>
      </c>
      <c r="AB14" s="17" t="n"/>
    </row>
    <row r="15" hidden="1" s="70">
      <c r="B15" s="15" t="n">
        <v>42186</v>
      </c>
      <c r="C15" s="25" t="n">
        <v>53.8</v>
      </c>
      <c r="D15" s="25" t="n">
        <v>50</v>
      </c>
      <c r="E15" s="25" t="n">
        <v>52.4</v>
      </c>
      <c r="F15" s="25" t="n">
        <v>51.2</v>
      </c>
      <c r="G15" s="25" t="n">
        <v>51.8</v>
      </c>
      <c r="H15" s="25" t="n">
        <v>49.6</v>
      </c>
      <c r="I15" s="25" t="n">
        <v>52.5</v>
      </c>
      <c r="J15" s="25" t="n">
        <v>55.3</v>
      </c>
      <c r="K15" s="25" t="n">
        <v>53.6</v>
      </c>
      <c r="L15" s="25" t="n">
        <v>-0.8999999999999986</v>
      </c>
      <c r="M15" s="25" t="n">
        <v>52.9</v>
      </c>
      <c r="N15" s="25" t="n">
        <v>48.3</v>
      </c>
      <c r="O15" s="25" t="n">
        <v>52.7</v>
      </c>
      <c r="P15" s="25" t="n">
        <v>50.8</v>
      </c>
      <c r="Q15" s="25" t="n">
        <v>50.4</v>
      </c>
      <c r="R15" s="25" t="n">
        <v>47.3</v>
      </c>
      <c r="S15" s="25" t="n">
        <v>47.6</v>
      </c>
      <c r="T15" s="25" t="n">
        <v>47.1</v>
      </c>
      <c r="U15" s="25" t="n">
        <v>30.2</v>
      </c>
      <c r="V15" s="25" t="n">
        <v>56.7</v>
      </c>
      <c r="W15" s="25" t="n">
        <v>50.1</v>
      </c>
      <c r="X15" s="25" t="n">
        <v>57.5</v>
      </c>
      <c r="Y15" s="25" t="n">
        <v>54.5</v>
      </c>
      <c r="Z15" s="16" t="n">
        <v>0.2000000000000028</v>
      </c>
      <c r="AA15" s="16" t="e">
        <v>#REF!</v>
      </c>
      <c r="AB15" s="17" t="n"/>
    </row>
    <row r="16" hidden="1" s="70">
      <c r="B16" s="15" t="n">
        <v>42217</v>
      </c>
      <c r="C16" s="25" t="n">
        <v>53</v>
      </c>
      <c r="D16" s="25" t="n">
        <v>47.3</v>
      </c>
      <c r="E16" s="25" t="n">
        <v>52.3</v>
      </c>
      <c r="F16" s="25" t="n">
        <v>51.7</v>
      </c>
      <c r="G16" s="25" t="n">
        <v>53.3</v>
      </c>
      <c r="H16" s="25" t="n">
        <v>48.3</v>
      </c>
      <c r="I16" s="25" t="n">
        <v>51.6</v>
      </c>
      <c r="J16" s="25" t="n">
        <v>53.8</v>
      </c>
      <c r="K16" s="25" t="n">
        <v>53.2</v>
      </c>
      <c r="L16" s="25" t="n">
        <v>-0.3999999999999986</v>
      </c>
      <c r="M16" s="25" t="n">
        <v>52.4</v>
      </c>
      <c r="N16" s="25" t="n">
        <v>47.9</v>
      </c>
      <c r="O16" s="25" t="n">
        <v>52.3</v>
      </c>
      <c r="P16" s="25" t="n">
        <v>49.4</v>
      </c>
      <c r="Q16" s="25" t="n">
        <v>51.7</v>
      </c>
      <c r="R16" s="25" t="n">
        <v>48.4</v>
      </c>
      <c r="S16" s="25" t="n">
        <v>47.9</v>
      </c>
      <c r="T16" s="25" t="n">
        <v>46.1</v>
      </c>
      <c r="U16" s="25" t="n">
        <v>39.1</v>
      </c>
      <c r="V16" s="25" t="n">
        <v>53.6</v>
      </c>
      <c r="W16" s="25" t="n">
        <v>49.3</v>
      </c>
      <c r="X16" s="25" t="n">
        <v>56.6</v>
      </c>
      <c r="Y16" s="25" t="n">
        <v>51.1</v>
      </c>
      <c r="Z16" s="16" t="n">
        <v>-3.399999999999999</v>
      </c>
      <c r="AA16" s="16" t="e">
        <v>#REF!</v>
      </c>
      <c r="AB16" s="17" t="n"/>
    </row>
    <row r="17" hidden="1" s="70">
      <c r="B17" s="15" t="n">
        <v>42248</v>
      </c>
      <c r="C17" s="25" t="n">
        <v>53.1</v>
      </c>
      <c r="D17" s="25" t="n">
        <v>47.2</v>
      </c>
      <c r="E17" s="25" t="n">
        <v>52</v>
      </c>
      <c r="F17" s="25" t="n">
        <v>51</v>
      </c>
      <c r="G17" s="25" t="n">
        <v>52.3</v>
      </c>
      <c r="H17" s="25" t="n">
        <v>50.6</v>
      </c>
      <c r="I17" s="25" t="n">
        <v>51.6</v>
      </c>
      <c r="J17" s="25" t="n">
        <v>52.7</v>
      </c>
      <c r="K17" s="25" t="n">
        <v>51.7</v>
      </c>
      <c r="L17" s="25" t="n">
        <v>-1.5</v>
      </c>
      <c r="M17" s="25" t="n">
        <v>52.1</v>
      </c>
      <c r="N17" s="25" t="n">
        <v>49.1</v>
      </c>
      <c r="O17" s="25" t="n">
        <v>51.2</v>
      </c>
      <c r="P17" s="25" t="n">
        <v>48.6</v>
      </c>
      <c r="Q17" s="25" t="n">
        <v>52.1</v>
      </c>
      <c r="R17" s="25" t="n">
        <v>47.4</v>
      </c>
      <c r="S17" s="25" t="n">
        <v>49.2</v>
      </c>
      <c r="T17" s="25" t="n">
        <v>46.9</v>
      </c>
      <c r="U17" s="25" t="n">
        <v>43.3</v>
      </c>
      <c r="V17" s="25" t="n">
        <v>53.8</v>
      </c>
      <c r="W17" s="25" t="n">
        <v>48.8</v>
      </c>
      <c r="X17" s="25" t="n">
        <v>55.5</v>
      </c>
      <c r="Y17" s="25" t="n">
        <v>50.9</v>
      </c>
      <c r="Z17" s="16" t="n">
        <v>-0.2000000000000028</v>
      </c>
      <c r="AA17" s="16" t="e">
        <v>#REF!</v>
      </c>
      <c r="AB17" s="17" t="n"/>
    </row>
    <row r="18" hidden="1" s="70">
      <c r="B18" s="15" t="n">
        <v>42278</v>
      </c>
      <c r="C18" s="25" t="n">
        <v>54.1</v>
      </c>
      <c r="D18" s="25" t="n">
        <v>48.3</v>
      </c>
      <c r="E18" s="25" t="n">
        <v>52.3</v>
      </c>
      <c r="F18" s="25" t="n">
        <v>52.4</v>
      </c>
      <c r="G18" s="25" t="n">
        <v>52.1</v>
      </c>
      <c r="H18" s="25" t="n">
        <v>50.6</v>
      </c>
      <c r="I18" s="25" t="n">
        <v>54.3</v>
      </c>
      <c r="J18" s="25" t="n">
        <v>54.1</v>
      </c>
      <c r="K18" s="25" t="n">
        <v>51.3</v>
      </c>
      <c r="L18" s="25" t="n">
        <v>-0.4000000000000057</v>
      </c>
      <c r="M18" s="25" t="n">
        <v>53</v>
      </c>
      <c r="N18" s="25" t="n">
        <v>50.2</v>
      </c>
      <c r="O18" s="25" t="n">
        <v>50.7</v>
      </c>
      <c r="P18" s="25" t="n">
        <v>48</v>
      </c>
      <c r="Q18" s="25" t="n">
        <v>50.2</v>
      </c>
      <c r="R18" s="25" t="n">
        <v>47.8</v>
      </c>
      <c r="S18" s="25" t="n">
        <v>49.1</v>
      </c>
      <c r="T18" s="25" t="n">
        <v>47.8</v>
      </c>
      <c r="U18" s="25" t="n">
        <v>47.3</v>
      </c>
      <c r="V18" s="25" t="n">
        <v>53.6</v>
      </c>
      <c r="W18" s="25" t="n">
        <v>49.5</v>
      </c>
      <c r="X18" s="25" t="n">
        <v>54</v>
      </c>
      <c r="Y18" s="25" t="n">
        <v>52.2</v>
      </c>
      <c r="Z18" s="16" t="n">
        <v>1.300000000000004</v>
      </c>
      <c r="AA18" s="16" t="e">
        <v>#REF!</v>
      </c>
      <c r="AB18" s="17" t="n"/>
    </row>
    <row r="19" hidden="1" s="70">
      <c r="B19" s="15" t="n">
        <v>42309</v>
      </c>
      <c r="C19" s="25" t="n">
        <v>52.8</v>
      </c>
      <c r="D19" s="25" t="n">
        <v>48.6</v>
      </c>
      <c r="E19" s="25" t="n">
        <v>52.8</v>
      </c>
      <c r="F19" s="25" t="n">
        <v>52.6</v>
      </c>
      <c r="G19" s="25" t="n">
        <v>52.9</v>
      </c>
      <c r="H19" s="25" t="n">
        <v>50.6</v>
      </c>
      <c r="I19" s="25" t="n">
        <v>52.3</v>
      </c>
      <c r="J19" s="25" t="n">
        <v>54.9</v>
      </c>
      <c r="K19" s="25" t="n">
        <v>53.1</v>
      </c>
      <c r="L19" s="25" t="n">
        <v>1.800000000000004</v>
      </c>
      <c r="M19" s="25" t="n">
        <v>53</v>
      </c>
      <c r="N19" s="25" t="n">
        <v>50.1</v>
      </c>
      <c r="O19" s="25" t="n">
        <v>50.3</v>
      </c>
      <c r="P19" s="25" t="n">
        <v>48.6</v>
      </c>
      <c r="Q19" s="25" t="n">
        <v>52.5</v>
      </c>
      <c r="R19" s="25" t="n">
        <v>46.9</v>
      </c>
      <c r="S19" s="25" t="n">
        <v>49.1</v>
      </c>
      <c r="T19" s="25" t="n">
        <v>49.5</v>
      </c>
      <c r="U19" s="25" t="n">
        <v>48.1</v>
      </c>
      <c r="V19" s="25" t="n">
        <v>53.3</v>
      </c>
      <c r="W19" s="25" t="n">
        <v>50.9</v>
      </c>
      <c r="X19" s="25" t="n">
        <v>54.2</v>
      </c>
      <c r="Y19" s="25" t="n">
        <v>52.1</v>
      </c>
      <c r="Z19" s="16" t="n">
        <v>-0.1000000000000014</v>
      </c>
      <c r="AA19" s="16" t="e">
        <v>#REF!</v>
      </c>
      <c r="AB19" s="17" t="n"/>
    </row>
    <row r="20" hidden="1" s="70">
      <c r="B20" s="15" t="n">
        <v>42339</v>
      </c>
      <c r="C20" s="25" t="n">
        <v>51.2</v>
      </c>
      <c r="D20" s="25" t="n">
        <v>48.2</v>
      </c>
      <c r="E20" s="25" t="n">
        <v>53.2</v>
      </c>
      <c r="F20" s="25" t="n">
        <v>52.6</v>
      </c>
      <c r="G20" s="25" t="n">
        <v>53.2</v>
      </c>
      <c r="H20" s="25" t="n">
        <v>51.4</v>
      </c>
      <c r="I20" s="25" t="n">
        <v>51</v>
      </c>
      <c r="J20" s="25" t="n">
        <v>55.6</v>
      </c>
      <c r="K20" s="25" t="n">
        <v>53</v>
      </c>
      <c r="L20" s="25" t="n">
        <v>-0.1000000000000014</v>
      </c>
      <c r="M20" s="25" t="n">
        <v>52.4</v>
      </c>
      <c r="N20" s="25" t="n">
        <v>48.7</v>
      </c>
      <c r="O20" s="25" t="n">
        <v>49.1</v>
      </c>
      <c r="P20" s="25" t="n">
        <v>47.5</v>
      </c>
      <c r="Q20" s="25" t="n">
        <v>51.9</v>
      </c>
      <c r="R20" s="25" t="n">
        <v>47.8</v>
      </c>
      <c r="S20" s="25" t="n">
        <v>50.7</v>
      </c>
      <c r="T20" s="25" t="n">
        <v>51.7</v>
      </c>
      <c r="U20" s="25" t="n">
        <v>50.2</v>
      </c>
      <c r="V20" s="25" t="n">
        <v>54.2</v>
      </c>
      <c r="W20" s="25" t="n">
        <v>52.2</v>
      </c>
      <c r="X20" s="25" t="n">
        <v>55.6</v>
      </c>
      <c r="Y20" s="25" t="n">
        <v>52.1</v>
      </c>
      <c r="Z20" s="16" t="n">
        <v>0</v>
      </c>
      <c r="AA20" s="16" t="e">
        <v>#REF!</v>
      </c>
      <c r="AB20" s="17" t="n"/>
    </row>
    <row r="21" hidden="1" s="70">
      <c r="B21" s="15" t="n">
        <v>42370</v>
      </c>
      <c r="C21" s="25" t="n">
        <v>52.4</v>
      </c>
      <c r="D21" s="25" t="n">
        <v>48.4</v>
      </c>
      <c r="E21" s="25" t="n">
        <v>52.3</v>
      </c>
      <c r="F21" s="25" t="n">
        <v>52.3</v>
      </c>
      <c r="G21" s="25" t="n">
        <v>52.3</v>
      </c>
      <c r="H21" s="25" t="n">
        <v>50</v>
      </c>
      <c r="I21" s="25" t="n">
        <v>52.2</v>
      </c>
      <c r="J21" s="25" t="n">
        <v>53.2</v>
      </c>
      <c r="K21" s="25" t="n">
        <v>55.4</v>
      </c>
      <c r="L21" s="25" t="n">
        <v>2.399999999999999</v>
      </c>
      <c r="M21" s="25" t="n">
        <v>52.2</v>
      </c>
      <c r="N21" s="25" t="n">
        <v>49.8</v>
      </c>
      <c r="O21" s="25" t="n">
        <v>51.1</v>
      </c>
      <c r="P21" s="25" t="n">
        <v>49.3</v>
      </c>
      <c r="Q21" s="25" t="n">
        <v>51.5</v>
      </c>
      <c r="R21" s="25" t="n">
        <v>48.9</v>
      </c>
      <c r="S21" s="25" t="n">
        <v>49.5</v>
      </c>
      <c r="T21" s="25" t="n">
        <v>50.6</v>
      </c>
      <c r="U21" s="25" t="n">
        <v>50</v>
      </c>
      <c r="V21" s="25" t="n">
        <v>54.3</v>
      </c>
      <c r="W21" s="25" t="n">
        <v>50.9</v>
      </c>
      <c r="X21" s="25" t="n">
        <v>56.9</v>
      </c>
      <c r="Y21" s="25" t="n">
        <v>50.9</v>
      </c>
      <c r="Z21" s="16" t="n">
        <v>-1.200000000000003</v>
      </c>
      <c r="AA21" s="16" t="e">
        <v>#REF!</v>
      </c>
      <c r="AB21" s="17" t="n"/>
    </row>
    <row r="22" hidden="1" s="70">
      <c r="B22" s="15" t="n">
        <v>42401</v>
      </c>
      <c r="C22" s="25" t="n">
        <v>51.3</v>
      </c>
      <c r="D22" s="25" t="n">
        <v>48</v>
      </c>
      <c r="E22" s="25" t="n">
        <v>51.2</v>
      </c>
      <c r="F22" s="25" t="n">
        <v>50.1</v>
      </c>
      <c r="G22" s="25" t="n">
        <v>50.5</v>
      </c>
      <c r="H22" s="25" t="n">
        <v>50.2</v>
      </c>
      <c r="I22" s="25" t="n">
        <v>50.8</v>
      </c>
      <c r="J22" s="25" t="n">
        <v>52.2</v>
      </c>
      <c r="K22" s="25" t="n">
        <v>54.1</v>
      </c>
      <c r="L22" s="25" t="n">
        <v>-1.299999999999997</v>
      </c>
      <c r="M22" s="25" t="n">
        <v>53.1</v>
      </c>
      <c r="N22" s="25" t="n">
        <v>49.3</v>
      </c>
      <c r="O22" s="25" t="n">
        <v>51.1</v>
      </c>
      <c r="P22" s="25" t="n">
        <v>49.4</v>
      </c>
      <c r="Q22" s="25" t="n">
        <v>53.5</v>
      </c>
      <c r="R22" s="25" t="n">
        <v>48.7</v>
      </c>
      <c r="S22" s="25" t="n">
        <v>48.7</v>
      </c>
      <c r="T22" s="25" t="n">
        <v>49.4</v>
      </c>
      <c r="U22" s="25" t="n">
        <v>48.4</v>
      </c>
      <c r="V22" s="25" t="n">
        <v>52.9</v>
      </c>
      <c r="W22" s="25" t="n">
        <v>50.3</v>
      </c>
      <c r="X22" s="25" t="n">
        <v>55.5</v>
      </c>
      <c r="Y22" s="25" t="n">
        <v>52.8</v>
      </c>
      <c r="Z22" s="16" t="n">
        <v>1.899999999999999</v>
      </c>
      <c r="AA22" s="16" t="e">
        <v>#REF!</v>
      </c>
      <c r="AB22" s="17" t="n"/>
    </row>
    <row r="23" hidden="1" s="70">
      <c r="B23" s="15" t="n">
        <v>42430</v>
      </c>
      <c r="C23" s="25" t="n">
        <v>51.5</v>
      </c>
      <c r="D23" s="25" t="n">
        <v>49.7</v>
      </c>
      <c r="E23" s="25" t="n">
        <v>51.6</v>
      </c>
      <c r="F23" s="25" t="n">
        <v>49.1</v>
      </c>
      <c r="G23" s="25" t="n">
        <v>50.7</v>
      </c>
      <c r="H23" s="25" t="n">
        <v>49.6</v>
      </c>
      <c r="I23" s="25" t="n">
        <v>51.1</v>
      </c>
      <c r="J23" s="25" t="n">
        <v>53.5</v>
      </c>
      <c r="K23" s="25" t="n">
        <v>53.4</v>
      </c>
      <c r="L23" s="25" t="n">
        <v>-0.7000000000000028</v>
      </c>
      <c r="M23" s="25" t="n">
        <v>53.2</v>
      </c>
      <c r="N23" s="25" t="n">
        <v>48.3</v>
      </c>
      <c r="O23" s="25" t="n">
        <v>52.4</v>
      </c>
      <c r="P23" s="25" t="n">
        <v>51.5</v>
      </c>
      <c r="Q23" s="25" t="n">
        <v>58.1</v>
      </c>
      <c r="R23" s="25" t="n">
        <v>50.6</v>
      </c>
      <c r="S23" s="25" t="n">
        <v>49.5</v>
      </c>
      <c r="T23" s="25" t="n">
        <v>51.1</v>
      </c>
      <c r="U23" s="25" t="n">
        <v>49</v>
      </c>
      <c r="V23" s="25" t="n">
        <v>54.9</v>
      </c>
      <c r="W23" s="25" t="n">
        <v>49.2</v>
      </c>
      <c r="X23" s="25" t="n">
        <v>54.3</v>
      </c>
      <c r="Y23" s="25" t="n">
        <v>53.8</v>
      </c>
      <c r="Z23" s="16" t="n">
        <v>1</v>
      </c>
      <c r="AA23" s="16" t="e">
        <v>#REF!</v>
      </c>
      <c r="AB23" s="17" t="n"/>
    </row>
    <row r="24" hidden="1" s="70">
      <c r="B24" s="15" t="inlineStr">
        <is>
          <t>2000-Q1</t>
        </is>
      </c>
      <c r="C24" s="25" t="n">
        <v>4.199578</v>
      </c>
      <c r="D24" s="25" t="n">
        <v>8.699999999999999</v>
      </c>
      <c r="E24" s="25" t="n">
        <v>4.232413</v>
      </c>
      <c r="F24" s="25" t="n">
        <v>2.880961</v>
      </c>
      <c r="G24" s="25" t="n">
        <v>3.399621</v>
      </c>
      <c r="H24" s="25" t="n">
        <v>4.406022</v>
      </c>
      <c r="I24" s="25" t="n">
        <v>4.119367</v>
      </c>
      <c r="J24" s="25" t="n">
        <v>3.878595</v>
      </c>
      <c r="K24" s="25" t="n">
        <v>5.586227</v>
      </c>
      <c r="L24" s="25" t="n">
        <v>3.90496</v>
      </c>
      <c r="M24" s="25" t="n">
        <v>4.325999</v>
      </c>
      <c r="N24" s="25" t="n">
        <v>0</v>
      </c>
      <c r="O24" s="25" t="n">
        <v>2.880961</v>
      </c>
      <c r="P24" s="25" t="n">
        <v>5.51763</v>
      </c>
      <c r="Q24" s="25" t="n">
        <v>3.645085</v>
      </c>
      <c r="R24" s="25" t="n">
        <v>4.232413</v>
      </c>
      <c r="S24" s="25" t="n">
        <v>12.261298</v>
      </c>
      <c r="T24" s="25" t="n">
        <v>4.099811</v>
      </c>
      <c r="U24" s="25" t="n">
        <v>3.411017</v>
      </c>
      <c r="V24" s="25" t="n">
        <v>9.496997</v>
      </c>
      <c r="W24" s="25" t="n">
        <v>2.466625</v>
      </c>
      <c r="X24" s="25" t="n">
        <v>3.998125</v>
      </c>
      <c r="Y24" s="25" t="n">
        <v>6.24833</v>
      </c>
      <c r="Z24" s="18" t="n">
        <v>-0.106447</v>
      </c>
      <c r="AA24" s="18" t="e">
        <v>#N/A</v>
      </c>
      <c r="AB24" s="19" t="n"/>
    </row>
    <row r="25" hidden="1" s="70">
      <c r="B25" s="15" t="inlineStr">
        <is>
          <t>2000-Q2</t>
        </is>
      </c>
      <c r="C25" s="25" t="n">
        <v>5.297738</v>
      </c>
      <c r="D25" s="25" t="n">
        <v>9.1</v>
      </c>
      <c r="E25" s="25" t="n">
        <v>4.491453</v>
      </c>
      <c r="F25" s="25" t="n">
        <v>2.725358</v>
      </c>
      <c r="G25" s="25" t="n">
        <v>4.250585</v>
      </c>
      <c r="H25" s="25" t="n">
        <v>4.523234</v>
      </c>
      <c r="I25" s="25" t="n">
        <v>4.690964</v>
      </c>
      <c r="J25" s="25" t="n">
        <v>4.180185</v>
      </c>
      <c r="K25" s="25" t="n">
        <v>5.294479</v>
      </c>
      <c r="L25" s="25" t="n">
        <v>5.851924</v>
      </c>
      <c r="M25" s="25" t="n">
        <v>5.398932</v>
      </c>
      <c r="N25" s="25" t="n">
        <v>0</v>
      </c>
      <c r="O25" s="25" t="n">
        <v>2.725358</v>
      </c>
      <c r="P25" s="25" t="n">
        <v>5.883164</v>
      </c>
      <c r="Q25" s="25" t="n">
        <v>4.211826</v>
      </c>
      <c r="R25" s="25" t="n">
        <v>4.491453</v>
      </c>
      <c r="S25" s="25" t="n">
        <v>9.068597</v>
      </c>
      <c r="T25" s="25" t="n">
        <v>3.958393</v>
      </c>
      <c r="U25" s="25" t="n">
        <v>3.319386</v>
      </c>
      <c r="V25" s="25" t="n">
        <v>11.227613</v>
      </c>
      <c r="W25" s="25" t="n">
        <v>6.742773</v>
      </c>
      <c r="X25" s="25" t="n">
        <v>4.724439</v>
      </c>
      <c r="Y25" s="25" t="n">
        <v>5.047274</v>
      </c>
      <c r="Z25" s="18" t="n">
        <v>-0.590391</v>
      </c>
      <c r="AA25" s="18" t="e">
        <v>#N/A</v>
      </c>
      <c r="AB25" s="19" t="n"/>
    </row>
    <row r="26" hidden="1" s="70">
      <c r="B26" s="15" t="inlineStr">
        <is>
          <t>2000-Q3</t>
        </is>
      </c>
      <c r="C26" s="25" t="n">
        <v>4.07533</v>
      </c>
      <c r="D26" s="25" t="n">
        <v>8.800000000000001</v>
      </c>
      <c r="E26" s="25" t="n">
        <v>3.883931</v>
      </c>
      <c r="F26" s="25" t="n">
        <v>2.22814</v>
      </c>
      <c r="G26" s="25" t="n">
        <v>3.043905</v>
      </c>
      <c r="H26" s="25" t="n">
        <v>3.955496</v>
      </c>
      <c r="I26" s="25" t="n">
        <v>3.143977</v>
      </c>
      <c r="J26" s="25" t="n">
        <v>3.866433</v>
      </c>
      <c r="K26" s="25" t="n">
        <v>5.180883</v>
      </c>
      <c r="L26" s="25" t="n">
        <v>5.722277</v>
      </c>
      <c r="M26" s="25" t="n">
        <v>5.368747</v>
      </c>
      <c r="N26" s="25" t="n">
        <v>0</v>
      </c>
      <c r="O26" s="25" t="n">
        <v>2.22814</v>
      </c>
      <c r="P26" s="25" t="n">
        <v>5.316958</v>
      </c>
      <c r="Q26" s="25" t="n">
        <v>3.22491</v>
      </c>
      <c r="R26" s="25" t="n">
        <v>3.883931</v>
      </c>
      <c r="S26" s="25" t="n">
        <v>9.320938999999999</v>
      </c>
      <c r="T26" s="25" t="n">
        <v>4.817299</v>
      </c>
      <c r="U26" s="25" t="n">
        <v>4.786658</v>
      </c>
      <c r="V26" s="25" t="n">
        <v>9.310140000000001</v>
      </c>
      <c r="W26" s="25" t="n">
        <v>8.819801</v>
      </c>
      <c r="X26" s="25" t="n">
        <v>5.050589</v>
      </c>
      <c r="Y26" s="25" t="n">
        <v>3.247936</v>
      </c>
      <c r="Z26" s="18" t="n">
        <v>-0.557525</v>
      </c>
      <c r="AA26" s="18" t="e">
        <v>#N/A</v>
      </c>
      <c r="AB26" s="19" t="n"/>
    </row>
    <row r="27" hidden="1" s="70">
      <c r="B27" s="15" t="inlineStr">
        <is>
          <t>2000-Q4</t>
        </is>
      </c>
      <c r="C27" s="25" t="n">
        <v>2.973483</v>
      </c>
      <c r="D27" s="25" t="n">
        <v>7.5</v>
      </c>
      <c r="E27" s="25" t="n">
        <v>3.376736</v>
      </c>
      <c r="F27" s="25" t="n">
        <v>3.169027</v>
      </c>
      <c r="G27" s="25" t="n">
        <v>1.906413</v>
      </c>
      <c r="H27" s="25" t="n">
        <v>3.390469</v>
      </c>
      <c r="I27" s="25" t="n">
        <v>1.914482</v>
      </c>
      <c r="J27" s="25" t="n">
        <v>4.027652</v>
      </c>
      <c r="K27" s="25" t="n">
        <v>5.104909</v>
      </c>
      <c r="L27" s="25" t="n">
        <v>4.108692</v>
      </c>
      <c r="M27" s="25" t="n">
        <v>3.588419</v>
      </c>
      <c r="N27" s="25" t="n">
        <v>0</v>
      </c>
      <c r="O27" s="25" t="n">
        <v>3.169027</v>
      </c>
      <c r="P27" s="25" t="n">
        <v>4.032494</v>
      </c>
      <c r="Q27" s="25" t="n">
        <v>1.123658</v>
      </c>
      <c r="R27" s="25" t="n">
        <v>3.376736</v>
      </c>
      <c r="S27" s="25" t="n">
        <v>5.381693</v>
      </c>
      <c r="T27" s="25" t="n">
        <v>4.651924</v>
      </c>
      <c r="U27" s="25" t="n">
        <v>4.58267</v>
      </c>
      <c r="V27" s="25" t="n">
        <v>7.956294</v>
      </c>
      <c r="W27" s="25" t="n">
        <v>8.210084999999999</v>
      </c>
      <c r="X27" s="25" t="n">
        <v>4.599431</v>
      </c>
      <c r="Y27" s="25" t="n">
        <v>4.263352</v>
      </c>
      <c r="Z27" s="18" t="n">
        <v>-1.893524</v>
      </c>
      <c r="AA27" s="18" t="e">
        <v>#N/A</v>
      </c>
      <c r="AB27" s="19" t="n"/>
    </row>
    <row r="28" hidden="1" s="70">
      <c r="B28" s="15" t="inlineStr">
        <is>
          <t>2001-Q1</t>
        </is>
      </c>
      <c r="C28" s="25" t="n">
        <v>2.30971</v>
      </c>
      <c r="D28" s="25" t="n">
        <v>9.5</v>
      </c>
      <c r="E28" s="25" t="n">
        <v>3.126182</v>
      </c>
      <c r="F28" s="25" t="n">
        <v>1.79137</v>
      </c>
      <c r="G28" s="25" t="n">
        <v>2.503228</v>
      </c>
      <c r="H28" s="25" t="n">
        <v>2.984667</v>
      </c>
      <c r="I28" s="25" t="n">
        <v>2.396088</v>
      </c>
      <c r="J28" s="25" t="n">
        <v>3.208826</v>
      </c>
      <c r="K28" s="25" t="n">
        <v>4.487838</v>
      </c>
      <c r="L28" s="25" t="n">
        <v>3.097054</v>
      </c>
      <c r="M28" s="25" t="n">
        <v>1.855425</v>
      </c>
      <c r="N28" s="25" t="n">
        <v>0</v>
      </c>
      <c r="O28" s="25" t="n">
        <v>1.79137</v>
      </c>
      <c r="P28" s="25" t="n">
        <v>2.934044</v>
      </c>
      <c r="Q28" s="25" t="n">
        <v>1.735637</v>
      </c>
      <c r="R28" s="25" t="n">
        <v>3.126182</v>
      </c>
      <c r="S28" s="25" t="n">
        <v>4.965892</v>
      </c>
      <c r="T28" s="25" t="n">
        <v>3.248958</v>
      </c>
      <c r="U28" s="25" t="n">
        <v>5.555856</v>
      </c>
      <c r="V28" s="25" t="n">
        <v>7.802249</v>
      </c>
      <c r="W28" s="25" t="n">
        <v>2.372659</v>
      </c>
      <c r="X28" s="25" t="n">
        <v>4.152867</v>
      </c>
      <c r="Y28" s="25" t="n">
        <v>3.187399</v>
      </c>
      <c r="Z28" s="18" t="n">
        <v>-1.397726</v>
      </c>
      <c r="AA28" s="18" t="e">
        <v>#N/A</v>
      </c>
      <c r="AB28" s="19" t="n"/>
    </row>
    <row r="29" hidden="1" s="70">
      <c r="B29" s="15" t="inlineStr">
        <is>
          <t>2001-Q2</t>
        </is>
      </c>
      <c r="C29" s="25" t="n">
        <v>1.057242</v>
      </c>
      <c r="D29" s="25" t="n">
        <v>8.6</v>
      </c>
      <c r="E29" s="25" t="n">
        <v>2.32221</v>
      </c>
      <c r="F29" s="25" t="n">
        <v>1.103819</v>
      </c>
      <c r="G29" s="25" t="n">
        <v>1.618475</v>
      </c>
      <c r="H29" s="25" t="n">
        <v>2.143407</v>
      </c>
      <c r="I29" s="25" t="n">
        <v>2.574742</v>
      </c>
      <c r="J29" s="25" t="n">
        <v>2.238588</v>
      </c>
      <c r="K29" s="25" t="n">
        <v>4.041508</v>
      </c>
      <c r="L29" s="25" t="n">
        <v>1.34107</v>
      </c>
      <c r="M29" s="25" t="n">
        <v>-0.37564</v>
      </c>
      <c r="N29" s="25" t="n">
        <v>0</v>
      </c>
      <c r="O29" s="25" t="n">
        <v>1.103819</v>
      </c>
      <c r="P29" s="25" t="n">
        <v>2.000524</v>
      </c>
      <c r="Q29" s="25" t="n">
        <v>1.665561</v>
      </c>
      <c r="R29" s="25" t="n">
        <v>2.32221</v>
      </c>
      <c r="S29" s="25" t="n">
        <v>5.001116</v>
      </c>
      <c r="T29" s="25" t="n">
        <v>2.330326</v>
      </c>
      <c r="U29" s="25" t="n">
        <v>4.274588</v>
      </c>
      <c r="V29" s="25" t="n">
        <v>6.252063</v>
      </c>
      <c r="W29" s="25" t="n">
        <v>-7.560093</v>
      </c>
      <c r="X29" s="25" t="n">
        <v>3.157443</v>
      </c>
      <c r="Y29" s="25" t="n">
        <v>1.5302</v>
      </c>
      <c r="Z29" s="18" t="n">
        <v>-0.6169790000000001</v>
      </c>
      <c r="AA29" s="18" t="e">
        <v>#N/A</v>
      </c>
      <c r="AB29" s="19" t="n"/>
    </row>
    <row r="30" hidden="1" s="70">
      <c r="B30" s="15" t="inlineStr">
        <is>
          <t>2001-Q3</t>
        </is>
      </c>
      <c r="C30" s="25" t="n">
        <v>0.503588</v>
      </c>
      <c r="D30" s="25" t="n">
        <v>8</v>
      </c>
      <c r="E30" s="25" t="n">
        <v>1.881855</v>
      </c>
      <c r="F30" s="25" t="n">
        <v>-0.007262</v>
      </c>
      <c r="G30" s="25" t="n">
        <v>1.453297</v>
      </c>
      <c r="H30" s="25" t="n">
        <v>1.865902</v>
      </c>
      <c r="I30" s="25" t="n">
        <v>3.049754</v>
      </c>
      <c r="J30" s="25" t="n">
        <v>1.263874</v>
      </c>
      <c r="K30" s="25" t="n">
        <v>3.948617</v>
      </c>
      <c r="L30" s="25" t="n">
        <v>1.085282</v>
      </c>
      <c r="M30" s="25" t="n">
        <v>-1.122989</v>
      </c>
      <c r="N30" s="25" t="n">
        <v>0</v>
      </c>
      <c r="O30" s="25" t="n">
        <v>-0.007262</v>
      </c>
      <c r="P30" s="25" t="n">
        <v>0.908196</v>
      </c>
      <c r="Q30" s="25" t="n">
        <v>2.678058</v>
      </c>
      <c r="R30" s="25" t="n">
        <v>1.881855</v>
      </c>
      <c r="S30" s="25" t="n">
        <v>3.606364</v>
      </c>
      <c r="T30" s="25" t="n">
        <v>0.539625</v>
      </c>
      <c r="U30" s="25" t="n">
        <v>4.060324</v>
      </c>
      <c r="V30" s="25" t="n">
        <v>3.470267</v>
      </c>
      <c r="W30" s="25" t="n">
        <v>-7.600652</v>
      </c>
      <c r="X30" s="25" t="n">
        <v>2.207512</v>
      </c>
      <c r="Y30" s="25" t="n">
        <v>1.928006</v>
      </c>
      <c r="Z30" s="18" t="n">
        <v>-4.991747</v>
      </c>
      <c r="AA30" s="18" t="e">
        <v>#N/A</v>
      </c>
      <c r="AB30" s="19" t="n"/>
    </row>
    <row r="31" hidden="1" s="70">
      <c r="B31" s="15" t="inlineStr">
        <is>
          <t>2001-Q4</t>
        </is>
      </c>
      <c r="C31" s="25" t="n">
        <v>0.153486</v>
      </c>
      <c r="D31" s="25" t="n">
        <v>7.5</v>
      </c>
      <c r="E31" s="25" t="n">
        <v>1.279281</v>
      </c>
      <c r="F31" s="25" t="n">
        <v>-1.272391</v>
      </c>
      <c r="G31" s="25" t="n">
        <v>1.671763</v>
      </c>
      <c r="H31" s="25" t="n">
        <v>1.077492</v>
      </c>
      <c r="I31" s="25" t="n">
        <v>3.336968</v>
      </c>
      <c r="J31" s="25" t="n">
        <v>-0.280768</v>
      </c>
      <c r="K31" s="25" t="n">
        <v>3.542888</v>
      </c>
      <c r="L31" s="25" t="n">
        <v>1.411245</v>
      </c>
      <c r="M31" s="25" t="n">
        <v>-0.923668</v>
      </c>
      <c r="N31" s="25" t="n">
        <v>0</v>
      </c>
      <c r="O31" s="25" t="n">
        <v>-1.272391</v>
      </c>
      <c r="P31" s="25" t="n">
        <v>1.341273</v>
      </c>
      <c r="Q31" s="25" t="n">
        <v>4.319398</v>
      </c>
      <c r="R31" s="25" t="n">
        <v>1.279281</v>
      </c>
      <c r="S31" s="25" t="n">
        <v>5.8523</v>
      </c>
      <c r="T31" s="25" t="n">
        <v>-0.528189</v>
      </c>
      <c r="U31" s="25" t="n">
        <v>2.920961</v>
      </c>
      <c r="V31" s="25" t="n">
        <v>3.885103</v>
      </c>
      <c r="W31" s="25" t="n">
        <v>-10.722705</v>
      </c>
      <c r="X31" s="25" t="n">
        <v>2.110475</v>
      </c>
      <c r="Y31" s="25" t="n">
        <v>-0.869256</v>
      </c>
      <c r="Z31" s="18" t="n">
        <v>-10.676443</v>
      </c>
      <c r="AA31" s="18" t="e">
        <v>#N/A</v>
      </c>
      <c r="AB31" s="19" t="n"/>
    </row>
    <row r="32" hidden="1" s="70">
      <c r="B32" s="15" t="inlineStr">
        <is>
          <t>2002-Q1</t>
        </is>
      </c>
      <c r="C32" s="25" t="n">
        <v>1.318279</v>
      </c>
      <c r="D32" s="25" t="n">
        <v>8.9</v>
      </c>
      <c r="E32" s="25" t="n">
        <v>0.565511</v>
      </c>
      <c r="F32" s="25" t="n">
        <v>-1.63435</v>
      </c>
      <c r="G32" s="25" t="n">
        <v>-0.85282</v>
      </c>
      <c r="H32" s="25" t="n">
        <v>0.797874</v>
      </c>
      <c r="I32" s="25" t="n">
        <v>2.474604</v>
      </c>
      <c r="J32" s="25" t="n">
        <v>-0.690393</v>
      </c>
      <c r="K32" s="25" t="n">
        <v>3.103051</v>
      </c>
      <c r="L32" s="25" t="n">
        <v>1.637605</v>
      </c>
      <c r="M32" s="25" t="n">
        <v>-1.670546</v>
      </c>
      <c r="N32" s="25" t="n">
        <v>0</v>
      </c>
      <c r="O32" s="25" t="n">
        <v>-1.63435</v>
      </c>
      <c r="P32" s="25" t="n">
        <v>2.314619</v>
      </c>
      <c r="Q32" s="25" t="n">
        <v>4.033643</v>
      </c>
      <c r="R32" s="25" t="n">
        <v>0.565511</v>
      </c>
      <c r="S32" s="25" t="n">
        <v>7.203016</v>
      </c>
      <c r="T32" s="25" t="n">
        <v>0.409245</v>
      </c>
      <c r="U32" s="25" t="n">
        <v>2.384786</v>
      </c>
      <c r="V32" s="25" t="n">
        <v>5.58157</v>
      </c>
      <c r="W32" s="25" t="n">
        <v>-1.272068</v>
      </c>
      <c r="X32" s="25" t="n">
        <v>1.413881</v>
      </c>
      <c r="Y32" s="25" t="n">
        <v>0.841591</v>
      </c>
      <c r="Z32" s="18" t="n">
        <v>-15.219744</v>
      </c>
      <c r="AA32" s="18" t="e">
        <v>#N/A</v>
      </c>
      <c r="AB32" s="19" t="n"/>
    </row>
    <row r="33" hidden="1" s="70">
      <c r="B33" s="15" t="inlineStr">
        <is>
          <t>2002-Q2</t>
        </is>
      </c>
      <c r="C33" s="25" t="n">
        <v>1.339611</v>
      </c>
      <c r="D33" s="25" t="n">
        <v>8.800000000000001</v>
      </c>
      <c r="E33" s="25" t="n">
        <v>0.93382</v>
      </c>
      <c r="F33" s="25" t="n">
        <v>-0.420511</v>
      </c>
      <c r="G33" s="25" t="n">
        <v>-0.387257</v>
      </c>
      <c r="H33" s="25" t="n">
        <v>1.217339</v>
      </c>
      <c r="I33" s="25" t="n">
        <v>2.345099</v>
      </c>
      <c r="J33" s="25" t="n">
        <v>0.009617000000000001</v>
      </c>
      <c r="K33" s="25" t="n">
        <v>3.058989</v>
      </c>
      <c r="L33" s="25" t="n">
        <v>2.575044</v>
      </c>
      <c r="M33" s="25" t="n">
        <v>-0.192479</v>
      </c>
      <c r="N33" s="25" t="n">
        <v>0</v>
      </c>
      <c r="O33" s="25" t="n">
        <v>-0.420511</v>
      </c>
      <c r="P33" s="25" t="n">
        <v>2.622203</v>
      </c>
      <c r="Q33" s="25" t="n">
        <v>4.961078</v>
      </c>
      <c r="R33" s="25" t="n">
        <v>0.93382</v>
      </c>
      <c r="S33" s="25" t="n">
        <v>7.501982</v>
      </c>
      <c r="T33" s="25" t="n">
        <v>2.287263</v>
      </c>
      <c r="U33" s="25" t="n">
        <v>5.020759</v>
      </c>
      <c r="V33" s="25" t="n">
        <v>4.923436</v>
      </c>
      <c r="W33" s="25" t="n">
        <v>8.158030999999999</v>
      </c>
      <c r="X33" s="25" t="n">
        <v>1.256184</v>
      </c>
      <c r="Y33" s="25" t="n">
        <v>2.24061</v>
      </c>
      <c r="Z33" s="18" t="n">
        <v>-14.147871</v>
      </c>
      <c r="AA33" s="18" t="e">
        <v>#N/A</v>
      </c>
      <c r="AB33" s="19" t="n"/>
    </row>
    <row r="34" hidden="1" s="70">
      <c r="B34" s="15" t="inlineStr">
        <is>
          <t>2002-Q3</t>
        </is>
      </c>
      <c r="C34" s="25" t="n">
        <v>2.214366</v>
      </c>
      <c r="D34" s="25" t="n">
        <v>9.6</v>
      </c>
      <c r="E34" s="25" t="n">
        <v>1.243168</v>
      </c>
      <c r="F34" s="25" t="n">
        <v>0.9280119999999999</v>
      </c>
      <c r="G34" s="25" t="n">
        <v>0.323835</v>
      </c>
      <c r="H34" s="25" t="n">
        <v>1.202491</v>
      </c>
      <c r="I34" s="25" t="n">
        <v>2.358223</v>
      </c>
      <c r="J34" s="25" t="n">
        <v>0.671876</v>
      </c>
      <c r="K34" s="25" t="n">
        <v>2.660712</v>
      </c>
      <c r="L34" s="25" t="n">
        <v>2.143894</v>
      </c>
      <c r="M34" s="25" t="n">
        <v>0.447891</v>
      </c>
      <c r="N34" s="25" t="n">
        <v>0</v>
      </c>
      <c r="O34" s="25" t="n">
        <v>0.9280119999999999</v>
      </c>
      <c r="P34" s="25" t="n">
        <v>3.597304</v>
      </c>
      <c r="Q34" s="25" t="n">
        <v>4.127774</v>
      </c>
      <c r="R34" s="25" t="n">
        <v>1.243168</v>
      </c>
      <c r="S34" s="25" t="n">
        <v>8.423859999999999</v>
      </c>
      <c r="T34" s="25" t="n">
        <v>4.294452</v>
      </c>
      <c r="U34" s="25" t="n">
        <v>3.966574</v>
      </c>
      <c r="V34" s="25" t="n">
        <v>7.021354</v>
      </c>
      <c r="W34" s="25" t="n">
        <v>7.167548</v>
      </c>
      <c r="X34" s="25" t="n">
        <v>1.674626</v>
      </c>
      <c r="Y34" s="25" t="n">
        <v>2.686844</v>
      </c>
      <c r="Z34" s="18" t="n">
        <v>-9.897878</v>
      </c>
      <c r="AA34" s="18" t="e">
        <v>#N/A</v>
      </c>
      <c r="AB34" s="19" t="n"/>
    </row>
    <row r="35" hidden="1" s="70">
      <c r="B35" s="15" t="inlineStr">
        <is>
          <t>2002-Q4</t>
        </is>
      </c>
      <c r="C35" s="25" t="n">
        <v>2.094541</v>
      </c>
      <c r="D35" s="25" t="n">
        <v>9.1</v>
      </c>
      <c r="E35" s="25" t="n">
        <v>1.185599</v>
      </c>
      <c r="F35" s="25" t="n">
        <v>1.495235</v>
      </c>
      <c r="G35" s="25" t="n">
        <v>0.254079</v>
      </c>
      <c r="H35" s="25" t="n">
        <v>1.221661</v>
      </c>
      <c r="I35" s="25" t="n">
        <v>2.818041</v>
      </c>
      <c r="J35" s="25" t="n">
        <v>0.994235</v>
      </c>
      <c r="K35" s="25" t="n">
        <v>2.703708</v>
      </c>
      <c r="L35" s="25" t="n">
        <v>1.982853</v>
      </c>
      <c r="M35" s="25" t="n">
        <v>1.246953</v>
      </c>
      <c r="N35" s="25" t="n">
        <v>0</v>
      </c>
      <c r="O35" s="25" t="n">
        <v>1.495235</v>
      </c>
      <c r="P35" s="25" t="n">
        <v>3.529006</v>
      </c>
      <c r="Q35" s="25" t="n">
        <v>3.596765</v>
      </c>
      <c r="R35" s="25" t="n">
        <v>1.185599</v>
      </c>
      <c r="S35" s="25" t="n">
        <v>7.752458</v>
      </c>
      <c r="T35" s="25" t="n">
        <v>5.249068</v>
      </c>
      <c r="U35" s="25" t="n">
        <v>4.425548</v>
      </c>
      <c r="V35" s="25" t="n">
        <v>6.236729</v>
      </c>
      <c r="W35" s="25" t="n">
        <v>11.898942</v>
      </c>
      <c r="X35" s="25" t="n">
        <v>1.928461</v>
      </c>
      <c r="Y35" s="25" t="n">
        <v>2.442907</v>
      </c>
      <c r="Z35" s="18" t="n">
        <v>-3.483176</v>
      </c>
      <c r="AA35" s="18" t="e">
        <v>#N/A</v>
      </c>
      <c r="AB35" s="19" t="n"/>
    </row>
    <row r="36" hidden="1" s="70">
      <c r="B36" s="15" t="inlineStr">
        <is>
          <t>2003-Q1</t>
        </is>
      </c>
      <c r="C36" s="25" t="n">
        <v>1.770926</v>
      </c>
      <c r="D36" s="25" t="n">
        <v>11.1</v>
      </c>
      <c r="E36" s="25" t="n">
        <v>0.801551</v>
      </c>
      <c r="F36" s="25" t="n">
        <v>1.406629</v>
      </c>
      <c r="G36" s="25" t="n">
        <v>-0.716319</v>
      </c>
      <c r="H36" s="25" t="n">
        <v>1.06375</v>
      </c>
      <c r="I36" s="25" t="n">
        <v>3.004688</v>
      </c>
      <c r="J36" s="25" t="n">
        <v>0.784234</v>
      </c>
      <c r="K36" s="25" t="n">
        <v>3.130237</v>
      </c>
      <c r="L36" s="25" t="n">
        <v>3.244795</v>
      </c>
      <c r="M36" s="25" t="n">
        <v>2.146697</v>
      </c>
      <c r="N36" s="25" t="n">
        <v>0</v>
      </c>
      <c r="O36" s="25" t="n">
        <v>1.406629</v>
      </c>
      <c r="P36" s="25" t="n">
        <v>2.572906</v>
      </c>
      <c r="Q36" s="25" t="n">
        <v>2.845285</v>
      </c>
      <c r="R36" s="25" t="n">
        <v>0.801551</v>
      </c>
      <c r="S36" s="25" t="n">
        <v>4.283025</v>
      </c>
      <c r="T36" s="25" t="n">
        <v>2.560039</v>
      </c>
      <c r="U36" s="25" t="n">
        <v>5.755647</v>
      </c>
      <c r="V36" s="25" t="n">
        <v>2.248396</v>
      </c>
      <c r="W36" s="25" t="n">
        <v>7.479853</v>
      </c>
      <c r="X36" s="25" t="n">
        <v>2.939198</v>
      </c>
      <c r="Y36" s="25" t="n">
        <v>2.695214</v>
      </c>
      <c r="Z36" s="18" t="n">
        <v>5.274229</v>
      </c>
      <c r="AA36" s="18" t="e">
        <v>#N/A</v>
      </c>
      <c r="AB36" s="19" t="n"/>
    </row>
    <row r="37" hidden="1" s="70">
      <c r="B37" s="15" t="inlineStr">
        <is>
          <t>2003-Q2</t>
        </is>
      </c>
      <c r="C37" s="25" t="n">
        <v>2.028401</v>
      </c>
      <c r="D37" s="25" t="n">
        <v>9.1</v>
      </c>
      <c r="E37" s="25" t="n">
        <v>0.344504</v>
      </c>
      <c r="F37" s="25" t="n">
        <v>1.290219</v>
      </c>
      <c r="G37" s="25" t="n">
        <v>-1.040594</v>
      </c>
      <c r="H37" s="25" t="n">
        <v>0.309447</v>
      </c>
      <c r="I37" s="25" t="n">
        <v>3.298498</v>
      </c>
      <c r="J37" s="25" t="n">
        <v>-0.010651</v>
      </c>
      <c r="K37" s="25" t="n">
        <v>3.055899</v>
      </c>
      <c r="L37" s="25" t="n">
        <v>1.405187</v>
      </c>
      <c r="M37" s="25" t="n">
        <v>1.450228</v>
      </c>
      <c r="N37" s="25" t="n">
        <v>0</v>
      </c>
      <c r="O37" s="25" t="n">
        <v>1.290219</v>
      </c>
      <c r="P37" s="25" t="n">
        <v>1.83885</v>
      </c>
      <c r="Q37" s="25" t="n">
        <v>1.427952</v>
      </c>
      <c r="R37" s="25" t="n">
        <v>0.344504</v>
      </c>
      <c r="S37" s="25" t="n">
        <v>2.381951</v>
      </c>
      <c r="T37" s="25" t="n">
        <v>0.778887</v>
      </c>
      <c r="U37" s="25" t="n">
        <v>5.289383</v>
      </c>
      <c r="V37" s="25" t="n">
        <v>2.401961</v>
      </c>
      <c r="W37" s="25" t="n">
        <v>3.81663</v>
      </c>
      <c r="X37" s="25" t="n">
        <v>3.46981</v>
      </c>
      <c r="Y37" s="25" t="n">
        <v>3.882716</v>
      </c>
      <c r="Z37" s="18" t="n">
        <v>8.14692</v>
      </c>
      <c r="AA37" s="18" t="e">
        <v>#N/A</v>
      </c>
      <c r="AB37" s="19" t="n"/>
    </row>
    <row r="38" hidden="1" s="70">
      <c r="B38" s="15" t="inlineStr">
        <is>
          <t>2003-Q3</t>
        </is>
      </c>
      <c r="C38" s="25" t="n">
        <v>3.301807</v>
      </c>
      <c r="D38" s="25" t="n">
        <v>10</v>
      </c>
      <c r="E38" s="25" t="n">
        <v>0.467777</v>
      </c>
      <c r="F38" s="25" t="n">
        <v>1.365633</v>
      </c>
      <c r="G38" s="25" t="n">
        <v>-0.779371</v>
      </c>
      <c r="H38" s="25" t="n">
        <v>0.635531</v>
      </c>
      <c r="I38" s="25" t="n">
        <v>3.569811</v>
      </c>
      <c r="J38" s="25" t="n">
        <v>-0.105412</v>
      </c>
      <c r="K38" s="25" t="n">
        <v>3.139306</v>
      </c>
      <c r="L38" s="25" t="n">
        <v>2.585311</v>
      </c>
      <c r="M38" s="25" t="n">
        <v>0.767384</v>
      </c>
      <c r="N38" s="25" t="n">
        <v>0</v>
      </c>
      <c r="O38" s="25" t="n">
        <v>1.365633</v>
      </c>
      <c r="P38" s="25" t="n">
        <v>1.334213</v>
      </c>
      <c r="Q38" s="25" t="n">
        <v>2.620868</v>
      </c>
      <c r="R38" s="25" t="n">
        <v>0.467777</v>
      </c>
      <c r="S38" s="25" t="n">
        <v>2.137441</v>
      </c>
      <c r="T38" s="25" t="n">
        <v>0.6025470000000001</v>
      </c>
      <c r="U38" s="25" t="n">
        <v>5.337692</v>
      </c>
      <c r="V38" s="25" t="n">
        <v>1.516588</v>
      </c>
      <c r="W38" s="25" t="n">
        <v>5.393033</v>
      </c>
      <c r="X38" s="25" t="n">
        <v>3.809308</v>
      </c>
      <c r="Y38" s="25" t="n">
        <v>3.752767</v>
      </c>
      <c r="Z38" s="18" t="n">
        <v>10.707166</v>
      </c>
      <c r="AA38" s="18" t="e">
        <v>#N/A</v>
      </c>
      <c r="AB38" s="19" t="n"/>
    </row>
    <row r="39" hidden="1" s="70">
      <c r="B39" s="15" t="inlineStr">
        <is>
          <t>2003-Q4</t>
        </is>
      </c>
      <c r="C39" s="25" t="n">
        <v>4.326363</v>
      </c>
      <c r="D39" s="25" t="n">
        <v>10</v>
      </c>
      <c r="E39" s="25" t="n">
        <v>1.077259</v>
      </c>
      <c r="F39" s="25" t="n">
        <v>2.214031</v>
      </c>
      <c r="G39" s="25" t="n">
        <v>-0.337934</v>
      </c>
      <c r="H39" s="25" t="n">
        <v>1.368319</v>
      </c>
      <c r="I39" s="25" t="n">
        <v>3.478577</v>
      </c>
      <c r="J39" s="25" t="n">
        <v>0.298605</v>
      </c>
      <c r="K39" s="25" t="n">
        <v>3.421525</v>
      </c>
      <c r="L39" s="25" t="n">
        <v>2.750891</v>
      </c>
      <c r="M39" s="25" t="n">
        <v>1.511951</v>
      </c>
      <c r="N39" s="25" t="n">
        <v>0</v>
      </c>
      <c r="O39" s="25" t="n">
        <v>2.214031</v>
      </c>
      <c r="P39" s="25" t="n">
        <v>1.470848</v>
      </c>
      <c r="Q39" s="25" t="n">
        <v>3.780141</v>
      </c>
      <c r="R39" s="25" t="n">
        <v>1.077259</v>
      </c>
      <c r="S39" s="25" t="n">
        <v>3.810229</v>
      </c>
      <c r="T39" s="25" t="n">
        <v>0.65128</v>
      </c>
      <c r="U39" s="25" t="n">
        <v>6.777675</v>
      </c>
      <c r="V39" s="25" t="n">
        <v>5.969411</v>
      </c>
      <c r="W39" s="25" t="n">
        <v>6.875409</v>
      </c>
      <c r="X39" s="25" t="n">
        <v>4.161379</v>
      </c>
      <c r="Y39" s="25" t="n">
        <v>3.920195</v>
      </c>
      <c r="Z39" s="18" t="n">
        <v>11.64684</v>
      </c>
      <c r="AA39" s="18" t="e">
        <v>#N/A</v>
      </c>
      <c r="AB39" s="19" t="n"/>
    </row>
    <row r="40" hidden="1" s="70">
      <c r="B40" s="15" t="inlineStr">
        <is>
          <t>2004-Q1</t>
        </is>
      </c>
      <c r="C40" s="25" t="n">
        <v>4.304556</v>
      </c>
      <c r="D40" s="25" t="n">
        <v>10.6</v>
      </c>
      <c r="E40" s="25" t="n">
        <v>1.914767</v>
      </c>
      <c r="F40" s="25" t="n">
        <v>2.952179</v>
      </c>
      <c r="G40" s="25" t="n">
        <v>0.993514</v>
      </c>
      <c r="H40" s="25" t="n">
        <v>2.128591</v>
      </c>
      <c r="I40" s="25" t="n">
        <v>3.36543</v>
      </c>
      <c r="J40" s="25" t="n">
        <v>1.042624</v>
      </c>
      <c r="K40" s="25" t="n">
        <v>3.033117</v>
      </c>
      <c r="L40" s="25" t="n">
        <v>3.111091</v>
      </c>
      <c r="M40" s="25" t="n">
        <v>2.517769</v>
      </c>
      <c r="N40" s="25" t="n">
        <v>6.664651</v>
      </c>
      <c r="O40" s="25" t="n">
        <v>2.952179</v>
      </c>
      <c r="P40" s="25" t="n">
        <v>1.646639</v>
      </c>
      <c r="Q40" s="25" t="n">
        <v>4.675724</v>
      </c>
      <c r="R40" s="25" t="n">
        <v>1.914767</v>
      </c>
      <c r="S40" s="25" t="n">
        <v>5.902605</v>
      </c>
      <c r="T40" s="25" t="n">
        <v>3.774474</v>
      </c>
      <c r="U40" s="25" t="n">
        <v>6.54456</v>
      </c>
      <c r="V40" s="25" t="n">
        <v>7.475299</v>
      </c>
      <c r="W40" s="25" t="n">
        <v>9.572407</v>
      </c>
      <c r="X40" s="25" t="n">
        <v>4.172579</v>
      </c>
      <c r="Y40" s="25" t="n">
        <v>6.762012</v>
      </c>
      <c r="Z40" s="18" t="n">
        <v>11.221837</v>
      </c>
      <c r="AA40" s="18" t="e">
        <v>#N/A</v>
      </c>
      <c r="AB40" s="19" t="n"/>
    </row>
    <row r="41" hidden="1" s="70">
      <c r="B41" s="15" t="inlineStr">
        <is>
          <t>2004-Q2</t>
        </is>
      </c>
      <c r="C41" s="25" t="n">
        <v>4.203019</v>
      </c>
      <c r="D41" s="25" t="n">
        <v>11.6</v>
      </c>
      <c r="E41" s="25" t="n">
        <v>2.412972</v>
      </c>
      <c r="F41" s="25" t="n">
        <v>2.225815</v>
      </c>
      <c r="G41" s="25" t="n">
        <v>1.394163</v>
      </c>
      <c r="H41" s="25" t="n">
        <v>3.023441</v>
      </c>
      <c r="I41" s="25" t="n">
        <v>2.788441</v>
      </c>
      <c r="J41" s="25" t="n">
        <v>1.722906</v>
      </c>
      <c r="K41" s="25" t="n">
        <v>3.13214</v>
      </c>
      <c r="L41" s="25" t="n">
        <v>4.289822</v>
      </c>
      <c r="M41" s="25" t="n">
        <v>4.054187</v>
      </c>
      <c r="N41" s="25" t="n">
        <v>7.520947</v>
      </c>
      <c r="O41" s="25" t="n">
        <v>2.225815</v>
      </c>
      <c r="P41" s="25" t="n">
        <v>3.000986</v>
      </c>
      <c r="Q41" s="25" t="n">
        <v>5.131236</v>
      </c>
      <c r="R41" s="25" t="n">
        <v>2.412972</v>
      </c>
      <c r="S41" s="25" t="n">
        <v>6.674355</v>
      </c>
      <c r="T41" s="25" t="n">
        <v>6.260455</v>
      </c>
      <c r="U41" s="25" t="n">
        <v>4.680237</v>
      </c>
      <c r="V41" s="25" t="n">
        <v>8.417774</v>
      </c>
      <c r="W41" s="25" t="n">
        <v>11.485958</v>
      </c>
      <c r="X41" s="25" t="n">
        <v>4.2952</v>
      </c>
      <c r="Y41" s="25" t="n">
        <v>5.400317</v>
      </c>
      <c r="Z41" s="18" t="n">
        <v>6.502898</v>
      </c>
      <c r="AA41" s="18" t="e">
        <v>#N/A</v>
      </c>
      <c r="AB41" s="19" t="n"/>
    </row>
    <row r="42" hidden="1" s="70">
      <c r="B42" s="15" t="inlineStr">
        <is>
          <t>2004-Q3</t>
        </is>
      </c>
      <c r="C42" s="25" t="n">
        <v>3.431595</v>
      </c>
      <c r="D42" s="25" t="n">
        <v>9.800000000000001</v>
      </c>
      <c r="E42" s="25" t="n">
        <v>2.177731</v>
      </c>
      <c r="F42" s="25" t="n">
        <v>2.470975</v>
      </c>
      <c r="G42" s="25" t="n">
        <v>0.410338</v>
      </c>
      <c r="H42" s="25" t="n">
        <v>2.679158</v>
      </c>
      <c r="I42" s="25" t="n">
        <v>1.915717</v>
      </c>
      <c r="J42" s="25" t="n">
        <v>1.688601</v>
      </c>
      <c r="K42" s="25" t="n">
        <v>3.460968</v>
      </c>
      <c r="L42" s="25" t="n">
        <v>3.787865</v>
      </c>
      <c r="M42" s="25" t="n">
        <v>3.923592</v>
      </c>
      <c r="N42" s="25" t="n">
        <v>7.337355</v>
      </c>
      <c r="O42" s="25" t="n">
        <v>2.470975</v>
      </c>
      <c r="P42" s="25" t="n">
        <v>3.82909</v>
      </c>
      <c r="Q42" s="25" t="n">
        <v>4.240304</v>
      </c>
      <c r="R42" s="25" t="n">
        <v>2.177731</v>
      </c>
      <c r="S42" s="25" t="n">
        <v>5.071129</v>
      </c>
      <c r="T42" s="25" t="n">
        <v>6.675114</v>
      </c>
      <c r="U42" s="25" t="n">
        <v>5.420564</v>
      </c>
      <c r="V42" s="25" t="n">
        <v>7.144049</v>
      </c>
      <c r="W42" s="25" t="n">
        <v>8.734660999999999</v>
      </c>
      <c r="X42" s="25" t="n">
        <v>4.85115</v>
      </c>
      <c r="Y42" s="25" t="n">
        <v>3.746745</v>
      </c>
      <c r="Z42" s="18" t="n">
        <v>9.225678</v>
      </c>
      <c r="AA42" s="18" t="e">
        <v>#N/A</v>
      </c>
      <c r="AB42" s="19" t="n"/>
    </row>
    <row r="43" hidden="1" s="70">
      <c r="B43" s="15" t="inlineStr">
        <is>
          <t>2004-Q4</t>
        </is>
      </c>
      <c r="C43" s="25" t="n">
        <v>3.281795</v>
      </c>
      <c r="D43" s="25" t="n">
        <v>8.800000000000001</v>
      </c>
      <c r="E43" s="25" t="n">
        <v>1.811041</v>
      </c>
      <c r="F43" s="25" t="n">
        <v>1.13734</v>
      </c>
      <c r="G43" s="25" t="n">
        <v>0.046783</v>
      </c>
      <c r="H43" s="25" t="n">
        <v>2.642236</v>
      </c>
      <c r="I43" s="25" t="n">
        <v>1.353818</v>
      </c>
      <c r="J43" s="25" t="n">
        <v>1.050799</v>
      </c>
      <c r="K43" s="25" t="n">
        <v>3.039608</v>
      </c>
      <c r="L43" s="25" t="n">
        <v>4.003093</v>
      </c>
      <c r="M43" s="25" t="n">
        <v>4.113435</v>
      </c>
      <c r="N43" s="25" t="n">
        <v>6.593498</v>
      </c>
      <c r="O43" s="25" t="n">
        <v>1.13734</v>
      </c>
      <c r="P43" s="25" t="n">
        <v>3.863458</v>
      </c>
      <c r="Q43" s="25" t="n">
        <v>3.112889</v>
      </c>
      <c r="R43" s="25" t="n">
        <v>1.811041</v>
      </c>
      <c r="S43" s="25" t="n">
        <v>3.234573</v>
      </c>
      <c r="T43" s="25" t="n">
        <v>6.304999</v>
      </c>
      <c r="U43" s="25" t="n">
        <v>2.859395</v>
      </c>
      <c r="V43" s="25" t="n">
        <v>4.27096</v>
      </c>
      <c r="W43" s="25" t="n">
        <v>7.78146</v>
      </c>
      <c r="X43" s="25" t="n">
        <v>5.69984</v>
      </c>
      <c r="Y43" s="25" t="n">
        <v>4.572702</v>
      </c>
      <c r="Z43" s="18" t="n">
        <v>8.763883</v>
      </c>
      <c r="AA43" s="18" t="e">
        <v>#N/A</v>
      </c>
      <c r="AB43" s="19" t="n"/>
    </row>
    <row r="44" hidden="1" s="70">
      <c r="B44" s="15" t="inlineStr">
        <is>
          <t>2005-Q1</t>
        </is>
      </c>
      <c r="C44" s="25" t="n">
        <v>3.870679</v>
      </c>
      <c r="D44" s="25" t="n">
        <v>11.1</v>
      </c>
      <c r="E44" s="25" t="n">
        <v>1.386256</v>
      </c>
      <c r="F44" s="25" t="n">
        <v>0.8274629999999999</v>
      </c>
      <c r="G44" s="25" t="n">
        <v>0.202014</v>
      </c>
      <c r="H44" s="25" t="n">
        <v>2.005921</v>
      </c>
      <c r="I44" s="25" t="n">
        <v>1.757702</v>
      </c>
      <c r="J44" s="25" t="n">
        <v>0.343798</v>
      </c>
      <c r="K44" s="25" t="n">
        <v>3.453446</v>
      </c>
      <c r="L44" s="25" t="n">
        <v>2.542669</v>
      </c>
      <c r="M44" s="25" t="n">
        <v>2.972878</v>
      </c>
      <c r="N44" s="25" t="n">
        <v>6.45687</v>
      </c>
      <c r="O44" s="25" t="n">
        <v>0.8274629999999999</v>
      </c>
      <c r="P44" s="25" t="n">
        <v>3.472392</v>
      </c>
      <c r="Q44" s="25" t="n">
        <v>2.923561</v>
      </c>
      <c r="R44" s="25" t="n">
        <v>1.386256</v>
      </c>
      <c r="S44" s="25" t="n">
        <v>2.741844</v>
      </c>
      <c r="T44" s="25" t="n">
        <v>4.096746</v>
      </c>
      <c r="U44" s="25" t="n">
        <v>0.333006</v>
      </c>
      <c r="V44" s="25" t="n">
        <v>5.515531</v>
      </c>
      <c r="W44" s="25" t="n">
        <v>9.326224</v>
      </c>
      <c r="X44" s="25" t="n">
        <v>6.280306</v>
      </c>
      <c r="Y44" s="25" t="n">
        <v>2.485387</v>
      </c>
      <c r="Z44" s="18" t="n">
        <v>8.338115</v>
      </c>
      <c r="AA44" s="18" t="e">
        <v>#N/A</v>
      </c>
      <c r="AB44" s="19" t="n"/>
    </row>
    <row r="45" hidden="1" s="70">
      <c r="B45" s="15" t="inlineStr">
        <is>
          <t>2005-Q2</t>
        </is>
      </c>
      <c r="C45" s="25" t="n">
        <v>3.560893</v>
      </c>
      <c r="D45" s="25" t="n">
        <v>11.1</v>
      </c>
      <c r="E45" s="25" t="n">
        <v>1.544112</v>
      </c>
      <c r="F45" s="25" t="n">
        <v>1.578799</v>
      </c>
      <c r="G45" s="25" t="n">
        <v>0.259282</v>
      </c>
      <c r="H45" s="25" t="n">
        <v>1.524774</v>
      </c>
      <c r="I45" s="25" t="n">
        <v>2.49359</v>
      </c>
      <c r="J45" s="25" t="n">
        <v>0.995957</v>
      </c>
      <c r="K45" s="25" t="n">
        <v>3.703282</v>
      </c>
      <c r="L45" s="25" t="n">
        <v>2.891799</v>
      </c>
      <c r="M45" s="25" t="n">
        <v>1.576906</v>
      </c>
      <c r="N45" s="25" t="n">
        <v>6.033988</v>
      </c>
      <c r="O45" s="25" t="n">
        <v>1.578799</v>
      </c>
      <c r="P45" s="25" t="n">
        <v>2.992592</v>
      </c>
      <c r="Q45" s="25" t="n">
        <v>2.571586</v>
      </c>
      <c r="R45" s="25" t="n">
        <v>1.544112</v>
      </c>
      <c r="S45" s="25" t="n">
        <v>4.139494</v>
      </c>
      <c r="T45" s="25" t="n">
        <v>4.438712</v>
      </c>
      <c r="U45" s="25" t="n">
        <v>0.598897</v>
      </c>
      <c r="V45" s="25" t="n">
        <v>5.710031</v>
      </c>
      <c r="W45" s="25" t="n">
        <v>7.510615</v>
      </c>
      <c r="X45" s="25" t="n">
        <v>6.97731</v>
      </c>
      <c r="Y45" s="25" t="n">
        <v>1.847325</v>
      </c>
      <c r="Z45" s="18" t="n">
        <v>12.002984</v>
      </c>
      <c r="AA45" s="18" t="e">
        <v>#N/A</v>
      </c>
      <c r="AB45" s="19" t="n"/>
    </row>
    <row r="46" hidden="1" s="70">
      <c r="B46" s="15" t="inlineStr">
        <is>
          <t>2005-Q3</t>
        </is>
      </c>
      <c r="C46" s="25" t="n">
        <v>3.5055</v>
      </c>
      <c r="D46" s="25" t="n">
        <v>10.8</v>
      </c>
      <c r="E46" s="25" t="n">
        <v>1.983982</v>
      </c>
      <c r="F46" s="25" t="n">
        <v>1.924207</v>
      </c>
      <c r="G46" s="25" t="n">
        <v>1.287261</v>
      </c>
      <c r="H46" s="25" t="n">
        <v>1.668133</v>
      </c>
      <c r="I46" s="25" t="n">
        <v>3.522011</v>
      </c>
      <c r="J46" s="25" t="n">
        <v>1.5413</v>
      </c>
      <c r="K46" s="25" t="n">
        <v>3.642605</v>
      </c>
      <c r="L46" s="25" t="n">
        <v>2.981532</v>
      </c>
      <c r="M46" s="25" t="n">
        <v>2.637161</v>
      </c>
      <c r="N46" s="25" t="n">
        <v>6.292684</v>
      </c>
      <c r="O46" s="25" t="n">
        <v>1.924207</v>
      </c>
      <c r="P46" s="25" t="n">
        <v>3.03485</v>
      </c>
      <c r="Q46" s="25" t="n">
        <v>2.907219</v>
      </c>
      <c r="R46" s="25" t="n">
        <v>1.983982</v>
      </c>
      <c r="S46" s="25" t="n">
        <v>4.941151</v>
      </c>
      <c r="T46" s="25" t="n">
        <v>2.11636</v>
      </c>
      <c r="U46" s="25" t="n">
        <v>0.624343</v>
      </c>
      <c r="V46" s="25" t="n">
        <v>5.379036</v>
      </c>
      <c r="W46" s="25" t="n">
        <v>8.230848999999999</v>
      </c>
      <c r="X46" s="25" t="n">
        <v>6.745542</v>
      </c>
      <c r="Y46" s="25" t="n">
        <v>4.261645</v>
      </c>
      <c r="Z46" s="18" t="n">
        <v>7.330679</v>
      </c>
      <c r="AA46" s="18" t="e">
        <v>#N/A</v>
      </c>
      <c r="AB46" s="19" t="n"/>
    </row>
    <row r="47" hidden="1" s="70">
      <c r="B47" s="15" t="inlineStr">
        <is>
          <t>2005-Q4</t>
        </is>
      </c>
      <c r="C47" s="25" t="n">
        <v>3.126111</v>
      </c>
      <c r="D47" s="25" t="n">
        <v>12.4</v>
      </c>
      <c r="E47" s="25" t="n">
        <v>2.208836</v>
      </c>
      <c r="F47" s="25" t="n">
        <v>2.307205</v>
      </c>
      <c r="G47" s="25" t="n">
        <v>1.861106</v>
      </c>
      <c r="H47" s="25" t="n">
        <v>1.657109</v>
      </c>
      <c r="I47" s="25" t="n">
        <v>4.808739</v>
      </c>
      <c r="J47" s="25" t="n">
        <v>1.655895</v>
      </c>
      <c r="K47" s="25" t="n">
        <v>4.085918</v>
      </c>
      <c r="L47" s="25" t="n">
        <v>2.822865</v>
      </c>
      <c r="M47" s="25" t="n">
        <v>2.998386</v>
      </c>
      <c r="N47" s="25" t="n">
        <v>7.285695</v>
      </c>
      <c r="O47" s="25" t="n">
        <v>2.307205</v>
      </c>
      <c r="P47" s="25" t="n">
        <v>3.314811</v>
      </c>
      <c r="Q47" s="25" t="n">
        <v>3.106404</v>
      </c>
      <c r="R47" s="25" t="n">
        <v>2.208836</v>
      </c>
      <c r="S47" s="25" t="n">
        <v>5.383403</v>
      </c>
      <c r="T47" s="25" t="n">
        <v>2.174313</v>
      </c>
      <c r="U47" s="25" t="n">
        <v>1.464718</v>
      </c>
      <c r="V47" s="25" t="n">
        <v>6.346155</v>
      </c>
      <c r="W47" s="25" t="n">
        <v>10.622754</v>
      </c>
      <c r="X47" s="25" t="n">
        <v>6.41747</v>
      </c>
      <c r="Y47" s="25" t="n">
        <v>5.065409</v>
      </c>
      <c r="Z47" s="18" t="n">
        <v>7.881988</v>
      </c>
      <c r="AA47" s="18" t="e">
        <v>#N/A</v>
      </c>
      <c r="AB47" s="19" t="n"/>
    </row>
    <row r="48" hidden="1" s="70">
      <c r="B48" s="15" t="inlineStr">
        <is>
          <t>2006-Q1</t>
        </is>
      </c>
      <c r="C48" s="25" t="n">
        <v>3.353895</v>
      </c>
      <c r="D48" s="25" t="n">
        <v>12.5</v>
      </c>
      <c r="E48" s="25" t="n">
        <v>2.973747</v>
      </c>
      <c r="F48" s="25" t="n">
        <v>1.999166</v>
      </c>
      <c r="G48" s="25" t="n">
        <v>2.851796</v>
      </c>
      <c r="H48" s="25" t="n">
        <v>2.23475</v>
      </c>
      <c r="I48" s="25" t="n">
        <v>4.101035</v>
      </c>
      <c r="J48" s="25" t="n">
        <v>2.294056</v>
      </c>
      <c r="K48" s="25" t="n">
        <v>4.15944</v>
      </c>
      <c r="L48" s="25" t="n">
        <v>4.703974</v>
      </c>
      <c r="M48" s="25" t="n">
        <v>4.643661</v>
      </c>
      <c r="N48" s="25" t="n">
        <v>7.478152</v>
      </c>
      <c r="O48" s="25" t="n">
        <v>1.999166</v>
      </c>
      <c r="P48" s="25" t="n">
        <v>3.791184</v>
      </c>
      <c r="Q48" s="25" t="n">
        <v>2.681159</v>
      </c>
      <c r="R48" s="25" t="n">
        <v>2.973747</v>
      </c>
      <c r="S48" s="25" t="n">
        <v>6.341644</v>
      </c>
      <c r="T48" s="25" t="n">
        <v>4.240191</v>
      </c>
      <c r="U48" s="25" t="n">
        <v>5.52304</v>
      </c>
      <c r="V48" s="25" t="n">
        <v>5.967249</v>
      </c>
      <c r="W48" s="25" t="n">
        <v>7.020378</v>
      </c>
      <c r="X48" s="25" t="n">
        <v>7.024249</v>
      </c>
      <c r="Y48" s="25" t="n">
        <v>5.56098</v>
      </c>
      <c r="Z48" s="18" t="n">
        <v>7.645793</v>
      </c>
      <c r="AA48" s="18" t="e">
        <v>#N/A</v>
      </c>
      <c r="AB48" s="19" t="n"/>
    </row>
    <row r="49" hidden="1" s="70">
      <c r="B49" s="15" t="inlineStr">
        <is>
          <t>2006-Q2</t>
        </is>
      </c>
      <c r="C49" s="25" t="n">
        <v>3.119473</v>
      </c>
      <c r="D49" s="25" t="n">
        <v>13.7</v>
      </c>
      <c r="E49" s="25" t="n">
        <v>3.335374</v>
      </c>
      <c r="F49" s="25" t="n">
        <v>1.584805</v>
      </c>
      <c r="G49" s="25" t="n">
        <v>4.05625</v>
      </c>
      <c r="H49" s="25" t="n">
        <v>3.076115</v>
      </c>
      <c r="I49" s="25" t="n">
        <v>3.188545</v>
      </c>
      <c r="J49" s="25" t="n">
        <v>1.902101</v>
      </c>
      <c r="K49" s="25" t="n">
        <v>4.185286</v>
      </c>
      <c r="L49" s="25" t="n">
        <v>4.810163</v>
      </c>
      <c r="M49" s="25" t="n">
        <v>5.339579</v>
      </c>
      <c r="N49" s="25" t="n">
        <v>7.904592</v>
      </c>
      <c r="O49" s="25" t="n">
        <v>1.584805</v>
      </c>
      <c r="P49" s="25" t="n">
        <v>3.109902</v>
      </c>
      <c r="Q49" s="25" t="n">
        <v>2.488373</v>
      </c>
      <c r="R49" s="25" t="n">
        <v>3.335374</v>
      </c>
      <c r="S49" s="25" t="n">
        <v>4.845873</v>
      </c>
      <c r="T49" s="25" t="n">
        <v>2.25489</v>
      </c>
      <c r="U49" s="25" t="n">
        <v>5.504529</v>
      </c>
      <c r="V49" s="25" t="n">
        <v>3.940909</v>
      </c>
      <c r="W49" s="25" t="n">
        <v>9.529647000000001</v>
      </c>
      <c r="X49" s="25" t="n">
        <v>7.256992</v>
      </c>
      <c r="Y49" s="25" t="n">
        <v>7.797158</v>
      </c>
      <c r="Z49" s="18" t="n">
        <v>6.594196</v>
      </c>
      <c r="AA49" s="18" t="e">
        <v>#N/A</v>
      </c>
      <c r="AB49" s="19" t="n"/>
    </row>
    <row r="50" hidden="1" s="70">
      <c r="B50" s="15" t="inlineStr">
        <is>
          <t>2006-Q3</t>
        </is>
      </c>
      <c r="C50" s="25" t="n">
        <v>2.366502</v>
      </c>
      <c r="D50" s="25" t="n">
        <v>12.2</v>
      </c>
      <c r="E50" s="25" t="n">
        <v>3.25767</v>
      </c>
      <c r="F50" s="25" t="n">
        <v>0.42698</v>
      </c>
      <c r="G50" s="25" t="n">
        <v>3.988473</v>
      </c>
      <c r="H50" s="25" t="n">
        <v>2.55938</v>
      </c>
      <c r="I50" s="25" t="n">
        <v>2.060682</v>
      </c>
      <c r="J50" s="25" t="n">
        <v>1.585588</v>
      </c>
      <c r="K50" s="25" t="n">
        <v>4.225576</v>
      </c>
      <c r="L50" s="25" t="n">
        <v>5.185361</v>
      </c>
      <c r="M50" s="25" t="n">
        <v>4.714661</v>
      </c>
      <c r="N50" s="25" t="n">
        <v>8.470744</v>
      </c>
      <c r="O50" s="25" t="n">
        <v>0.42698</v>
      </c>
      <c r="P50" s="25" t="n">
        <v>2.147395</v>
      </c>
      <c r="Q50" s="25" t="n">
        <v>2.896812</v>
      </c>
      <c r="R50" s="25" t="n">
        <v>3.25767</v>
      </c>
      <c r="S50" s="25" t="n">
        <v>5.064163</v>
      </c>
      <c r="T50" s="25" t="n">
        <v>4.542073</v>
      </c>
      <c r="U50" s="25" t="n">
        <v>4.562089</v>
      </c>
      <c r="V50" s="25" t="n">
        <v>6.280374</v>
      </c>
      <c r="W50" s="25" t="n">
        <v>6.542521</v>
      </c>
      <c r="X50" s="25" t="n">
        <v>7.025288</v>
      </c>
      <c r="Y50" s="25" t="n">
        <v>7.54828</v>
      </c>
      <c r="Z50" s="18" t="n">
        <v>8.828858</v>
      </c>
      <c r="AA50" s="18" t="e">
        <v>#N/A</v>
      </c>
      <c r="AB50" s="19" t="n"/>
    </row>
    <row r="51" hidden="1" s="70">
      <c r="B51" s="15" t="inlineStr">
        <is>
          <t>2006-Q4</t>
        </is>
      </c>
      <c r="C51" s="25" t="n">
        <v>2.590704</v>
      </c>
      <c r="D51" s="25" t="n">
        <v>12.5</v>
      </c>
      <c r="E51" s="25" t="n">
        <v>3.784427</v>
      </c>
      <c r="F51" s="25" t="n">
        <v>1.556673</v>
      </c>
      <c r="G51" s="25" t="n">
        <v>5.082606</v>
      </c>
      <c r="H51" s="25" t="n">
        <v>2.582321</v>
      </c>
      <c r="I51" s="25" t="n">
        <v>0.908814</v>
      </c>
      <c r="J51" s="25" t="n">
        <v>2.619423</v>
      </c>
      <c r="K51" s="25" t="n">
        <v>4.126508</v>
      </c>
      <c r="L51" s="25" t="n">
        <v>5.095554</v>
      </c>
      <c r="M51" s="25" t="n">
        <v>3.305501</v>
      </c>
      <c r="N51" s="25" t="n">
        <v>8.296872</v>
      </c>
      <c r="O51" s="25" t="n">
        <v>1.556673</v>
      </c>
      <c r="P51" s="25" t="n">
        <v>1.52871</v>
      </c>
      <c r="Q51" s="25" t="n">
        <v>3.201823</v>
      </c>
      <c r="R51" s="25" t="n">
        <v>3.784427</v>
      </c>
      <c r="S51" s="25" t="n">
        <v>4.840921</v>
      </c>
      <c r="T51" s="25" t="n">
        <v>4.795616</v>
      </c>
      <c r="U51" s="25" t="n">
        <v>6.717497</v>
      </c>
      <c r="V51" s="25" t="n">
        <v>4.150626</v>
      </c>
      <c r="W51" s="25" t="n">
        <v>6.159411</v>
      </c>
      <c r="X51" s="25" t="n">
        <v>6.827509</v>
      </c>
      <c r="Y51" s="25" t="n">
        <v>4.067209</v>
      </c>
      <c r="Z51" s="18" t="n">
        <v>9.07864</v>
      </c>
      <c r="AA51" s="18" t="e">
        <v>#N/A</v>
      </c>
      <c r="AB51" s="19" t="n"/>
    </row>
    <row r="52" hidden="1" s="70">
      <c r="B52" s="15" t="inlineStr">
        <is>
          <t>2007-Q1</t>
        </is>
      </c>
      <c r="C52" s="25" t="n">
        <v>1.482293</v>
      </c>
      <c r="D52" s="25" t="n">
        <v>13.8</v>
      </c>
      <c r="E52" s="25" t="n">
        <v>3.63539</v>
      </c>
      <c r="F52" s="25" t="n">
        <v>2.12192</v>
      </c>
      <c r="G52" s="25" t="n">
        <v>4.133547</v>
      </c>
      <c r="H52" s="25" t="n">
        <v>2.551012</v>
      </c>
      <c r="I52" s="25" t="n">
        <v>1.642135</v>
      </c>
      <c r="J52" s="25" t="n">
        <v>2.384622</v>
      </c>
      <c r="K52" s="25" t="n">
        <v>4.064812</v>
      </c>
      <c r="L52" s="25" t="n">
        <v>3.958712</v>
      </c>
      <c r="M52" s="25" t="n">
        <v>2.236001</v>
      </c>
      <c r="N52" s="25" t="n">
        <v>8.172613</v>
      </c>
      <c r="O52" s="25" t="n">
        <v>2.12192</v>
      </c>
      <c r="P52" s="25" t="n">
        <v>1.371658</v>
      </c>
      <c r="Q52" s="25" t="n">
        <v>4.435931</v>
      </c>
      <c r="R52" s="25" t="n">
        <v>3.63539</v>
      </c>
      <c r="S52" s="25" t="n">
        <v>4.826787</v>
      </c>
      <c r="T52" s="25" t="n">
        <v>5.155352</v>
      </c>
      <c r="U52" s="25" t="n">
        <v>2.528536</v>
      </c>
      <c r="V52" s="25" t="n">
        <v>7.692662</v>
      </c>
      <c r="W52" s="25" t="n">
        <v>7.694752</v>
      </c>
      <c r="X52" s="25" t="n">
        <v>6.220734</v>
      </c>
      <c r="Y52" s="25" t="n">
        <v>7.13144</v>
      </c>
      <c r="Z52" s="18" t="n">
        <v>8.854099</v>
      </c>
      <c r="AA52" s="18" t="e">
        <v>#N/A</v>
      </c>
      <c r="AB52" s="19" t="n"/>
    </row>
    <row r="53" hidden="1" s="70">
      <c r="B53" s="15" t="inlineStr">
        <is>
          <t>2007-Q2</t>
        </is>
      </c>
      <c r="C53" s="25" t="n">
        <v>1.82569</v>
      </c>
      <c r="D53" s="25" t="n">
        <v>15</v>
      </c>
      <c r="E53" s="25" t="n">
        <v>3.187305</v>
      </c>
      <c r="F53" s="25" t="n">
        <v>1.990399</v>
      </c>
      <c r="G53" s="25" t="n">
        <v>3.214015</v>
      </c>
      <c r="H53" s="25" t="n">
        <v>2.300135</v>
      </c>
      <c r="I53" s="25" t="n">
        <v>2.14797</v>
      </c>
      <c r="J53" s="25" t="n">
        <v>1.687888</v>
      </c>
      <c r="K53" s="25" t="n">
        <v>3.82452</v>
      </c>
      <c r="L53" s="25" t="n">
        <v>3.522414</v>
      </c>
      <c r="M53" s="25" t="n">
        <v>2.016682</v>
      </c>
      <c r="N53" s="25" t="n">
        <v>8.808005</v>
      </c>
      <c r="O53" s="25" t="n">
        <v>1.990399</v>
      </c>
      <c r="P53" s="25" t="n">
        <v>2.294972</v>
      </c>
      <c r="Q53" s="25" t="n">
        <v>4.827571</v>
      </c>
      <c r="R53" s="25" t="n">
        <v>3.187305</v>
      </c>
      <c r="S53" s="25" t="n">
        <v>5.992076</v>
      </c>
      <c r="T53" s="25" t="n">
        <v>6.538536</v>
      </c>
      <c r="U53" s="25" t="n">
        <v>5.204298</v>
      </c>
      <c r="V53" s="25" t="n">
        <v>5.937186</v>
      </c>
      <c r="W53" s="25" t="n">
        <v>3.215976</v>
      </c>
      <c r="X53" s="25" t="n">
        <v>5.227176</v>
      </c>
      <c r="Y53" s="25" t="n">
        <v>5.933578</v>
      </c>
      <c r="Z53" s="18" t="n">
        <v>9.803984</v>
      </c>
      <c r="AA53" s="18" t="e">
        <v>#N/A</v>
      </c>
      <c r="AB53" s="19" t="n"/>
    </row>
    <row r="54" hidden="1" s="70">
      <c r="B54" s="15" t="inlineStr">
        <is>
          <t>2007-Q3</t>
        </is>
      </c>
      <c r="C54" s="25" t="n">
        <v>2.220813</v>
      </c>
      <c r="D54" s="25" t="n">
        <v>14.3</v>
      </c>
      <c r="E54" s="25" t="n">
        <v>3.034253</v>
      </c>
      <c r="F54" s="25" t="n">
        <v>1.654675</v>
      </c>
      <c r="G54" s="25" t="n">
        <v>2.956979</v>
      </c>
      <c r="H54" s="25" t="n">
        <v>2.673902</v>
      </c>
      <c r="I54" s="25" t="n">
        <v>2.947061</v>
      </c>
      <c r="J54" s="25" t="n">
        <v>1.324318</v>
      </c>
      <c r="K54" s="25" t="n">
        <v>3.64332</v>
      </c>
      <c r="L54" s="25" t="n">
        <v>2.961475</v>
      </c>
      <c r="M54" s="25" t="n">
        <v>2.338044</v>
      </c>
      <c r="N54" s="25" t="n">
        <v>8.711192</v>
      </c>
      <c r="O54" s="25" t="n">
        <v>1.654675</v>
      </c>
      <c r="P54" s="25" t="n">
        <v>2.43147</v>
      </c>
      <c r="Q54" s="25" t="n">
        <v>4.479477</v>
      </c>
      <c r="R54" s="25" t="n">
        <v>3.034253</v>
      </c>
      <c r="S54" s="25" t="n">
        <v>5.421367</v>
      </c>
      <c r="T54" s="25" t="n">
        <v>5.919078</v>
      </c>
      <c r="U54" s="25" t="n">
        <v>4.042309</v>
      </c>
      <c r="V54" s="25" t="n">
        <v>1.627737</v>
      </c>
      <c r="W54" s="25" t="n">
        <v>3.538381</v>
      </c>
      <c r="X54" s="25" t="n">
        <v>5.512874</v>
      </c>
      <c r="Y54" s="25" t="n">
        <v>5.967467</v>
      </c>
      <c r="Z54" s="18" t="n">
        <v>8.198952</v>
      </c>
      <c r="AA54" s="18" t="e">
        <v>#N/A</v>
      </c>
      <c r="AB54" s="19" t="n"/>
    </row>
    <row r="55" hidden="1" s="70">
      <c r="B55" s="15" t="inlineStr">
        <is>
          <t>2007-Q4</t>
        </is>
      </c>
      <c r="C55" s="25" t="n">
        <v>1.973478</v>
      </c>
      <c r="D55" s="25" t="n">
        <v>13.9</v>
      </c>
      <c r="E55" s="25" t="n">
        <v>2.417875</v>
      </c>
      <c r="F55" s="25" t="n">
        <v>0.819469</v>
      </c>
      <c r="G55" s="25" t="n">
        <v>2.060784</v>
      </c>
      <c r="H55" s="25" t="n">
        <v>2.139181</v>
      </c>
      <c r="I55" s="25" t="n">
        <v>3.438846</v>
      </c>
      <c r="J55" s="25" t="n">
        <v>-0.061406</v>
      </c>
      <c r="K55" s="25" t="n">
        <v>3.551842</v>
      </c>
      <c r="L55" s="25" t="n">
        <v>3.702576</v>
      </c>
      <c r="M55" s="25" t="n">
        <v>2.52745</v>
      </c>
      <c r="N55" s="25" t="n">
        <v>10.092327</v>
      </c>
      <c r="O55" s="25" t="n">
        <v>0.819469</v>
      </c>
      <c r="P55" s="25" t="n">
        <v>2.190854</v>
      </c>
      <c r="Q55" s="25" t="n">
        <v>3.743941</v>
      </c>
      <c r="R55" s="25" t="n">
        <v>2.417875</v>
      </c>
      <c r="S55" s="25" t="n">
        <v>6.929754</v>
      </c>
      <c r="T55" s="25" t="n">
        <v>6.627185</v>
      </c>
      <c r="U55" s="25" t="n">
        <v>0.99852</v>
      </c>
      <c r="V55" s="25" t="n">
        <v>5.954895</v>
      </c>
      <c r="W55" s="25" t="n">
        <v>5.644035</v>
      </c>
      <c r="X55" s="25" t="n">
        <v>5.407754</v>
      </c>
      <c r="Y55" s="25" t="n">
        <v>8.916517000000001</v>
      </c>
      <c r="Z55" s="18" t="n">
        <v>9.185435</v>
      </c>
      <c r="AA55" s="18" t="e">
        <v>#N/A</v>
      </c>
      <c r="AB55" s="19" t="n"/>
    </row>
    <row r="56" hidden="1" s="70">
      <c r="B56" s="15" t="inlineStr">
        <is>
          <t>2008-Q1</t>
        </is>
      </c>
      <c r="C56" s="25" t="n">
        <v>1.149237</v>
      </c>
      <c r="D56" s="25" t="n">
        <v>11.5</v>
      </c>
      <c r="E56" s="25" t="n">
        <v>2.191338</v>
      </c>
      <c r="F56" s="25" t="n">
        <v>0.443617</v>
      </c>
      <c r="G56" s="25" t="n">
        <v>2.676283</v>
      </c>
      <c r="H56" s="25" t="n">
        <v>1.792155</v>
      </c>
      <c r="I56" s="25" t="n">
        <v>2.78443</v>
      </c>
      <c r="J56" s="25" t="n">
        <v>0.813254</v>
      </c>
      <c r="K56" s="25" t="n">
        <v>2.970811</v>
      </c>
      <c r="L56" s="25" t="n">
        <v>1.44421</v>
      </c>
      <c r="M56" s="25" t="n">
        <v>1.450876</v>
      </c>
      <c r="N56" s="25" t="n">
        <v>11.000111</v>
      </c>
      <c r="O56" s="25" t="n">
        <v>0.443617</v>
      </c>
      <c r="P56" s="25" t="n">
        <v>1.592305</v>
      </c>
      <c r="Q56" s="25" t="n">
        <v>3.41059</v>
      </c>
      <c r="R56" s="25" t="n">
        <v>2.191338</v>
      </c>
      <c r="S56" s="25" t="n">
        <v>5.705692</v>
      </c>
      <c r="T56" s="25" t="n">
        <v>6.124821</v>
      </c>
      <c r="U56" s="25" t="n">
        <v>2.350913</v>
      </c>
      <c r="V56" s="25" t="n">
        <v>-2.769002</v>
      </c>
      <c r="W56" s="25" t="n">
        <v>6.141173</v>
      </c>
      <c r="X56" s="25" t="n">
        <v>3.92497</v>
      </c>
      <c r="Y56" s="25" t="n">
        <v>6.29105</v>
      </c>
      <c r="Z56" s="18" t="n">
        <v>7.695741</v>
      </c>
      <c r="AA56" s="18" t="e">
        <v>#N/A</v>
      </c>
      <c r="AB56" s="19" t="n"/>
    </row>
    <row r="57" hidden="1" s="70">
      <c r="B57" s="15" t="inlineStr">
        <is>
          <t>2008-Q2</t>
        </is>
      </c>
      <c r="C57" s="25" t="n">
        <v>1.092428</v>
      </c>
      <c r="D57" s="25" t="n">
        <v>10.9</v>
      </c>
      <c r="E57" s="25" t="n">
        <v>1.200076</v>
      </c>
      <c r="F57" s="25" t="n">
        <v>-0.158799</v>
      </c>
      <c r="G57" s="25" t="n">
        <v>1.561016</v>
      </c>
      <c r="H57" s="25" t="n">
        <v>0.577484</v>
      </c>
      <c r="I57" s="25" t="n">
        <v>1.292743</v>
      </c>
      <c r="J57" s="25" t="n">
        <v>-0.053775</v>
      </c>
      <c r="K57" s="25" t="n">
        <v>2.199311</v>
      </c>
      <c r="L57" s="25" t="n">
        <v>0.903348</v>
      </c>
      <c r="M57" s="25" t="n">
        <v>1.604579</v>
      </c>
      <c r="N57" s="25" t="n">
        <v>8.940647999999999</v>
      </c>
      <c r="O57" s="25" t="n">
        <v>-0.158799</v>
      </c>
      <c r="P57" s="25" t="n">
        <v>0.972767</v>
      </c>
      <c r="Q57" s="25" t="n">
        <v>3.024039</v>
      </c>
      <c r="R57" s="25" t="n">
        <v>1.200076</v>
      </c>
      <c r="S57" s="25" t="n">
        <v>4.235151</v>
      </c>
      <c r="T57" s="25" t="n">
        <v>6.321954</v>
      </c>
      <c r="U57" s="25" t="n">
        <v>-1.149846</v>
      </c>
      <c r="V57" s="25" t="n">
        <v>-3.450319</v>
      </c>
      <c r="W57" s="25" t="n">
        <v>2.309902</v>
      </c>
      <c r="X57" s="25" t="n">
        <v>3.909755</v>
      </c>
      <c r="Y57" s="25" t="n">
        <v>5.461859</v>
      </c>
      <c r="Z57" s="18" t="n">
        <v>6.07419</v>
      </c>
      <c r="AA57" s="18" t="e">
        <v>#N/A</v>
      </c>
      <c r="AB57" s="19" t="n"/>
    </row>
    <row r="58" hidden="1" s="70">
      <c r="B58" s="15" t="inlineStr">
        <is>
          <t>2008-Q3</t>
        </is>
      </c>
      <c r="C58" s="25" t="n">
        <v>0.001877</v>
      </c>
      <c r="D58" s="25" t="n">
        <v>9.5</v>
      </c>
      <c r="E58" s="25" t="n">
        <v>0.133086</v>
      </c>
      <c r="F58" s="25" t="n">
        <v>-0.908907</v>
      </c>
      <c r="G58" s="25" t="n">
        <v>0.411845</v>
      </c>
      <c r="H58" s="25" t="n">
        <v>-0.106508</v>
      </c>
      <c r="I58" s="25" t="n">
        <v>-1.212086</v>
      </c>
      <c r="J58" s="25" t="n">
        <v>-1.412911</v>
      </c>
      <c r="K58" s="25" t="n">
        <v>0.611098</v>
      </c>
      <c r="L58" s="25" t="n">
        <v>-0.08464099999999999</v>
      </c>
      <c r="M58" s="25" t="n">
        <v>1.255627</v>
      </c>
      <c r="N58" s="25" t="n">
        <v>5.001309</v>
      </c>
      <c r="O58" s="25" t="n">
        <v>-0.908907</v>
      </c>
      <c r="P58" s="25" t="n">
        <v>1.393522</v>
      </c>
      <c r="Q58" s="25" t="n">
        <v>2.677015</v>
      </c>
      <c r="R58" s="25" t="n">
        <v>0.133086</v>
      </c>
      <c r="S58" s="25" t="n">
        <v>3.935262</v>
      </c>
      <c r="T58" s="25" t="n">
        <v>7.0714</v>
      </c>
      <c r="U58" s="25" t="n">
        <v>-0.604718</v>
      </c>
      <c r="V58" s="25" t="n">
        <v>-1.869426</v>
      </c>
      <c r="W58" s="25" t="n">
        <v>0.577399</v>
      </c>
      <c r="X58" s="25" t="n">
        <v>2.649551</v>
      </c>
      <c r="Y58" s="25" t="n">
        <v>3.245305</v>
      </c>
      <c r="Z58" s="18" t="n">
        <v>5.348921</v>
      </c>
      <c r="AA58" s="18" t="e">
        <v>#N/A</v>
      </c>
      <c r="AB58" s="19" t="n"/>
    </row>
    <row r="59">
      <c r="B59" s="15" t="n">
        <v>42005</v>
      </c>
      <c r="C59" s="20">
        <f>IF(VLOOKUP(B59,'Data Core CPI'!$A:$AX,MATCH($C$1,'Data Core CPI'!$A$1:$AX$1,),)=0,#N/A,(VLOOKUP(B59,'Data Core CPI'!$A:$AX,MATCH($C$1,'Data Core CPI'!$A$1:$AX$1,),)-VLOOKUP(EDATE(B59,-12),'Data Core CPI'!$A:$AX,MATCH($C$1,'Data Core CPI'!$A$1:$AX$1,),))/VLOOKUP(EDATE(B59,-12),'Data Core CPI'!$A:$AX,MATCH($C$1,'Data Core CPI'!$A$1:$AX$1,),))</f>
        <v/>
      </c>
      <c r="D59" s="20">
        <f>(VLOOKUP(B59,'Data Core CPI'!$A:$AX,MATCH($D$1,'Data Core CPI'!$A$1:$AX$1,),)-VLOOKUP(EDATE(B59,-12),'Data Core CPI'!$A:$AX,MATCH($D$1,'Data Core CPI'!$A$1:$AX$1,),))/VLOOKUP(EDATE(B59,-12),'Data Core CPI'!$A:$AX,MATCH($D$1,'Data Core CPI'!$A$1:$AX$1,),)</f>
        <v/>
      </c>
      <c r="E59" s="20">
        <f>IF(VLOOKUP(B59,'Data Core CPI'!$A:$AX,MATCH($E$1,'Data Core CPI'!$A$1:$AX$1,),)=0,#N/A,(VLOOKUP(B59,'Data Core CPI'!$A:$AX,MATCH($E$1,'Data Core CPI'!$A$1:$AX$1,),)-VLOOKUP(EDATE(B59,-12),'Data Core CPI'!$A:$AX,MATCH($E$1,'Data Core CPI'!$A$1:$AX$1,),))/VLOOKUP(EDATE(B59,-12),'Data Core CPI'!$A:$AX,MATCH($E$1,'Data Core CPI'!$A$1:$AX$1,),))</f>
        <v/>
      </c>
      <c r="F59" s="20">
        <f>IF(VLOOKUP(B59,'Data Core CPI'!$A:$AX,MATCH($F$1,'Data Core CPI'!$A$1:$AX$1,),)=0,#N/A,(VLOOKUP(B59,'Data Core CPI'!$A:$AX,MATCH($F$1,'Data Core CPI'!$A$1:$AX$1,),)-VLOOKUP(EDATE(B59,-12),'Data Core CPI'!$A:$AX,MATCH($F$1,'Data Core CPI'!$A$1:$AX$1,),))/VLOOKUP(EDATE(B59,-12),'Data Core CPI'!$A:$AX,MATCH($F$1,'Data Core CPI'!$A$1:$AX$1,),))</f>
        <v/>
      </c>
      <c r="G59" s="20">
        <f>IF(VLOOKUP(B59,'Data Core CPI'!$A:$AX,MATCH($G$1,'Data Core CPI'!$A$1:$AX$1,),)=0,#N/A,(VLOOKUP(B59,'Data Core CPI'!$A:$AX,MATCH($G$1,'Data Core CPI'!$A$1:$AX$1,),)-VLOOKUP(EDATE(B59,-12),'Data Core CPI'!$A:$AX,MATCH($G$1,'Data Core CPI'!$A$1:$AX$1,),))/VLOOKUP(EDATE(B59,-12),'Data Core CPI'!$A:$AX,MATCH($G$1,'Data Core CPI'!$A$1:$AX$1,),))</f>
        <v/>
      </c>
      <c r="H59" s="20">
        <f>IF(VLOOKUP(B59,'Data Core CPI'!$A:$AX,MATCH($H$1,'Data Core CPI'!$A$1:$AX$1,),)=0,#N/A,(VLOOKUP(B59,'Data Core CPI'!$A:$AX,MATCH($H$1,'Data Core CPI'!$A$1:$AX$1,),)-VLOOKUP(EDATE(B59,-12),'Data Core CPI'!$A:$AX,MATCH($H$1,'Data Core CPI'!$A$1:$AX$1,),))/VLOOKUP(EDATE(B59,-12),'Data Core CPI'!$A:$AX,MATCH($H$1,'Data Core CPI'!$A$1:$AX$1,),))</f>
        <v/>
      </c>
      <c r="I59" s="20">
        <f>IF(VLOOKUP(B59,'Data Core CPI'!$A:$AX,MATCH($I$1,'Data Core CPI'!$A$1:$AX$1,),)=0,#N/A,(VLOOKUP(B59,'Data Core CPI'!$A:$AX,MATCH($I$1,'Data Core CPI'!$A$1:$AX$1,),)-VLOOKUP(EDATE(B59,-12),'Data Core CPI'!$A:$AX,MATCH($I$1,'Data Core CPI'!$A$1:$AX$1,),))/VLOOKUP(EDATE(B59,-12),'Data Core CPI'!$A:$AX,MATCH($I$1,'Data Core CPI'!$A$1:$AX$1,),))</f>
        <v/>
      </c>
      <c r="J59" s="20">
        <f>IF(VLOOKUP(B59,'Data Core CPI'!$A:$AX,MATCH($J$1,'Data Core CPI'!$A$1:$AX$1,),)=0,#N/A,(VLOOKUP(B59,'Data Core CPI'!$A:$AX,MATCH($J$1,'Data Core CPI'!$A$1:$AX$1,),)-VLOOKUP(EDATE(B59,-12),'Data Core CPI'!$A:$AX,MATCH($J$1,'Data Core CPI'!$A$1:$AX$1,),))/VLOOKUP(EDATE(B59,-12),'Data Core CPI'!$A:$AX,MATCH($J$1,'Data Core CPI'!$A$1:$AX$1,),))</f>
        <v/>
      </c>
      <c r="K59" s="20">
        <f>IF(VLOOKUP(B59,'Data Core CPI'!$A:$AX,MATCH($K$1,'Data Core CPI'!$A$1:$AX$1,),)=0,#N/A,(VLOOKUP(B59,'Data Core CPI'!$A:$AX,MATCH($K$1,'Data Core CPI'!$A$1:$AX$1,),)-VLOOKUP(EDATE(B59,-12),'Data Core CPI'!$A:$AX,MATCH($K$1,'Data Core CPI'!$A$1:$AX$1,),))/VLOOKUP(EDATE(B59,-12),'Data Core CPI'!$A:$AX,MATCH($K$1,'Data Core CPI'!$A$1:$AX$1,),))</f>
        <v/>
      </c>
      <c r="L59" s="20">
        <f>IF(VLOOKUP(B59,'Data Core CPI'!$A:$AX,MATCH($L$1,'Data Core CPI'!$A$1:$AX$1,),)=0,#N/A,(VLOOKUP(B59,'Data Core CPI'!$A:$AX,MATCH($L$1,'Data Core CPI'!$A$1:$AX$1,),)-VLOOKUP(EDATE(B59,-12),'Data Core CPI'!$A:$AX,MATCH($L$1,'Data Core CPI'!$A$1:$AX$1,),))/VLOOKUP(EDATE(B59,-12),'Data Core CPI'!$A:$AX,MATCH($L$1,'Data Core CPI'!$A$1:$AX$1,),))</f>
        <v/>
      </c>
      <c r="M59" s="20">
        <f>IF(VLOOKUP(B59,'Data Core CPI'!$A:$AX,MATCH($M$1,'Data Core CPI'!$A$1:$AX$1,),)=0,#N/A,(VLOOKUP(B59,'Data Core CPI'!$A:$AX,MATCH($M$1,'Data Core CPI'!$A$1:$AX$1,),)-VLOOKUP(EDATE(B59,-12),'Data Core CPI'!$A:$AX,MATCH($M$1,'Data Core CPI'!$A$1:$AX$1,),))/VLOOKUP(EDATE(B59,-12),'Data Core CPI'!$A:$AX,MATCH($M$1,'Data Core CPI'!$A$1:$AX$1,),))</f>
        <v/>
      </c>
      <c r="N59" s="20">
        <f>(VLOOKUP(B59,'Data Core CPI'!$A:$AX,MATCH($N$1,'Data Core CPI'!$A$1:$AX$1,),)-VLOOKUP(EDATE(B59,-12),'Data Core CPI'!$A:$AX,MATCH($N$1,'Data Core CPI'!$A$1:$AX$1,),))/VLOOKUP(EDATE(B59,-12),'Data Core CPI'!$A:$AX,MATCH($N$1,'Data Core CPI'!$A$1:$AX$1,),)</f>
        <v/>
      </c>
      <c r="O59" s="20">
        <f>(VLOOKUP(B59,'Data Core CPI'!$A:$AX,MATCH($O$1,'Data Core CPI'!$A$1:$AX$1,),)-VLOOKUP(EDATE(B59,-12),'Data Core CPI'!$A:$AX,MATCH($O$1,'Data Core CPI'!$A$1:$AX$1,),))/VLOOKUP(EDATE(B59,-12),'Data Core CPI'!$A:$AX,MATCH($O$1,'Data Core CPI'!$A$1:$AX$1,),)</f>
        <v/>
      </c>
      <c r="P59" s="20">
        <f>IF(VLOOKUP(B59,'Data Core CPI'!$A:$AX,MATCH($P$1,'Data Core CPI'!$A$1:$AX$1,),)=0,#N/A,(VLOOKUP(B59,'Data Core CPI'!$A:$AX,MATCH($P$1,'Data Core CPI'!$A$1:$AX$1,),)-VLOOKUP(EDATE(B59,-12),'Data Core CPI'!$A:$AX,MATCH($P$1,'Data Core CPI'!$A$1:$AX$1,),))/VLOOKUP(EDATE(B59,-12),'Data Core CPI'!$A:$AX,MATCH($P$1,'Data Core CPI'!$A$1:$AX$1,),))</f>
        <v/>
      </c>
      <c r="Q59" s="20">
        <f>(VLOOKUP(B59,'Data Core CPI'!$A:$AX,MATCH($Q$1,'Data Core CPI'!$A$1:$AX$1,),)-VLOOKUP(EDATE(B59,-12),'Data Core CPI'!$A:$AX,MATCH($Q$1,'Data Core CPI'!$A$1:$AX$1,),))/VLOOKUP(EDATE(B59,-12),'Data Core CPI'!$A:$AX,MATCH($Q$1,'Data Core CPI'!$A$1:$AX$1,),)</f>
        <v/>
      </c>
      <c r="R59" s="20">
        <f>IF(VLOOKUP(B59,'Data Core CPI'!$A:$AX,MATCH($R$1,'Data Core CPI'!$A$1:$AX$1,),)=0,#N/A,(VLOOKUP(B59,'Data Core CPI'!$A:$AX,MATCH($R$1,'Data Core CPI'!$A$1:$AX$1,),)-VLOOKUP(EDATE(B59,-12),'Data Core CPI'!$A:$AX,MATCH($R$1,'Data Core CPI'!$A$1:$AX$1,),))/VLOOKUP(EDATE(B59,-12),'Data Core CPI'!$A:$AX,MATCH($R$1,'Data Core CPI'!$A$1:$AX$1,),))</f>
        <v/>
      </c>
      <c r="S59" s="20">
        <f>(VLOOKUP(B59,'Data Core CPI'!$A:$AX,MATCH($S$1,'Data Core CPI'!$A$1:$AX$1,),)-VLOOKUP(EDATE(B59,-12),'Data Core CPI'!$A:$AX,MATCH($S$1,'Data Core CPI'!$A$1:$AX$1,),))/VLOOKUP(EDATE(B59,-12),'Data Core CPI'!$A:$AX,MATCH($S$1,'Data Core CPI'!$A$1:$AX$1,),)</f>
        <v/>
      </c>
      <c r="T59" s="20">
        <f>(VLOOKUP(B59,'Data Core CPI'!$A:$AX,MATCH($T$1,'Data Core CPI'!$A$1:$AX$1,),)-VLOOKUP(EDATE(B59,-12),'Data Core CPI'!$A:$AX,MATCH($T$1,'Data Core CPI'!$A$1:$AX$1,),))/VLOOKUP(EDATE(B59,-12),'Data Core CPI'!$A:$AX,MATCH($T$1,'Data Core CPI'!$A$1:$AX$1,),)</f>
        <v/>
      </c>
      <c r="U59" s="20">
        <f>IF(VLOOKUP(B59,'Data Core CPI'!$A:$AX,MATCH($U$1,'Data Core CPI'!$A$1:$AX$1,),)=0,#N/A,(VLOOKUP(B59,'Data Core CPI'!$A:$AX,MATCH($U$1,'Data Core CPI'!$A$1:$AX$1,),)-VLOOKUP(EDATE(B59,-12),'Data Core CPI'!$A:$AX,MATCH($U$1,'Data Core CPI'!$A$1:$AX$1,),))/VLOOKUP(EDATE(B59,-12),'Data Core CPI'!$A:$AX,MATCH($U$1,'Data Core CPI'!$A$1:$AX$1,),))</f>
        <v/>
      </c>
      <c r="V59" s="20">
        <f>(VLOOKUP(B59,'Data Core CPI'!$A:$AX,MATCH($V$1,'Data Core CPI'!$A$1:$AX$1,),)-VLOOKUP(EDATE(B59,-12),'Data Core CPI'!$A:$AX,MATCH($V$1,'Data Core CPI'!$A$1:$AX$1,),))/VLOOKUP(EDATE(B59,-12),'Data Core CPI'!$A:$AX,MATCH($V$1,'Data Core CPI'!$A$1:$AX$1,),)</f>
        <v/>
      </c>
      <c r="W59" s="20">
        <f>IF(VLOOKUP(B59,'Data Core CPI'!$A:$AX,MATCH($W$1,'Data Core CPI'!$A$1:$AX$1,),)=0,#N/A,(VLOOKUP(B59,'Data Core CPI'!$A:$AX,MATCH($W$1,'Data Core CPI'!$A$1:$AX$1,),)-VLOOKUP(EDATE(B59,-12),'Data Core CPI'!$A:$AX,MATCH($W$1,'Data Core CPI'!$A$1:$AX$1,),))/VLOOKUP(EDATE(B59,-12),'Data Core CPI'!$A:$AX,MATCH($W$1,'Data Core CPI'!$A$1:$AX$1,),))</f>
        <v/>
      </c>
      <c r="X59" s="20">
        <f>IF(VLOOKUP(B59,'Data Core CPI'!$A:$AX,MATCH($X$1,'Data Core CPI'!$A$1:$AX$1,),)=0,#N/A,(VLOOKUP(B59,'Data Core CPI'!$A:$AX,MATCH($X$1,'Data Core CPI'!$A$1:$AX$1,),)-VLOOKUP(EDATE(B59,-12),'Data Core CPI'!$A:$AX,MATCH($X$1,'Data Core CPI'!$A$1:$AX$1,),))/VLOOKUP(EDATE(B59,-12),'Data Core CPI'!$A:$AX,MATCH($X$1,'Data Core CPI'!$A$1:$AX$1,),))</f>
        <v/>
      </c>
      <c r="Y59" s="20">
        <f>IF(VLOOKUP(B59,'Data Core CPI'!$A:$AX,MATCH($Y$1,'Data Core CPI'!$A$1:$AX$1,),)=0,#N/A,(VLOOKUP(B59,'Data Core CPI'!$A:$AX,MATCH($Y$1,'Data Core CPI'!$A$1:$AX$1,),)-VLOOKUP(EDATE(B59,-12),'Data Core CPI'!$A:$AX,MATCH($Y$1,'Data Core CPI'!$A$1:$AX$1,),))/VLOOKUP(EDATE(B59,-12),'Data Core CPI'!$A:$AX,MATCH($Y$1,'Data Core CPI'!$A$1:$AX$1,),))</f>
        <v/>
      </c>
      <c r="Z59" s="20">
        <f>(VLOOKUP(B59,Data!$A:$AX,MATCH($Z$1,Data!$A$1:$AX$1,),)-VLOOKUP(EDATE(B59,-12),Data!$A:$AX,MATCH($Z$1,Data!$A$1:$AX$1,),))/VLOOKUP(EDATE(B59,-12),Data!$A:$AX,MATCH($Z$1,Data!$A$1:$AX$1,),)</f>
        <v/>
      </c>
      <c r="AA59" s="20">
        <f>(VLOOKUP(B59,Data!$A:$AX,MATCH($AA$1,Data!$A$1:$AX$1,),)-VLOOKUP(EDATE(B59,-12),Data!$A:$AX,MATCH($AA$1,Data!$A$1:$AX$1,),))/VLOOKUP(EDATE(B59,-12),Data!$A:$AX,MATCH($AA$1,Data!$A$1:$AX$1,),)</f>
        <v/>
      </c>
      <c r="AB59" s="19" t="n"/>
    </row>
    <row r="60">
      <c r="B60" s="15" t="n">
        <v>42036</v>
      </c>
      <c r="C60" s="20">
        <f>IF(VLOOKUP(B60,'Data Core CPI'!$A:$AX,MATCH($C$1,'Data Core CPI'!$A$1:$AX$1,),)=0,#N/A,(VLOOKUP(B60,'Data Core CPI'!$A:$AX,MATCH($C$1,'Data Core CPI'!$A$1:$AX$1,),)-VLOOKUP(EDATE(B60,-12),'Data Core CPI'!$A:$AX,MATCH($C$1,'Data Core CPI'!$A$1:$AX$1,),))/VLOOKUP(EDATE(B60,-12),'Data Core CPI'!$A:$AX,MATCH($C$1,'Data Core CPI'!$A$1:$AX$1,),))</f>
        <v/>
      </c>
      <c r="D60" s="20">
        <f>(VLOOKUP(B60,'Data Core CPI'!$A:$AX,MATCH($D$1,'Data Core CPI'!$A$1:$AX$1,),)-VLOOKUP(EDATE(B60,-12),'Data Core CPI'!$A:$AX,MATCH($D$1,'Data Core CPI'!$A$1:$AX$1,),))/VLOOKUP(EDATE(B60,-12),'Data Core CPI'!$A:$AX,MATCH($D$1,'Data Core CPI'!$A$1:$AX$1,),)</f>
        <v/>
      </c>
      <c r="E60" s="20">
        <f>IF(VLOOKUP(B60,'Data Core CPI'!$A:$AX,MATCH($E$1,'Data Core CPI'!$A$1:$AX$1,),)=0,#N/A,(VLOOKUP(B60,'Data Core CPI'!$A:$AX,MATCH($E$1,'Data Core CPI'!$A$1:$AX$1,),)-VLOOKUP(EDATE(B60,-12),'Data Core CPI'!$A:$AX,MATCH($E$1,'Data Core CPI'!$A$1:$AX$1,),))/VLOOKUP(EDATE(B60,-12),'Data Core CPI'!$A:$AX,MATCH($E$1,'Data Core CPI'!$A$1:$AX$1,),))</f>
        <v/>
      </c>
      <c r="F60" s="20">
        <f>IF(VLOOKUP(B60,'Data Core CPI'!$A:$AX,MATCH($F$1,'Data Core CPI'!$A$1:$AX$1,),)=0,#N/A,(VLOOKUP(B60,'Data Core CPI'!$A:$AX,MATCH($F$1,'Data Core CPI'!$A$1:$AX$1,),)-VLOOKUP(EDATE(B60,-12),'Data Core CPI'!$A:$AX,MATCH($F$1,'Data Core CPI'!$A$1:$AX$1,),))/VLOOKUP(EDATE(B60,-12),'Data Core CPI'!$A:$AX,MATCH($F$1,'Data Core CPI'!$A$1:$AX$1,),))</f>
        <v/>
      </c>
      <c r="G60" s="20">
        <f>IF(VLOOKUP(B60,'Data Core CPI'!$A:$AX,MATCH($G$1,'Data Core CPI'!$A$1:$AX$1,),)=0,#N/A,(VLOOKUP(B60,'Data Core CPI'!$A:$AX,MATCH($G$1,'Data Core CPI'!$A$1:$AX$1,),)-VLOOKUP(EDATE(B60,-12),'Data Core CPI'!$A:$AX,MATCH($G$1,'Data Core CPI'!$A$1:$AX$1,),))/VLOOKUP(EDATE(B60,-12),'Data Core CPI'!$A:$AX,MATCH($G$1,'Data Core CPI'!$A$1:$AX$1,),))</f>
        <v/>
      </c>
      <c r="H60" s="20">
        <f>IF(VLOOKUP(B60,'Data Core CPI'!$A:$AX,MATCH($H$1,'Data Core CPI'!$A$1:$AX$1,),)=0,#N/A,(VLOOKUP(B60,'Data Core CPI'!$A:$AX,MATCH($H$1,'Data Core CPI'!$A$1:$AX$1,),)-VLOOKUP(EDATE(B60,-12),'Data Core CPI'!$A:$AX,MATCH($H$1,'Data Core CPI'!$A$1:$AX$1,),))/VLOOKUP(EDATE(B60,-12),'Data Core CPI'!$A:$AX,MATCH($H$1,'Data Core CPI'!$A$1:$AX$1,),))</f>
        <v/>
      </c>
      <c r="I60" s="20">
        <f>IF(VLOOKUP(B60,'Data Core CPI'!$A:$AX,MATCH($I$1,'Data Core CPI'!$A$1:$AX$1,),)=0,#N/A,(VLOOKUP(B60,'Data Core CPI'!$A:$AX,MATCH($I$1,'Data Core CPI'!$A$1:$AX$1,),)-VLOOKUP(EDATE(B60,-12),'Data Core CPI'!$A:$AX,MATCH($I$1,'Data Core CPI'!$A$1:$AX$1,),))/VLOOKUP(EDATE(B60,-12),'Data Core CPI'!$A:$AX,MATCH($I$1,'Data Core CPI'!$A$1:$AX$1,),))</f>
        <v/>
      </c>
      <c r="J60" s="20">
        <f>IF(VLOOKUP(B60,'Data Core CPI'!$A:$AX,MATCH($J$1,'Data Core CPI'!$A$1:$AX$1,),)=0,#N/A,(VLOOKUP(B60,'Data Core CPI'!$A:$AX,MATCH($J$1,'Data Core CPI'!$A$1:$AX$1,),)-VLOOKUP(EDATE(B60,-12),'Data Core CPI'!$A:$AX,MATCH($J$1,'Data Core CPI'!$A$1:$AX$1,),))/VLOOKUP(EDATE(B60,-12),'Data Core CPI'!$A:$AX,MATCH($J$1,'Data Core CPI'!$A$1:$AX$1,),))</f>
        <v/>
      </c>
      <c r="K60" s="20">
        <f>IF(VLOOKUP(B60,'Data Core CPI'!$A:$AX,MATCH($K$1,'Data Core CPI'!$A$1:$AX$1,),)=0,#N/A,(VLOOKUP(B60,'Data Core CPI'!$A:$AX,MATCH($K$1,'Data Core CPI'!$A$1:$AX$1,),)-VLOOKUP(EDATE(B60,-12),'Data Core CPI'!$A:$AX,MATCH($K$1,'Data Core CPI'!$A$1:$AX$1,),))/VLOOKUP(EDATE(B60,-12),'Data Core CPI'!$A:$AX,MATCH($K$1,'Data Core CPI'!$A$1:$AX$1,),))</f>
        <v/>
      </c>
      <c r="L60" s="20">
        <f>IF(VLOOKUP(B60,'Data Core CPI'!$A:$AX,MATCH($L$1,'Data Core CPI'!$A$1:$AX$1,),)=0,#N/A,(VLOOKUP(B60,'Data Core CPI'!$A:$AX,MATCH($L$1,'Data Core CPI'!$A$1:$AX$1,),)-VLOOKUP(EDATE(B60,-12),'Data Core CPI'!$A:$AX,MATCH($L$1,'Data Core CPI'!$A$1:$AX$1,),))/VLOOKUP(EDATE(B60,-12),'Data Core CPI'!$A:$AX,MATCH($L$1,'Data Core CPI'!$A$1:$AX$1,),))</f>
        <v/>
      </c>
      <c r="M60" s="20">
        <f>IF(VLOOKUP(B60,'Data Core CPI'!$A:$AX,MATCH($M$1,'Data Core CPI'!$A$1:$AX$1,),)=0,#N/A,(VLOOKUP(B60,'Data Core CPI'!$A:$AX,MATCH($M$1,'Data Core CPI'!$A$1:$AX$1,),)-VLOOKUP(EDATE(B60,-12),'Data Core CPI'!$A:$AX,MATCH($M$1,'Data Core CPI'!$A$1:$AX$1,),))/VLOOKUP(EDATE(B60,-12),'Data Core CPI'!$A:$AX,MATCH($M$1,'Data Core CPI'!$A$1:$AX$1,),))</f>
        <v/>
      </c>
      <c r="N60" s="20">
        <f>(VLOOKUP(B60,'Data Core CPI'!$A:$AX,MATCH($N$1,'Data Core CPI'!$A$1:$AX$1,),)-VLOOKUP(EDATE(B60,-12),'Data Core CPI'!$A:$AX,MATCH($N$1,'Data Core CPI'!$A$1:$AX$1,),))/VLOOKUP(EDATE(B60,-12),'Data Core CPI'!$A:$AX,MATCH($N$1,'Data Core CPI'!$A$1:$AX$1,),)</f>
        <v/>
      </c>
      <c r="O60" s="20">
        <f>(VLOOKUP(B60,'Data Core CPI'!$A:$AX,MATCH($O$1,'Data Core CPI'!$A$1:$AX$1,),)-VLOOKUP(EDATE(B60,-12),'Data Core CPI'!$A:$AX,MATCH($O$1,'Data Core CPI'!$A$1:$AX$1,),))/VLOOKUP(EDATE(B60,-12),'Data Core CPI'!$A:$AX,MATCH($O$1,'Data Core CPI'!$A$1:$AX$1,),)</f>
        <v/>
      </c>
      <c r="P60" s="20">
        <f>IF(VLOOKUP(B60,'Data Core CPI'!$A:$AX,MATCH($P$1,'Data Core CPI'!$A$1:$AX$1,),)=0,#N/A,(VLOOKUP(B60,'Data Core CPI'!$A:$AX,MATCH($P$1,'Data Core CPI'!$A$1:$AX$1,),)-VLOOKUP(EDATE(B60,-12),'Data Core CPI'!$A:$AX,MATCH($P$1,'Data Core CPI'!$A$1:$AX$1,),))/VLOOKUP(EDATE(B60,-12),'Data Core CPI'!$A:$AX,MATCH($P$1,'Data Core CPI'!$A$1:$AX$1,),))</f>
        <v/>
      </c>
      <c r="Q60" s="20">
        <f>(VLOOKUP(B60,'Data Core CPI'!$A:$AX,MATCH($Q$1,'Data Core CPI'!$A$1:$AX$1,),)-VLOOKUP(EDATE(B60,-12),'Data Core CPI'!$A:$AX,MATCH($Q$1,'Data Core CPI'!$A$1:$AX$1,),))/VLOOKUP(EDATE(B60,-12),'Data Core CPI'!$A:$AX,MATCH($Q$1,'Data Core CPI'!$A$1:$AX$1,),)</f>
        <v/>
      </c>
      <c r="R60" s="20">
        <f>IF(VLOOKUP(B60,'Data Core CPI'!$A:$AX,MATCH($R$1,'Data Core CPI'!$A$1:$AX$1,),)=0,#N/A,(VLOOKUP(B60,'Data Core CPI'!$A:$AX,MATCH($R$1,'Data Core CPI'!$A$1:$AX$1,),)-VLOOKUP(EDATE(B60,-12),'Data Core CPI'!$A:$AX,MATCH($R$1,'Data Core CPI'!$A$1:$AX$1,),))/VLOOKUP(EDATE(B60,-12),'Data Core CPI'!$A:$AX,MATCH($R$1,'Data Core CPI'!$A$1:$AX$1,),))</f>
        <v/>
      </c>
      <c r="S60" s="20">
        <f>(VLOOKUP(B60,'Data Core CPI'!$A:$AX,MATCH($S$1,'Data Core CPI'!$A$1:$AX$1,),)-VLOOKUP(EDATE(B60,-12),'Data Core CPI'!$A:$AX,MATCH($S$1,'Data Core CPI'!$A$1:$AX$1,),))/VLOOKUP(EDATE(B60,-12),'Data Core CPI'!$A:$AX,MATCH($S$1,'Data Core CPI'!$A$1:$AX$1,),)</f>
        <v/>
      </c>
      <c r="T60" s="20">
        <f>(VLOOKUP(B60,'Data Core CPI'!$A:$AX,MATCH($T$1,'Data Core CPI'!$A$1:$AX$1,),)-VLOOKUP(EDATE(B60,-12),'Data Core CPI'!$A:$AX,MATCH($T$1,'Data Core CPI'!$A$1:$AX$1,),))/VLOOKUP(EDATE(B60,-12),'Data Core CPI'!$A:$AX,MATCH($T$1,'Data Core CPI'!$A$1:$AX$1,),)</f>
        <v/>
      </c>
      <c r="U60" s="20">
        <f>IF(VLOOKUP(B60,'Data Core CPI'!$A:$AX,MATCH($U$1,'Data Core CPI'!$A$1:$AX$1,),)=0,#N/A,(VLOOKUP(B60,'Data Core CPI'!$A:$AX,MATCH($U$1,'Data Core CPI'!$A$1:$AX$1,),)-VLOOKUP(EDATE(B60,-12),'Data Core CPI'!$A:$AX,MATCH($U$1,'Data Core CPI'!$A$1:$AX$1,),))/VLOOKUP(EDATE(B60,-12),'Data Core CPI'!$A:$AX,MATCH($U$1,'Data Core CPI'!$A$1:$AX$1,),))</f>
        <v/>
      </c>
      <c r="V60" s="20">
        <f>(VLOOKUP(B60,'Data Core CPI'!$A:$AX,MATCH($V$1,'Data Core CPI'!$A$1:$AX$1,),)-VLOOKUP(EDATE(B60,-12),'Data Core CPI'!$A:$AX,MATCH($V$1,'Data Core CPI'!$A$1:$AX$1,),))/VLOOKUP(EDATE(B60,-12),'Data Core CPI'!$A:$AX,MATCH($V$1,'Data Core CPI'!$A$1:$AX$1,),)</f>
        <v/>
      </c>
      <c r="W60" s="20">
        <f>IF(VLOOKUP(B60,'Data Core CPI'!$A:$AX,MATCH($W$1,'Data Core CPI'!$A$1:$AX$1,),)=0,#N/A,(VLOOKUP(B60,'Data Core CPI'!$A:$AX,MATCH($W$1,'Data Core CPI'!$A$1:$AX$1,),)-VLOOKUP(EDATE(B60,-12),'Data Core CPI'!$A:$AX,MATCH($W$1,'Data Core CPI'!$A$1:$AX$1,),))/VLOOKUP(EDATE(B60,-12),'Data Core CPI'!$A:$AX,MATCH($W$1,'Data Core CPI'!$A$1:$AX$1,),))</f>
        <v/>
      </c>
      <c r="X60" s="20">
        <f>IF(VLOOKUP(B60,'Data Core CPI'!$A:$AX,MATCH($X$1,'Data Core CPI'!$A$1:$AX$1,),)=0,#N/A,(VLOOKUP(B60,'Data Core CPI'!$A:$AX,MATCH($X$1,'Data Core CPI'!$A$1:$AX$1,),)-VLOOKUP(EDATE(B60,-12),'Data Core CPI'!$A:$AX,MATCH($X$1,'Data Core CPI'!$A$1:$AX$1,),))/VLOOKUP(EDATE(B60,-12),'Data Core CPI'!$A:$AX,MATCH($X$1,'Data Core CPI'!$A$1:$AX$1,),))</f>
        <v/>
      </c>
      <c r="Y60" s="20">
        <f>IF(VLOOKUP(B60,'Data Core CPI'!$A:$AX,MATCH($Y$1,'Data Core CPI'!$A$1:$AX$1,),)=0,#N/A,(VLOOKUP(B60,'Data Core CPI'!$A:$AX,MATCH($Y$1,'Data Core CPI'!$A$1:$AX$1,),)-VLOOKUP(EDATE(B60,-12),'Data Core CPI'!$A:$AX,MATCH($Y$1,'Data Core CPI'!$A$1:$AX$1,),))/VLOOKUP(EDATE(B60,-12),'Data Core CPI'!$A:$AX,MATCH($Y$1,'Data Core CPI'!$A$1:$AX$1,),))</f>
        <v/>
      </c>
      <c r="Z60" s="20">
        <f>(VLOOKUP(B60,Data!$A:$AX,MATCH($Z$1,Data!$A$1:$AX$1,),)-VLOOKUP(EDATE(B60,-12),Data!$A:$AX,MATCH($Z$1,Data!$A$1:$AX$1,),))/VLOOKUP(EDATE(B60,-12),Data!$A:$AX,MATCH($Z$1,Data!$A$1:$AX$1,),)</f>
        <v/>
      </c>
      <c r="AA60" s="20">
        <f>(VLOOKUP(B60,Data!$A:$AX,MATCH($AA$1,Data!$A$1:$AX$1,),)-VLOOKUP(EDATE(B60,-12),Data!$A:$AX,MATCH($AA$1,Data!$A$1:$AX$1,),))/VLOOKUP(EDATE(B60,-12),Data!$A:$AX,MATCH($AA$1,Data!$A$1:$AX$1,),)</f>
        <v/>
      </c>
      <c r="AB60" s="19" t="n"/>
    </row>
    <row r="61">
      <c r="B61" s="15" t="n">
        <v>42064</v>
      </c>
      <c r="C61" s="20">
        <f>IF(VLOOKUP(B61,'Data Core CPI'!$A:$AX,MATCH($C$1,'Data Core CPI'!$A$1:$AX$1,),)=0,#N/A,(VLOOKUP(B61,'Data Core CPI'!$A:$AX,MATCH($C$1,'Data Core CPI'!$A$1:$AX$1,),)-VLOOKUP(EDATE(B61,-12),'Data Core CPI'!$A:$AX,MATCH($C$1,'Data Core CPI'!$A$1:$AX$1,),))/VLOOKUP(EDATE(B61,-12),'Data Core CPI'!$A:$AX,MATCH($C$1,'Data Core CPI'!$A$1:$AX$1,),))</f>
        <v/>
      </c>
      <c r="D61" s="20">
        <f>(VLOOKUP(B61,'Data Core CPI'!$A:$AX,MATCH($D$1,'Data Core CPI'!$A$1:$AX$1,),)-VLOOKUP(EDATE(B61,-12),'Data Core CPI'!$A:$AX,MATCH($D$1,'Data Core CPI'!$A$1:$AX$1,),))/VLOOKUP(EDATE(B61,-12),'Data Core CPI'!$A:$AX,MATCH($D$1,'Data Core CPI'!$A$1:$AX$1,),)</f>
        <v/>
      </c>
      <c r="E61" s="20">
        <f>IF(VLOOKUP(B61,'Data Core CPI'!$A:$AX,MATCH($E$1,'Data Core CPI'!$A$1:$AX$1,),)=0,#N/A,(VLOOKUP(B61,'Data Core CPI'!$A:$AX,MATCH($E$1,'Data Core CPI'!$A$1:$AX$1,),)-VLOOKUP(EDATE(B61,-12),'Data Core CPI'!$A:$AX,MATCH($E$1,'Data Core CPI'!$A$1:$AX$1,),))/VLOOKUP(EDATE(B61,-12),'Data Core CPI'!$A:$AX,MATCH($E$1,'Data Core CPI'!$A$1:$AX$1,),))</f>
        <v/>
      </c>
      <c r="F61" s="20">
        <f>IF(VLOOKUP(B61,'Data Core CPI'!$A:$AX,MATCH($F$1,'Data Core CPI'!$A$1:$AX$1,),)=0,#N/A,(VLOOKUP(B61,'Data Core CPI'!$A:$AX,MATCH($F$1,'Data Core CPI'!$A$1:$AX$1,),)-VLOOKUP(EDATE(B61,-12),'Data Core CPI'!$A:$AX,MATCH($F$1,'Data Core CPI'!$A$1:$AX$1,),))/VLOOKUP(EDATE(B61,-12),'Data Core CPI'!$A:$AX,MATCH($F$1,'Data Core CPI'!$A$1:$AX$1,),))</f>
        <v/>
      </c>
      <c r="G61" s="20">
        <f>IF(VLOOKUP(B61,'Data Core CPI'!$A:$AX,MATCH($G$1,'Data Core CPI'!$A$1:$AX$1,),)=0,#N/A,(VLOOKUP(B61,'Data Core CPI'!$A:$AX,MATCH($G$1,'Data Core CPI'!$A$1:$AX$1,),)-VLOOKUP(EDATE(B61,-12),'Data Core CPI'!$A:$AX,MATCH($G$1,'Data Core CPI'!$A$1:$AX$1,),))/VLOOKUP(EDATE(B61,-12),'Data Core CPI'!$A:$AX,MATCH($G$1,'Data Core CPI'!$A$1:$AX$1,),))</f>
        <v/>
      </c>
      <c r="H61" s="20">
        <f>IF(VLOOKUP(B61,'Data Core CPI'!$A:$AX,MATCH($H$1,'Data Core CPI'!$A$1:$AX$1,),)=0,#N/A,(VLOOKUP(B61,'Data Core CPI'!$A:$AX,MATCH($H$1,'Data Core CPI'!$A$1:$AX$1,),)-VLOOKUP(EDATE(B61,-12),'Data Core CPI'!$A:$AX,MATCH($H$1,'Data Core CPI'!$A$1:$AX$1,),))/VLOOKUP(EDATE(B61,-12),'Data Core CPI'!$A:$AX,MATCH($H$1,'Data Core CPI'!$A$1:$AX$1,),))</f>
        <v/>
      </c>
      <c r="I61" s="20">
        <f>IF(VLOOKUP(B61,'Data Core CPI'!$A:$AX,MATCH($I$1,'Data Core CPI'!$A$1:$AX$1,),)=0,#N/A,(VLOOKUP(B61,'Data Core CPI'!$A:$AX,MATCH($I$1,'Data Core CPI'!$A$1:$AX$1,),)-VLOOKUP(EDATE(B61,-12),'Data Core CPI'!$A:$AX,MATCH($I$1,'Data Core CPI'!$A$1:$AX$1,),))/VLOOKUP(EDATE(B61,-12),'Data Core CPI'!$A:$AX,MATCH($I$1,'Data Core CPI'!$A$1:$AX$1,),))</f>
        <v/>
      </c>
      <c r="J61" s="20">
        <f>IF(VLOOKUP(B61,'Data Core CPI'!$A:$AX,MATCH($J$1,'Data Core CPI'!$A$1:$AX$1,),)=0,#N/A,(VLOOKUP(B61,'Data Core CPI'!$A:$AX,MATCH($J$1,'Data Core CPI'!$A$1:$AX$1,),)-VLOOKUP(EDATE(B61,-12),'Data Core CPI'!$A:$AX,MATCH($J$1,'Data Core CPI'!$A$1:$AX$1,),))/VLOOKUP(EDATE(B61,-12),'Data Core CPI'!$A:$AX,MATCH($J$1,'Data Core CPI'!$A$1:$AX$1,),))</f>
        <v/>
      </c>
      <c r="K61" s="20">
        <f>IF(VLOOKUP(B61,'Data Core CPI'!$A:$AX,MATCH($K$1,'Data Core CPI'!$A$1:$AX$1,),)=0,#N/A,(VLOOKUP(B61,'Data Core CPI'!$A:$AX,MATCH($K$1,'Data Core CPI'!$A$1:$AX$1,),)-VLOOKUP(EDATE(B61,-12),'Data Core CPI'!$A:$AX,MATCH($K$1,'Data Core CPI'!$A$1:$AX$1,),))/VLOOKUP(EDATE(B61,-12),'Data Core CPI'!$A:$AX,MATCH($K$1,'Data Core CPI'!$A$1:$AX$1,),))</f>
        <v/>
      </c>
      <c r="L61" s="20">
        <f>IF(VLOOKUP(B61,'Data Core CPI'!$A:$AX,MATCH($L$1,'Data Core CPI'!$A$1:$AX$1,),)=0,#N/A,(VLOOKUP(B61,'Data Core CPI'!$A:$AX,MATCH($L$1,'Data Core CPI'!$A$1:$AX$1,),)-VLOOKUP(EDATE(B61,-12),'Data Core CPI'!$A:$AX,MATCH($L$1,'Data Core CPI'!$A$1:$AX$1,),))/VLOOKUP(EDATE(B61,-12),'Data Core CPI'!$A:$AX,MATCH($L$1,'Data Core CPI'!$A$1:$AX$1,),))</f>
        <v/>
      </c>
      <c r="M61" s="20">
        <f>IF(VLOOKUP(B61,'Data Core CPI'!$A:$AX,MATCH($M$1,'Data Core CPI'!$A$1:$AX$1,),)=0,#N/A,(VLOOKUP(B61,'Data Core CPI'!$A:$AX,MATCH($M$1,'Data Core CPI'!$A$1:$AX$1,),)-VLOOKUP(EDATE(B61,-12),'Data Core CPI'!$A:$AX,MATCH($M$1,'Data Core CPI'!$A$1:$AX$1,),))/VLOOKUP(EDATE(B61,-12),'Data Core CPI'!$A:$AX,MATCH($M$1,'Data Core CPI'!$A$1:$AX$1,),))</f>
        <v/>
      </c>
      <c r="N61" s="20">
        <f>(VLOOKUP(B61,'Data Core CPI'!$A:$AX,MATCH($N$1,'Data Core CPI'!$A$1:$AX$1,),)-VLOOKUP(EDATE(B61,-12),'Data Core CPI'!$A:$AX,MATCH($N$1,'Data Core CPI'!$A$1:$AX$1,),))/VLOOKUP(EDATE(B61,-12),'Data Core CPI'!$A:$AX,MATCH($N$1,'Data Core CPI'!$A$1:$AX$1,),)</f>
        <v/>
      </c>
      <c r="O61" s="20">
        <f>(VLOOKUP(B61,'Data Core CPI'!$A:$AX,MATCH($O$1,'Data Core CPI'!$A$1:$AX$1,),)-VLOOKUP(EDATE(B61,-12),'Data Core CPI'!$A:$AX,MATCH($O$1,'Data Core CPI'!$A$1:$AX$1,),))/VLOOKUP(EDATE(B61,-12),'Data Core CPI'!$A:$AX,MATCH($O$1,'Data Core CPI'!$A$1:$AX$1,),)</f>
        <v/>
      </c>
      <c r="P61" s="20">
        <f>IF(VLOOKUP(B61,'Data Core CPI'!$A:$AX,MATCH($P$1,'Data Core CPI'!$A$1:$AX$1,),)=0,#N/A,(VLOOKUP(B61,'Data Core CPI'!$A:$AX,MATCH($P$1,'Data Core CPI'!$A$1:$AX$1,),)-VLOOKUP(EDATE(B61,-12),'Data Core CPI'!$A:$AX,MATCH($P$1,'Data Core CPI'!$A$1:$AX$1,),))/VLOOKUP(EDATE(B61,-12),'Data Core CPI'!$A:$AX,MATCH($P$1,'Data Core CPI'!$A$1:$AX$1,),))</f>
        <v/>
      </c>
      <c r="Q61" s="20">
        <f>(VLOOKUP(B61,'Data Core CPI'!$A:$AX,MATCH($Q$1,'Data Core CPI'!$A$1:$AX$1,),)-VLOOKUP(EDATE(B61,-12),'Data Core CPI'!$A:$AX,MATCH($Q$1,'Data Core CPI'!$A$1:$AX$1,),))/VLOOKUP(EDATE(B61,-12),'Data Core CPI'!$A:$AX,MATCH($Q$1,'Data Core CPI'!$A$1:$AX$1,),)</f>
        <v/>
      </c>
      <c r="R61" s="20">
        <f>IF(VLOOKUP(B61,'Data Core CPI'!$A:$AX,MATCH($R$1,'Data Core CPI'!$A$1:$AX$1,),)=0,#N/A,(VLOOKUP(B61,'Data Core CPI'!$A:$AX,MATCH($R$1,'Data Core CPI'!$A$1:$AX$1,),)-VLOOKUP(EDATE(B61,-12),'Data Core CPI'!$A:$AX,MATCH($R$1,'Data Core CPI'!$A$1:$AX$1,),))/VLOOKUP(EDATE(B61,-12),'Data Core CPI'!$A:$AX,MATCH($R$1,'Data Core CPI'!$A$1:$AX$1,),))</f>
        <v/>
      </c>
      <c r="S61" s="20">
        <f>(VLOOKUP(B61,'Data Core CPI'!$A:$AX,MATCH($S$1,'Data Core CPI'!$A$1:$AX$1,),)-VLOOKUP(EDATE(B61,-12),'Data Core CPI'!$A:$AX,MATCH($S$1,'Data Core CPI'!$A$1:$AX$1,),))/VLOOKUP(EDATE(B61,-12),'Data Core CPI'!$A:$AX,MATCH($S$1,'Data Core CPI'!$A$1:$AX$1,),)</f>
        <v/>
      </c>
      <c r="T61" s="20">
        <f>(VLOOKUP(B61,'Data Core CPI'!$A:$AX,MATCH($T$1,'Data Core CPI'!$A$1:$AX$1,),)-VLOOKUP(EDATE(B61,-12),'Data Core CPI'!$A:$AX,MATCH($T$1,'Data Core CPI'!$A$1:$AX$1,),))/VLOOKUP(EDATE(B61,-12),'Data Core CPI'!$A:$AX,MATCH($T$1,'Data Core CPI'!$A$1:$AX$1,),)</f>
        <v/>
      </c>
      <c r="U61" s="20">
        <f>IF(VLOOKUP(B61,'Data Core CPI'!$A:$AX,MATCH($U$1,'Data Core CPI'!$A$1:$AX$1,),)=0,#N/A,(VLOOKUP(B61,'Data Core CPI'!$A:$AX,MATCH($U$1,'Data Core CPI'!$A$1:$AX$1,),)-VLOOKUP(EDATE(B61,-12),'Data Core CPI'!$A:$AX,MATCH($U$1,'Data Core CPI'!$A$1:$AX$1,),))/VLOOKUP(EDATE(B61,-12),'Data Core CPI'!$A:$AX,MATCH($U$1,'Data Core CPI'!$A$1:$AX$1,),))</f>
        <v/>
      </c>
      <c r="V61" s="20">
        <f>(VLOOKUP(B61,'Data Core CPI'!$A:$AX,MATCH($V$1,'Data Core CPI'!$A$1:$AX$1,),)-VLOOKUP(EDATE(B61,-12),'Data Core CPI'!$A:$AX,MATCH($V$1,'Data Core CPI'!$A$1:$AX$1,),))/VLOOKUP(EDATE(B61,-12),'Data Core CPI'!$A:$AX,MATCH($V$1,'Data Core CPI'!$A$1:$AX$1,),)</f>
        <v/>
      </c>
      <c r="W61" s="20">
        <f>IF(VLOOKUP(B61,'Data Core CPI'!$A:$AX,MATCH($W$1,'Data Core CPI'!$A$1:$AX$1,),)=0,#N/A,(VLOOKUP(B61,'Data Core CPI'!$A:$AX,MATCH($W$1,'Data Core CPI'!$A$1:$AX$1,),)-VLOOKUP(EDATE(B61,-12),'Data Core CPI'!$A:$AX,MATCH($W$1,'Data Core CPI'!$A$1:$AX$1,),))/VLOOKUP(EDATE(B61,-12),'Data Core CPI'!$A:$AX,MATCH($W$1,'Data Core CPI'!$A$1:$AX$1,),))</f>
        <v/>
      </c>
      <c r="X61" s="20">
        <f>IF(VLOOKUP(B61,'Data Core CPI'!$A:$AX,MATCH($X$1,'Data Core CPI'!$A$1:$AX$1,),)=0,#N/A,(VLOOKUP(B61,'Data Core CPI'!$A:$AX,MATCH($X$1,'Data Core CPI'!$A$1:$AX$1,),)-VLOOKUP(EDATE(B61,-12),'Data Core CPI'!$A:$AX,MATCH($X$1,'Data Core CPI'!$A$1:$AX$1,),))/VLOOKUP(EDATE(B61,-12),'Data Core CPI'!$A:$AX,MATCH($X$1,'Data Core CPI'!$A$1:$AX$1,),))</f>
        <v/>
      </c>
      <c r="Y61" s="20">
        <f>IF(VLOOKUP(B61,'Data Core CPI'!$A:$AX,MATCH($Y$1,'Data Core CPI'!$A$1:$AX$1,),)=0,#N/A,(VLOOKUP(B61,'Data Core CPI'!$A:$AX,MATCH($Y$1,'Data Core CPI'!$A$1:$AX$1,),)-VLOOKUP(EDATE(B61,-12),'Data Core CPI'!$A:$AX,MATCH($Y$1,'Data Core CPI'!$A$1:$AX$1,),))/VLOOKUP(EDATE(B61,-12),'Data Core CPI'!$A:$AX,MATCH($Y$1,'Data Core CPI'!$A$1:$AX$1,),))</f>
        <v/>
      </c>
      <c r="Z61" s="20">
        <f>(VLOOKUP(B61,Data!$A:$AX,MATCH($Z$1,Data!$A$1:$AX$1,),)-VLOOKUP(EDATE(B61,-12),Data!$A:$AX,MATCH($Z$1,Data!$A$1:$AX$1,),))/VLOOKUP(EDATE(B61,-12),Data!$A:$AX,MATCH($Z$1,Data!$A$1:$AX$1,),)</f>
        <v/>
      </c>
      <c r="AA61" s="20">
        <f>(VLOOKUP(B61,Data!$A:$AX,MATCH($AA$1,Data!$A$1:$AX$1,),)-VLOOKUP(EDATE(B61,-12),Data!$A:$AX,MATCH($AA$1,Data!$A$1:$AX$1,),))/VLOOKUP(EDATE(B61,-12),Data!$A:$AX,MATCH($AA$1,Data!$A$1:$AX$1,),)</f>
        <v/>
      </c>
      <c r="AB61" s="19" t="n"/>
    </row>
    <row r="62">
      <c r="B62" s="15" t="n">
        <v>42095</v>
      </c>
      <c r="C62" s="20">
        <f>IF(VLOOKUP(B62,'Data Core CPI'!$A:$AX,MATCH($C$1,'Data Core CPI'!$A$1:$AX$1,),)=0,#N/A,(VLOOKUP(B62,'Data Core CPI'!$A:$AX,MATCH($C$1,'Data Core CPI'!$A$1:$AX$1,),)-VLOOKUP(EDATE(B62,-12),'Data Core CPI'!$A:$AX,MATCH($C$1,'Data Core CPI'!$A$1:$AX$1,),))/VLOOKUP(EDATE(B62,-12),'Data Core CPI'!$A:$AX,MATCH($C$1,'Data Core CPI'!$A$1:$AX$1,),))</f>
        <v/>
      </c>
      <c r="D62" s="20">
        <f>(VLOOKUP(B62,'Data Core CPI'!$A:$AX,MATCH($D$1,'Data Core CPI'!$A$1:$AX$1,),)-VLOOKUP(EDATE(B62,-12),'Data Core CPI'!$A:$AX,MATCH($D$1,'Data Core CPI'!$A$1:$AX$1,),))/VLOOKUP(EDATE(B62,-12),'Data Core CPI'!$A:$AX,MATCH($D$1,'Data Core CPI'!$A$1:$AX$1,),)</f>
        <v/>
      </c>
      <c r="E62" s="20">
        <f>IF(VLOOKUP(B62,'Data Core CPI'!$A:$AX,MATCH($E$1,'Data Core CPI'!$A$1:$AX$1,),)=0,#N/A,(VLOOKUP(B62,'Data Core CPI'!$A:$AX,MATCH($E$1,'Data Core CPI'!$A$1:$AX$1,),)-VLOOKUP(EDATE(B62,-12),'Data Core CPI'!$A:$AX,MATCH($E$1,'Data Core CPI'!$A$1:$AX$1,),))/VLOOKUP(EDATE(B62,-12),'Data Core CPI'!$A:$AX,MATCH($E$1,'Data Core CPI'!$A$1:$AX$1,),))</f>
        <v/>
      </c>
      <c r="F62" s="20">
        <f>IF(VLOOKUP(B62,'Data Core CPI'!$A:$AX,MATCH($F$1,'Data Core CPI'!$A$1:$AX$1,),)=0,#N/A,(VLOOKUP(B62,'Data Core CPI'!$A:$AX,MATCH($F$1,'Data Core CPI'!$A$1:$AX$1,),)-VLOOKUP(EDATE(B62,-12),'Data Core CPI'!$A:$AX,MATCH($F$1,'Data Core CPI'!$A$1:$AX$1,),))/VLOOKUP(EDATE(B62,-12),'Data Core CPI'!$A:$AX,MATCH($F$1,'Data Core CPI'!$A$1:$AX$1,),))</f>
        <v/>
      </c>
      <c r="G62" s="20">
        <f>IF(VLOOKUP(B62,'Data Core CPI'!$A:$AX,MATCH($G$1,'Data Core CPI'!$A$1:$AX$1,),)=0,#N/A,(VLOOKUP(B62,'Data Core CPI'!$A:$AX,MATCH($G$1,'Data Core CPI'!$A$1:$AX$1,),)-VLOOKUP(EDATE(B62,-12),'Data Core CPI'!$A:$AX,MATCH($G$1,'Data Core CPI'!$A$1:$AX$1,),))/VLOOKUP(EDATE(B62,-12),'Data Core CPI'!$A:$AX,MATCH($G$1,'Data Core CPI'!$A$1:$AX$1,),))</f>
        <v/>
      </c>
      <c r="H62" s="20">
        <f>IF(VLOOKUP(B62,'Data Core CPI'!$A:$AX,MATCH($H$1,'Data Core CPI'!$A$1:$AX$1,),)=0,#N/A,(VLOOKUP(B62,'Data Core CPI'!$A:$AX,MATCH($H$1,'Data Core CPI'!$A$1:$AX$1,),)-VLOOKUP(EDATE(B62,-12),'Data Core CPI'!$A:$AX,MATCH($H$1,'Data Core CPI'!$A$1:$AX$1,),))/VLOOKUP(EDATE(B62,-12),'Data Core CPI'!$A:$AX,MATCH($H$1,'Data Core CPI'!$A$1:$AX$1,),))</f>
        <v/>
      </c>
      <c r="I62" s="20">
        <f>IF(VLOOKUP(B62,'Data Core CPI'!$A:$AX,MATCH($I$1,'Data Core CPI'!$A$1:$AX$1,),)=0,#N/A,(VLOOKUP(B62,'Data Core CPI'!$A:$AX,MATCH($I$1,'Data Core CPI'!$A$1:$AX$1,),)-VLOOKUP(EDATE(B62,-12),'Data Core CPI'!$A:$AX,MATCH($I$1,'Data Core CPI'!$A$1:$AX$1,),))/VLOOKUP(EDATE(B62,-12),'Data Core CPI'!$A:$AX,MATCH($I$1,'Data Core CPI'!$A$1:$AX$1,),))</f>
        <v/>
      </c>
      <c r="J62" s="20">
        <f>IF(VLOOKUP(B62,'Data Core CPI'!$A:$AX,MATCH($J$1,'Data Core CPI'!$A$1:$AX$1,),)=0,#N/A,(VLOOKUP(B62,'Data Core CPI'!$A:$AX,MATCH($J$1,'Data Core CPI'!$A$1:$AX$1,),)-VLOOKUP(EDATE(B62,-12),'Data Core CPI'!$A:$AX,MATCH($J$1,'Data Core CPI'!$A$1:$AX$1,),))/VLOOKUP(EDATE(B62,-12),'Data Core CPI'!$A:$AX,MATCH($J$1,'Data Core CPI'!$A$1:$AX$1,),))</f>
        <v/>
      </c>
      <c r="K62" s="20">
        <f>IF(VLOOKUP(B62,'Data Core CPI'!$A:$AX,MATCH($K$1,'Data Core CPI'!$A$1:$AX$1,),)=0,#N/A,(VLOOKUP(B62,'Data Core CPI'!$A:$AX,MATCH($K$1,'Data Core CPI'!$A$1:$AX$1,),)-VLOOKUP(EDATE(B62,-12),'Data Core CPI'!$A:$AX,MATCH($K$1,'Data Core CPI'!$A$1:$AX$1,),))/VLOOKUP(EDATE(B62,-12),'Data Core CPI'!$A:$AX,MATCH($K$1,'Data Core CPI'!$A$1:$AX$1,),))</f>
        <v/>
      </c>
      <c r="L62" s="20">
        <f>IF(VLOOKUP(B62,'Data Core CPI'!$A:$AX,MATCH($L$1,'Data Core CPI'!$A$1:$AX$1,),)=0,#N/A,(VLOOKUP(B62,'Data Core CPI'!$A:$AX,MATCH($L$1,'Data Core CPI'!$A$1:$AX$1,),)-VLOOKUP(EDATE(B62,-12),'Data Core CPI'!$A:$AX,MATCH($L$1,'Data Core CPI'!$A$1:$AX$1,),))/VLOOKUP(EDATE(B62,-12),'Data Core CPI'!$A:$AX,MATCH($L$1,'Data Core CPI'!$A$1:$AX$1,),))</f>
        <v/>
      </c>
      <c r="M62" s="20">
        <f>IF(VLOOKUP(B62,'Data Core CPI'!$A:$AX,MATCH($M$1,'Data Core CPI'!$A$1:$AX$1,),)=0,#N/A,(VLOOKUP(B62,'Data Core CPI'!$A:$AX,MATCH($M$1,'Data Core CPI'!$A$1:$AX$1,),)-VLOOKUP(EDATE(B62,-12),'Data Core CPI'!$A:$AX,MATCH($M$1,'Data Core CPI'!$A$1:$AX$1,),))/VLOOKUP(EDATE(B62,-12),'Data Core CPI'!$A:$AX,MATCH($M$1,'Data Core CPI'!$A$1:$AX$1,),))</f>
        <v/>
      </c>
      <c r="N62" s="20">
        <f>(VLOOKUP(B62,'Data Core CPI'!$A:$AX,MATCH($N$1,'Data Core CPI'!$A$1:$AX$1,),)-VLOOKUP(EDATE(B62,-12),'Data Core CPI'!$A:$AX,MATCH($N$1,'Data Core CPI'!$A$1:$AX$1,),))/VLOOKUP(EDATE(B62,-12),'Data Core CPI'!$A:$AX,MATCH($N$1,'Data Core CPI'!$A$1:$AX$1,),)</f>
        <v/>
      </c>
      <c r="O62" s="20">
        <f>(VLOOKUP(B62,'Data Core CPI'!$A:$AX,MATCH($O$1,'Data Core CPI'!$A$1:$AX$1,),)-VLOOKUP(EDATE(B62,-12),'Data Core CPI'!$A:$AX,MATCH($O$1,'Data Core CPI'!$A$1:$AX$1,),))/VLOOKUP(EDATE(B62,-12),'Data Core CPI'!$A:$AX,MATCH($O$1,'Data Core CPI'!$A$1:$AX$1,),)</f>
        <v/>
      </c>
      <c r="P62" s="20">
        <f>IF(VLOOKUP(B62,'Data Core CPI'!$A:$AX,MATCH($P$1,'Data Core CPI'!$A$1:$AX$1,),)=0,#N/A,(VLOOKUP(B62,'Data Core CPI'!$A:$AX,MATCH($P$1,'Data Core CPI'!$A$1:$AX$1,),)-VLOOKUP(EDATE(B62,-12),'Data Core CPI'!$A:$AX,MATCH($P$1,'Data Core CPI'!$A$1:$AX$1,),))/VLOOKUP(EDATE(B62,-12),'Data Core CPI'!$A:$AX,MATCH($P$1,'Data Core CPI'!$A$1:$AX$1,),))</f>
        <v/>
      </c>
      <c r="Q62" s="20">
        <f>(VLOOKUP(B62,'Data Core CPI'!$A:$AX,MATCH($Q$1,'Data Core CPI'!$A$1:$AX$1,),)-VLOOKUP(EDATE(B62,-12),'Data Core CPI'!$A:$AX,MATCH($Q$1,'Data Core CPI'!$A$1:$AX$1,),))/VLOOKUP(EDATE(B62,-12),'Data Core CPI'!$A:$AX,MATCH($Q$1,'Data Core CPI'!$A$1:$AX$1,),)</f>
        <v/>
      </c>
      <c r="R62" s="20">
        <f>IF(VLOOKUP(B62,'Data Core CPI'!$A:$AX,MATCH($R$1,'Data Core CPI'!$A$1:$AX$1,),)=0,#N/A,(VLOOKUP(B62,'Data Core CPI'!$A:$AX,MATCH($R$1,'Data Core CPI'!$A$1:$AX$1,),)-VLOOKUP(EDATE(B62,-12),'Data Core CPI'!$A:$AX,MATCH($R$1,'Data Core CPI'!$A$1:$AX$1,),))/VLOOKUP(EDATE(B62,-12),'Data Core CPI'!$A:$AX,MATCH($R$1,'Data Core CPI'!$A$1:$AX$1,),))</f>
        <v/>
      </c>
      <c r="S62" s="20">
        <f>(VLOOKUP(B62,'Data Core CPI'!$A:$AX,MATCH($S$1,'Data Core CPI'!$A$1:$AX$1,),)-VLOOKUP(EDATE(B62,-12),'Data Core CPI'!$A:$AX,MATCH($S$1,'Data Core CPI'!$A$1:$AX$1,),))/VLOOKUP(EDATE(B62,-12),'Data Core CPI'!$A:$AX,MATCH($S$1,'Data Core CPI'!$A$1:$AX$1,),)</f>
        <v/>
      </c>
      <c r="T62" s="20">
        <f>(VLOOKUP(B62,'Data Core CPI'!$A:$AX,MATCH($T$1,'Data Core CPI'!$A$1:$AX$1,),)-VLOOKUP(EDATE(B62,-12),'Data Core CPI'!$A:$AX,MATCH($T$1,'Data Core CPI'!$A$1:$AX$1,),))/VLOOKUP(EDATE(B62,-12),'Data Core CPI'!$A:$AX,MATCH($T$1,'Data Core CPI'!$A$1:$AX$1,),)</f>
        <v/>
      </c>
      <c r="U62" s="20">
        <f>IF(VLOOKUP(B62,'Data Core CPI'!$A:$AX,MATCH($U$1,'Data Core CPI'!$A$1:$AX$1,),)=0,#N/A,(VLOOKUP(B62,'Data Core CPI'!$A:$AX,MATCH($U$1,'Data Core CPI'!$A$1:$AX$1,),)-VLOOKUP(EDATE(B62,-12),'Data Core CPI'!$A:$AX,MATCH($U$1,'Data Core CPI'!$A$1:$AX$1,),))/VLOOKUP(EDATE(B62,-12),'Data Core CPI'!$A:$AX,MATCH($U$1,'Data Core CPI'!$A$1:$AX$1,),))</f>
        <v/>
      </c>
      <c r="V62" s="20">
        <f>(VLOOKUP(B62,'Data Core CPI'!$A:$AX,MATCH($V$1,'Data Core CPI'!$A$1:$AX$1,),)-VLOOKUP(EDATE(B62,-12),'Data Core CPI'!$A:$AX,MATCH($V$1,'Data Core CPI'!$A$1:$AX$1,),))/VLOOKUP(EDATE(B62,-12),'Data Core CPI'!$A:$AX,MATCH($V$1,'Data Core CPI'!$A$1:$AX$1,),)</f>
        <v/>
      </c>
      <c r="W62" s="20">
        <f>IF(VLOOKUP(B62,'Data Core CPI'!$A:$AX,MATCH($W$1,'Data Core CPI'!$A$1:$AX$1,),)=0,#N/A,(VLOOKUP(B62,'Data Core CPI'!$A:$AX,MATCH($W$1,'Data Core CPI'!$A$1:$AX$1,),)-VLOOKUP(EDATE(B62,-12),'Data Core CPI'!$A:$AX,MATCH($W$1,'Data Core CPI'!$A$1:$AX$1,),))/VLOOKUP(EDATE(B62,-12),'Data Core CPI'!$A:$AX,MATCH($W$1,'Data Core CPI'!$A$1:$AX$1,),))</f>
        <v/>
      </c>
      <c r="X62" s="20">
        <f>IF(VLOOKUP(B62,'Data Core CPI'!$A:$AX,MATCH($X$1,'Data Core CPI'!$A$1:$AX$1,),)=0,#N/A,(VLOOKUP(B62,'Data Core CPI'!$A:$AX,MATCH($X$1,'Data Core CPI'!$A$1:$AX$1,),)-VLOOKUP(EDATE(B62,-12),'Data Core CPI'!$A:$AX,MATCH($X$1,'Data Core CPI'!$A$1:$AX$1,),))/VLOOKUP(EDATE(B62,-12),'Data Core CPI'!$A:$AX,MATCH($X$1,'Data Core CPI'!$A$1:$AX$1,),))</f>
        <v/>
      </c>
      <c r="Y62" s="20">
        <f>IF(VLOOKUP(B62,'Data Core CPI'!$A:$AX,MATCH($Y$1,'Data Core CPI'!$A$1:$AX$1,),)=0,#N/A,(VLOOKUP(B62,'Data Core CPI'!$A:$AX,MATCH($Y$1,'Data Core CPI'!$A$1:$AX$1,),)-VLOOKUP(EDATE(B62,-12),'Data Core CPI'!$A:$AX,MATCH($Y$1,'Data Core CPI'!$A$1:$AX$1,),))/VLOOKUP(EDATE(B62,-12),'Data Core CPI'!$A:$AX,MATCH($Y$1,'Data Core CPI'!$A$1:$AX$1,),))</f>
        <v/>
      </c>
      <c r="Z62" s="20">
        <f>(VLOOKUP(B62,Data!$A:$AX,MATCH($Z$1,Data!$A$1:$AX$1,),)-VLOOKUP(EDATE(B62,-12),Data!$A:$AX,MATCH($Z$1,Data!$A$1:$AX$1,),))/VLOOKUP(EDATE(B62,-12),Data!$A:$AX,MATCH($Z$1,Data!$A$1:$AX$1,),)</f>
        <v/>
      </c>
      <c r="AA62" s="20">
        <f>(VLOOKUP(B62,Data!$A:$AX,MATCH($AA$1,Data!$A$1:$AX$1,),)-VLOOKUP(EDATE(B62,-12),Data!$A:$AX,MATCH($AA$1,Data!$A$1:$AX$1,),))/VLOOKUP(EDATE(B62,-12),Data!$A:$AX,MATCH($AA$1,Data!$A$1:$AX$1,),)</f>
        <v/>
      </c>
      <c r="AB62" s="19" t="n"/>
    </row>
    <row r="63">
      <c r="B63" s="15" t="n">
        <v>42125</v>
      </c>
      <c r="C63" s="20">
        <f>IF(VLOOKUP(B63,'Data Core CPI'!$A:$AX,MATCH($C$1,'Data Core CPI'!$A$1:$AX$1,),)=0,#N/A,(VLOOKUP(B63,'Data Core CPI'!$A:$AX,MATCH($C$1,'Data Core CPI'!$A$1:$AX$1,),)-VLOOKUP(EDATE(B63,-12),'Data Core CPI'!$A:$AX,MATCH($C$1,'Data Core CPI'!$A$1:$AX$1,),))/VLOOKUP(EDATE(B63,-12),'Data Core CPI'!$A:$AX,MATCH($C$1,'Data Core CPI'!$A$1:$AX$1,),))</f>
        <v/>
      </c>
      <c r="D63" s="20">
        <f>(VLOOKUP(B63,'Data Core CPI'!$A:$AX,MATCH($D$1,'Data Core CPI'!$A$1:$AX$1,),)-VLOOKUP(EDATE(B63,-12),'Data Core CPI'!$A:$AX,MATCH($D$1,'Data Core CPI'!$A$1:$AX$1,),))/VLOOKUP(EDATE(B63,-12),'Data Core CPI'!$A:$AX,MATCH($D$1,'Data Core CPI'!$A$1:$AX$1,),)</f>
        <v/>
      </c>
      <c r="E63" s="20">
        <f>IF(VLOOKUP(B63,'Data Core CPI'!$A:$AX,MATCH($E$1,'Data Core CPI'!$A$1:$AX$1,),)=0,#N/A,(VLOOKUP(B63,'Data Core CPI'!$A:$AX,MATCH($E$1,'Data Core CPI'!$A$1:$AX$1,),)-VLOOKUP(EDATE(B63,-12),'Data Core CPI'!$A:$AX,MATCH($E$1,'Data Core CPI'!$A$1:$AX$1,),))/VLOOKUP(EDATE(B63,-12),'Data Core CPI'!$A:$AX,MATCH($E$1,'Data Core CPI'!$A$1:$AX$1,),))</f>
        <v/>
      </c>
      <c r="F63" s="20">
        <f>IF(VLOOKUP(B63,'Data Core CPI'!$A:$AX,MATCH($F$1,'Data Core CPI'!$A$1:$AX$1,),)=0,#N/A,(VLOOKUP(B63,'Data Core CPI'!$A:$AX,MATCH($F$1,'Data Core CPI'!$A$1:$AX$1,),)-VLOOKUP(EDATE(B63,-12),'Data Core CPI'!$A:$AX,MATCH($F$1,'Data Core CPI'!$A$1:$AX$1,),))/VLOOKUP(EDATE(B63,-12),'Data Core CPI'!$A:$AX,MATCH($F$1,'Data Core CPI'!$A$1:$AX$1,),))</f>
        <v/>
      </c>
      <c r="G63" s="20">
        <f>IF(VLOOKUP(B63,'Data Core CPI'!$A:$AX,MATCH($G$1,'Data Core CPI'!$A$1:$AX$1,),)=0,#N/A,(VLOOKUP(B63,'Data Core CPI'!$A:$AX,MATCH($G$1,'Data Core CPI'!$A$1:$AX$1,),)-VLOOKUP(EDATE(B63,-12),'Data Core CPI'!$A:$AX,MATCH($G$1,'Data Core CPI'!$A$1:$AX$1,),))/VLOOKUP(EDATE(B63,-12),'Data Core CPI'!$A:$AX,MATCH($G$1,'Data Core CPI'!$A$1:$AX$1,),))</f>
        <v/>
      </c>
      <c r="H63" s="20">
        <f>IF(VLOOKUP(B63,'Data Core CPI'!$A:$AX,MATCH($H$1,'Data Core CPI'!$A$1:$AX$1,),)=0,#N/A,(VLOOKUP(B63,'Data Core CPI'!$A:$AX,MATCH($H$1,'Data Core CPI'!$A$1:$AX$1,),)-VLOOKUP(EDATE(B63,-12),'Data Core CPI'!$A:$AX,MATCH($H$1,'Data Core CPI'!$A$1:$AX$1,),))/VLOOKUP(EDATE(B63,-12),'Data Core CPI'!$A:$AX,MATCH($H$1,'Data Core CPI'!$A$1:$AX$1,),))</f>
        <v/>
      </c>
      <c r="I63" s="20">
        <f>IF(VLOOKUP(B63,'Data Core CPI'!$A:$AX,MATCH($I$1,'Data Core CPI'!$A$1:$AX$1,),)=0,#N/A,(VLOOKUP(B63,'Data Core CPI'!$A:$AX,MATCH($I$1,'Data Core CPI'!$A$1:$AX$1,),)-VLOOKUP(EDATE(B63,-12),'Data Core CPI'!$A:$AX,MATCH($I$1,'Data Core CPI'!$A$1:$AX$1,),))/VLOOKUP(EDATE(B63,-12),'Data Core CPI'!$A:$AX,MATCH($I$1,'Data Core CPI'!$A$1:$AX$1,),))</f>
        <v/>
      </c>
      <c r="J63" s="20">
        <f>IF(VLOOKUP(B63,'Data Core CPI'!$A:$AX,MATCH($J$1,'Data Core CPI'!$A$1:$AX$1,),)=0,#N/A,(VLOOKUP(B63,'Data Core CPI'!$A:$AX,MATCH($J$1,'Data Core CPI'!$A$1:$AX$1,),)-VLOOKUP(EDATE(B63,-12),'Data Core CPI'!$A:$AX,MATCH($J$1,'Data Core CPI'!$A$1:$AX$1,),))/VLOOKUP(EDATE(B63,-12),'Data Core CPI'!$A:$AX,MATCH($J$1,'Data Core CPI'!$A$1:$AX$1,),))</f>
        <v/>
      </c>
      <c r="K63" s="20">
        <f>IF(VLOOKUP(B63,'Data Core CPI'!$A:$AX,MATCH($K$1,'Data Core CPI'!$A$1:$AX$1,),)=0,#N/A,(VLOOKUP(B63,'Data Core CPI'!$A:$AX,MATCH($K$1,'Data Core CPI'!$A$1:$AX$1,),)-VLOOKUP(EDATE(B63,-12),'Data Core CPI'!$A:$AX,MATCH($K$1,'Data Core CPI'!$A$1:$AX$1,),))/VLOOKUP(EDATE(B63,-12),'Data Core CPI'!$A:$AX,MATCH($K$1,'Data Core CPI'!$A$1:$AX$1,),))</f>
        <v/>
      </c>
      <c r="L63" s="20">
        <f>IF(VLOOKUP(B63,'Data Core CPI'!$A:$AX,MATCH($L$1,'Data Core CPI'!$A$1:$AX$1,),)=0,#N/A,(VLOOKUP(B63,'Data Core CPI'!$A:$AX,MATCH($L$1,'Data Core CPI'!$A$1:$AX$1,),)-VLOOKUP(EDATE(B63,-12),'Data Core CPI'!$A:$AX,MATCH($L$1,'Data Core CPI'!$A$1:$AX$1,),))/VLOOKUP(EDATE(B63,-12),'Data Core CPI'!$A:$AX,MATCH($L$1,'Data Core CPI'!$A$1:$AX$1,),))</f>
        <v/>
      </c>
      <c r="M63" s="20">
        <f>IF(VLOOKUP(B63,'Data Core CPI'!$A:$AX,MATCH($M$1,'Data Core CPI'!$A$1:$AX$1,),)=0,#N/A,(VLOOKUP(B63,'Data Core CPI'!$A:$AX,MATCH($M$1,'Data Core CPI'!$A$1:$AX$1,),)-VLOOKUP(EDATE(B63,-12),'Data Core CPI'!$A:$AX,MATCH($M$1,'Data Core CPI'!$A$1:$AX$1,),))/VLOOKUP(EDATE(B63,-12),'Data Core CPI'!$A:$AX,MATCH($M$1,'Data Core CPI'!$A$1:$AX$1,),))</f>
        <v/>
      </c>
      <c r="N63" s="20">
        <f>(VLOOKUP(B63,'Data Core CPI'!$A:$AX,MATCH($N$1,'Data Core CPI'!$A$1:$AX$1,),)-VLOOKUP(EDATE(B63,-12),'Data Core CPI'!$A:$AX,MATCH($N$1,'Data Core CPI'!$A$1:$AX$1,),))/VLOOKUP(EDATE(B63,-12),'Data Core CPI'!$A:$AX,MATCH($N$1,'Data Core CPI'!$A$1:$AX$1,),)</f>
        <v/>
      </c>
      <c r="O63" s="20">
        <f>(VLOOKUP(B63,'Data Core CPI'!$A:$AX,MATCH($O$1,'Data Core CPI'!$A$1:$AX$1,),)-VLOOKUP(EDATE(B63,-12),'Data Core CPI'!$A:$AX,MATCH($O$1,'Data Core CPI'!$A$1:$AX$1,),))/VLOOKUP(EDATE(B63,-12),'Data Core CPI'!$A:$AX,MATCH($O$1,'Data Core CPI'!$A$1:$AX$1,),)</f>
        <v/>
      </c>
      <c r="P63" s="20">
        <f>IF(VLOOKUP(B63,'Data Core CPI'!$A:$AX,MATCH($P$1,'Data Core CPI'!$A$1:$AX$1,),)=0,#N/A,(VLOOKUP(B63,'Data Core CPI'!$A:$AX,MATCH($P$1,'Data Core CPI'!$A$1:$AX$1,),)-VLOOKUP(EDATE(B63,-12),'Data Core CPI'!$A:$AX,MATCH($P$1,'Data Core CPI'!$A$1:$AX$1,),))/VLOOKUP(EDATE(B63,-12),'Data Core CPI'!$A:$AX,MATCH($P$1,'Data Core CPI'!$A$1:$AX$1,),))</f>
        <v/>
      </c>
      <c r="Q63" s="20">
        <f>(VLOOKUP(B63,'Data Core CPI'!$A:$AX,MATCH($Q$1,'Data Core CPI'!$A$1:$AX$1,),)-VLOOKUP(EDATE(B63,-12),'Data Core CPI'!$A:$AX,MATCH($Q$1,'Data Core CPI'!$A$1:$AX$1,),))/VLOOKUP(EDATE(B63,-12),'Data Core CPI'!$A:$AX,MATCH($Q$1,'Data Core CPI'!$A$1:$AX$1,),)</f>
        <v/>
      </c>
      <c r="R63" s="20">
        <f>IF(VLOOKUP(B63,'Data Core CPI'!$A:$AX,MATCH($R$1,'Data Core CPI'!$A$1:$AX$1,),)=0,#N/A,(VLOOKUP(B63,'Data Core CPI'!$A:$AX,MATCH($R$1,'Data Core CPI'!$A$1:$AX$1,),)-VLOOKUP(EDATE(B63,-12),'Data Core CPI'!$A:$AX,MATCH($R$1,'Data Core CPI'!$A$1:$AX$1,),))/VLOOKUP(EDATE(B63,-12),'Data Core CPI'!$A:$AX,MATCH($R$1,'Data Core CPI'!$A$1:$AX$1,),))</f>
        <v/>
      </c>
      <c r="S63" s="20">
        <f>(VLOOKUP(B63,'Data Core CPI'!$A:$AX,MATCH($S$1,'Data Core CPI'!$A$1:$AX$1,),)-VLOOKUP(EDATE(B63,-12),'Data Core CPI'!$A:$AX,MATCH($S$1,'Data Core CPI'!$A$1:$AX$1,),))/VLOOKUP(EDATE(B63,-12),'Data Core CPI'!$A:$AX,MATCH($S$1,'Data Core CPI'!$A$1:$AX$1,),)</f>
        <v/>
      </c>
      <c r="T63" s="20">
        <f>(VLOOKUP(B63,'Data Core CPI'!$A:$AX,MATCH($T$1,'Data Core CPI'!$A$1:$AX$1,),)-VLOOKUP(EDATE(B63,-12),'Data Core CPI'!$A:$AX,MATCH($T$1,'Data Core CPI'!$A$1:$AX$1,),))/VLOOKUP(EDATE(B63,-12),'Data Core CPI'!$A:$AX,MATCH($T$1,'Data Core CPI'!$A$1:$AX$1,),)</f>
        <v/>
      </c>
      <c r="U63" s="20">
        <f>IF(VLOOKUP(B63,'Data Core CPI'!$A:$AX,MATCH($U$1,'Data Core CPI'!$A$1:$AX$1,),)=0,#N/A,(VLOOKUP(B63,'Data Core CPI'!$A:$AX,MATCH($U$1,'Data Core CPI'!$A$1:$AX$1,),)-VLOOKUP(EDATE(B63,-12),'Data Core CPI'!$A:$AX,MATCH($U$1,'Data Core CPI'!$A$1:$AX$1,),))/VLOOKUP(EDATE(B63,-12),'Data Core CPI'!$A:$AX,MATCH($U$1,'Data Core CPI'!$A$1:$AX$1,),))</f>
        <v/>
      </c>
      <c r="V63" s="20">
        <f>(VLOOKUP(B63,'Data Core CPI'!$A:$AX,MATCH($V$1,'Data Core CPI'!$A$1:$AX$1,),)-VLOOKUP(EDATE(B63,-12),'Data Core CPI'!$A:$AX,MATCH($V$1,'Data Core CPI'!$A$1:$AX$1,),))/VLOOKUP(EDATE(B63,-12),'Data Core CPI'!$A:$AX,MATCH($V$1,'Data Core CPI'!$A$1:$AX$1,),)</f>
        <v/>
      </c>
      <c r="W63" s="20">
        <f>IF(VLOOKUP(B63,'Data Core CPI'!$A:$AX,MATCH($W$1,'Data Core CPI'!$A$1:$AX$1,),)=0,#N/A,(VLOOKUP(B63,'Data Core CPI'!$A:$AX,MATCH($W$1,'Data Core CPI'!$A$1:$AX$1,),)-VLOOKUP(EDATE(B63,-12),'Data Core CPI'!$A:$AX,MATCH($W$1,'Data Core CPI'!$A$1:$AX$1,),))/VLOOKUP(EDATE(B63,-12),'Data Core CPI'!$A:$AX,MATCH($W$1,'Data Core CPI'!$A$1:$AX$1,),))</f>
        <v/>
      </c>
      <c r="X63" s="20">
        <f>IF(VLOOKUP(B63,'Data Core CPI'!$A:$AX,MATCH($X$1,'Data Core CPI'!$A$1:$AX$1,),)=0,#N/A,(VLOOKUP(B63,'Data Core CPI'!$A:$AX,MATCH($X$1,'Data Core CPI'!$A$1:$AX$1,),)-VLOOKUP(EDATE(B63,-12),'Data Core CPI'!$A:$AX,MATCH($X$1,'Data Core CPI'!$A$1:$AX$1,),))/VLOOKUP(EDATE(B63,-12),'Data Core CPI'!$A:$AX,MATCH($X$1,'Data Core CPI'!$A$1:$AX$1,),))</f>
        <v/>
      </c>
      <c r="Y63" s="20">
        <f>IF(VLOOKUP(B63,'Data Core CPI'!$A:$AX,MATCH($Y$1,'Data Core CPI'!$A$1:$AX$1,),)=0,#N/A,(VLOOKUP(B63,'Data Core CPI'!$A:$AX,MATCH($Y$1,'Data Core CPI'!$A$1:$AX$1,),)-VLOOKUP(EDATE(B63,-12),'Data Core CPI'!$A:$AX,MATCH($Y$1,'Data Core CPI'!$A$1:$AX$1,),))/VLOOKUP(EDATE(B63,-12),'Data Core CPI'!$A:$AX,MATCH($Y$1,'Data Core CPI'!$A$1:$AX$1,),))</f>
        <v/>
      </c>
      <c r="Z63" s="20">
        <f>(VLOOKUP(B63,Data!$A:$AX,MATCH($Z$1,Data!$A$1:$AX$1,),)-VLOOKUP(EDATE(B63,-12),Data!$A:$AX,MATCH($Z$1,Data!$A$1:$AX$1,),))/VLOOKUP(EDATE(B63,-12),Data!$A:$AX,MATCH($Z$1,Data!$A$1:$AX$1,),)</f>
        <v/>
      </c>
      <c r="AA63" s="20">
        <f>(VLOOKUP(B63,Data!$A:$AX,MATCH($AA$1,Data!$A$1:$AX$1,),)-VLOOKUP(EDATE(B63,-12),Data!$A:$AX,MATCH($AA$1,Data!$A$1:$AX$1,),))/VLOOKUP(EDATE(B63,-12),Data!$A:$AX,MATCH($AA$1,Data!$A$1:$AX$1,),)</f>
        <v/>
      </c>
      <c r="AB63" s="19" t="n"/>
    </row>
    <row r="64">
      <c r="B64" s="15" t="n">
        <v>42156</v>
      </c>
      <c r="C64" s="20">
        <f>IF(VLOOKUP(B64,'Data Core CPI'!$A:$AX,MATCH($C$1,'Data Core CPI'!$A$1:$AX$1,),)=0,#N/A,(VLOOKUP(B64,'Data Core CPI'!$A:$AX,MATCH($C$1,'Data Core CPI'!$A$1:$AX$1,),)-VLOOKUP(EDATE(B64,-12),'Data Core CPI'!$A:$AX,MATCH($C$1,'Data Core CPI'!$A$1:$AX$1,),))/VLOOKUP(EDATE(B64,-12),'Data Core CPI'!$A:$AX,MATCH($C$1,'Data Core CPI'!$A$1:$AX$1,),))</f>
        <v/>
      </c>
      <c r="D64" s="20">
        <f>(VLOOKUP(B64,'Data Core CPI'!$A:$AX,MATCH($D$1,'Data Core CPI'!$A$1:$AX$1,),)-VLOOKUP(EDATE(B64,-12),'Data Core CPI'!$A:$AX,MATCH($D$1,'Data Core CPI'!$A$1:$AX$1,),))/VLOOKUP(EDATE(B64,-12),'Data Core CPI'!$A:$AX,MATCH($D$1,'Data Core CPI'!$A$1:$AX$1,),)</f>
        <v/>
      </c>
      <c r="E64" s="20">
        <f>IF(VLOOKUP(B64,'Data Core CPI'!$A:$AX,MATCH($E$1,'Data Core CPI'!$A$1:$AX$1,),)=0,#N/A,(VLOOKUP(B64,'Data Core CPI'!$A:$AX,MATCH($E$1,'Data Core CPI'!$A$1:$AX$1,),)-VLOOKUP(EDATE(B64,-12),'Data Core CPI'!$A:$AX,MATCH($E$1,'Data Core CPI'!$A$1:$AX$1,),))/VLOOKUP(EDATE(B64,-12),'Data Core CPI'!$A:$AX,MATCH($E$1,'Data Core CPI'!$A$1:$AX$1,),))</f>
        <v/>
      </c>
      <c r="F64" s="20">
        <f>IF(VLOOKUP(B64,'Data Core CPI'!$A:$AX,MATCH($F$1,'Data Core CPI'!$A$1:$AX$1,),)=0,#N/A,(VLOOKUP(B64,'Data Core CPI'!$A:$AX,MATCH($F$1,'Data Core CPI'!$A$1:$AX$1,),)-VLOOKUP(EDATE(B64,-12),'Data Core CPI'!$A:$AX,MATCH($F$1,'Data Core CPI'!$A$1:$AX$1,),))/VLOOKUP(EDATE(B64,-12),'Data Core CPI'!$A:$AX,MATCH($F$1,'Data Core CPI'!$A$1:$AX$1,),))</f>
        <v/>
      </c>
      <c r="G64" s="20">
        <f>IF(VLOOKUP(B64,'Data Core CPI'!$A:$AX,MATCH($G$1,'Data Core CPI'!$A$1:$AX$1,),)=0,#N/A,(VLOOKUP(B64,'Data Core CPI'!$A:$AX,MATCH($G$1,'Data Core CPI'!$A$1:$AX$1,),)-VLOOKUP(EDATE(B64,-12),'Data Core CPI'!$A:$AX,MATCH($G$1,'Data Core CPI'!$A$1:$AX$1,),))/VLOOKUP(EDATE(B64,-12),'Data Core CPI'!$A:$AX,MATCH($G$1,'Data Core CPI'!$A$1:$AX$1,),))</f>
        <v/>
      </c>
      <c r="H64" s="20">
        <f>IF(VLOOKUP(B64,'Data Core CPI'!$A:$AX,MATCH($H$1,'Data Core CPI'!$A$1:$AX$1,),)=0,#N/A,(VLOOKUP(B64,'Data Core CPI'!$A:$AX,MATCH($H$1,'Data Core CPI'!$A$1:$AX$1,),)-VLOOKUP(EDATE(B64,-12),'Data Core CPI'!$A:$AX,MATCH($H$1,'Data Core CPI'!$A$1:$AX$1,),))/VLOOKUP(EDATE(B64,-12),'Data Core CPI'!$A:$AX,MATCH($H$1,'Data Core CPI'!$A$1:$AX$1,),))</f>
        <v/>
      </c>
      <c r="I64" s="20">
        <f>IF(VLOOKUP(B64,'Data Core CPI'!$A:$AX,MATCH($I$1,'Data Core CPI'!$A$1:$AX$1,),)=0,#N/A,(VLOOKUP(B64,'Data Core CPI'!$A:$AX,MATCH($I$1,'Data Core CPI'!$A$1:$AX$1,),)-VLOOKUP(EDATE(B64,-12),'Data Core CPI'!$A:$AX,MATCH($I$1,'Data Core CPI'!$A$1:$AX$1,),))/VLOOKUP(EDATE(B64,-12),'Data Core CPI'!$A:$AX,MATCH($I$1,'Data Core CPI'!$A$1:$AX$1,),))</f>
        <v/>
      </c>
      <c r="J64" s="20">
        <f>IF(VLOOKUP(B64,'Data Core CPI'!$A:$AX,MATCH($J$1,'Data Core CPI'!$A$1:$AX$1,),)=0,#N/A,(VLOOKUP(B64,'Data Core CPI'!$A:$AX,MATCH($J$1,'Data Core CPI'!$A$1:$AX$1,),)-VLOOKUP(EDATE(B64,-12),'Data Core CPI'!$A:$AX,MATCH($J$1,'Data Core CPI'!$A$1:$AX$1,),))/VLOOKUP(EDATE(B64,-12),'Data Core CPI'!$A:$AX,MATCH($J$1,'Data Core CPI'!$A$1:$AX$1,),))</f>
        <v/>
      </c>
      <c r="K64" s="20">
        <f>IF(VLOOKUP(B64,'Data Core CPI'!$A:$AX,MATCH($K$1,'Data Core CPI'!$A$1:$AX$1,),)=0,#N/A,(VLOOKUP(B64,'Data Core CPI'!$A:$AX,MATCH($K$1,'Data Core CPI'!$A$1:$AX$1,),)-VLOOKUP(EDATE(B64,-12),'Data Core CPI'!$A:$AX,MATCH($K$1,'Data Core CPI'!$A$1:$AX$1,),))/VLOOKUP(EDATE(B64,-12),'Data Core CPI'!$A:$AX,MATCH($K$1,'Data Core CPI'!$A$1:$AX$1,),))</f>
        <v/>
      </c>
      <c r="L64" s="20">
        <f>IF(VLOOKUP(B64,'Data Core CPI'!$A:$AX,MATCH($L$1,'Data Core CPI'!$A$1:$AX$1,),)=0,#N/A,(VLOOKUP(B64,'Data Core CPI'!$A:$AX,MATCH($L$1,'Data Core CPI'!$A$1:$AX$1,),)-VLOOKUP(EDATE(B64,-12),'Data Core CPI'!$A:$AX,MATCH($L$1,'Data Core CPI'!$A$1:$AX$1,),))/VLOOKUP(EDATE(B64,-12),'Data Core CPI'!$A:$AX,MATCH($L$1,'Data Core CPI'!$A$1:$AX$1,),))</f>
        <v/>
      </c>
      <c r="M64" s="20">
        <f>IF(VLOOKUP(B64,'Data Core CPI'!$A:$AX,MATCH($M$1,'Data Core CPI'!$A$1:$AX$1,),)=0,#N/A,(VLOOKUP(B64,'Data Core CPI'!$A:$AX,MATCH($M$1,'Data Core CPI'!$A$1:$AX$1,),)-VLOOKUP(EDATE(B64,-12),'Data Core CPI'!$A:$AX,MATCH($M$1,'Data Core CPI'!$A$1:$AX$1,),))/VLOOKUP(EDATE(B64,-12),'Data Core CPI'!$A:$AX,MATCH($M$1,'Data Core CPI'!$A$1:$AX$1,),))</f>
        <v/>
      </c>
      <c r="N64" s="20">
        <f>(VLOOKUP(B64,'Data Core CPI'!$A:$AX,MATCH($N$1,'Data Core CPI'!$A$1:$AX$1,),)-VLOOKUP(EDATE(B64,-12),'Data Core CPI'!$A:$AX,MATCH($N$1,'Data Core CPI'!$A$1:$AX$1,),))/VLOOKUP(EDATE(B64,-12),'Data Core CPI'!$A:$AX,MATCH($N$1,'Data Core CPI'!$A$1:$AX$1,),)</f>
        <v/>
      </c>
      <c r="O64" s="20">
        <f>(VLOOKUP(B64,'Data Core CPI'!$A:$AX,MATCH($O$1,'Data Core CPI'!$A$1:$AX$1,),)-VLOOKUP(EDATE(B64,-12),'Data Core CPI'!$A:$AX,MATCH($O$1,'Data Core CPI'!$A$1:$AX$1,),))/VLOOKUP(EDATE(B64,-12),'Data Core CPI'!$A:$AX,MATCH($O$1,'Data Core CPI'!$A$1:$AX$1,),)</f>
        <v/>
      </c>
      <c r="P64" s="20">
        <f>IF(VLOOKUP(B64,'Data Core CPI'!$A:$AX,MATCH($P$1,'Data Core CPI'!$A$1:$AX$1,),)=0,#N/A,(VLOOKUP(B64,'Data Core CPI'!$A:$AX,MATCH($P$1,'Data Core CPI'!$A$1:$AX$1,),)-VLOOKUP(EDATE(B64,-12),'Data Core CPI'!$A:$AX,MATCH($P$1,'Data Core CPI'!$A$1:$AX$1,),))/VLOOKUP(EDATE(B64,-12),'Data Core CPI'!$A:$AX,MATCH($P$1,'Data Core CPI'!$A$1:$AX$1,),))</f>
        <v/>
      </c>
      <c r="Q64" s="20">
        <f>(VLOOKUP(B64,'Data Core CPI'!$A:$AX,MATCH($Q$1,'Data Core CPI'!$A$1:$AX$1,),)-VLOOKUP(EDATE(B64,-12),'Data Core CPI'!$A:$AX,MATCH($Q$1,'Data Core CPI'!$A$1:$AX$1,),))/VLOOKUP(EDATE(B64,-12),'Data Core CPI'!$A:$AX,MATCH($Q$1,'Data Core CPI'!$A$1:$AX$1,),)</f>
        <v/>
      </c>
      <c r="R64" s="20">
        <f>IF(VLOOKUP(B64,'Data Core CPI'!$A:$AX,MATCH($R$1,'Data Core CPI'!$A$1:$AX$1,),)=0,#N/A,(VLOOKUP(B64,'Data Core CPI'!$A:$AX,MATCH($R$1,'Data Core CPI'!$A$1:$AX$1,),)-VLOOKUP(EDATE(B64,-12),'Data Core CPI'!$A:$AX,MATCH($R$1,'Data Core CPI'!$A$1:$AX$1,),))/VLOOKUP(EDATE(B64,-12),'Data Core CPI'!$A:$AX,MATCH($R$1,'Data Core CPI'!$A$1:$AX$1,),))</f>
        <v/>
      </c>
      <c r="S64" s="20">
        <f>(VLOOKUP(B64,'Data Core CPI'!$A:$AX,MATCH($S$1,'Data Core CPI'!$A$1:$AX$1,),)-VLOOKUP(EDATE(B64,-12),'Data Core CPI'!$A:$AX,MATCH($S$1,'Data Core CPI'!$A$1:$AX$1,),))/VLOOKUP(EDATE(B64,-12),'Data Core CPI'!$A:$AX,MATCH($S$1,'Data Core CPI'!$A$1:$AX$1,),)</f>
        <v/>
      </c>
      <c r="T64" s="20">
        <f>(VLOOKUP(B64,'Data Core CPI'!$A:$AX,MATCH($T$1,'Data Core CPI'!$A$1:$AX$1,),)-VLOOKUP(EDATE(B64,-12),'Data Core CPI'!$A:$AX,MATCH($T$1,'Data Core CPI'!$A$1:$AX$1,),))/VLOOKUP(EDATE(B64,-12),'Data Core CPI'!$A:$AX,MATCH($T$1,'Data Core CPI'!$A$1:$AX$1,),)</f>
        <v/>
      </c>
      <c r="U64" s="20">
        <f>IF(VLOOKUP(B64,'Data Core CPI'!$A:$AX,MATCH($U$1,'Data Core CPI'!$A$1:$AX$1,),)=0,#N/A,(VLOOKUP(B64,'Data Core CPI'!$A:$AX,MATCH($U$1,'Data Core CPI'!$A$1:$AX$1,),)-VLOOKUP(EDATE(B64,-12),'Data Core CPI'!$A:$AX,MATCH($U$1,'Data Core CPI'!$A$1:$AX$1,),))/VLOOKUP(EDATE(B64,-12),'Data Core CPI'!$A:$AX,MATCH($U$1,'Data Core CPI'!$A$1:$AX$1,),))</f>
        <v/>
      </c>
      <c r="V64" s="20">
        <f>(VLOOKUP(B64,'Data Core CPI'!$A:$AX,MATCH($V$1,'Data Core CPI'!$A$1:$AX$1,),)-VLOOKUP(EDATE(B64,-12),'Data Core CPI'!$A:$AX,MATCH($V$1,'Data Core CPI'!$A$1:$AX$1,),))/VLOOKUP(EDATE(B64,-12),'Data Core CPI'!$A:$AX,MATCH($V$1,'Data Core CPI'!$A$1:$AX$1,),)</f>
        <v/>
      </c>
      <c r="W64" s="20">
        <f>IF(VLOOKUP(B64,'Data Core CPI'!$A:$AX,MATCH($W$1,'Data Core CPI'!$A$1:$AX$1,),)=0,#N/A,(VLOOKUP(B64,'Data Core CPI'!$A:$AX,MATCH($W$1,'Data Core CPI'!$A$1:$AX$1,),)-VLOOKUP(EDATE(B64,-12),'Data Core CPI'!$A:$AX,MATCH($W$1,'Data Core CPI'!$A$1:$AX$1,),))/VLOOKUP(EDATE(B64,-12),'Data Core CPI'!$A:$AX,MATCH($W$1,'Data Core CPI'!$A$1:$AX$1,),))</f>
        <v/>
      </c>
      <c r="X64" s="20">
        <f>IF(VLOOKUP(B64,'Data Core CPI'!$A:$AX,MATCH($X$1,'Data Core CPI'!$A$1:$AX$1,),)=0,#N/A,(VLOOKUP(B64,'Data Core CPI'!$A:$AX,MATCH($X$1,'Data Core CPI'!$A$1:$AX$1,),)-VLOOKUP(EDATE(B64,-12),'Data Core CPI'!$A:$AX,MATCH($X$1,'Data Core CPI'!$A$1:$AX$1,),))/VLOOKUP(EDATE(B64,-12),'Data Core CPI'!$A:$AX,MATCH($X$1,'Data Core CPI'!$A$1:$AX$1,),))</f>
        <v/>
      </c>
      <c r="Y64" s="20">
        <f>IF(VLOOKUP(B64,'Data Core CPI'!$A:$AX,MATCH($Y$1,'Data Core CPI'!$A$1:$AX$1,),)=0,#N/A,(VLOOKUP(B64,'Data Core CPI'!$A:$AX,MATCH($Y$1,'Data Core CPI'!$A$1:$AX$1,),)-VLOOKUP(EDATE(B64,-12),'Data Core CPI'!$A:$AX,MATCH($Y$1,'Data Core CPI'!$A$1:$AX$1,),))/VLOOKUP(EDATE(B64,-12),'Data Core CPI'!$A:$AX,MATCH($Y$1,'Data Core CPI'!$A$1:$AX$1,),))</f>
        <v/>
      </c>
      <c r="Z64" s="20">
        <f>(VLOOKUP(B64,Data!$A:$AX,MATCH($Z$1,Data!$A$1:$AX$1,),)-VLOOKUP(EDATE(B64,-12),Data!$A:$AX,MATCH($Z$1,Data!$A$1:$AX$1,),))/VLOOKUP(EDATE(B64,-12),Data!$A:$AX,MATCH($Z$1,Data!$A$1:$AX$1,),)</f>
        <v/>
      </c>
      <c r="AA64" s="20">
        <f>(VLOOKUP(B64,Data!$A:$AX,MATCH($AA$1,Data!$A$1:$AX$1,),)-VLOOKUP(EDATE(B64,-12),Data!$A:$AX,MATCH($AA$1,Data!$A$1:$AX$1,),))/VLOOKUP(EDATE(B64,-12),Data!$A:$AX,MATCH($AA$1,Data!$A$1:$AX$1,),)</f>
        <v/>
      </c>
      <c r="AB64" s="19" t="n"/>
    </row>
    <row r="65">
      <c r="B65" s="15" t="n">
        <v>42186</v>
      </c>
      <c r="C65" s="20">
        <f>IF(VLOOKUP(B65,'Data Core CPI'!$A:$AX,MATCH($C$1,'Data Core CPI'!$A$1:$AX$1,),)=0,#N/A,(VLOOKUP(B65,'Data Core CPI'!$A:$AX,MATCH($C$1,'Data Core CPI'!$A$1:$AX$1,),)-VLOOKUP(EDATE(B65,-12),'Data Core CPI'!$A:$AX,MATCH($C$1,'Data Core CPI'!$A$1:$AX$1,),))/VLOOKUP(EDATE(B65,-12),'Data Core CPI'!$A:$AX,MATCH($C$1,'Data Core CPI'!$A$1:$AX$1,),))</f>
        <v/>
      </c>
      <c r="D65" s="20">
        <f>(VLOOKUP(B65,'Data Core CPI'!$A:$AX,MATCH($D$1,'Data Core CPI'!$A$1:$AX$1,),)-VLOOKUP(EDATE(B65,-12),'Data Core CPI'!$A:$AX,MATCH($D$1,'Data Core CPI'!$A$1:$AX$1,),))/VLOOKUP(EDATE(B65,-12),'Data Core CPI'!$A:$AX,MATCH($D$1,'Data Core CPI'!$A$1:$AX$1,),)</f>
        <v/>
      </c>
      <c r="E65" s="20">
        <f>IF(VLOOKUP(B65,'Data Core CPI'!$A:$AX,MATCH($E$1,'Data Core CPI'!$A$1:$AX$1,),)=0,#N/A,(VLOOKUP(B65,'Data Core CPI'!$A:$AX,MATCH($E$1,'Data Core CPI'!$A$1:$AX$1,),)-VLOOKUP(EDATE(B65,-12),'Data Core CPI'!$A:$AX,MATCH($E$1,'Data Core CPI'!$A$1:$AX$1,),))/VLOOKUP(EDATE(B65,-12),'Data Core CPI'!$A:$AX,MATCH($E$1,'Data Core CPI'!$A$1:$AX$1,),))</f>
        <v/>
      </c>
      <c r="F65" s="20">
        <f>IF(VLOOKUP(B65,'Data Core CPI'!$A:$AX,MATCH($F$1,'Data Core CPI'!$A$1:$AX$1,),)=0,#N/A,(VLOOKUP(B65,'Data Core CPI'!$A:$AX,MATCH($F$1,'Data Core CPI'!$A$1:$AX$1,),)-VLOOKUP(EDATE(B65,-12),'Data Core CPI'!$A:$AX,MATCH($F$1,'Data Core CPI'!$A$1:$AX$1,),))/VLOOKUP(EDATE(B65,-12),'Data Core CPI'!$A:$AX,MATCH($F$1,'Data Core CPI'!$A$1:$AX$1,),))</f>
        <v/>
      </c>
      <c r="G65" s="20">
        <f>IF(VLOOKUP(B65,'Data Core CPI'!$A:$AX,MATCH($G$1,'Data Core CPI'!$A$1:$AX$1,),)=0,#N/A,(VLOOKUP(B65,'Data Core CPI'!$A:$AX,MATCH($G$1,'Data Core CPI'!$A$1:$AX$1,),)-VLOOKUP(EDATE(B65,-12),'Data Core CPI'!$A:$AX,MATCH($G$1,'Data Core CPI'!$A$1:$AX$1,),))/VLOOKUP(EDATE(B65,-12),'Data Core CPI'!$A:$AX,MATCH($G$1,'Data Core CPI'!$A$1:$AX$1,),))</f>
        <v/>
      </c>
      <c r="H65" s="20">
        <f>IF(VLOOKUP(B65,'Data Core CPI'!$A:$AX,MATCH($H$1,'Data Core CPI'!$A$1:$AX$1,),)=0,#N/A,(VLOOKUP(B65,'Data Core CPI'!$A:$AX,MATCH($H$1,'Data Core CPI'!$A$1:$AX$1,),)-VLOOKUP(EDATE(B65,-12),'Data Core CPI'!$A:$AX,MATCH($H$1,'Data Core CPI'!$A$1:$AX$1,),))/VLOOKUP(EDATE(B65,-12),'Data Core CPI'!$A:$AX,MATCH($H$1,'Data Core CPI'!$A$1:$AX$1,),))</f>
        <v/>
      </c>
      <c r="I65" s="20">
        <f>IF(VLOOKUP(B65,'Data Core CPI'!$A:$AX,MATCH($I$1,'Data Core CPI'!$A$1:$AX$1,),)=0,#N/A,(VLOOKUP(B65,'Data Core CPI'!$A:$AX,MATCH($I$1,'Data Core CPI'!$A$1:$AX$1,),)-VLOOKUP(EDATE(B65,-12),'Data Core CPI'!$A:$AX,MATCH($I$1,'Data Core CPI'!$A$1:$AX$1,),))/VLOOKUP(EDATE(B65,-12),'Data Core CPI'!$A:$AX,MATCH($I$1,'Data Core CPI'!$A$1:$AX$1,),))</f>
        <v/>
      </c>
      <c r="J65" s="20">
        <f>IF(VLOOKUP(B65,'Data Core CPI'!$A:$AX,MATCH($J$1,'Data Core CPI'!$A$1:$AX$1,),)=0,#N/A,(VLOOKUP(B65,'Data Core CPI'!$A:$AX,MATCH($J$1,'Data Core CPI'!$A$1:$AX$1,),)-VLOOKUP(EDATE(B65,-12),'Data Core CPI'!$A:$AX,MATCH($J$1,'Data Core CPI'!$A$1:$AX$1,),))/VLOOKUP(EDATE(B65,-12),'Data Core CPI'!$A:$AX,MATCH($J$1,'Data Core CPI'!$A$1:$AX$1,),))</f>
        <v/>
      </c>
      <c r="K65" s="20">
        <f>IF(VLOOKUP(B65,'Data Core CPI'!$A:$AX,MATCH($K$1,'Data Core CPI'!$A$1:$AX$1,),)=0,#N/A,(VLOOKUP(B65,'Data Core CPI'!$A:$AX,MATCH($K$1,'Data Core CPI'!$A$1:$AX$1,),)-VLOOKUP(EDATE(B65,-12),'Data Core CPI'!$A:$AX,MATCH($K$1,'Data Core CPI'!$A$1:$AX$1,),))/VLOOKUP(EDATE(B65,-12),'Data Core CPI'!$A:$AX,MATCH($K$1,'Data Core CPI'!$A$1:$AX$1,),))</f>
        <v/>
      </c>
      <c r="L65" s="20">
        <f>IF(VLOOKUP(B65,'Data Core CPI'!$A:$AX,MATCH($L$1,'Data Core CPI'!$A$1:$AX$1,),)=0,#N/A,(VLOOKUP(B65,'Data Core CPI'!$A:$AX,MATCH($L$1,'Data Core CPI'!$A$1:$AX$1,),)-VLOOKUP(EDATE(B65,-12),'Data Core CPI'!$A:$AX,MATCH($L$1,'Data Core CPI'!$A$1:$AX$1,),))/VLOOKUP(EDATE(B65,-12),'Data Core CPI'!$A:$AX,MATCH($L$1,'Data Core CPI'!$A$1:$AX$1,),))</f>
        <v/>
      </c>
      <c r="M65" s="20">
        <f>IF(VLOOKUP(B65,'Data Core CPI'!$A:$AX,MATCH($M$1,'Data Core CPI'!$A$1:$AX$1,),)=0,#N/A,(VLOOKUP(B65,'Data Core CPI'!$A:$AX,MATCH($M$1,'Data Core CPI'!$A$1:$AX$1,),)-VLOOKUP(EDATE(B65,-12),'Data Core CPI'!$A:$AX,MATCH($M$1,'Data Core CPI'!$A$1:$AX$1,),))/VLOOKUP(EDATE(B65,-12),'Data Core CPI'!$A:$AX,MATCH($M$1,'Data Core CPI'!$A$1:$AX$1,),))</f>
        <v/>
      </c>
      <c r="N65" s="20">
        <f>(VLOOKUP(B65,'Data Core CPI'!$A:$AX,MATCH($N$1,'Data Core CPI'!$A$1:$AX$1,),)-VLOOKUP(EDATE(B65,-12),'Data Core CPI'!$A:$AX,MATCH($N$1,'Data Core CPI'!$A$1:$AX$1,),))/VLOOKUP(EDATE(B65,-12),'Data Core CPI'!$A:$AX,MATCH($N$1,'Data Core CPI'!$A$1:$AX$1,),)</f>
        <v/>
      </c>
      <c r="O65" s="20">
        <f>(VLOOKUP(B65,'Data Core CPI'!$A:$AX,MATCH($O$1,'Data Core CPI'!$A$1:$AX$1,),)-VLOOKUP(EDATE(B65,-12),'Data Core CPI'!$A:$AX,MATCH($O$1,'Data Core CPI'!$A$1:$AX$1,),))/VLOOKUP(EDATE(B65,-12),'Data Core CPI'!$A:$AX,MATCH($O$1,'Data Core CPI'!$A$1:$AX$1,),)</f>
        <v/>
      </c>
      <c r="P65" s="20">
        <f>IF(VLOOKUP(B65,'Data Core CPI'!$A:$AX,MATCH($P$1,'Data Core CPI'!$A$1:$AX$1,),)=0,#N/A,(VLOOKUP(B65,'Data Core CPI'!$A:$AX,MATCH($P$1,'Data Core CPI'!$A$1:$AX$1,),)-VLOOKUP(EDATE(B65,-12),'Data Core CPI'!$A:$AX,MATCH($P$1,'Data Core CPI'!$A$1:$AX$1,),))/VLOOKUP(EDATE(B65,-12),'Data Core CPI'!$A:$AX,MATCH($P$1,'Data Core CPI'!$A$1:$AX$1,),))</f>
        <v/>
      </c>
      <c r="Q65" s="20">
        <f>(VLOOKUP(B65,'Data Core CPI'!$A:$AX,MATCH($Q$1,'Data Core CPI'!$A$1:$AX$1,),)-VLOOKUP(EDATE(B65,-12),'Data Core CPI'!$A:$AX,MATCH($Q$1,'Data Core CPI'!$A$1:$AX$1,),))/VLOOKUP(EDATE(B65,-12),'Data Core CPI'!$A:$AX,MATCH($Q$1,'Data Core CPI'!$A$1:$AX$1,),)</f>
        <v/>
      </c>
      <c r="R65" s="20">
        <f>IF(VLOOKUP(B65,'Data Core CPI'!$A:$AX,MATCH($R$1,'Data Core CPI'!$A$1:$AX$1,),)=0,#N/A,(VLOOKUP(B65,'Data Core CPI'!$A:$AX,MATCH($R$1,'Data Core CPI'!$A$1:$AX$1,),)-VLOOKUP(EDATE(B65,-12),'Data Core CPI'!$A:$AX,MATCH($R$1,'Data Core CPI'!$A$1:$AX$1,),))/VLOOKUP(EDATE(B65,-12),'Data Core CPI'!$A:$AX,MATCH($R$1,'Data Core CPI'!$A$1:$AX$1,),))</f>
        <v/>
      </c>
      <c r="S65" s="20">
        <f>(VLOOKUP(B65,'Data Core CPI'!$A:$AX,MATCH($S$1,'Data Core CPI'!$A$1:$AX$1,),)-VLOOKUP(EDATE(B65,-12),'Data Core CPI'!$A:$AX,MATCH($S$1,'Data Core CPI'!$A$1:$AX$1,),))/VLOOKUP(EDATE(B65,-12),'Data Core CPI'!$A:$AX,MATCH($S$1,'Data Core CPI'!$A$1:$AX$1,),)</f>
        <v/>
      </c>
      <c r="T65" s="20">
        <f>(VLOOKUP(B65,'Data Core CPI'!$A:$AX,MATCH($T$1,'Data Core CPI'!$A$1:$AX$1,),)-VLOOKUP(EDATE(B65,-12),'Data Core CPI'!$A:$AX,MATCH($T$1,'Data Core CPI'!$A$1:$AX$1,),))/VLOOKUP(EDATE(B65,-12),'Data Core CPI'!$A:$AX,MATCH($T$1,'Data Core CPI'!$A$1:$AX$1,),)</f>
        <v/>
      </c>
      <c r="U65" s="20">
        <f>IF(VLOOKUP(B65,'Data Core CPI'!$A:$AX,MATCH($U$1,'Data Core CPI'!$A$1:$AX$1,),)=0,#N/A,(VLOOKUP(B65,'Data Core CPI'!$A:$AX,MATCH($U$1,'Data Core CPI'!$A$1:$AX$1,),)-VLOOKUP(EDATE(B65,-12),'Data Core CPI'!$A:$AX,MATCH($U$1,'Data Core CPI'!$A$1:$AX$1,),))/VLOOKUP(EDATE(B65,-12),'Data Core CPI'!$A:$AX,MATCH($U$1,'Data Core CPI'!$A$1:$AX$1,),))</f>
        <v/>
      </c>
      <c r="V65" s="20">
        <f>(VLOOKUP(B65,'Data Core CPI'!$A:$AX,MATCH($V$1,'Data Core CPI'!$A$1:$AX$1,),)-VLOOKUP(EDATE(B65,-12),'Data Core CPI'!$A:$AX,MATCH($V$1,'Data Core CPI'!$A$1:$AX$1,),))/VLOOKUP(EDATE(B65,-12),'Data Core CPI'!$A:$AX,MATCH($V$1,'Data Core CPI'!$A$1:$AX$1,),)</f>
        <v/>
      </c>
      <c r="W65" s="20">
        <f>IF(VLOOKUP(B65,'Data Core CPI'!$A:$AX,MATCH($W$1,'Data Core CPI'!$A$1:$AX$1,),)=0,#N/A,(VLOOKUP(B65,'Data Core CPI'!$A:$AX,MATCH($W$1,'Data Core CPI'!$A$1:$AX$1,),)-VLOOKUP(EDATE(B65,-12),'Data Core CPI'!$A:$AX,MATCH($W$1,'Data Core CPI'!$A$1:$AX$1,),))/VLOOKUP(EDATE(B65,-12),'Data Core CPI'!$A:$AX,MATCH($W$1,'Data Core CPI'!$A$1:$AX$1,),))</f>
        <v/>
      </c>
      <c r="X65" s="20">
        <f>IF(VLOOKUP(B65,'Data Core CPI'!$A:$AX,MATCH($X$1,'Data Core CPI'!$A$1:$AX$1,),)=0,#N/A,(VLOOKUP(B65,'Data Core CPI'!$A:$AX,MATCH($X$1,'Data Core CPI'!$A$1:$AX$1,),)-VLOOKUP(EDATE(B65,-12),'Data Core CPI'!$A:$AX,MATCH($X$1,'Data Core CPI'!$A$1:$AX$1,),))/VLOOKUP(EDATE(B65,-12),'Data Core CPI'!$A:$AX,MATCH($X$1,'Data Core CPI'!$A$1:$AX$1,),))</f>
        <v/>
      </c>
      <c r="Y65" s="20">
        <f>IF(VLOOKUP(B65,'Data Core CPI'!$A:$AX,MATCH($Y$1,'Data Core CPI'!$A$1:$AX$1,),)=0,#N/A,(VLOOKUP(B65,'Data Core CPI'!$A:$AX,MATCH($Y$1,'Data Core CPI'!$A$1:$AX$1,),)-VLOOKUP(EDATE(B65,-12),'Data Core CPI'!$A:$AX,MATCH($Y$1,'Data Core CPI'!$A$1:$AX$1,),))/VLOOKUP(EDATE(B65,-12),'Data Core CPI'!$A:$AX,MATCH($Y$1,'Data Core CPI'!$A$1:$AX$1,),))</f>
        <v/>
      </c>
      <c r="Z65" s="20">
        <f>(VLOOKUP(B65,Data!$A:$AX,MATCH($Z$1,Data!$A$1:$AX$1,),)-VLOOKUP(EDATE(B65,-12),Data!$A:$AX,MATCH($Z$1,Data!$A$1:$AX$1,),))/VLOOKUP(EDATE(B65,-12),Data!$A:$AX,MATCH($Z$1,Data!$A$1:$AX$1,),)</f>
        <v/>
      </c>
      <c r="AA65" s="20">
        <f>(VLOOKUP(B65,Data!$A:$AX,MATCH($AA$1,Data!$A$1:$AX$1,),)-VLOOKUP(EDATE(B65,-12),Data!$A:$AX,MATCH($AA$1,Data!$A$1:$AX$1,),))/VLOOKUP(EDATE(B65,-12),Data!$A:$AX,MATCH($AA$1,Data!$A$1:$AX$1,),)</f>
        <v/>
      </c>
      <c r="AB65" s="19" t="n"/>
    </row>
    <row r="66">
      <c r="B66" s="15" t="n">
        <v>42217</v>
      </c>
      <c r="C66" s="20">
        <f>IF(VLOOKUP(B66,'Data Core CPI'!$A:$AX,MATCH($C$1,'Data Core CPI'!$A$1:$AX$1,),)=0,#N/A,(VLOOKUP(B66,'Data Core CPI'!$A:$AX,MATCH($C$1,'Data Core CPI'!$A$1:$AX$1,),)-VLOOKUP(EDATE(B66,-12),'Data Core CPI'!$A:$AX,MATCH($C$1,'Data Core CPI'!$A$1:$AX$1,),))/VLOOKUP(EDATE(B66,-12),'Data Core CPI'!$A:$AX,MATCH($C$1,'Data Core CPI'!$A$1:$AX$1,),))</f>
        <v/>
      </c>
      <c r="D66" s="20">
        <f>(VLOOKUP(B66,'Data Core CPI'!$A:$AX,MATCH($D$1,'Data Core CPI'!$A$1:$AX$1,),)-VLOOKUP(EDATE(B66,-12),'Data Core CPI'!$A:$AX,MATCH($D$1,'Data Core CPI'!$A$1:$AX$1,),))/VLOOKUP(EDATE(B66,-12),'Data Core CPI'!$A:$AX,MATCH($D$1,'Data Core CPI'!$A$1:$AX$1,),)</f>
        <v/>
      </c>
      <c r="E66" s="20">
        <f>IF(VLOOKUP(B66,'Data Core CPI'!$A:$AX,MATCH($E$1,'Data Core CPI'!$A$1:$AX$1,),)=0,#N/A,(VLOOKUP(B66,'Data Core CPI'!$A:$AX,MATCH($E$1,'Data Core CPI'!$A$1:$AX$1,),)-VLOOKUP(EDATE(B66,-12),'Data Core CPI'!$A:$AX,MATCH($E$1,'Data Core CPI'!$A$1:$AX$1,),))/VLOOKUP(EDATE(B66,-12),'Data Core CPI'!$A:$AX,MATCH($E$1,'Data Core CPI'!$A$1:$AX$1,),))</f>
        <v/>
      </c>
      <c r="F66" s="20">
        <f>IF(VLOOKUP(B66,'Data Core CPI'!$A:$AX,MATCH($F$1,'Data Core CPI'!$A$1:$AX$1,),)=0,#N/A,(VLOOKUP(B66,'Data Core CPI'!$A:$AX,MATCH($F$1,'Data Core CPI'!$A$1:$AX$1,),)-VLOOKUP(EDATE(B66,-12),'Data Core CPI'!$A:$AX,MATCH($F$1,'Data Core CPI'!$A$1:$AX$1,),))/VLOOKUP(EDATE(B66,-12),'Data Core CPI'!$A:$AX,MATCH($F$1,'Data Core CPI'!$A$1:$AX$1,),))</f>
        <v/>
      </c>
      <c r="G66" s="20">
        <f>IF(VLOOKUP(B66,'Data Core CPI'!$A:$AX,MATCH($G$1,'Data Core CPI'!$A$1:$AX$1,),)=0,#N/A,(VLOOKUP(B66,'Data Core CPI'!$A:$AX,MATCH($G$1,'Data Core CPI'!$A$1:$AX$1,),)-VLOOKUP(EDATE(B66,-12),'Data Core CPI'!$A:$AX,MATCH($G$1,'Data Core CPI'!$A$1:$AX$1,),))/VLOOKUP(EDATE(B66,-12),'Data Core CPI'!$A:$AX,MATCH($G$1,'Data Core CPI'!$A$1:$AX$1,),))</f>
        <v/>
      </c>
      <c r="H66" s="20">
        <f>IF(VLOOKUP(B66,'Data Core CPI'!$A:$AX,MATCH($H$1,'Data Core CPI'!$A$1:$AX$1,),)=0,#N/A,(VLOOKUP(B66,'Data Core CPI'!$A:$AX,MATCH($H$1,'Data Core CPI'!$A$1:$AX$1,),)-VLOOKUP(EDATE(B66,-12),'Data Core CPI'!$A:$AX,MATCH($H$1,'Data Core CPI'!$A$1:$AX$1,),))/VLOOKUP(EDATE(B66,-12),'Data Core CPI'!$A:$AX,MATCH($H$1,'Data Core CPI'!$A$1:$AX$1,),))</f>
        <v/>
      </c>
      <c r="I66" s="20">
        <f>IF(VLOOKUP(B66,'Data Core CPI'!$A:$AX,MATCH($I$1,'Data Core CPI'!$A$1:$AX$1,),)=0,#N/A,(VLOOKUP(B66,'Data Core CPI'!$A:$AX,MATCH($I$1,'Data Core CPI'!$A$1:$AX$1,),)-VLOOKUP(EDATE(B66,-12),'Data Core CPI'!$A:$AX,MATCH($I$1,'Data Core CPI'!$A$1:$AX$1,),))/VLOOKUP(EDATE(B66,-12),'Data Core CPI'!$A:$AX,MATCH($I$1,'Data Core CPI'!$A$1:$AX$1,),))</f>
        <v/>
      </c>
      <c r="J66" s="20">
        <f>IF(VLOOKUP(B66,'Data Core CPI'!$A:$AX,MATCH($J$1,'Data Core CPI'!$A$1:$AX$1,),)=0,#N/A,(VLOOKUP(B66,'Data Core CPI'!$A:$AX,MATCH($J$1,'Data Core CPI'!$A$1:$AX$1,),)-VLOOKUP(EDATE(B66,-12),'Data Core CPI'!$A:$AX,MATCH($J$1,'Data Core CPI'!$A$1:$AX$1,),))/VLOOKUP(EDATE(B66,-12),'Data Core CPI'!$A:$AX,MATCH($J$1,'Data Core CPI'!$A$1:$AX$1,),))</f>
        <v/>
      </c>
      <c r="K66" s="20">
        <f>IF(VLOOKUP(B66,'Data Core CPI'!$A:$AX,MATCH($K$1,'Data Core CPI'!$A$1:$AX$1,),)=0,#N/A,(VLOOKUP(B66,'Data Core CPI'!$A:$AX,MATCH($K$1,'Data Core CPI'!$A$1:$AX$1,),)-VLOOKUP(EDATE(B66,-12),'Data Core CPI'!$A:$AX,MATCH($K$1,'Data Core CPI'!$A$1:$AX$1,),))/VLOOKUP(EDATE(B66,-12),'Data Core CPI'!$A:$AX,MATCH($K$1,'Data Core CPI'!$A$1:$AX$1,),))</f>
        <v/>
      </c>
      <c r="L66" s="20">
        <f>IF(VLOOKUP(B66,'Data Core CPI'!$A:$AX,MATCH($L$1,'Data Core CPI'!$A$1:$AX$1,),)=0,#N/A,(VLOOKUP(B66,'Data Core CPI'!$A:$AX,MATCH($L$1,'Data Core CPI'!$A$1:$AX$1,),)-VLOOKUP(EDATE(B66,-12),'Data Core CPI'!$A:$AX,MATCH($L$1,'Data Core CPI'!$A$1:$AX$1,),))/VLOOKUP(EDATE(B66,-12),'Data Core CPI'!$A:$AX,MATCH($L$1,'Data Core CPI'!$A$1:$AX$1,),))</f>
        <v/>
      </c>
      <c r="M66" s="20">
        <f>IF(VLOOKUP(B66,'Data Core CPI'!$A:$AX,MATCH($M$1,'Data Core CPI'!$A$1:$AX$1,),)=0,#N/A,(VLOOKUP(B66,'Data Core CPI'!$A:$AX,MATCH($M$1,'Data Core CPI'!$A$1:$AX$1,),)-VLOOKUP(EDATE(B66,-12),'Data Core CPI'!$A:$AX,MATCH($M$1,'Data Core CPI'!$A$1:$AX$1,),))/VLOOKUP(EDATE(B66,-12),'Data Core CPI'!$A:$AX,MATCH($M$1,'Data Core CPI'!$A$1:$AX$1,),))</f>
        <v/>
      </c>
      <c r="N66" s="20">
        <f>(VLOOKUP(B66,'Data Core CPI'!$A:$AX,MATCH($N$1,'Data Core CPI'!$A$1:$AX$1,),)-VLOOKUP(EDATE(B66,-12),'Data Core CPI'!$A:$AX,MATCH($N$1,'Data Core CPI'!$A$1:$AX$1,),))/VLOOKUP(EDATE(B66,-12),'Data Core CPI'!$A:$AX,MATCH($N$1,'Data Core CPI'!$A$1:$AX$1,),)</f>
        <v/>
      </c>
      <c r="O66" s="20">
        <f>(VLOOKUP(B66,'Data Core CPI'!$A:$AX,MATCH($O$1,'Data Core CPI'!$A$1:$AX$1,),)-VLOOKUP(EDATE(B66,-12),'Data Core CPI'!$A:$AX,MATCH($O$1,'Data Core CPI'!$A$1:$AX$1,),))/VLOOKUP(EDATE(B66,-12),'Data Core CPI'!$A:$AX,MATCH($O$1,'Data Core CPI'!$A$1:$AX$1,),)</f>
        <v/>
      </c>
      <c r="P66" s="20">
        <f>IF(VLOOKUP(B66,'Data Core CPI'!$A:$AX,MATCH($P$1,'Data Core CPI'!$A$1:$AX$1,),)=0,#N/A,(VLOOKUP(B66,'Data Core CPI'!$A:$AX,MATCH($P$1,'Data Core CPI'!$A$1:$AX$1,),)-VLOOKUP(EDATE(B66,-12),'Data Core CPI'!$A:$AX,MATCH($P$1,'Data Core CPI'!$A$1:$AX$1,),))/VLOOKUP(EDATE(B66,-12),'Data Core CPI'!$A:$AX,MATCH($P$1,'Data Core CPI'!$A$1:$AX$1,),))</f>
        <v/>
      </c>
      <c r="Q66" s="20">
        <f>(VLOOKUP(B66,'Data Core CPI'!$A:$AX,MATCH($Q$1,'Data Core CPI'!$A$1:$AX$1,),)-VLOOKUP(EDATE(B66,-12),'Data Core CPI'!$A:$AX,MATCH($Q$1,'Data Core CPI'!$A$1:$AX$1,),))/VLOOKUP(EDATE(B66,-12),'Data Core CPI'!$A:$AX,MATCH($Q$1,'Data Core CPI'!$A$1:$AX$1,),)</f>
        <v/>
      </c>
      <c r="R66" s="20">
        <f>IF(VLOOKUP(B66,'Data Core CPI'!$A:$AX,MATCH($R$1,'Data Core CPI'!$A$1:$AX$1,),)=0,#N/A,(VLOOKUP(B66,'Data Core CPI'!$A:$AX,MATCH($R$1,'Data Core CPI'!$A$1:$AX$1,),)-VLOOKUP(EDATE(B66,-12),'Data Core CPI'!$A:$AX,MATCH($R$1,'Data Core CPI'!$A$1:$AX$1,),))/VLOOKUP(EDATE(B66,-12),'Data Core CPI'!$A:$AX,MATCH($R$1,'Data Core CPI'!$A$1:$AX$1,),))</f>
        <v/>
      </c>
      <c r="S66" s="20">
        <f>(VLOOKUP(B66,'Data Core CPI'!$A:$AX,MATCH($S$1,'Data Core CPI'!$A$1:$AX$1,),)-VLOOKUP(EDATE(B66,-12),'Data Core CPI'!$A:$AX,MATCH($S$1,'Data Core CPI'!$A$1:$AX$1,),))/VLOOKUP(EDATE(B66,-12),'Data Core CPI'!$A:$AX,MATCH($S$1,'Data Core CPI'!$A$1:$AX$1,),)</f>
        <v/>
      </c>
      <c r="T66" s="20">
        <f>(VLOOKUP(B66,'Data Core CPI'!$A:$AX,MATCH($T$1,'Data Core CPI'!$A$1:$AX$1,),)-VLOOKUP(EDATE(B66,-12),'Data Core CPI'!$A:$AX,MATCH($T$1,'Data Core CPI'!$A$1:$AX$1,),))/VLOOKUP(EDATE(B66,-12),'Data Core CPI'!$A:$AX,MATCH($T$1,'Data Core CPI'!$A$1:$AX$1,),)</f>
        <v/>
      </c>
      <c r="U66" s="20">
        <f>IF(VLOOKUP(B66,'Data Core CPI'!$A:$AX,MATCH($U$1,'Data Core CPI'!$A$1:$AX$1,),)=0,#N/A,(VLOOKUP(B66,'Data Core CPI'!$A:$AX,MATCH($U$1,'Data Core CPI'!$A$1:$AX$1,),)-VLOOKUP(EDATE(B66,-12),'Data Core CPI'!$A:$AX,MATCH($U$1,'Data Core CPI'!$A$1:$AX$1,),))/VLOOKUP(EDATE(B66,-12),'Data Core CPI'!$A:$AX,MATCH($U$1,'Data Core CPI'!$A$1:$AX$1,),))</f>
        <v/>
      </c>
      <c r="V66" s="20">
        <f>(VLOOKUP(B66,'Data Core CPI'!$A:$AX,MATCH($V$1,'Data Core CPI'!$A$1:$AX$1,),)-VLOOKUP(EDATE(B66,-12),'Data Core CPI'!$A:$AX,MATCH($V$1,'Data Core CPI'!$A$1:$AX$1,),))/VLOOKUP(EDATE(B66,-12),'Data Core CPI'!$A:$AX,MATCH($V$1,'Data Core CPI'!$A$1:$AX$1,),)</f>
        <v/>
      </c>
      <c r="W66" s="20">
        <f>IF(VLOOKUP(B66,'Data Core CPI'!$A:$AX,MATCH($W$1,'Data Core CPI'!$A$1:$AX$1,),)=0,#N/A,(VLOOKUP(B66,'Data Core CPI'!$A:$AX,MATCH($W$1,'Data Core CPI'!$A$1:$AX$1,),)-VLOOKUP(EDATE(B66,-12),'Data Core CPI'!$A:$AX,MATCH($W$1,'Data Core CPI'!$A$1:$AX$1,),))/VLOOKUP(EDATE(B66,-12),'Data Core CPI'!$A:$AX,MATCH($W$1,'Data Core CPI'!$A$1:$AX$1,),))</f>
        <v/>
      </c>
      <c r="X66" s="20">
        <f>IF(VLOOKUP(B66,'Data Core CPI'!$A:$AX,MATCH($X$1,'Data Core CPI'!$A$1:$AX$1,),)=0,#N/A,(VLOOKUP(B66,'Data Core CPI'!$A:$AX,MATCH($X$1,'Data Core CPI'!$A$1:$AX$1,),)-VLOOKUP(EDATE(B66,-12),'Data Core CPI'!$A:$AX,MATCH($X$1,'Data Core CPI'!$A$1:$AX$1,),))/VLOOKUP(EDATE(B66,-12),'Data Core CPI'!$A:$AX,MATCH($X$1,'Data Core CPI'!$A$1:$AX$1,),))</f>
        <v/>
      </c>
      <c r="Y66" s="20">
        <f>IF(VLOOKUP(B66,'Data Core CPI'!$A:$AX,MATCH($Y$1,'Data Core CPI'!$A$1:$AX$1,),)=0,#N/A,(VLOOKUP(B66,'Data Core CPI'!$A:$AX,MATCH($Y$1,'Data Core CPI'!$A$1:$AX$1,),)-VLOOKUP(EDATE(B66,-12),'Data Core CPI'!$A:$AX,MATCH($Y$1,'Data Core CPI'!$A$1:$AX$1,),))/VLOOKUP(EDATE(B66,-12),'Data Core CPI'!$A:$AX,MATCH($Y$1,'Data Core CPI'!$A$1:$AX$1,),))</f>
        <v/>
      </c>
      <c r="Z66" s="20">
        <f>(VLOOKUP(B66,Data!$A:$AX,MATCH($Z$1,Data!$A$1:$AX$1,),)-VLOOKUP(EDATE(B66,-12),Data!$A:$AX,MATCH($Z$1,Data!$A$1:$AX$1,),))/VLOOKUP(EDATE(B66,-12),Data!$A:$AX,MATCH($Z$1,Data!$A$1:$AX$1,),)</f>
        <v/>
      </c>
      <c r="AA66" s="20">
        <f>(VLOOKUP(B66,Data!$A:$AX,MATCH($AA$1,Data!$A$1:$AX$1,),)-VLOOKUP(EDATE(B66,-12),Data!$A:$AX,MATCH($AA$1,Data!$A$1:$AX$1,),))/VLOOKUP(EDATE(B66,-12),Data!$A:$AX,MATCH($AA$1,Data!$A$1:$AX$1,),)</f>
        <v/>
      </c>
      <c r="AB66" s="19" t="n"/>
    </row>
    <row r="67">
      <c r="B67" s="15" t="n">
        <v>42248</v>
      </c>
      <c r="C67" s="20">
        <f>IF(VLOOKUP(B67,'Data Core CPI'!$A:$AX,MATCH($C$1,'Data Core CPI'!$A$1:$AX$1,),)=0,#N/A,(VLOOKUP(B67,'Data Core CPI'!$A:$AX,MATCH($C$1,'Data Core CPI'!$A$1:$AX$1,),)-VLOOKUP(EDATE(B67,-12),'Data Core CPI'!$A:$AX,MATCH($C$1,'Data Core CPI'!$A$1:$AX$1,),))/VLOOKUP(EDATE(B67,-12),'Data Core CPI'!$A:$AX,MATCH($C$1,'Data Core CPI'!$A$1:$AX$1,),))</f>
        <v/>
      </c>
      <c r="D67" s="20">
        <f>(VLOOKUP(B67,'Data Core CPI'!$A:$AX,MATCH($D$1,'Data Core CPI'!$A$1:$AX$1,),)-VLOOKUP(EDATE(B67,-12),'Data Core CPI'!$A:$AX,MATCH($D$1,'Data Core CPI'!$A$1:$AX$1,),))/VLOOKUP(EDATE(B67,-12),'Data Core CPI'!$A:$AX,MATCH($D$1,'Data Core CPI'!$A$1:$AX$1,),)</f>
        <v/>
      </c>
      <c r="E67" s="20">
        <f>IF(VLOOKUP(B67,'Data Core CPI'!$A:$AX,MATCH($E$1,'Data Core CPI'!$A$1:$AX$1,),)=0,#N/A,(VLOOKUP(B67,'Data Core CPI'!$A:$AX,MATCH($E$1,'Data Core CPI'!$A$1:$AX$1,),)-VLOOKUP(EDATE(B67,-12),'Data Core CPI'!$A:$AX,MATCH($E$1,'Data Core CPI'!$A$1:$AX$1,),))/VLOOKUP(EDATE(B67,-12),'Data Core CPI'!$A:$AX,MATCH($E$1,'Data Core CPI'!$A$1:$AX$1,),))</f>
        <v/>
      </c>
      <c r="F67" s="20">
        <f>IF(VLOOKUP(B67,'Data Core CPI'!$A:$AX,MATCH($F$1,'Data Core CPI'!$A$1:$AX$1,),)=0,#N/A,(VLOOKUP(B67,'Data Core CPI'!$A:$AX,MATCH($F$1,'Data Core CPI'!$A$1:$AX$1,),)-VLOOKUP(EDATE(B67,-12),'Data Core CPI'!$A:$AX,MATCH($F$1,'Data Core CPI'!$A$1:$AX$1,),))/VLOOKUP(EDATE(B67,-12),'Data Core CPI'!$A:$AX,MATCH($F$1,'Data Core CPI'!$A$1:$AX$1,),))</f>
        <v/>
      </c>
      <c r="G67" s="20">
        <f>IF(VLOOKUP(B67,'Data Core CPI'!$A:$AX,MATCH($G$1,'Data Core CPI'!$A$1:$AX$1,),)=0,#N/A,(VLOOKUP(B67,'Data Core CPI'!$A:$AX,MATCH($G$1,'Data Core CPI'!$A$1:$AX$1,),)-VLOOKUP(EDATE(B67,-12),'Data Core CPI'!$A:$AX,MATCH($G$1,'Data Core CPI'!$A$1:$AX$1,),))/VLOOKUP(EDATE(B67,-12),'Data Core CPI'!$A:$AX,MATCH($G$1,'Data Core CPI'!$A$1:$AX$1,),))</f>
        <v/>
      </c>
      <c r="H67" s="20">
        <f>IF(VLOOKUP(B67,'Data Core CPI'!$A:$AX,MATCH($H$1,'Data Core CPI'!$A$1:$AX$1,),)=0,#N/A,(VLOOKUP(B67,'Data Core CPI'!$A:$AX,MATCH($H$1,'Data Core CPI'!$A$1:$AX$1,),)-VLOOKUP(EDATE(B67,-12),'Data Core CPI'!$A:$AX,MATCH($H$1,'Data Core CPI'!$A$1:$AX$1,),))/VLOOKUP(EDATE(B67,-12),'Data Core CPI'!$A:$AX,MATCH($H$1,'Data Core CPI'!$A$1:$AX$1,),))</f>
        <v/>
      </c>
      <c r="I67" s="20">
        <f>IF(VLOOKUP(B67,'Data Core CPI'!$A:$AX,MATCH($I$1,'Data Core CPI'!$A$1:$AX$1,),)=0,#N/A,(VLOOKUP(B67,'Data Core CPI'!$A:$AX,MATCH($I$1,'Data Core CPI'!$A$1:$AX$1,),)-VLOOKUP(EDATE(B67,-12),'Data Core CPI'!$A:$AX,MATCH($I$1,'Data Core CPI'!$A$1:$AX$1,),))/VLOOKUP(EDATE(B67,-12),'Data Core CPI'!$A:$AX,MATCH($I$1,'Data Core CPI'!$A$1:$AX$1,),))</f>
        <v/>
      </c>
      <c r="J67" s="20">
        <f>IF(VLOOKUP(B67,'Data Core CPI'!$A:$AX,MATCH($J$1,'Data Core CPI'!$A$1:$AX$1,),)=0,#N/A,(VLOOKUP(B67,'Data Core CPI'!$A:$AX,MATCH($J$1,'Data Core CPI'!$A$1:$AX$1,),)-VLOOKUP(EDATE(B67,-12),'Data Core CPI'!$A:$AX,MATCH($J$1,'Data Core CPI'!$A$1:$AX$1,),))/VLOOKUP(EDATE(B67,-12),'Data Core CPI'!$A:$AX,MATCH($J$1,'Data Core CPI'!$A$1:$AX$1,),))</f>
        <v/>
      </c>
      <c r="K67" s="20">
        <f>IF(VLOOKUP(B67,'Data Core CPI'!$A:$AX,MATCH($K$1,'Data Core CPI'!$A$1:$AX$1,),)=0,#N/A,(VLOOKUP(B67,'Data Core CPI'!$A:$AX,MATCH($K$1,'Data Core CPI'!$A$1:$AX$1,),)-VLOOKUP(EDATE(B67,-12),'Data Core CPI'!$A:$AX,MATCH($K$1,'Data Core CPI'!$A$1:$AX$1,),))/VLOOKUP(EDATE(B67,-12),'Data Core CPI'!$A:$AX,MATCH($K$1,'Data Core CPI'!$A$1:$AX$1,),))</f>
        <v/>
      </c>
      <c r="L67" s="20">
        <f>IF(VLOOKUP(B67,'Data Core CPI'!$A:$AX,MATCH($L$1,'Data Core CPI'!$A$1:$AX$1,),)=0,#N/A,(VLOOKUP(B67,'Data Core CPI'!$A:$AX,MATCH($L$1,'Data Core CPI'!$A$1:$AX$1,),)-VLOOKUP(EDATE(B67,-12),'Data Core CPI'!$A:$AX,MATCH($L$1,'Data Core CPI'!$A$1:$AX$1,),))/VLOOKUP(EDATE(B67,-12),'Data Core CPI'!$A:$AX,MATCH($L$1,'Data Core CPI'!$A$1:$AX$1,),))</f>
        <v/>
      </c>
      <c r="M67" s="20">
        <f>IF(VLOOKUP(B67,'Data Core CPI'!$A:$AX,MATCH($M$1,'Data Core CPI'!$A$1:$AX$1,),)=0,#N/A,(VLOOKUP(B67,'Data Core CPI'!$A:$AX,MATCH($M$1,'Data Core CPI'!$A$1:$AX$1,),)-VLOOKUP(EDATE(B67,-12),'Data Core CPI'!$A:$AX,MATCH($M$1,'Data Core CPI'!$A$1:$AX$1,),))/VLOOKUP(EDATE(B67,-12),'Data Core CPI'!$A:$AX,MATCH($M$1,'Data Core CPI'!$A$1:$AX$1,),))</f>
        <v/>
      </c>
      <c r="N67" s="20">
        <f>(VLOOKUP(B67,'Data Core CPI'!$A:$AX,MATCH($N$1,'Data Core CPI'!$A$1:$AX$1,),)-VLOOKUP(EDATE(B67,-12),'Data Core CPI'!$A:$AX,MATCH($N$1,'Data Core CPI'!$A$1:$AX$1,),))/VLOOKUP(EDATE(B67,-12),'Data Core CPI'!$A:$AX,MATCH($N$1,'Data Core CPI'!$A$1:$AX$1,),)</f>
        <v/>
      </c>
      <c r="O67" s="20">
        <f>(VLOOKUP(B67,'Data Core CPI'!$A:$AX,MATCH($O$1,'Data Core CPI'!$A$1:$AX$1,),)-VLOOKUP(EDATE(B67,-12),'Data Core CPI'!$A:$AX,MATCH($O$1,'Data Core CPI'!$A$1:$AX$1,),))/VLOOKUP(EDATE(B67,-12),'Data Core CPI'!$A:$AX,MATCH($O$1,'Data Core CPI'!$A$1:$AX$1,),)</f>
        <v/>
      </c>
      <c r="P67" s="20">
        <f>IF(VLOOKUP(B67,'Data Core CPI'!$A:$AX,MATCH($P$1,'Data Core CPI'!$A$1:$AX$1,),)=0,#N/A,(VLOOKUP(B67,'Data Core CPI'!$A:$AX,MATCH($P$1,'Data Core CPI'!$A$1:$AX$1,),)-VLOOKUP(EDATE(B67,-12),'Data Core CPI'!$A:$AX,MATCH($P$1,'Data Core CPI'!$A$1:$AX$1,),))/VLOOKUP(EDATE(B67,-12),'Data Core CPI'!$A:$AX,MATCH($P$1,'Data Core CPI'!$A$1:$AX$1,),))</f>
        <v/>
      </c>
      <c r="Q67" s="20">
        <f>(VLOOKUP(B67,'Data Core CPI'!$A:$AX,MATCH($Q$1,'Data Core CPI'!$A$1:$AX$1,),)-VLOOKUP(EDATE(B67,-12),'Data Core CPI'!$A:$AX,MATCH($Q$1,'Data Core CPI'!$A$1:$AX$1,),))/VLOOKUP(EDATE(B67,-12),'Data Core CPI'!$A:$AX,MATCH($Q$1,'Data Core CPI'!$A$1:$AX$1,),)</f>
        <v/>
      </c>
      <c r="R67" s="20">
        <f>IF(VLOOKUP(B67,'Data Core CPI'!$A:$AX,MATCH($R$1,'Data Core CPI'!$A$1:$AX$1,),)=0,#N/A,(VLOOKUP(B67,'Data Core CPI'!$A:$AX,MATCH($R$1,'Data Core CPI'!$A$1:$AX$1,),)-VLOOKUP(EDATE(B67,-12),'Data Core CPI'!$A:$AX,MATCH($R$1,'Data Core CPI'!$A$1:$AX$1,),))/VLOOKUP(EDATE(B67,-12),'Data Core CPI'!$A:$AX,MATCH($R$1,'Data Core CPI'!$A$1:$AX$1,),))</f>
        <v/>
      </c>
      <c r="S67" s="20">
        <f>(VLOOKUP(B67,'Data Core CPI'!$A:$AX,MATCH($S$1,'Data Core CPI'!$A$1:$AX$1,),)-VLOOKUP(EDATE(B67,-12),'Data Core CPI'!$A:$AX,MATCH($S$1,'Data Core CPI'!$A$1:$AX$1,),))/VLOOKUP(EDATE(B67,-12),'Data Core CPI'!$A:$AX,MATCH($S$1,'Data Core CPI'!$A$1:$AX$1,),)</f>
        <v/>
      </c>
      <c r="T67" s="20">
        <f>(VLOOKUP(B67,'Data Core CPI'!$A:$AX,MATCH($T$1,'Data Core CPI'!$A$1:$AX$1,),)-VLOOKUP(EDATE(B67,-12),'Data Core CPI'!$A:$AX,MATCH($T$1,'Data Core CPI'!$A$1:$AX$1,),))/VLOOKUP(EDATE(B67,-12),'Data Core CPI'!$A:$AX,MATCH($T$1,'Data Core CPI'!$A$1:$AX$1,),)</f>
        <v/>
      </c>
      <c r="U67" s="20">
        <f>IF(VLOOKUP(B67,'Data Core CPI'!$A:$AX,MATCH($U$1,'Data Core CPI'!$A$1:$AX$1,),)=0,#N/A,(VLOOKUP(B67,'Data Core CPI'!$A:$AX,MATCH($U$1,'Data Core CPI'!$A$1:$AX$1,),)-VLOOKUP(EDATE(B67,-12),'Data Core CPI'!$A:$AX,MATCH($U$1,'Data Core CPI'!$A$1:$AX$1,),))/VLOOKUP(EDATE(B67,-12),'Data Core CPI'!$A:$AX,MATCH($U$1,'Data Core CPI'!$A$1:$AX$1,),))</f>
        <v/>
      </c>
      <c r="V67" s="20">
        <f>(VLOOKUP(B67,'Data Core CPI'!$A:$AX,MATCH($V$1,'Data Core CPI'!$A$1:$AX$1,),)-VLOOKUP(EDATE(B67,-12),'Data Core CPI'!$A:$AX,MATCH($V$1,'Data Core CPI'!$A$1:$AX$1,),))/VLOOKUP(EDATE(B67,-12),'Data Core CPI'!$A:$AX,MATCH($V$1,'Data Core CPI'!$A$1:$AX$1,),)</f>
        <v/>
      </c>
      <c r="W67" s="20">
        <f>IF(VLOOKUP(B67,'Data Core CPI'!$A:$AX,MATCH($W$1,'Data Core CPI'!$A$1:$AX$1,),)=0,#N/A,(VLOOKUP(B67,'Data Core CPI'!$A:$AX,MATCH($W$1,'Data Core CPI'!$A$1:$AX$1,),)-VLOOKUP(EDATE(B67,-12),'Data Core CPI'!$A:$AX,MATCH($W$1,'Data Core CPI'!$A$1:$AX$1,),))/VLOOKUP(EDATE(B67,-12),'Data Core CPI'!$A:$AX,MATCH($W$1,'Data Core CPI'!$A$1:$AX$1,),))</f>
        <v/>
      </c>
      <c r="X67" s="20">
        <f>IF(VLOOKUP(B67,'Data Core CPI'!$A:$AX,MATCH($X$1,'Data Core CPI'!$A$1:$AX$1,),)=0,#N/A,(VLOOKUP(B67,'Data Core CPI'!$A:$AX,MATCH($X$1,'Data Core CPI'!$A$1:$AX$1,),)-VLOOKUP(EDATE(B67,-12),'Data Core CPI'!$A:$AX,MATCH($X$1,'Data Core CPI'!$A$1:$AX$1,),))/VLOOKUP(EDATE(B67,-12),'Data Core CPI'!$A:$AX,MATCH($X$1,'Data Core CPI'!$A$1:$AX$1,),))</f>
        <v/>
      </c>
      <c r="Y67" s="20">
        <f>IF(VLOOKUP(B67,'Data Core CPI'!$A:$AX,MATCH($Y$1,'Data Core CPI'!$A$1:$AX$1,),)=0,#N/A,(VLOOKUP(B67,'Data Core CPI'!$A:$AX,MATCH($Y$1,'Data Core CPI'!$A$1:$AX$1,),)-VLOOKUP(EDATE(B67,-12),'Data Core CPI'!$A:$AX,MATCH($Y$1,'Data Core CPI'!$A$1:$AX$1,),))/VLOOKUP(EDATE(B67,-12),'Data Core CPI'!$A:$AX,MATCH($Y$1,'Data Core CPI'!$A$1:$AX$1,),))</f>
        <v/>
      </c>
      <c r="Z67" s="20">
        <f>(VLOOKUP(B67,Data!$A:$AX,MATCH($Z$1,Data!$A$1:$AX$1,),)-VLOOKUP(EDATE(B67,-12),Data!$A:$AX,MATCH($Z$1,Data!$A$1:$AX$1,),))/VLOOKUP(EDATE(B67,-12),Data!$A:$AX,MATCH($Z$1,Data!$A$1:$AX$1,),)</f>
        <v/>
      </c>
      <c r="AA67" s="20">
        <f>(VLOOKUP(B67,Data!$A:$AX,MATCH($AA$1,Data!$A$1:$AX$1,),)-VLOOKUP(EDATE(B67,-12),Data!$A:$AX,MATCH($AA$1,Data!$A$1:$AX$1,),))/VLOOKUP(EDATE(B67,-12),Data!$A:$AX,MATCH($AA$1,Data!$A$1:$AX$1,),)</f>
        <v/>
      </c>
      <c r="AB67" s="19" t="n"/>
    </row>
    <row r="68">
      <c r="B68" s="15" t="n">
        <v>42278</v>
      </c>
      <c r="C68" s="20">
        <f>IF(VLOOKUP(B68,'Data Core CPI'!$A:$AX,MATCH($C$1,'Data Core CPI'!$A$1:$AX$1,),)=0,#N/A,(VLOOKUP(B68,'Data Core CPI'!$A:$AX,MATCH($C$1,'Data Core CPI'!$A$1:$AX$1,),)-VLOOKUP(EDATE(B68,-12),'Data Core CPI'!$A:$AX,MATCH($C$1,'Data Core CPI'!$A$1:$AX$1,),))/VLOOKUP(EDATE(B68,-12),'Data Core CPI'!$A:$AX,MATCH($C$1,'Data Core CPI'!$A$1:$AX$1,),))</f>
        <v/>
      </c>
      <c r="D68" s="20">
        <f>(VLOOKUP(B68,'Data Core CPI'!$A:$AX,MATCH($D$1,'Data Core CPI'!$A$1:$AX$1,),)-VLOOKUP(EDATE(B68,-12),'Data Core CPI'!$A:$AX,MATCH($D$1,'Data Core CPI'!$A$1:$AX$1,),))/VLOOKUP(EDATE(B68,-12),'Data Core CPI'!$A:$AX,MATCH($D$1,'Data Core CPI'!$A$1:$AX$1,),)</f>
        <v/>
      </c>
      <c r="E68" s="20">
        <f>IF(VLOOKUP(B68,'Data Core CPI'!$A:$AX,MATCH($E$1,'Data Core CPI'!$A$1:$AX$1,),)=0,#N/A,(VLOOKUP(B68,'Data Core CPI'!$A:$AX,MATCH($E$1,'Data Core CPI'!$A$1:$AX$1,),)-VLOOKUP(EDATE(B68,-12),'Data Core CPI'!$A:$AX,MATCH($E$1,'Data Core CPI'!$A$1:$AX$1,),))/VLOOKUP(EDATE(B68,-12),'Data Core CPI'!$A:$AX,MATCH($E$1,'Data Core CPI'!$A$1:$AX$1,),))</f>
        <v/>
      </c>
      <c r="F68" s="20">
        <f>IF(VLOOKUP(B68,'Data Core CPI'!$A:$AX,MATCH($F$1,'Data Core CPI'!$A$1:$AX$1,),)=0,#N/A,(VLOOKUP(B68,'Data Core CPI'!$A:$AX,MATCH($F$1,'Data Core CPI'!$A$1:$AX$1,),)-VLOOKUP(EDATE(B68,-12),'Data Core CPI'!$A:$AX,MATCH($F$1,'Data Core CPI'!$A$1:$AX$1,),))/VLOOKUP(EDATE(B68,-12),'Data Core CPI'!$A:$AX,MATCH($F$1,'Data Core CPI'!$A$1:$AX$1,),))</f>
        <v/>
      </c>
      <c r="G68" s="20">
        <f>IF(VLOOKUP(B68,'Data Core CPI'!$A:$AX,MATCH($G$1,'Data Core CPI'!$A$1:$AX$1,),)=0,#N/A,(VLOOKUP(B68,'Data Core CPI'!$A:$AX,MATCH($G$1,'Data Core CPI'!$A$1:$AX$1,),)-VLOOKUP(EDATE(B68,-12),'Data Core CPI'!$A:$AX,MATCH($G$1,'Data Core CPI'!$A$1:$AX$1,),))/VLOOKUP(EDATE(B68,-12),'Data Core CPI'!$A:$AX,MATCH($G$1,'Data Core CPI'!$A$1:$AX$1,),))</f>
        <v/>
      </c>
      <c r="H68" s="20">
        <f>IF(VLOOKUP(B68,'Data Core CPI'!$A:$AX,MATCH($H$1,'Data Core CPI'!$A$1:$AX$1,),)=0,#N/A,(VLOOKUP(B68,'Data Core CPI'!$A:$AX,MATCH($H$1,'Data Core CPI'!$A$1:$AX$1,),)-VLOOKUP(EDATE(B68,-12),'Data Core CPI'!$A:$AX,MATCH($H$1,'Data Core CPI'!$A$1:$AX$1,),))/VLOOKUP(EDATE(B68,-12),'Data Core CPI'!$A:$AX,MATCH($H$1,'Data Core CPI'!$A$1:$AX$1,),))</f>
        <v/>
      </c>
      <c r="I68" s="20">
        <f>IF(VLOOKUP(B68,'Data Core CPI'!$A:$AX,MATCH($I$1,'Data Core CPI'!$A$1:$AX$1,),)=0,#N/A,(VLOOKUP(B68,'Data Core CPI'!$A:$AX,MATCH($I$1,'Data Core CPI'!$A$1:$AX$1,),)-VLOOKUP(EDATE(B68,-12),'Data Core CPI'!$A:$AX,MATCH($I$1,'Data Core CPI'!$A$1:$AX$1,),))/VLOOKUP(EDATE(B68,-12),'Data Core CPI'!$A:$AX,MATCH($I$1,'Data Core CPI'!$A$1:$AX$1,),))</f>
        <v/>
      </c>
      <c r="J68" s="20">
        <f>IF(VLOOKUP(B68,'Data Core CPI'!$A:$AX,MATCH($J$1,'Data Core CPI'!$A$1:$AX$1,),)=0,#N/A,(VLOOKUP(B68,'Data Core CPI'!$A:$AX,MATCH($J$1,'Data Core CPI'!$A$1:$AX$1,),)-VLOOKUP(EDATE(B68,-12),'Data Core CPI'!$A:$AX,MATCH($J$1,'Data Core CPI'!$A$1:$AX$1,),))/VLOOKUP(EDATE(B68,-12),'Data Core CPI'!$A:$AX,MATCH($J$1,'Data Core CPI'!$A$1:$AX$1,),))</f>
        <v/>
      </c>
      <c r="K68" s="20">
        <f>IF(VLOOKUP(B68,'Data Core CPI'!$A:$AX,MATCH($K$1,'Data Core CPI'!$A$1:$AX$1,),)=0,#N/A,(VLOOKUP(B68,'Data Core CPI'!$A:$AX,MATCH($K$1,'Data Core CPI'!$A$1:$AX$1,),)-VLOOKUP(EDATE(B68,-12),'Data Core CPI'!$A:$AX,MATCH($K$1,'Data Core CPI'!$A$1:$AX$1,),))/VLOOKUP(EDATE(B68,-12),'Data Core CPI'!$A:$AX,MATCH($K$1,'Data Core CPI'!$A$1:$AX$1,),))</f>
        <v/>
      </c>
      <c r="L68" s="20">
        <f>IF(VLOOKUP(B68,'Data Core CPI'!$A:$AX,MATCH($L$1,'Data Core CPI'!$A$1:$AX$1,),)=0,#N/A,(VLOOKUP(B68,'Data Core CPI'!$A:$AX,MATCH($L$1,'Data Core CPI'!$A$1:$AX$1,),)-VLOOKUP(EDATE(B68,-12),'Data Core CPI'!$A:$AX,MATCH($L$1,'Data Core CPI'!$A$1:$AX$1,),))/VLOOKUP(EDATE(B68,-12),'Data Core CPI'!$A:$AX,MATCH($L$1,'Data Core CPI'!$A$1:$AX$1,),))</f>
        <v/>
      </c>
      <c r="M68" s="20">
        <f>IF(VLOOKUP(B68,'Data Core CPI'!$A:$AX,MATCH($M$1,'Data Core CPI'!$A$1:$AX$1,),)=0,#N/A,(VLOOKUP(B68,'Data Core CPI'!$A:$AX,MATCH($M$1,'Data Core CPI'!$A$1:$AX$1,),)-VLOOKUP(EDATE(B68,-12),'Data Core CPI'!$A:$AX,MATCH($M$1,'Data Core CPI'!$A$1:$AX$1,),))/VLOOKUP(EDATE(B68,-12),'Data Core CPI'!$A:$AX,MATCH($M$1,'Data Core CPI'!$A$1:$AX$1,),))</f>
        <v/>
      </c>
      <c r="N68" s="20">
        <f>(VLOOKUP(B68,'Data Core CPI'!$A:$AX,MATCH($N$1,'Data Core CPI'!$A$1:$AX$1,),)-VLOOKUP(EDATE(B68,-12),'Data Core CPI'!$A:$AX,MATCH($N$1,'Data Core CPI'!$A$1:$AX$1,),))/VLOOKUP(EDATE(B68,-12),'Data Core CPI'!$A:$AX,MATCH($N$1,'Data Core CPI'!$A$1:$AX$1,),)</f>
        <v/>
      </c>
      <c r="O68" s="20">
        <f>(VLOOKUP(B68,'Data Core CPI'!$A:$AX,MATCH($O$1,'Data Core CPI'!$A$1:$AX$1,),)-VLOOKUP(EDATE(B68,-12),'Data Core CPI'!$A:$AX,MATCH($O$1,'Data Core CPI'!$A$1:$AX$1,),))/VLOOKUP(EDATE(B68,-12),'Data Core CPI'!$A:$AX,MATCH($O$1,'Data Core CPI'!$A$1:$AX$1,),)</f>
        <v/>
      </c>
      <c r="P68" s="20">
        <f>IF(VLOOKUP(B68,'Data Core CPI'!$A:$AX,MATCH($P$1,'Data Core CPI'!$A$1:$AX$1,),)=0,#N/A,(VLOOKUP(B68,'Data Core CPI'!$A:$AX,MATCH($P$1,'Data Core CPI'!$A$1:$AX$1,),)-VLOOKUP(EDATE(B68,-12),'Data Core CPI'!$A:$AX,MATCH($P$1,'Data Core CPI'!$A$1:$AX$1,),))/VLOOKUP(EDATE(B68,-12),'Data Core CPI'!$A:$AX,MATCH($P$1,'Data Core CPI'!$A$1:$AX$1,),))</f>
        <v/>
      </c>
      <c r="Q68" s="20">
        <f>(VLOOKUP(B68,'Data Core CPI'!$A:$AX,MATCH($Q$1,'Data Core CPI'!$A$1:$AX$1,),)-VLOOKUP(EDATE(B68,-12),'Data Core CPI'!$A:$AX,MATCH($Q$1,'Data Core CPI'!$A$1:$AX$1,),))/VLOOKUP(EDATE(B68,-12),'Data Core CPI'!$A:$AX,MATCH($Q$1,'Data Core CPI'!$A$1:$AX$1,),)</f>
        <v/>
      </c>
      <c r="R68" s="20">
        <f>IF(VLOOKUP(B68,'Data Core CPI'!$A:$AX,MATCH($R$1,'Data Core CPI'!$A$1:$AX$1,),)=0,#N/A,(VLOOKUP(B68,'Data Core CPI'!$A:$AX,MATCH($R$1,'Data Core CPI'!$A$1:$AX$1,),)-VLOOKUP(EDATE(B68,-12),'Data Core CPI'!$A:$AX,MATCH($R$1,'Data Core CPI'!$A$1:$AX$1,),))/VLOOKUP(EDATE(B68,-12),'Data Core CPI'!$A:$AX,MATCH($R$1,'Data Core CPI'!$A$1:$AX$1,),))</f>
        <v/>
      </c>
      <c r="S68" s="20">
        <f>(VLOOKUP(B68,'Data Core CPI'!$A:$AX,MATCH($S$1,'Data Core CPI'!$A$1:$AX$1,),)-VLOOKUP(EDATE(B68,-12),'Data Core CPI'!$A:$AX,MATCH($S$1,'Data Core CPI'!$A$1:$AX$1,),))/VLOOKUP(EDATE(B68,-12),'Data Core CPI'!$A:$AX,MATCH($S$1,'Data Core CPI'!$A$1:$AX$1,),)</f>
        <v/>
      </c>
      <c r="T68" s="20">
        <f>(VLOOKUP(B68,'Data Core CPI'!$A:$AX,MATCH($T$1,'Data Core CPI'!$A$1:$AX$1,),)-VLOOKUP(EDATE(B68,-12),'Data Core CPI'!$A:$AX,MATCH($T$1,'Data Core CPI'!$A$1:$AX$1,),))/VLOOKUP(EDATE(B68,-12),'Data Core CPI'!$A:$AX,MATCH($T$1,'Data Core CPI'!$A$1:$AX$1,),)</f>
        <v/>
      </c>
      <c r="U68" s="20">
        <f>IF(VLOOKUP(B68,'Data Core CPI'!$A:$AX,MATCH($U$1,'Data Core CPI'!$A$1:$AX$1,),)=0,#N/A,(VLOOKUP(B68,'Data Core CPI'!$A:$AX,MATCH($U$1,'Data Core CPI'!$A$1:$AX$1,),)-VLOOKUP(EDATE(B68,-12),'Data Core CPI'!$A:$AX,MATCH($U$1,'Data Core CPI'!$A$1:$AX$1,),))/VLOOKUP(EDATE(B68,-12),'Data Core CPI'!$A:$AX,MATCH($U$1,'Data Core CPI'!$A$1:$AX$1,),))</f>
        <v/>
      </c>
      <c r="V68" s="20">
        <f>(VLOOKUP(B68,'Data Core CPI'!$A:$AX,MATCH($V$1,'Data Core CPI'!$A$1:$AX$1,),)-VLOOKUP(EDATE(B68,-12),'Data Core CPI'!$A:$AX,MATCH($V$1,'Data Core CPI'!$A$1:$AX$1,),))/VLOOKUP(EDATE(B68,-12),'Data Core CPI'!$A:$AX,MATCH($V$1,'Data Core CPI'!$A$1:$AX$1,),)</f>
        <v/>
      </c>
      <c r="W68" s="20">
        <f>IF(VLOOKUP(B68,'Data Core CPI'!$A:$AX,MATCH($W$1,'Data Core CPI'!$A$1:$AX$1,),)=0,#N/A,(VLOOKUP(B68,'Data Core CPI'!$A:$AX,MATCH($W$1,'Data Core CPI'!$A$1:$AX$1,),)-VLOOKUP(EDATE(B68,-12),'Data Core CPI'!$A:$AX,MATCH($W$1,'Data Core CPI'!$A$1:$AX$1,),))/VLOOKUP(EDATE(B68,-12),'Data Core CPI'!$A:$AX,MATCH($W$1,'Data Core CPI'!$A$1:$AX$1,),))</f>
        <v/>
      </c>
      <c r="X68" s="20">
        <f>IF(VLOOKUP(B68,'Data Core CPI'!$A:$AX,MATCH($X$1,'Data Core CPI'!$A$1:$AX$1,),)=0,#N/A,(VLOOKUP(B68,'Data Core CPI'!$A:$AX,MATCH($X$1,'Data Core CPI'!$A$1:$AX$1,),)-VLOOKUP(EDATE(B68,-12),'Data Core CPI'!$A:$AX,MATCH($X$1,'Data Core CPI'!$A$1:$AX$1,),))/VLOOKUP(EDATE(B68,-12),'Data Core CPI'!$A:$AX,MATCH($X$1,'Data Core CPI'!$A$1:$AX$1,),))</f>
        <v/>
      </c>
      <c r="Y68" s="20">
        <f>IF(VLOOKUP(B68,'Data Core CPI'!$A:$AX,MATCH($Y$1,'Data Core CPI'!$A$1:$AX$1,),)=0,#N/A,(VLOOKUP(B68,'Data Core CPI'!$A:$AX,MATCH($Y$1,'Data Core CPI'!$A$1:$AX$1,),)-VLOOKUP(EDATE(B68,-12),'Data Core CPI'!$A:$AX,MATCH($Y$1,'Data Core CPI'!$A$1:$AX$1,),))/VLOOKUP(EDATE(B68,-12),'Data Core CPI'!$A:$AX,MATCH($Y$1,'Data Core CPI'!$A$1:$AX$1,),))</f>
        <v/>
      </c>
      <c r="Z68" s="20">
        <f>(VLOOKUP(B68,Data!$A:$AX,MATCH($Z$1,Data!$A$1:$AX$1,),)-VLOOKUP(EDATE(B68,-12),Data!$A:$AX,MATCH($Z$1,Data!$A$1:$AX$1,),))/VLOOKUP(EDATE(B68,-12),Data!$A:$AX,MATCH($Z$1,Data!$A$1:$AX$1,),)</f>
        <v/>
      </c>
      <c r="AA68" s="20">
        <f>(VLOOKUP(B68,Data!$A:$AX,MATCH($AA$1,Data!$A$1:$AX$1,),)-VLOOKUP(EDATE(B68,-12),Data!$A:$AX,MATCH($AA$1,Data!$A$1:$AX$1,),))/VLOOKUP(EDATE(B68,-12),Data!$A:$AX,MATCH($AA$1,Data!$A$1:$AX$1,),)</f>
        <v/>
      </c>
      <c r="AB68" s="19" t="n"/>
    </row>
    <row r="69">
      <c r="B69" s="15" t="n">
        <v>42309</v>
      </c>
      <c r="C69" s="20">
        <f>IF(VLOOKUP(B69,'Data Core CPI'!$A:$AX,MATCH($C$1,'Data Core CPI'!$A$1:$AX$1,),)=0,#N/A,(VLOOKUP(B69,'Data Core CPI'!$A:$AX,MATCH($C$1,'Data Core CPI'!$A$1:$AX$1,),)-VLOOKUP(EDATE(B69,-12),'Data Core CPI'!$A:$AX,MATCH($C$1,'Data Core CPI'!$A$1:$AX$1,),))/VLOOKUP(EDATE(B69,-12),'Data Core CPI'!$A:$AX,MATCH($C$1,'Data Core CPI'!$A$1:$AX$1,),))</f>
        <v/>
      </c>
      <c r="D69" s="20">
        <f>(VLOOKUP(B69,'Data Core CPI'!$A:$AX,MATCH($D$1,'Data Core CPI'!$A$1:$AX$1,),)-VLOOKUP(EDATE(B69,-12),'Data Core CPI'!$A:$AX,MATCH($D$1,'Data Core CPI'!$A$1:$AX$1,),))/VLOOKUP(EDATE(B69,-12),'Data Core CPI'!$A:$AX,MATCH($D$1,'Data Core CPI'!$A$1:$AX$1,),)</f>
        <v/>
      </c>
      <c r="E69" s="20">
        <f>IF(VLOOKUP(B69,'Data Core CPI'!$A:$AX,MATCH($E$1,'Data Core CPI'!$A$1:$AX$1,),)=0,#N/A,(VLOOKUP(B69,'Data Core CPI'!$A:$AX,MATCH($E$1,'Data Core CPI'!$A$1:$AX$1,),)-VLOOKUP(EDATE(B69,-12),'Data Core CPI'!$A:$AX,MATCH($E$1,'Data Core CPI'!$A$1:$AX$1,),))/VLOOKUP(EDATE(B69,-12),'Data Core CPI'!$A:$AX,MATCH($E$1,'Data Core CPI'!$A$1:$AX$1,),))</f>
        <v/>
      </c>
      <c r="F69" s="20">
        <f>IF(VLOOKUP(B69,'Data Core CPI'!$A:$AX,MATCH($F$1,'Data Core CPI'!$A$1:$AX$1,),)=0,#N/A,(VLOOKUP(B69,'Data Core CPI'!$A:$AX,MATCH($F$1,'Data Core CPI'!$A$1:$AX$1,),)-VLOOKUP(EDATE(B69,-12),'Data Core CPI'!$A:$AX,MATCH($F$1,'Data Core CPI'!$A$1:$AX$1,),))/VLOOKUP(EDATE(B69,-12),'Data Core CPI'!$A:$AX,MATCH($F$1,'Data Core CPI'!$A$1:$AX$1,),))</f>
        <v/>
      </c>
      <c r="G69" s="20">
        <f>IF(VLOOKUP(B69,'Data Core CPI'!$A:$AX,MATCH($G$1,'Data Core CPI'!$A$1:$AX$1,),)=0,#N/A,(VLOOKUP(B69,'Data Core CPI'!$A:$AX,MATCH($G$1,'Data Core CPI'!$A$1:$AX$1,),)-VLOOKUP(EDATE(B69,-12),'Data Core CPI'!$A:$AX,MATCH($G$1,'Data Core CPI'!$A$1:$AX$1,),))/VLOOKUP(EDATE(B69,-12),'Data Core CPI'!$A:$AX,MATCH($G$1,'Data Core CPI'!$A$1:$AX$1,),))</f>
        <v/>
      </c>
      <c r="H69" s="20">
        <f>IF(VLOOKUP(B69,'Data Core CPI'!$A:$AX,MATCH($H$1,'Data Core CPI'!$A$1:$AX$1,),)=0,#N/A,(VLOOKUP(B69,'Data Core CPI'!$A:$AX,MATCH($H$1,'Data Core CPI'!$A$1:$AX$1,),)-VLOOKUP(EDATE(B69,-12),'Data Core CPI'!$A:$AX,MATCH($H$1,'Data Core CPI'!$A$1:$AX$1,),))/VLOOKUP(EDATE(B69,-12),'Data Core CPI'!$A:$AX,MATCH($H$1,'Data Core CPI'!$A$1:$AX$1,),))</f>
        <v/>
      </c>
      <c r="I69" s="20">
        <f>IF(VLOOKUP(B69,'Data Core CPI'!$A:$AX,MATCH($I$1,'Data Core CPI'!$A$1:$AX$1,),)=0,#N/A,(VLOOKUP(B69,'Data Core CPI'!$A:$AX,MATCH($I$1,'Data Core CPI'!$A$1:$AX$1,),)-VLOOKUP(EDATE(B69,-12),'Data Core CPI'!$A:$AX,MATCH($I$1,'Data Core CPI'!$A$1:$AX$1,),))/VLOOKUP(EDATE(B69,-12),'Data Core CPI'!$A:$AX,MATCH($I$1,'Data Core CPI'!$A$1:$AX$1,),))</f>
        <v/>
      </c>
      <c r="J69" s="20">
        <f>IF(VLOOKUP(B69,'Data Core CPI'!$A:$AX,MATCH($J$1,'Data Core CPI'!$A$1:$AX$1,),)=0,#N/A,(VLOOKUP(B69,'Data Core CPI'!$A:$AX,MATCH($J$1,'Data Core CPI'!$A$1:$AX$1,),)-VLOOKUP(EDATE(B69,-12),'Data Core CPI'!$A:$AX,MATCH($J$1,'Data Core CPI'!$A$1:$AX$1,),))/VLOOKUP(EDATE(B69,-12),'Data Core CPI'!$A:$AX,MATCH($J$1,'Data Core CPI'!$A$1:$AX$1,),))</f>
        <v/>
      </c>
      <c r="K69" s="20">
        <f>IF(VLOOKUP(B69,'Data Core CPI'!$A:$AX,MATCH($K$1,'Data Core CPI'!$A$1:$AX$1,),)=0,#N/A,(VLOOKUP(B69,'Data Core CPI'!$A:$AX,MATCH($K$1,'Data Core CPI'!$A$1:$AX$1,),)-VLOOKUP(EDATE(B69,-12),'Data Core CPI'!$A:$AX,MATCH($K$1,'Data Core CPI'!$A$1:$AX$1,),))/VLOOKUP(EDATE(B69,-12),'Data Core CPI'!$A:$AX,MATCH($K$1,'Data Core CPI'!$A$1:$AX$1,),))</f>
        <v/>
      </c>
      <c r="L69" s="20">
        <f>IF(VLOOKUP(B69,'Data Core CPI'!$A:$AX,MATCH($L$1,'Data Core CPI'!$A$1:$AX$1,),)=0,#N/A,(VLOOKUP(B69,'Data Core CPI'!$A:$AX,MATCH($L$1,'Data Core CPI'!$A$1:$AX$1,),)-VLOOKUP(EDATE(B69,-12),'Data Core CPI'!$A:$AX,MATCH($L$1,'Data Core CPI'!$A$1:$AX$1,),))/VLOOKUP(EDATE(B69,-12),'Data Core CPI'!$A:$AX,MATCH($L$1,'Data Core CPI'!$A$1:$AX$1,),))</f>
        <v/>
      </c>
      <c r="M69" s="20">
        <f>IF(VLOOKUP(B69,'Data Core CPI'!$A:$AX,MATCH($M$1,'Data Core CPI'!$A$1:$AX$1,),)=0,#N/A,(VLOOKUP(B69,'Data Core CPI'!$A:$AX,MATCH($M$1,'Data Core CPI'!$A$1:$AX$1,),)-VLOOKUP(EDATE(B69,-12),'Data Core CPI'!$A:$AX,MATCH($M$1,'Data Core CPI'!$A$1:$AX$1,),))/VLOOKUP(EDATE(B69,-12),'Data Core CPI'!$A:$AX,MATCH($M$1,'Data Core CPI'!$A$1:$AX$1,),))</f>
        <v/>
      </c>
      <c r="N69" s="20">
        <f>(VLOOKUP(B69,'Data Core CPI'!$A:$AX,MATCH($N$1,'Data Core CPI'!$A$1:$AX$1,),)-VLOOKUP(EDATE(B69,-12),'Data Core CPI'!$A:$AX,MATCH($N$1,'Data Core CPI'!$A$1:$AX$1,),))/VLOOKUP(EDATE(B69,-12),'Data Core CPI'!$A:$AX,MATCH($N$1,'Data Core CPI'!$A$1:$AX$1,),)</f>
        <v/>
      </c>
      <c r="O69" s="20">
        <f>(VLOOKUP(B69,'Data Core CPI'!$A:$AX,MATCH($O$1,'Data Core CPI'!$A$1:$AX$1,),)-VLOOKUP(EDATE(B69,-12),'Data Core CPI'!$A:$AX,MATCH($O$1,'Data Core CPI'!$A$1:$AX$1,),))/VLOOKUP(EDATE(B69,-12),'Data Core CPI'!$A:$AX,MATCH($O$1,'Data Core CPI'!$A$1:$AX$1,),)</f>
        <v/>
      </c>
      <c r="P69" s="20">
        <f>IF(VLOOKUP(B69,'Data Core CPI'!$A:$AX,MATCH($P$1,'Data Core CPI'!$A$1:$AX$1,),)=0,#N/A,(VLOOKUP(B69,'Data Core CPI'!$A:$AX,MATCH($P$1,'Data Core CPI'!$A$1:$AX$1,),)-VLOOKUP(EDATE(B69,-12),'Data Core CPI'!$A:$AX,MATCH($P$1,'Data Core CPI'!$A$1:$AX$1,),))/VLOOKUP(EDATE(B69,-12),'Data Core CPI'!$A:$AX,MATCH($P$1,'Data Core CPI'!$A$1:$AX$1,),))</f>
        <v/>
      </c>
      <c r="Q69" s="20">
        <f>(VLOOKUP(B69,'Data Core CPI'!$A:$AX,MATCH($Q$1,'Data Core CPI'!$A$1:$AX$1,),)-VLOOKUP(EDATE(B69,-12),'Data Core CPI'!$A:$AX,MATCH($Q$1,'Data Core CPI'!$A$1:$AX$1,),))/VLOOKUP(EDATE(B69,-12),'Data Core CPI'!$A:$AX,MATCH($Q$1,'Data Core CPI'!$A$1:$AX$1,),)</f>
        <v/>
      </c>
      <c r="R69" s="20">
        <f>IF(VLOOKUP(B69,'Data Core CPI'!$A:$AX,MATCH($R$1,'Data Core CPI'!$A$1:$AX$1,),)=0,#N/A,(VLOOKUP(B69,'Data Core CPI'!$A:$AX,MATCH($R$1,'Data Core CPI'!$A$1:$AX$1,),)-VLOOKUP(EDATE(B69,-12),'Data Core CPI'!$A:$AX,MATCH($R$1,'Data Core CPI'!$A$1:$AX$1,),))/VLOOKUP(EDATE(B69,-12),'Data Core CPI'!$A:$AX,MATCH($R$1,'Data Core CPI'!$A$1:$AX$1,),))</f>
        <v/>
      </c>
      <c r="S69" s="20">
        <f>(VLOOKUP(B69,'Data Core CPI'!$A:$AX,MATCH($S$1,'Data Core CPI'!$A$1:$AX$1,),)-VLOOKUP(EDATE(B69,-12),'Data Core CPI'!$A:$AX,MATCH($S$1,'Data Core CPI'!$A$1:$AX$1,),))/VLOOKUP(EDATE(B69,-12),'Data Core CPI'!$A:$AX,MATCH($S$1,'Data Core CPI'!$A$1:$AX$1,),)</f>
        <v/>
      </c>
      <c r="T69" s="20">
        <f>(VLOOKUP(B69,'Data Core CPI'!$A:$AX,MATCH($T$1,'Data Core CPI'!$A$1:$AX$1,),)-VLOOKUP(EDATE(B69,-12),'Data Core CPI'!$A:$AX,MATCH($T$1,'Data Core CPI'!$A$1:$AX$1,),))/VLOOKUP(EDATE(B69,-12),'Data Core CPI'!$A:$AX,MATCH($T$1,'Data Core CPI'!$A$1:$AX$1,),)</f>
        <v/>
      </c>
      <c r="U69" s="20">
        <f>IF(VLOOKUP(B69,'Data Core CPI'!$A:$AX,MATCH($U$1,'Data Core CPI'!$A$1:$AX$1,),)=0,#N/A,(VLOOKUP(B69,'Data Core CPI'!$A:$AX,MATCH($U$1,'Data Core CPI'!$A$1:$AX$1,),)-VLOOKUP(EDATE(B69,-12),'Data Core CPI'!$A:$AX,MATCH($U$1,'Data Core CPI'!$A$1:$AX$1,),))/VLOOKUP(EDATE(B69,-12),'Data Core CPI'!$A:$AX,MATCH($U$1,'Data Core CPI'!$A$1:$AX$1,),))</f>
        <v/>
      </c>
      <c r="V69" s="20">
        <f>(VLOOKUP(B69,'Data Core CPI'!$A:$AX,MATCH($V$1,'Data Core CPI'!$A$1:$AX$1,),)-VLOOKUP(EDATE(B69,-12),'Data Core CPI'!$A:$AX,MATCH($V$1,'Data Core CPI'!$A$1:$AX$1,),))/VLOOKUP(EDATE(B69,-12),'Data Core CPI'!$A:$AX,MATCH($V$1,'Data Core CPI'!$A$1:$AX$1,),)</f>
        <v/>
      </c>
      <c r="W69" s="20">
        <f>IF(VLOOKUP(B69,'Data Core CPI'!$A:$AX,MATCH($W$1,'Data Core CPI'!$A$1:$AX$1,),)=0,#N/A,(VLOOKUP(B69,'Data Core CPI'!$A:$AX,MATCH($W$1,'Data Core CPI'!$A$1:$AX$1,),)-VLOOKUP(EDATE(B69,-12),'Data Core CPI'!$A:$AX,MATCH($W$1,'Data Core CPI'!$A$1:$AX$1,),))/VLOOKUP(EDATE(B69,-12),'Data Core CPI'!$A:$AX,MATCH($W$1,'Data Core CPI'!$A$1:$AX$1,),))</f>
        <v/>
      </c>
      <c r="X69" s="20">
        <f>IF(VLOOKUP(B69,'Data Core CPI'!$A:$AX,MATCH($X$1,'Data Core CPI'!$A$1:$AX$1,),)=0,#N/A,(VLOOKUP(B69,'Data Core CPI'!$A:$AX,MATCH($X$1,'Data Core CPI'!$A$1:$AX$1,),)-VLOOKUP(EDATE(B69,-12),'Data Core CPI'!$A:$AX,MATCH($X$1,'Data Core CPI'!$A$1:$AX$1,),))/VLOOKUP(EDATE(B69,-12),'Data Core CPI'!$A:$AX,MATCH($X$1,'Data Core CPI'!$A$1:$AX$1,),))</f>
        <v/>
      </c>
      <c r="Y69" s="20">
        <f>IF(VLOOKUP(B69,'Data Core CPI'!$A:$AX,MATCH($Y$1,'Data Core CPI'!$A$1:$AX$1,),)=0,#N/A,(VLOOKUP(B69,'Data Core CPI'!$A:$AX,MATCH($Y$1,'Data Core CPI'!$A$1:$AX$1,),)-VLOOKUP(EDATE(B69,-12),'Data Core CPI'!$A:$AX,MATCH($Y$1,'Data Core CPI'!$A$1:$AX$1,),))/VLOOKUP(EDATE(B69,-12),'Data Core CPI'!$A:$AX,MATCH($Y$1,'Data Core CPI'!$A$1:$AX$1,),))</f>
        <v/>
      </c>
      <c r="Z69" s="20">
        <f>(VLOOKUP(B69,Data!$A:$AX,MATCH($Z$1,Data!$A$1:$AX$1,),)-VLOOKUP(EDATE(B69,-12),Data!$A:$AX,MATCH($Z$1,Data!$A$1:$AX$1,),))/VLOOKUP(EDATE(B69,-12),Data!$A:$AX,MATCH($Z$1,Data!$A$1:$AX$1,),)</f>
        <v/>
      </c>
      <c r="AA69" s="20">
        <f>(VLOOKUP(B69,Data!$A:$AX,MATCH($AA$1,Data!$A$1:$AX$1,),)-VLOOKUP(EDATE(B69,-12),Data!$A:$AX,MATCH($AA$1,Data!$A$1:$AX$1,),))/VLOOKUP(EDATE(B69,-12),Data!$A:$AX,MATCH($AA$1,Data!$A$1:$AX$1,),)</f>
        <v/>
      </c>
      <c r="AB69" s="19" t="n"/>
    </row>
    <row r="70">
      <c r="B70" s="15" t="n">
        <v>42339</v>
      </c>
      <c r="C70" s="20">
        <f>IF(VLOOKUP(B70,'Data Core CPI'!$A:$AX,MATCH($C$1,'Data Core CPI'!$A$1:$AX$1,),)=0,#N/A,(VLOOKUP(B70,'Data Core CPI'!$A:$AX,MATCH($C$1,'Data Core CPI'!$A$1:$AX$1,),)-VLOOKUP(EDATE(B70,-12),'Data Core CPI'!$A:$AX,MATCH($C$1,'Data Core CPI'!$A$1:$AX$1,),))/VLOOKUP(EDATE(B70,-12),'Data Core CPI'!$A:$AX,MATCH($C$1,'Data Core CPI'!$A$1:$AX$1,),))</f>
        <v/>
      </c>
      <c r="D70" s="20">
        <f>(VLOOKUP(B70,'Data Core CPI'!$A:$AX,MATCH($D$1,'Data Core CPI'!$A$1:$AX$1,),)-VLOOKUP(EDATE(B70,-12),'Data Core CPI'!$A:$AX,MATCH($D$1,'Data Core CPI'!$A$1:$AX$1,),))/VLOOKUP(EDATE(B70,-12),'Data Core CPI'!$A:$AX,MATCH($D$1,'Data Core CPI'!$A$1:$AX$1,),)</f>
        <v/>
      </c>
      <c r="E70" s="20">
        <f>IF(VLOOKUP(B70,'Data Core CPI'!$A:$AX,MATCH($E$1,'Data Core CPI'!$A$1:$AX$1,),)=0,#N/A,(VLOOKUP(B70,'Data Core CPI'!$A:$AX,MATCH($E$1,'Data Core CPI'!$A$1:$AX$1,),)-VLOOKUP(EDATE(B70,-12),'Data Core CPI'!$A:$AX,MATCH($E$1,'Data Core CPI'!$A$1:$AX$1,),))/VLOOKUP(EDATE(B70,-12),'Data Core CPI'!$A:$AX,MATCH($E$1,'Data Core CPI'!$A$1:$AX$1,),))</f>
        <v/>
      </c>
      <c r="F70" s="20">
        <f>IF(VLOOKUP(B70,'Data Core CPI'!$A:$AX,MATCH($F$1,'Data Core CPI'!$A$1:$AX$1,),)=0,#N/A,(VLOOKUP(B70,'Data Core CPI'!$A:$AX,MATCH($F$1,'Data Core CPI'!$A$1:$AX$1,),)-VLOOKUP(EDATE(B70,-12),'Data Core CPI'!$A:$AX,MATCH($F$1,'Data Core CPI'!$A$1:$AX$1,),))/VLOOKUP(EDATE(B70,-12),'Data Core CPI'!$A:$AX,MATCH($F$1,'Data Core CPI'!$A$1:$AX$1,),))</f>
        <v/>
      </c>
      <c r="G70" s="20">
        <f>IF(VLOOKUP(B70,'Data Core CPI'!$A:$AX,MATCH($G$1,'Data Core CPI'!$A$1:$AX$1,),)=0,#N/A,(VLOOKUP(B70,'Data Core CPI'!$A:$AX,MATCH($G$1,'Data Core CPI'!$A$1:$AX$1,),)-VLOOKUP(EDATE(B70,-12),'Data Core CPI'!$A:$AX,MATCH($G$1,'Data Core CPI'!$A$1:$AX$1,),))/VLOOKUP(EDATE(B70,-12),'Data Core CPI'!$A:$AX,MATCH($G$1,'Data Core CPI'!$A$1:$AX$1,),))</f>
        <v/>
      </c>
      <c r="H70" s="20">
        <f>IF(VLOOKUP(B70,'Data Core CPI'!$A:$AX,MATCH($H$1,'Data Core CPI'!$A$1:$AX$1,),)=0,#N/A,(VLOOKUP(B70,'Data Core CPI'!$A:$AX,MATCH($H$1,'Data Core CPI'!$A$1:$AX$1,),)-VLOOKUP(EDATE(B70,-12),'Data Core CPI'!$A:$AX,MATCH($H$1,'Data Core CPI'!$A$1:$AX$1,),))/VLOOKUP(EDATE(B70,-12),'Data Core CPI'!$A:$AX,MATCH($H$1,'Data Core CPI'!$A$1:$AX$1,),))</f>
        <v/>
      </c>
      <c r="I70" s="20">
        <f>IF(VLOOKUP(B70,'Data Core CPI'!$A:$AX,MATCH($I$1,'Data Core CPI'!$A$1:$AX$1,),)=0,#N/A,(VLOOKUP(B70,'Data Core CPI'!$A:$AX,MATCH($I$1,'Data Core CPI'!$A$1:$AX$1,),)-VLOOKUP(EDATE(B70,-12),'Data Core CPI'!$A:$AX,MATCH($I$1,'Data Core CPI'!$A$1:$AX$1,),))/VLOOKUP(EDATE(B70,-12),'Data Core CPI'!$A:$AX,MATCH($I$1,'Data Core CPI'!$A$1:$AX$1,),))</f>
        <v/>
      </c>
      <c r="J70" s="20">
        <f>IF(VLOOKUP(B70,'Data Core CPI'!$A:$AX,MATCH($J$1,'Data Core CPI'!$A$1:$AX$1,),)=0,#N/A,(VLOOKUP(B70,'Data Core CPI'!$A:$AX,MATCH($J$1,'Data Core CPI'!$A$1:$AX$1,),)-VLOOKUP(EDATE(B70,-12),'Data Core CPI'!$A:$AX,MATCH($J$1,'Data Core CPI'!$A$1:$AX$1,),))/VLOOKUP(EDATE(B70,-12),'Data Core CPI'!$A:$AX,MATCH($J$1,'Data Core CPI'!$A$1:$AX$1,),))</f>
        <v/>
      </c>
      <c r="K70" s="20">
        <f>IF(VLOOKUP(B70,'Data Core CPI'!$A:$AX,MATCH($K$1,'Data Core CPI'!$A$1:$AX$1,),)=0,#N/A,(VLOOKUP(B70,'Data Core CPI'!$A:$AX,MATCH($K$1,'Data Core CPI'!$A$1:$AX$1,),)-VLOOKUP(EDATE(B70,-12),'Data Core CPI'!$A:$AX,MATCH($K$1,'Data Core CPI'!$A$1:$AX$1,),))/VLOOKUP(EDATE(B70,-12),'Data Core CPI'!$A:$AX,MATCH($K$1,'Data Core CPI'!$A$1:$AX$1,),))</f>
        <v/>
      </c>
      <c r="L70" s="20">
        <f>IF(VLOOKUP(B70,'Data Core CPI'!$A:$AX,MATCH($L$1,'Data Core CPI'!$A$1:$AX$1,),)=0,#N/A,(VLOOKUP(B70,'Data Core CPI'!$A:$AX,MATCH($L$1,'Data Core CPI'!$A$1:$AX$1,),)-VLOOKUP(EDATE(B70,-12),'Data Core CPI'!$A:$AX,MATCH($L$1,'Data Core CPI'!$A$1:$AX$1,),))/VLOOKUP(EDATE(B70,-12),'Data Core CPI'!$A:$AX,MATCH($L$1,'Data Core CPI'!$A$1:$AX$1,),))</f>
        <v/>
      </c>
      <c r="M70" s="20">
        <f>IF(VLOOKUP(B70,'Data Core CPI'!$A:$AX,MATCH($M$1,'Data Core CPI'!$A$1:$AX$1,),)=0,#N/A,(VLOOKUP(B70,'Data Core CPI'!$A:$AX,MATCH($M$1,'Data Core CPI'!$A$1:$AX$1,),)-VLOOKUP(EDATE(B70,-12),'Data Core CPI'!$A:$AX,MATCH($M$1,'Data Core CPI'!$A$1:$AX$1,),))/VLOOKUP(EDATE(B70,-12),'Data Core CPI'!$A:$AX,MATCH($M$1,'Data Core CPI'!$A$1:$AX$1,),))</f>
        <v/>
      </c>
      <c r="N70" s="20">
        <f>(VLOOKUP(B70,'Data Core CPI'!$A:$AX,MATCH($N$1,'Data Core CPI'!$A$1:$AX$1,),)-VLOOKUP(EDATE(B70,-12),'Data Core CPI'!$A:$AX,MATCH($N$1,'Data Core CPI'!$A$1:$AX$1,),))/VLOOKUP(EDATE(B70,-12),'Data Core CPI'!$A:$AX,MATCH($N$1,'Data Core CPI'!$A$1:$AX$1,),)</f>
        <v/>
      </c>
      <c r="O70" s="20">
        <f>(VLOOKUP(B70,'Data Core CPI'!$A:$AX,MATCH($O$1,'Data Core CPI'!$A$1:$AX$1,),)-VLOOKUP(EDATE(B70,-12),'Data Core CPI'!$A:$AX,MATCH($O$1,'Data Core CPI'!$A$1:$AX$1,),))/VLOOKUP(EDATE(B70,-12),'Data Core CPI'!$A:$AX,MATCH($O$1,'Data Core CPI'!$A$1:$AX$1,),)</f>
        <v/>
      </c>
      <c r="P70" s="20">
        <f>IF(VLOOKUP(B70,'Data Core CPI'!$A:$AX,MATCH($P$1,'Data Core CPI'!$A$1:$AX$1,),)=0,#N/A,(VLOOKUP(B70,'Data Core CPI'!$A:$AX,MATCH($P$1,'Data Core CPI'!$A$1:$AX$1,),)-VLOOKUP(EDATE(B70,-12),'Data Core CPI'!$A:$AX,MATCH($P$1,'Data Core CPI'!$A$1:$AX$1,),))/VLOOKUP(EDATE(B70,-12),'Data Core CPI'!$A:$AX,MATCH($P$1,'Data Core CPI'!$A$1:$AX$1,),))</f>
        <v/>
      </c>
      <c r="Q70" s="20">
        <f>(VLOOKUP(B70,'Data Core CPI'!$A:$AX,MATCH($Q$1,'Data Core CPI'!$A$1:$AX$1,),)-VLOOKUP(EDATE(B70,-12),'Data Core CPI'!$A:$AX,MATCH($Q$1,'Data Core CPI'!$A$1:$AX$1,),))/VLOOKUP(EDATE(B70,-12),'Data Core CPI'!$A:$AX,MATCH($Q$1,'Data Core CPI'!$A$1:$AX$1,),)</f>
        <v/>
      </c>
      <c r="R70" s="20">
        <f>IF(VLOOKUP(B70,'Data Core CPI'!$A:$AX,MATCH($R$1,'Data Core CPI'!$A$1:$AX$1,),)=0,#N/A,(VLOOKUP(B70,'Data Core CPI'!$A:$AX,MATCH($R$1,'Data Core CPI'!$A$1:$AX$1,),)-VLOOKUP(EDATE(B70,-12),'Data Core CPI'!$A:$AX,MATCH($R$1,'Data Core CPI'!$A$1:$AX$1,),))/VLOOKUP(EDATE(B70,-12),'Data Core CPI'!$A:$AX,MATCH($R$1,'Data Core CPI'!$A$1:$AX$1,),))</f>
        <v/>
      </c>
      <c r="S70" s="20">
        <f>(VLOOKUP(B70,'Data Core CPI'!$A:$AX,MATCH($S$1,'Data Core CPI'!$A$1:$AX$1,),)-VLOOKUP(EDATE(B70,-12),'Data Core CPI'!$A:$AX,MATCH($S$1,'Data Core CPI'!$A$1:$AX$1,),))/VLOOKUP(EDATE(B70,-12),'Data Core CPI'!$A:$AX,MATCH($S$1,'Data Core CPI'!$A$1:$AX$1,),)</f>
        <v/>
      </c>
      <c r="T70" s="20">
        <f>(VLOOKUP(B70,'Data Core CPI'!$A:$AX,MATCH($T$1,'Data Core CPI'!$A$1:$AX$1,),)-VLOOKUP(EDATE(B70,-12),'Data Core CPI'!$A:$AX,MATCH($T$1,'Data Core CPI'!$A$1:$AX$1,),))/VLOOKUP(EDATE(B70,-12),'Data Core CPI'!$A:$AX,MATCH($T$1,'Data Core CPI'!$A$1:$AX$1,),)</f>
        <v/>
      </c>
      <c r="U70" s="20">
        <f>IF(VLOOKUP(B70,'Data Core CPI'!$A:$AX,MATCH($U$1,'Data Core CPI'!$A$1:$AX$1,),)=0,#N/A,(VLOOKUP(B70,'Data Core CPI'!$A:$AX,MATCH($U$1,'Data Core CPI'!$A$1:$AX$1,),)-VLOOKUP(EDATE(B70,-12),'Data Core CPI'!$A:$AX,MATCH($U$1,'Data Core CPI'!$A$1:$AX$1,),))/VLOOKUP(EDATE(B70,-12),'Data Core CPI'!$A:$AX,MATCH($U$1,'Data Core CPI'!$A$1:$AX$1,),))</f>
        <v/>
      </c>
      <c r="V70" s="20">
        <f>(VLOOKUP(B70,'Data Core CPI'!$A:$AX,MATCH($V$1,'Data Core CPI'!$A$1:$AX$1,),)-VLOOKUP(EDATE(B70,-12),'Data Core CPI'!$A:$AX,MATCH($V$1,'Data Core CPI'!$A$1:$AX$1,),))/VLOOKUP(EDATE(B70,-12),'Data Core CPI'!$A:$AX,MATCH($V$1,'Data Core CPI'!$A$1:$AX$1,),)</f>
        <v/>
      </c>
      <c r="W70" s="20">
        <f>IF(VLOOKUP(B70,'Data Core CPI'!$A:$AX,MATCH($W$1,'Data Core CPI'!$A$1:$AX$1,),)=0,#N/A,(VLOOKUP(B70,'Data Core CPI'!$A:$AX,MATCH($W$1,'Data Core CPI'!$A$1:$AX$1,),)-VLOOKUP(EDATE(B70,-12),'Data Core CPI'!$A:$AX,MATCH($W$1,'Data Core CPI'!$A$1:$AX$1,),))/VLOOKUP(EDATE(B70,-12),'Data Core CPI'!$A:$AX,MATCH($W$1,'Data Core CPI'!$A$1:$AX$1,),))</f>
        <v/>
      </c>
      <c r="X70" s="20">
        <f>IF(VLOOKUP(B70,'Data Core CPI'!$A:$AX,MATCH($X$1,'Data Core CPI'!$A$1:$AX$1,),)=0,#N/A,(VLOOKUP(B70,'Data Core CPI'!$A:$AX,MATCH($X$1,'Data Core CPI'!$A$1:$AX$1,),)-VLOOKUP(EDATE(B70,-12),'Data Core CPI'!$A:$AX,MATCH($X$1,'Data Core CPI'!$A$1:$AX$1,),))/VLOOKUP(EDATE(B70,-12),'Data Core CPI'!$A:$AX,MATCH($X$1,'Data Core CPI'!$A$1:$AX$1,),))</f>
        <v/>
      </c>
      <c r="Y70" s="20">
        <f>IF(VLOOKUP(B70,'Data Core CPI'!$A:$AX,MATCH($Y$1,'Data Core CPI'!$A$1:$AX$1,),)=0,#N/A,(VLOOKUP(B70,'Data Core CPI'!$A:$AX,MATCH($Y$1,'Data Core CPI'!$A$1:$AX$1,),)-VLOOKUP(EDATE(B70,-12),'Data Core CPI'!$A:$AX,MATCH($Y$1,'Data Core CPI'!$A$1:$AX$1,),))/VLOOKUP(EDATE(B70,-12),'Data Core CPI'!$A:$AX,MATCH($Y$1,'Data Core CPI'!$A$1:$AX$1,),))</f>
        <v/>
      </c>
      <c r="Z70" s="20">
        <f>(VLOOKUP(B70,Data!$A:$AX,MATCH($Z$1,Data!$A$1:$AX$1,),)-VLOOKUP(EDATE(B70,-12),Data!$A:$AX,MATCH($Z$1,Data!$A$1:$AX$1,),))/VLOOKUP(EDATE(B70,-12),Data!$A:$AX,MATCH($Z$1,Data!$A$1:$AX$1,),)</f>
        <v/>
      </c>
      <c r="AA70" s="20">
        <f>(VLOOKUP(B70,Data!$A:$AX,MATCH($AA$1,Data!$A$1:$AX$1,),)-VLOOKUP(EDATE(B70,-12),Data!$A:$AX,MATCH($AA$1,Data!$A$1:$AX$1,),))/VLOOKUP(EDATE(B70,-12),Data!$A:$AX,MATCH($AA$1,Data!$A$1:$AX$1,),)</f>
        <v/>
      </c>
      <c r="AB70" s="19" t="n"/>
    </row>
    <row r="71">
      <c r="B71" s="15" t="n">
        <v>42370</v>
      </c>
      <c r="C71" s="20">
        <f>IF(VLOOKUP(B71,'Data Core CPI'!$A:$AX,MATCH($C$1,'Data Core CPI'!$A$1:$AX$1,),)=0,#N/A,(VLOOKUP(B71,'Data Core CPI'!$A:$AX,MATCH($C$1,'Data Core CPI'!$A$1:$AX$1,),)-VLOOKUP(EDATE(B71,-12),'Data Core CPI'!$A:$AX,MATCH($C$1,'Data Core CPI'!$A$1:$AX$1,),))/VLOOKUP(EDATE(B71,-12),'Data Core CPI'!$A:$AX,MATCH($C$1,'Data Core CPI'!$A$1:$AX$1,),))</f>
        <v/>
      </c>
      <c r="D71" s="20">
        <f>(VLOOKUP(B71,'Data Core CPI'!$A:$AX,MATCH($D$1,'Data Core CPI'!$A$1:$AX$1,),)-VLOOKUP(EDATE(B71,-12),'Data Core CPI'!$A:$AX,MATCH($D$1,'Data Core CPI'!$A$1:$AX$1,),))/VLOOKUP(EDATE(B71,-12),'Data Core CPI'!$A:$AX,MATCH($D$1,'Data Core CPI'!$A$1:$AX$1,),)</f>
        <v/>
      </c>
      <c r="E71" s="20">
        <f>IF(VLOOKUP(B71,'Data Core CPI'!$A:$AX,MATCH($E$1,'Data Core CPI'!$A$1:$AX$1,),)=0,#N/A,(VLOOKUP(B71,'Data Core CPI'!$A:$AX,MATCH($E$1,'Data Core CPI'!$A$1:$AX$1,),)-VLOOKUP(EDATE(B71,-12),'Data Core CPI'!$A:$AX,MATCH($E$1,'Data Core CPI'!$A$1:$AX$1,),))/VLOOKUP(EDATE(B71,-12),'Data Core CPI'!$A:$AX,MATCH($E$1,'Data Core CPI'!$A$1:$AX$1,),))</f>
        <v/>
      </c>
      <c r="F71" s="20">
        <f>IF(VLOOKUP(B71,'Data Core CPI'!$A:$AX,MATCH($F$1,'Data Core CPI'!$A$1:$AX$1,),)=0,#N/A,(VLOOKUP(B71,'Data Core CPI'!$A:$AX,MATCH($F$1,'Data Core CPI'!$A$1:$AX$1,),)-VLOOKUP(EDATE(B71,-12),'Data Core CPI'!$A:$AX,MATCH($F$1,'Data Core CPI'!$A$1:$AX$1,),))/VLOOKUP(EDATE(B71,-12),'Data Core CPI'!$A:$AX,MATCH($F$1,'Data Core CPI'!$A$1:$AX$1,),))</f>
        <v/>
      </c>
      <c r="G71" s="20">
        <f>IF(VLOOKUP(B71,'Data Core CPI'!$A:$AX,MATCH($G$1,'Data Core CPI'!$A$1:$AX$1,),)=0,#N/A,(VLOOKUP(B71,'Data Core CPI'!$A:$AX,MATCH($G$1,'Data Core CPI'!$A$1:$AX$1,),)-VLOOKUP(EDATE(B71,-12),'Data Core CPI'!$A:$AX,MATCH($G$1,'Data Core CPI'!$A$1:$AX$1,),))/VLOOKUP(EDATE(B71,-12),'Data Core CPI'!$A:$AX,MATCH($G$1,'Data Core CPI'!$A$1:$AX$1,),))</f>
        <v/>
      </c>
      <c r="H71" s="20">
        <f>IF(VLOOKUP(B71,'Data Core CPI'!$A:$AX,MATCH($H$1,'Data Core CPI'!$A$1:$AX$1,),)=0,#N/A,(VLOOKUP(B71,'Data Core CPI'!$A:$AX,MATCH($H$1,'Data Core CPI'!$A$1:$AX$1,),)-VLOOKUP(EDATE(B71,-12),'Data Core CPI'!$A:$AX,MATCH($H$1,'Data Core CPI'!$A$1:$AX$1,),))/VLOOKUP(EDATE(B71,-12),'Data Core CPI'!$A:$AX,MATCH($H$1,'Data Core CPI'!$A$1:$AX$1,),))</f>
        <v/>
      </c>
      <c r="I71" s="20">
        <f>IF(VLOOKUP(B71,'Data Core CPI'!$A:$AX,MATCH($I$1,'Data Core CPI'!$A$1:$AX$1,),)=0,#N/A,(VLOOKUP(B71,'Data Core CPI'!$A:$AX,MATCH($I$1,'Data Core CPI'!$A$1:$AX$1,),)-VLOOKUP(EDATE(B71,-12),'Data Core CPI'!$A:$AX,MATCH($I$1,'Data Core CPI'!$A$1:$AX$1,),))/VLOOKUP(EDATE(B71,-12),'Data Core CPI'!$A:$AX,MATCH($I$1,'Data Core CPI'!$A$1:$AX$1,),))</f>
        <v/>
      </c>
      <c r="J71" s="20">
        <f>IF(VLOOKUP(B71,'Data Core CPI'!$A:$AX,MATCH($J$1,'Data Core CPI'!$A$1:$AX$1,),)=0,#N/A,(VLOOKUP(B71,'Data Core CPI'!$A:$AX,MATCH($J$1,'Data Core CPI'!$A$1:$AX$1,),)-VLOOKUP(EDATE(B71,-12),'Data Core CPI'!$A:$AX,MATCH($J$1,'Data Core CPI'!$A$1:$AX$1,),))/VLOOKUP(EDATE(B71,-12),'Data Core CPI'!$A:$AX,MATCH($J$1,'Data Core CPI'!$A$1:$AX$1,),))</f>
        <v/>
      </c>
      <c r="K71" s="20">
        <f>IF(VLOOKUP(B71,'Data Core CPI'!$A:$AX,MATCH($K$1,'Data Core CPI'!$A$1:$AX$1,),)=0,#N/A,(VLOOKUP(B71,'Data Core CPI'!$A:$AX,MATCH($K$1,'Data Core CPI'!$A$1:$AX$1,),)-VLOOKUP(EDATE(B71,-12),'Data Core CPI'!$A:$AX,MATCH($K$1,'Data Core CPI'!$A$1:$AX$1,),))/VLOOKUP(EDATE(B71,-12),'Data Core CPI'!$A:$AX,MATCH($K$1,'Data Core CPI'!$A$1:$AX$1,),))</f>
        <v/>
      </c>
      <c r="L71" s="20">
        <f>IF(VLOOKUP(B71,'Data Core CPI'!$A:$AX,MATCH($L$1,'Data Core CPI'!$A$1:$AX$1,),)=0,#N/A,(VLOOKUP(B71,'Data Core CPI'!$A:$AX,MATCH($L$1,'Data Core CPI'!$A$1:$AX$1,),)-VLOOKUP(EDATE(B71,-12),'Data Core CPI'!$A:$AX,MATCH($L$1,'Data Core CPI'!$A$1:$AX$1,),))/VLOOKUP(EDATE(B71,-12),'Data Core CPI'!$A:$AX,MATCH($L$1,'Data Core CPI'!$A$1:$AX$1,),))</f>
        <v/>
      </c>
      <c r="M71" s="20">
        <f>IF(VLOOKUP(B71,'Data Core CPI'!$A:$AX,MATCH($M$1,'Data Core CPI'!$A$1:$AX$1,),)=0,#N/A,(VLOOKUP(B71,'Data Core CPI'!$A:$AX,MATCH($M$1,'Data Core CPI'!$A$1:$AX$1,),)-VLOOKUP(EDATE(B71,-12),'Data Core CPI'!$A:$AX,MATCH($M$1,'Data Core CPI'!$A$1:$AX$1,),))/VLOOKUP(EDATE(B71,-12),'Data Core CPI'!$A:$AX,MATCH($M$1,'Data Core CPI'!$A$1:$AX$1,),))</f>
        <v/>
      </c>
      <c r="N71" s="20">
        <f>(VLOOKUP(B71,'Data Core CPI'!$A:$AX,MATCH($N$1,'Data Core CPI'!$A$1:$AX$1,),)-VLOOKUP(EDATE(B71,-12),'Data Core CPI'!$A:$AX,MATCH($N$1,'Data Core CPI'!$A$1:$AX$1,),))/VLOOKUP(EDATE(B71,-12),'Data Core CPI'!$A:$AX,MATCH($N$1,'Data Core CPI'!$A$1:$AX$1,),)</f>
        <v/>
      </c>
      <c r="O71" s="20">
        <f>(VLOOKUP(B71,'Data Core CPI'!$A:$AX,MATCH($O$1,'Data Core CPI'!$A$1:$AX$1,),)-VLOOKUP(EDATE(B71,-12),'Data Core CPI'!$A:$AX,MATCH($O$1,'Data Core CPI'!$A$1:$AX$1,),))/VLOOKUP(EDATE(B71,-12),'Data Core CPI'!$A:$AX,MATCH($O$1,'Data Core CPI'!$A$1:$AX$1,),)</f>
        <v/>
      </c>
      <c r="P71" s="20">
        <f>IF(VLOOKUP(B71,'Data Core CPI'!$A:$AX,MATCH($P$1,'Data Core CPI'!$A$1:$AX$1,),)=0,#N/A,(VLOOKUP(B71,'Data Core CPI'!$A:$AX,MATCH($P$1,'Data Core CPI'!$A$1:$AX$1,),)-VLOOKUP(EDATE(B71,-12),'Data Core CPI'!$A:$AX,MATCH($P$1,'Data Core CPI'!$A$1:$AX$1,),))/VLOOKUP(EDATE(B71,-12),'Data Core CPI'!$A:$AX,MATCH($P$1,'Data Core CPI'!$A$1:$AX$1,),))</f>
        <v/>
      </c>
      <c r="Q71" s="20">
        <f>(VLOOKUP(B71,'Data Core CPI'!$A:$AX,MATCH($Q$1,'Data Core CPI'!$A$1:$AX$1,),)-VLOOKUP(EDATE(B71,-12),'Data Core CPI'!$A:$AX,MATCH($Q$1,'Data Core CPI'!$A$1:$AX$1,),))/VLOOKUP(EDATE(B71,-12),'Data Core CPI'!$A:$AX,MATCH($Q$1,'Data Core CPI'!$A$1:$AX$1,),)</f>
        <v/>
      </c>
      <c r="R71" s="20">
        <f>IF(VLOOKUP(B71,'Data Core CPI'!$A:$AX,MATCH($R$1,'Data Core CPI'!$A$1:$AX$1,),)=0,#N/A,(VLOOKUP(B71,'Data Core CPI'!$A:$AX,MATCH($R$1,'Data Core CPI'!$A$1:$AX$1,),)-VLOOKUP(EDATE(B71,-12),'Data Core CPI'!$A:$AX,MATCH($R$1,'Data Core CPI'!$A$1:$AX$1,),))/VLOOKUP(EDATE(B71,-12),'Data Core CPI'!$A:$AX,MATCH($R$1,'Data Core CPI'!$A$1:$AX$1,),))</f>
        <v/>
      </c>
      <c r="S71" s="20">
        <f>(VLOOKUP(B71,'Data Core CPI'!$A:$AX,MATCH($S$1,'Data Core CPI'!$A$1:$AX$1,),)-VLOOKUP(EDATE(B71,-12),'Data Core CPI'!$A:$AX,MATCH($S$1,'Data Core CPI'!$A$1:$AX$1,),))/VLOOKUP(EDATE(B71,-12),'Data Core CPI'!$A:$AX,MATCH($S$1,'Data Core CPI'!$A$1:$AX$1,),)</f>
        <v/>
      </c>
      <c r="T71" s="20">
        <f>(VLOOKUP(B71,'Data Core CPI'!$A:$AX,MATCH($T$1,'Data Core CPI'!$A$1:$AX$1,),)-VLOOKUP(EDATE(B71,-12),'Data Core CPI'!$A:$AX,MATCH($T$1,'Data Core CPI'!$A$1:$AX$1,),))/VLOOKUP(EDATE(B71,-12),'Data Core CPI'!$A:$AX,MATCH($T$1,'Data Core CPI'!$A$1:$AX$1,),)</f>
        <v/>
      </c>
      <c r="U71" s="20">
        <f>IF(VLOOKUP(B71,'Data Core CPI'!$A:$AX,MATCH($U$1,'Data Core CPI'!$A$1:$AX$1,),)=0,#N/A,(VLOOKUP(B71,'Data Core CPI'!$A:$AX,MATCH($U$1,'Data Core CPI'!$A$1:$AX$1,),)-VLOOKUP(EDATE(B71,-12),'Data Core CPI'!$A:$AX,MATCH($U$1,'Data Core CPI'!$A$1:$AX$1,),))/VLOOKUP(EDATE(B71,-12),'Data Core CPI'!$A:$AX,MATCH($U$1,'Data Core CPI'!$A$1:$AX$1,),))</f>
        <v/>
      </c>
      <c r="V71" s="20">
        <f>(VLOOKUP(B71,'Data Core CPI'!$A:$AX,MATCH($V$1,'Data Core CPI'!$A$1:$AX$1,),)-VLOOKUP(EDATE(B71,-12),'Data Core CPI'!$A:$AX,MATCH($V$1,'Data Core CPI'!$A$1:$AX$1,),))/VLOOKUP(EDATE(B71,-12),'Data Core CPI'!$A:$AX,MATCH($V$1,'Data Core CPI'!$A$1:$AX$1,),)</f>
        <v/>
      </c>
      <c r="W71" s="20">
        <f>IF(VLOOKUP(B71,'Data Core CPI'!$A:$AX,MATCH($W$1,'Data Core CPI'!$A$1:$AX$1,),)=0,#N/A,(VLOOKUP(B71,'Data Core CPI'!$A:$AX,MATCH($W$1,'Data Core CPI'!$A$1:$AX$1,),)-VLOOKUP(EDATE(B71,-12),'Data Core CPI'!$A:$AX,MATCH($W$1,'Data Core CPI'!$A$1:$AX$1,),))/VLOOKUP(EDATE(B71,-12),'Data Core CPI'!$A:$AX,MATCH($W$1,'Data Core CPI'!$A$1:$AX$1,),))</f>
        <v/>
      </c>
      <c r="X71" s="20">
        <f>IF(VLOOKUP(B71,'Data Core CPI'!$A:$AX,MATCH($X$1,'Data Core CPI'!$A$1:$AX$1,),)=0,#N/A,(VLOOKUP(B71,'Data Core CPI'!$A:$AX,MATCH($X$1,'Data Core CPI'!$A$1:$AX$1,),)-VLOOKUP(EDATE(B71,-12),'Data Core CPI'!$A:$AX,MATCH($X$1,'Data Core CPI'!$A$1:$AX$1,),))/VLOOKUP(EDATE(B71,-12),'Data Core CPI'!$A:$AX,MATCH($X$1,'Data Core CPI'!$A$1:$AX$1,),))</f>
        <v/>
      </c>
      <c r="Y71" s="20">
        <f>IF(VLOOKUP(B71,'Data Core CPI'!$A:$AX,MATCH($Y$1,'Data Core CPI'!$A$1:$AX$1,),)=0,#N/A,(VLOOKUP(B71,'Data Core CPI'!$A:$AX,MATCH($Y$1,'Data Core CPI'!$A$1:$AX$1,),)-VLOOKUP(EDATE(B71,-12),'Data Core CPI'!$A:$AX,MATCH($Y$1,'Data Core CPI'!$A$1:$AX$1,),))/VLOOKUP(EDATE(B71,-12),'Data Core CPI'!$A:$AX,MATCH($Y$1,'Data Core CPI'!$A$1:$AX$1,),))</f>
        <v/>
      </c>
      <c r="Z71" s="20">
        <f>(VLOOKUP(B71,Data!$A:$AX,MATCH($Z$1,Data!$A$1:$AX$1,),)-VLOOKUP(EDATE(B71,-12),Data!$A:$AX,MATCH($Z$1,Data!$A$1:$AX$1,),))/VLOOKUP(EDATE(B71,-12),Data!$A:$AX,MATCH($Z$1,Data!$A$1:$AX$1,),)</f>
        <v/>
      </c>
      <c r="AA71" s="20">
        <f>(VLOOKUP(B71,Data!$A:$AX,MATCH($AA$1,Data!$A$1:$AX$1,),)-VLOOKUP(EDATE(B71,-12),Data!$A:$AX,MATCH($AA$1,Data!$A$1:$AX$1,),))/VLOOKUP(EDATE(B71,-12),Data!$A:$AX,MATCH($AA$1,Data!$A$1:$AX$1,),)</f>
        <v/>
      </c>
      <c r="AB71" s="19" t="n"/>
    </row>
    <row r="72">
      <c r="B72" s="15" t="n">
        <v>42401</v>
      </c>
      <c r="C72" s="20">
        <f>IF(VLOOKUP(B72,'Data Core CPI'!$A:$AX,MATCH($C$1,'Data Core CPI'!$A$1:$AX$1,),)=0,#N/A,(VLOOKUP(B72,'Data Core CPI'!$A:$AX,MATCH($C$1,'Data Core CPI'!$A$1:$AX$1,),)-VLOOKUP(EDATE(B72,-12),'Data Core CPI'!$A:$AX,MATCH($C$1,'Data Core CPI'!$A$1:$AX$1,),))/VLOOKUP(EDATE(B72,-12),'Data Core CPI'!$A:$AX,MATCH($C$1,'Data Core CPI'!$A$1:$AX$1,),))</f>
        <v/>
      </c>
      <c r="D72" s="20">
        <f>(VLOOKUP(B72,'Data Core CPI'!$A:$AX,MATCH($D$1,'Data Core CPI'!$A$1:$AX$1,),)-VLOOKUP(EDATE(B72,-12),'Data Core CPI'!$A:$AX,MATCH($D$1,'Data Core CPI'!$A$1:$AX$1,),))/VLOOKUP(EDATE(B72,-12),'Data Core CPI'!$A:$AX,MATCH($D$1,'Data Core CPI'!$A$1:$AX$1,),)</f>
        <v/>
      </c>
      <c r="E72" s="20">
        <f>IF(VLOOKUP(B72,'Data Core CPI'!$A:$AX,MATCH($E$1,'Data Core CPI'!$A$1:$AX$1,),)=0,#N/A,(VLOOKUP(B72,'Data Core CPI'!$A:$AX,MATCH($E$1,'Data Core CPI'!$A$1:$AX$1,),)-VLOOKUP(EDATE(B72,-12),'Data Core CPI'!$A:$AX,MATCH($E$1,'Data Core CPI'!$A$1:$AX$1,),))/VLOOKUP(EDATE(B72,-12),'Data Core CPI'!$A:$AX,MATCH($E$1,'Data Core CPI'!$A$1:$AX$1,),))</f>
        <v/>
      </c>
      <c r="F72" s="20">
        <f>IF(VLOOKUP(B72,'Data Core CPI'!$A:$AX,MATCH($F$1,'Data Core CPI'!$A$1:$AX$1,),)=0,#N/A,(VLOOKUP(B72,'Data Core CPI'!$A:$AX,MATCH($F$1,'Data Core CPI'!$A$1:$AX$1,),)-VLOOKUP(EDATE(B72,-12),'Data Core CPI'!$A:$AX,MATCH($F$1,'Data Core CPI'!$A$1:$AX$1,),))/VLOOKUP(EDATE(B72,-12),'Data Core CPI'!$A:$AX,MATCH($F$1,'Data Core CPI'!$A$1:$AX$1,),))</f>
        <v/>
      </c>
      <c r="G72" s="20">
        <f>IF(VLOOKUP(B72,'Data Core CPI'!$A:$AX,MATCH($G$1,'Data Core CPI'!$A$1:$AX$1,),)=0,#N/A,(VLOOKUP(B72,'Data Core CPI'!$A:$AX,MATCH($G$1,'Data Core CPI'!$A$1:$AX$1,),)-VLOOKUP(EDATE(B72,-12),'Data Core CPI'!$A:$AX,MATCH($G$1,'Data Core CPI'!$A$1:$AX$1,),))/VLOOKUP(EDATE(B72,-12),'Data Core CPI'!$A:$AX,MATCH($G$1,'Data Core CPI'!$A$1:$AX$1,),))</f>
        <v/>
      </c>
      <c r="H72" s="20">
        <f>IF(VLOOKUP(B72,'Data Core CPI'!$A:$AX,MATCH($H$1,'Data Core CPI'!$A$1:$AX$1,),)=0,#N/A,(VLOOKUP(B72,'Data Core CPI'!$A:$AX,MATCH($H$1,'Data Core CPI'!$A$1:$AX$1,),)-VLOOKUP(EDATE(B72,-12),'Data Core CPI'!$A:$AX,MATCH($H$1,'Data Core CPI'!$A$1:$AX$1,),))/VLOOKUP(EDATE(B72,-12),'Data Core CPI'!$A:$AX,MATCH($H$1,'Data Core CPI'!$A$1:$AX$1,),))</f>
        <v/>
      </c>
      <c r="I72" s="20">
        <f>IF(VLOOKUP(B72,'Data Core CPI'!$A:$AX,MATCH($I$1,'Data Core CPI'!$A$1:$AX$1,),)=0,#N/A,(VLOOKUP(B72,'Data Core CPI'!$A:$AX,MATCH($I$1,'Data Core CPI'!$A$1:$AX$1,),)-VLOOKUP(EDATE(B72,-12),'Data Core CPI'!$A:$AX,MATCH($I$1,'Data Core CPI'!$A$1:$AX$1,),))/VLOOKUP(EDATE(B72,-12),'Data Core CPI'!$A:$AX,MATCH($I$1,'Data Core CPI'!$A$1:$AX$1,),))</f>
        <v/>
      </c>
      <c r="J72" s="20">
        <f>IF(VLOOKUP(B72,'Data Core CPI'!$A:$AX,MATCH($J$1,'Data Core CPI'!$A$1:$AX$1,),)=0,#N/A,(VLOOKUP(B72,'Data Core CPI'!$A:$AX,MATCH($J$1,'Data Core CPI'!$A$1:$AX$1,),)-VLOOKUP(EDATE(B72,-12),'Data Core CPI'!$A:$AX,MATCH($J$1,'Data Core CPI'!$A$1:$AX$1,),))/VLOOKUP(EDATE(B72,-12),'Data Core CPI'!$A:$AX,MATCH($J$1,'Data Core CPI'!$A$1:$AX$1,),))</f>
        <v/>
      </c>
      <c r="K72" s="20">
        <f>IF(VLOOKUP(B72,'Data Core CPI'!$A:$AX,MATCH($K$1,'Data Core CPI'!$A$1:$AX$1,),)=0,#N/A,(VLOOKUP(B72,'Data Core CPI'!$A:$AX,MATCH($K$1,'Data Core CPI'!$A$1:$AX$1,),)-VLOOKUP(EDATE(B72,-12),'Data Core CPI'!$A:$AX,MATCH($K$1,'Data Core CPI'!$A$1:$AX$1,),))/VLOOKUP(EDATE(B72,-12),'Data Core CPI'!$A:$AX,MATCH($K$1,'Data Core CPI'!$A$1:$AX$1,),))</f>
        <v/>
      </c>
      <c r="L72" s="20">
        <f>IF(VLOOKUP(B72,'Data Core CPI'!$A:$AX,MATCH($L$1,'Data Core CPI'!$A$1:$AX$1,),)=0,#N/A,(VLOOKUP(B72,'Data Core CPI'!$A:$AX,MATCH($L$1,'Data Core CPI'!$A$1:$AX$1,),)-VLOOKUP(EDATE(B72,-12),'Data Core CPI'!$A:$AX,MATCH($L$1,'Data Core CPI'!$A$1:$AX$1,),))/VLOOKUP(EDATE(B72,-12),'Data Core CPI'!$A:$AX,MATCH($L$1,'Data Core CPI'!$A$1:$AX$1,),))</f>
        <v/>
      </c>
      <c r="M72" s="20">
        <f>IF(VLOOKUP(B72,'Data Core CPI'!$A:$AX,MATCH($M$1,'Data Core CPI'!$A$1:$AX$1,),)=0,#N/A,(VLOOKUP(B72,'Data Core CPI'!$A:$AX,MATCH($M$1,'Data Core CPI'!$A$1:$AX$1,),)-VLOOKUP(EDATE(B72,-12),'Data Core CPI'!$A:$AX,MATCH($M$1,'Data Core CPI'!$A$1:$AX$1,),))/VLOOKUP(EDATE(B72,-12),'Data Core CPI'!$A:$AX,MATCH($M$1,'Data Core CPI'!$A$1:$AX$1,),))</f>
        <v/>
      </c>
      <c r="N72" s="20">
        <f>(VLOOKUP(B72,'Data Core CPI'!$A:$AX,MATCH($N$1,'Data Core CPI'!$A$1:$AX$1,),)-VLOOKUP(EDATE(B72,-12),'Data Core CPI'!$A:$AX,MATCH($N$1,'Data Core CPI'!$A$1:$AX$1,),))/VLOOKUP(EDATE(B72,-12),'Data Core CPI'!$A:$AX,MATCH($N$1,'Data Core CPI'!$A$1:$AX$1,),)</f>
        <v/>
      </c>
      <c r="O72" s="20">
        <f>(VLOOKUP(B72,'Data Core CPI'!$A:$AX,MATCH($O$1,'Data Core CPI'!$A$1:$AX$1,),)-VLOOKUP(EDATE(B72,-12),'Data Core CPI'!$A:$AX,MATCH($O$1,'Data Core CPI'!$A$1:$AX$1,),))/VLOOKUP(EDATE(B72,-12),'Data Core CPI'!$A:$AX,MATCH($O$1,'Data Core CPI'!$A$1:$AX$1,),)</f>
        <v/>
      </c>
      <c r="P72" s="20">
        <f>IF(VLOOKUP(B72,'Data Core CPI'!$A:$AX,MATCH($P$1,'Data Core CPI'!$A$1:$AX$1,),)=0,#N/A,(VLOOKUP(B72,'Data Core CPI'!$A:$AX,MATCH($P$1,'Data Core CPI'!$A$1:$AX$1,),)-VLOOKUP(EDATE(B72,-12),'Data Core CPI'!$A:$AX,MATCH($P$1,'Data Core CPI'!$A$1:$AX$1,),))/VLOOKUP(EDATE(B72,-12),'Data Core CPI'!$A:$AX,MATCH($P$1,'Data Core CPI'!$A$1:$AX$1,),))</f>
        <v/>
      </c>
      <c r="Q72" s="20">
        <f>(VLOOKUP(B72,'Data Core CPI'!$A:$AX,MATCH($Q$1,'Data Core CPI'!$A$1:$AX$1,),)-VLOOKUP(EDATE(B72,-12),'Data Core CPI'!$A:$AX,MATCH($Q$1,'Data Core CPI'!$A$1:$AX$1,),))/VLOOKUP(EDATE(B72,-12),'Data Core CPI'!$A:$AX,MATCH($Q$1,'Data Core CPI'!$A$1:$AX$1,),)</f>
        <v/>
      </c>
      <c r="R72" s="20">
        <f>IF(VLOOKUP(B72,'Data Core CPI'!$A:$AX,MATCH($R$1,'Data Core CPI'!$A$1:$AX$1,),)=0,#N/A,(VLOOKUP(B72,'Data Core CPI'!$A:$AX,MATCH($R$1,'Data Core CPI'!$A$1:$AX$1,),)-VLOOKUP(EDATE(B72,-12),'Data Core CPI'!$A:$AX,MATCH($R$1,'Data Core CPI'!$A$1:$AX$1,),))/VLOOKUP(EDATE(B72,-12),'Data Core CPI'!$A:$AX,MATCH($R$1,'Data Core CPI'!$A$1:$AX$1,),))</f>
        <v/>
      </c>
      <c r="S72" s="20">
        <f>(VLOOKUP(B72,'Data Core CPI'!$A:$AX,MATCH($S$1,'Data Core CPI'!$A$1:$AX$1,),)-VLOOKUP(EDATE(B72,-12),'Data Core CPI'!$A:$AX,MATCH($S$1,'Data Core CPI'!$A$1:$AX$1,),))/VLOOKUP(EDATE(B72,-12),'Data Core CPI'!$A:$AX,MATCH($S$1,'Data Core CPI'!$A$1:$AX$1,),)</f>
        <v/>
      </c>
      <c r="T72" s="20">
        <f>(VLOOKUP(B72,'Data Core CPI'!$A:$AX,MATCH($T$1,'Data Core CPI'!$A$1:$AX$1,),)-VLOOKUP(EDATE(B72,-12),'Data Core CPI'!$A:$AX,MATCH($T$1,'Data Core CPI'!$A$1:$AX$1,),))/VLOOKUP(EDATE(B72,-12),'Data Core CPI'!$A:$AX,MATCH($T$1,'Data Core CPI'!$A$1:$AX$1,),)</f>
        <v/>
      </c>
      <c r="U72" s="20">
        <f>IF(VLOOKUP(B72,'Data Core CPI'!$A:$AX,MATCH($U$1,'Data Core CPI'!$A$1:$AX$1,),)=0,#N/A,(VLOOKUP(B72,'Data Core CPI'!$A:$AX,MATCH($U$1,'Data Core CPI'!$A$1:$AX$1,),)-VLOOKUP(EDATE(B72,-12),'Data Core CPI'!$A:$AX,MATCH($U$1,'Data Core CPI'!$A$1:$AX$1,),))/VLOOKUP(EDATE(B72,-12),'Data Core CPI'!$A:$AX,MATCH($U$1,'Data Core CPI'!$A$1:$AX$1,),))</f>
        <v/>
      </c>
      <c r="V72" s="20">
        <f>(VLOOKUP(B72,'Data Core CPI'!$A:$AX,MATCH($V$1,'Data Core CPI'!$A$1:$AX$1,),)-VLOOKUP(EDATE(B72,-12),'Data Core CPI'!$A:$AX,MATCH($V$1,'Data Core CPI'!$A$1:$AX$1,),))/VLOOKUP(EDATE(B72,-12),'Data Core CPI'!$A:$AX,MATCH($V$1,'Data Core CPI'!$A$1:$AX$1,),)</f>
        <v/>
      </c>
      <c r="W72" s="20">
        <f>IF(VLOOKUP(B72,'Data Core CPI'!$A:$AX,MATCH($W$1,'Data Core CPI'!$A$1:$AX$1,),)=0,#N/A,(VLOOKUP(B72,'Data Core CPI'!$A:$AX,MATCH($W$1,'Data Core CPI'!$A$1:$AX$1,),)-VLOOKUP(EDATE(B72,-12),'Data Core CPI'!$A:$AX,MATCH($W$1,'Data Core CPI'!$A$1:$AX$1,),))/VLOOKUP(EDATE(B72,-12),'Data Core CPI'!$A:$AX,MATCH($W$1,'Data Core CPI'!$A$1:$AX$1,),))</f>
        <v/>
      </c>
      <c r="X72" s="20">
        <f>IF(VLOOKUP(B72,'Data Core CPI'!$A:$AX,MATCH($X$1,'Data Core CPI'!$A$1:$AX$1,),)=0,#N/A,(VLOOKUP(B72,'Data Core CPI'!$A:$AX,MATCH($X$1,'Data Core CPI'!$A$1:$AX$1,),)-VLOOKUP(EDATE(B72,-12),'Data Core CPI'!$A:$AX,MATCH($X$1,'Data Core CPI'!$A$1:$AX$1,),))/VLOOKUP(EDATE(B72,-12),'Data Core CPI'!$A:$AX,MATCH($X$1,'Data Core CPI'!$A$1:$AX$1,),))</f>
        <v/>
      </c>
      <c r="Y72" s="20">
        <f>IF(VLOOKUP(B72,'Data Core CPI'!$A:$AX,MATCH($Y$1,'Data Core CPI'!$A$1:$AX$1,),)=0,#N/A,(VLOOKUP(B72,'Data Core CPI'!$A:$AX,MATCH($Y$1,'Data Core CPI'!$A$1:$AX$1,),)-VLOOKUP(EDATE(B72,-12),'Data Core CPI'!$A:$AX,MATCH($Y$1,'Data Core CPI'!$A$1:$AX$1,),))/VLOOKUP(EDATE(B72,-12),'Data Core CPI'!$A:$AX,MATCH($Y$1,'Data Core CPI'!$A$1:$AX$1,),))</f>
        <v/>
      </c>
      <c r="Z72" s="20">
        <f>(VLOOKUP(B72,Data!$A:$AX,MATCH($Z$1,Data!$A$1:$AX$1,),)-VLOOKUP(EDATE(B72,-12),Data!$A:$AX,MATCH($Z$1,Data!$A$1:$AX$1,),))/VLOOKUP(EDATE(B72,-12),Data!$A:$AX,MATCH($Z$1,Data!$A$1:$AX$1,),)</f>
        <v/>
      </c>
      <c r="AA72" s="20">
        <f>(VLOOKUP(B72,Data!$A:$AX,MATCH($AA$1,Data!$A$1:$AX$1,),)-VLOOKUP(EDATE(B72,-12),Data!$A:$AX,MATCH($AA$1,Data!$A$1:$AX$1,),))/VLOOKUP(EDATE(B72,-12),Data!$A:$AX,MATCH($AA$1,Data!$A$1:$AX$1,),)</f>
        <v/>
      </c>
      <c r="AB72" s="19" t="n"/>
    </row>
    <row r="73">
      <c r="B73" s="15" t="n">
        <v>42430</v>
      </c>
      <c r="C73" s="20">
        <f>IF(VLOOKUP(B73,'Data Core CPI'!$A:$AX,MATCH($C$1,'Data Core CPI'!$A$1:$AX$1,),)=0,#N/A,(VLOOKUP(B73,'Data Core CPI'!$A:$AX,MATCH($C$1,'Data Core CPI'!$A$1:$AX$1,),)-VLOOKUP(EDATE(B73,-12),'Data Core CPI'!$A:$AX,MATCH($C$1,'Data Core CPI'!$A$1:$AX$1,),))/VLOOKUP(EDATE(B73,-12),'Data Core CPI'!$A:$AX,MATCH($C$1,'Data Core CPI'!$A$1:$AX$1,),))</f>
        <v/>
      </c>
      <c r="D73" s="20">
        <f>(VLOOKUP(B73,'Data Core CPI'!$A:$AX,MATCH($D$1,'Data Core CPI'!$A$1:$AX$1,),)-VLOOKUP(EDATE(B73,-12),'Data Core CPI'!$A:$AX,MATCH($D$1,'Data Core CPI'!$A$1:$AX$1,),))/VLOOKUP(EDATE(B73,-12),'Data Core CPI'!$A:$AX,MATCH($D$1,'Data Core CPI'!$A$1:$AX$1,),)</f>
        <v/>
      </c>
      <c r="E73" s="20">
        <f>IF(VLOOKUP(B73,'Data Core CPI'!$A:$AX,MATCH($E$1,'Data Core CPI'!$A$1:$AX$1,),)=0,#N/A,(VLOOKUP(B73,'Data Core CPI'!$A:$AX,MATCH($E$1,'Data Core CPI'!$A$1:$AX$1,),)-VLOOKUP(EDATE(B73,-12),'Data Core CPI'!$A:$AX,MATCH($E$1,'Data Core CPI'!$A$1:$AX$1,),))/VLOOKUP(EDATE(B73,-12),'Data Core CPI'!$A:$AX,MATCH($E$1,'Data Core CPI'!$A$1:$AX$1,),))</f>
        <v/>
      </c>
      <c r="F73" s="20">
        <f>IF(VLOOKUP(B73,'Data Core CPI'!$A:$AX,MATCH($F$1,'Data Core CPI'!$A$1:$AX$1,),)=0,#N/A,(VLOOKUP(B73,'Data Core CPI'!$A:$AX,MATCH($F$1,'Data Core CPI'!$A$1:$AX$1,),)-VLOOKUP(EDATE(B73,-12),'Data Core CPI'!$A:$AX,MATCH($F$1,'Data Core CPI'!$A$1:$AX$1,),))/VLOOKUP(EDATE(B73,-12),'Data Core CPI'!$A:$AX,MATCH($F$1,'Data Core CPI'!$A$1:$AX$1,),))</f>
        <v/>
      </c>
      <c r="G73" s="20">
        <f>IF(VLOOKUP(B73,'Data Core CPI'!$A:$AX,MATCH($G$1,'Data Core CPI'!$A$1:$AX$1,),)=0,#N/A,(VLOOKUP(B73,'Data Core CPI'!$A:$AX,MATCH($G$1,'Data Core CPI'!$A$1:$AX$1,),)-VLOOKUP(EDATE(B73,-12),'Data Core CPI'!$A:$AX,MATCH($G$1,'Data Core CPI'!$A$1:$AX$1,),))/VLOOKUP(EDATE(B73,-12),'Data Core CPI'!$A:$AX,MATCH($G$1,'Data Core CPI'!$A$1:$AX$1,),))</f>
        <v/>
      </c>
      <c r="H73" s="20">
        <f>IF(VLOOKUP(B73,'Data Core CPI'!$A:$AX,MATCH($H$1,'Data Core CPI'!$A$1:$AX$1,),)=0,#N/A,(VLOOKUP(B73,'Data Core CPI'!$A:$AX,MATCH($H$1,'Data Core CPI'!$A$1:$AX$1,),)-VLOOKUP(EDATE(B73,-12),'Data Core CPI'!$A:$AX,MATCH($H$1,'Data Core CPI'!$A$1:$AX$1,),))/VLOOKUP(EDATE(B73,-12),'Data Core CPI'!$A:$AX,MATCH($H$1,'Data Core CPI'!$A$1:$AX$1,),))</f>
        <v/>
      </c>
      <c r="I73" s="20">
        <f>IF(VLOOKUP(B73,'Data Core CPI'!$A:$AX,MATCH($I$1,'Data Core CPI'!$A$1:$AX$1,),)=0,#N/A,(VLOOKUP(B73,'Data Core CPI'!$A:$AX,MATCH($I$1,'Data Core CPI'!$A$1:$AX$1,),)-VLOOKUP(EDATE(B73,-12),'Data Core CPI'!$A:$AX,MATCH($I$1,'Data Core CPI'!$A$1:$AX$1,),))/VLOOKUP(EDATE(B73,-12),'Data Core CPI'!$A:$AX,MATCH($I$1,'Data Core CPI'!$A$1:$AX$1,),))</f>
        <v/>
      </c>
      <c r="J73" s="20">
        <f>IF(VLOOKUP(B73,'Data Core CPI'!$A:$AX,MATCH($J$1,'Data Core CPI'!$A$1:$AX$1,),)=0,#N/A,(VLOOKUP(B73,'Data Core CPI'!$A:$AX,MATCH($J$1,'Data Core CPI'!$A$1:$AX$1,),)-VLOOKUP(EDATE(B73,-12),'Data Core CPI'!$A:$AX,MATCH($J$1,'Data Core CPI'!$A$1:$AX$1,),))/VLOOKUP(EDATE(B73,-12),'Data Core CPI'!$A:$AX,MATCH($J$1,'Data Core CPI'!$A$1:$AX$1,),))</f>
        <v/>
      </c>
      <c r="K73" s="20">
        <f>IF(VLOOKUP(B73,'Data Core CPI'!$A:$AX,MATCH($K$1,'Data Core CPI'!$A$1:$AX$1,),)=0,#N/A,(VLOOKUP(B73,'Data Core CPI'!$A:$AX,MATCH($K$1,'Data Core CPI'!$A$1:$AX$1,),)-VLOOKUP(EDATE(B73,-12),'Data Core CPI'!$A:$AX,MATCH($K$1,'Data Core CPI'!$A$1:$AX$1,),))/VLOOKUP(EDATE(B73,-12),'Data Core CPI'!$A:$AX,MATCH($K$1,'Data Core CPI'!$A$1:$AX$1,),))</f>
        <v/>
      </c>
      <c r="L73" s="20">
        <f>IF(VLOOKUP(B73,'Data Core CPI'!$A:$AX,MATCH($L$1,'Data Core CPI'!$A$1:$AX$1,),)=0,#N/A,(VLOOKUP(B73,'Data Core CPI'!$A:$AX,MATCH($L$1,'Data Core CPI'!$A$1:$AX$1,),)-VLOOKUP(EDATE(B73,-12),'Data Core CPI'!$A:$AX,MATCH($L$1,'Data Core CPI'!$A$1:$AX$1,),))/VLOOKUP(EDATE(B73,-12),'Data Core CPI'!$A:$AX,MATCH($L$1,'Data Core CPI'!$A$1:$AX$1,),))</f>
        <v/>
      </c>
      <c r="M73" s="20">
        <f>IF(VLOOKUP(B73,'Data Core CPI'!$A:$AX,MATCH($M$1,'Data Core CPI'!$A$1:$AX$1,),)=0,#N/A,(VLOOKUP(B73,'Data Core CPI'!$A:$AX,MATCH($M$1,'Data Core CPI'!$A$1:$AX$1,),)-VLOOKUP(EDATE(B73,-12),'Data Core CPI'!$A:$AX,MATCH($M$1,'Data Core CPI'!$A$1:$AX$1,),))/VLOOKUP(EDATE(B73,-12),'Data Core CPI'!$A:$AX,MATCH($M$1,'Data Core CPI'!$A$1:$AX$1,),))</f>
        <v/>
      </c>
      <c r="N73" s="20">
        <f>(VLOOKUP(B73,'Data Core CPI'!$A:$AX,MATCH($N$1,'Data Core CPI'!$A$1:$AX$1,),)-VLOOKUP(EDATE(B73,-12),'Data Core CPI'!$A:$AX,MATCH($N$1,'Data Core CPI'!$A$1:$AX$1,),))/VLOOKUP(EDATE(B73,-12),'Data Core CPI'!$A:$AX,MATCH($N$1,'Data Core CPI'!$A$1:$AX$1,),)</f>
        <v/>
      </c>
      <c r="O73" s="20">
        <f>(VLOOKUP(B73,'Data Core CPI'!$A:$AX,MATCH($O$1,'Data Core CPI'!$A$1:$AX$1,),)-VLOOKUP(EDATE(B73,-12),'Data Core CPI'!$A:$AX,MATCH($O$1,'Data Core CPI'!$A$1:$AX$1,),))/VLOOKUP(EDATE(B73,-12),'Data Core CPI'!$A:$AX,MATCH($O$1,'Data Core CPI'!$A$1:$AX$1,),)</f>
        <v/>
      </c>
      <c r="P73" s="20">
        <f>IF(VLOOKUP(B73,'Data Core CPI'!$A:$AX,MATCH($P$1,'Data Core CPI'!$A$1:$AX$1,),)=0,#N/A,(VLOOKUP(B73,'Data Core CPI'!$A:$AX,MATCH($P$1,'Data Core CPI'!$A$1:$AX$1,),)-VLOOKUP(EDATE(B73,-12),'Data Core CPI'!$A:$AX,MATCH($P$1,'Data Core CPI'!$A$1:$AX$1,),))/VLOOKUP(EDATE(B73,-12),'Data Core CPI'!$A:$AX,MATCH($P$1,'Data Core CPI'!$A$1:$AX$1,),))</f>
        <v/>
      </c>
      <c r="Q73" s="20">
        <f>(VLOOKUP(B73,'Data Core CPI'!$A:$AX,MATCH($Q$1,'Data Core CPI'!$A$1:$AX$1,),)-VLOOKUP(EDATE(B73,-12),'Data Core CPI'!$A:$AX,MATCH($Q$1,'Data Core CPI'!$A$1:$AX$1,),))/VLOOKUP(EDATE(B73,-12),'Data Core CPI'!$A:$AX,MATCH($Q$1,'Data Core CPI'!$A$1:$AX$1,),)</f>
        <v/>
      </c>
      <c r="R73" s="20">
        <f>IF(VLOOKUP(B73,'Data Core CPI'!$A:$AX,MATCH($R$1,'Data Core CPI'!$A$1:$AX$1,),)=0,#N/A,(VLOOKUP(B73,'Data Core CPI'!$A:$AX,MATCH($R$1,'Data Core CPI'!$A$1:$AX$1,),)-VLOOKUP(EDATE(B73,-12),'Data Core CPI'!$A:$AX,MATCH($R$1,'Data Core CPI'!$A$1:$AX$1,),))/VLOOKUP(EDATE(B73,-12),'Data Core CPI'!$A:$AX,MATCH($R$1,'Data Core CPI'!$A$1:$AX$1,),))</f>
        <v/>
      </c>
      <c r="S73" s="20">
        <f>(VLOOKUP(B73,'Data Core CPI'!$A:$AX,MATCH($S$1,'Data Core CPI'!$A$1:$AX$1,),)-VLOOKUP(EDATE(B73,-12),'Data Core CPI'!$A:$AX,MATCH($S$1,'Data Core CPI'!$A$1:$AX$1,),))/VLOOKUP(EDATE(B73,-12),'Data Core CPI'!$A:$AX,MATCH($S$1,'Data Core CPI'!$A$1:$AX$1,),)</f>
        <v/>
      </c>
      <c r="T73" s="20">
        <f>(VLOOKUP(B73,'Data Core CPI'!$A:$AX,MATCH($T$1,'Data Core CPI'!$A$1:$AX$1,),)-VLOOKUP(EDATE(B73,-12),'Data Core CPI'!$A:$AX,MATCH($T$1,'Data Core CPI'!$A$1:$AX$1,),))/VLOOKUP(EDATE(B73,-12),'Data Core CPI'!$A:$AX,MATCH($T$1,'Data Core CPI'!$A$1:$AX$1,),)</f>
        <v/>
      </c>
      <c r="U73" s="20">
        <f>IF(VLOOKUP(B73,'Data Core CPI'!$A:$AX,MATCH($U$1,'Data Core CPI'!$A$1:$AX$1,),)=0,#N/A,(VLOOKUP(B73,'Data Core CPI'!$A:$AX,MATCH($U$1,'Data Core CPI'!$A$1:$AX$1,),)-VLOOKUP(EDATE(B73,-12),'Data Core CPI'!$A:$AX,MATCH($U$1,'Data Core CPI'!$A$1:$AX$1,),))/VLOOKUP(EDATE(B73,-12),'Data Core CPI'!$A:$AX,MATCH($U$1,'Data Core CPI'!$A$1:$AX$1,),))</f>
        <v/>
      </c>
      <c r="V73" s="20">
        <f>(VLOOKUP(B73,'Data Core CPI'!$A:$AX,MATCH($V$1,'Data Core CPI'!$A$1:$AX$1,),)-VLOOKUP(EDATE(B73,-12),'Data Core CPI'!$A:$AX,MATCH($V$1,'Data Core CPI'!$A$1:$AX$1,),))/VLOOKUP(EDATE(B73,-12),'Data Core CPI'!$A:$AX,MATCH($V$1,'Data Core CPI'!$A$1:$AX$1,),)</f>
        <v/>
      </c>
      <c r="W73" s="20">
        <f>IF(VLOOKUP(B73,'Data Core CPI'!$A:$AX,MATCH($W$1,'Data Core CPI'!$A$1:$AX$1,),)=0,#N/A,(VLOOKUP(B73,'Data Core CPI'!$A:$AX,MATCH($W$1,'Data Core CPI'!$A$1:$AX$1,),)-VLOOKUP(EDATE(B73,-12),'Data Core CPI'!$A:$AX,MATCH($W$1,'Data Core CPI'!$A$1:$AX$1,),))/VLOOKUP(EDATE(B73,-12),'Data Core CPI'!$A:$AX,MATCH($W$1,'Data Core CPI'!$A$1:$AX$1,),))</f>
        <v/>
      </c>
      <c r="X73" s="20">
        <f>IF(VLOOKUP(B73,'Data Core CPI'!$A:$AX,MATCH($X$1,'Data Core CPI'!$A$1:$AX$1,),)=0,#N/A,(VLOOKUP(B73,'Data Core CPI'!$A:$AX,MATCH($X$1,'Data Core CPI'!$A$1:$AX$1,),)-VLOOKUP(EDATE(B73,-12),'Data Core CPI'!$A:$AX,MATCH($X$1,'Data Core CPI'!$A$1:$AX$1,),))/VLOOKUP(EDATE(B73,-12),'Data Core CPI'!$A:$AX,MATCH($X$1,'Data Core CPI'!$A$1:$AX$1,),))</f>
        <v/>
      </c>
      <c r="Y73" s="20">
        <f>IF(VLOOKUP(B73,'Data Core CPI'!$A:$AX,MATCH($Y$1,'Data Core CPI'!$A$1:$AX$1,),)=0,#N/A,(VLOOKUP(B73,'Data Core CPI'!$A:$AX,MATCH($Y$1,'Data Core CPI'!$A$1:$AX$1,),)-VLOOKUP(EDATE(B73,-12),'Data Core CPI'!$A:$AX,MATCH($Y$1,'Data Core CPI'!$A$1:$AX$1,),))/VLOOKUP(EDATE(B73,-12),'Data Core CPI'!$A:$AX,MATCH($Y$1,'Data Core CPI'!$A$1:$AX$1,),))</f>
        <v/>
      </c>
      <c r="Z73" s="20">
        <f>(VLOOKUP(B73,Data!$A:$AX,MATCH($Z$1,Data!$A$1:$AX$1,),)-VLOOKUP(EDATE(B73,-12),Data!$A:$AX,MATCH($Z$1,Data!$A$1:$AX$1,),))/VLOOKUP(EDATE(B73,-12),Data!$A:$AX,MATCH($Z$1,Data!$A$1:$AX$1,),)</f>
        <v/>
      </c>
      <c r="AA73" s="20">
        <f>(VLOOKUP(B73,Data!$A:$AX,MATCH($AA$1,Data!$A$1:$AX$1,),)-VLOOKUP(EDATE(B73,-12),Data!$A:$AX,MATCH($AA$1,Data!$A$1:$AX$1,),))/VLOOKUP(EDATE(B73,-12),Data!$A:$AX,MATCH($AA$1,Data!$A$1:$AX$1,),)</f>
        <v/>
      </c>
      <c r="AB73" s="19" t="n"/>
    </row>
    <row r="74">
      <c r="B74" s="15" t="n">
        <v>42461</v>
      </c>
      <c r="C74" s="20">
        <f>IF(VLOOKUP(B74,'Data Core CPI'!$A:$AX,MATCH($C$1,'Data Core CPI'!$A$1:$AX$1,),)=0,#N/A,(VLOOKUP(B74,'Data Core CPI'!$A:$AX,MATCH($C$1,'Data Core CPI'!$A$1:$AX$1,),)-VLOOKUP(EDATE(B74,-12),'Data Core CPI'!$A:$AX,MATCH($C$1,'Data Core CPI'!$A$1:$AX$1,),))/VLOOKUP(EDATE(B74,-12),'Data Core CPI'!$A:$AX,MATCH($C$1,'Data Core CPI'!$A$1:$AX$1,),))</f>
        <v/>
      </c>
      <c r="D74" s="20">
        <f>(VLOOKUP(B74,'Data Core CPI'!$A:$AX,MATCH($D$1,'Data Core CPI'!$A$1:$AX$1,),)-VLOOKUP(EDATE(B74,-12),'Data Core CPI'!$A:$AX,MATCH($D$1,'Data Core CPI'!$A$1:$AX$1,),))/VLOOKUP(EDATE(B74,-12),'Data Core CPI'!$A:$AX,MATCH($D$1,'Data Core CPI'!$A$1:$AX$1,),)</f>
        <v/>
      </c>
      <c r="E74" s="20">
        <f>IF(VLOOKUP(B74,'Data Core CPI'!$A:$AX,MATCH($E$1,'Data Core CPI'!$A$1:$AX$1,),)=0,#N/A,(VLOOKUP(B74,'Data Core CPI'!$A:$AX,MATCH($E$1,'Data Core CPI'!$A$1:$AX$1,),)-VLOOKUP(EDATE(B74,-12),'Data Core CPI'!$A:$AX,MATCH($E$1,'Data Core CPI'!$A$1:$AX$1,),))/VLOOKUP(EDATE(B74,-12),'Data Core CPI'!$A:$AX,MATCH($E$1,'Data Core CPI'!$A$1:$AX$1,),))</f>
        <v/>
      </c>
      <c r="F74" s="20">
        <f>IF(VLOOKUP(B74,'Data Core CPI'!$A:$AX,MATCH($F$1,'Data Core CPI'!$A$1:$AX$1,),)=0,#N/A,(VLOOKUP(B74,'Data Core CPI'!$A:$AX,MATCH($F$1,'Data Core CPI'!$A$1:$AX$1,),)-VLOOKUP(EDATE(B74,-12),'Data Core CPI'!$A:$AX,MATCH($F$1,'Data Core CPI'!$A$1:$AX$1,),))/VLOOKUP(EDATE(B74,-12),'Data Core CPI'!$A:$AX,MATCH($F$1,'Data Core CPI'!$A$1:$AX$1,),))</f>
        <v/>
      </c>
      <c r="G74" s="20">
        <f>IF(VLOOKUP(B74,'Data Core CPI'!$A:$AX,MATCH($G$1,'Data Core CPI'!$A$1:$AX$1,),)=0,#N/A,(VLOOKUP(B74,'Data Core CPI'!$A:$AX,MATCH($G$1,'Data Core CPI'!$A$1:$AX$1,),)-VLOOKUP(EDATE(B74,-12),'Data Core CPI'!$A:$AX,MATCH($G$1,'Data Core CPI'!$A$1:$AX$1,),))/VLOOKUP(EDATE(B74,-12),'Data Core CPI'!$A:$AX,MATCH($G$1,'Data Core CPI'!$A$1:$AX$1,),))</f>
        <v/>
      </c>
      <c r="H74" s="20">
        <f>IF(VLOOKUP(B74,'Data Core CPI'!$A:$AX,MATCH($H$1,'Data Core CPI'!$A$1:$AX$1,),)=0,#N/A,(VLOOKUP(B74,'Data Core CPI'!$A:$AX,MATCH($H$1,'Data Core CPI'!$A$1:$AX$1,),)-VLOOKUP(EDATE(B74,-12),'Data Core CPI'!$A:$AX,MATCH($H$1,'Data Core CPI'!$A$1:$AX$1,),))/VLOOKUP(EDATE(B74,-12),'Data Core CPI'!$A:$AX,MATCH($H$1,'Data Core CPI'!$A$1:$AX$1,),))</f>
        <v/>
      </c>
      <c r="I74" s="20">
        <f>IF(VLOOKUP(B74,'Data Core CPI'!$A:$AX,MATCH($I$1,'Data Core CPI'!$A$1:$AX$1,),)=0,#N/A,(VLOOKUP(B74,'Data Core CPI'!$A:$AX,MATCH($I$1,'Data Core CPI'!$A$1:$AX$1,),)-VLOOKUP(EDATE(B74,-12),'Data Core CPI'!$A:$AX,MATCH($I$1,'Data Core CPI'!$A$1:$AX$1,),))/VLOOKUP(EDATE(B74,-12),'Data Core CPI'!$A:$AX,MATCH($I$1,'Data Core CPI'!$A$1:$AX$1,),))</f>
        <v/>
      </c>
      <c r="J74" s="20">
        <f>IF(VLOOKUP(B74,'Data Core CPI'!$A:$AX,MATCH($J$1,'Data Core CPI'!$A$1:$AX$1,),)=0,#N/A,(VLOOKUP(B74,'Data Core CPI'!$A:$AX,MATCH($J$1,'Data Core CPI'!$A$1:$AX$1,),)-VLOOKUP(EDATE(B74,-12),'Data Core CPI'!$A:$AX,MATCH($J$1,'Data Core CPI'!$A$1:$AX$1,),))/VLOOKUP(EDATE(B74,-12),'Data Core CPI'!$A:$AX,MATCH($J$1,'Data Core CPI'!$A$1:$AX$1,),))</f>
        <v/>
      </c>
      <c r="K74" s="20">
        <f>IF(VLOOKUP(B74,'Data Core CPI'!$A:$AX,MATCH($K$1,'Data Core CPI'!$A$1:$AX$1,),)=0,#N/A,(VLOOKUP(B74,'Data Core CPI'!$A:$AX,MATCH($K$1,'Data Core CPI'!$A$1:$AX$1,),)-VLOOKUP(EDATE(B74,-12),'Data Core CPI'!$A:$AX,MATCH($K$1,'Data Core CPI'!$A$1:$AX$1,),))/VLOOKUP(EDATE(B74,-12),'Data Core CPI'!$A:$AX,MATCH($K$1,'Data Core CPI'!$A$1:$AX$1,),))</f>
        <v/>
      </c>
      <c r="L74" s="20">
        <f>IF(VLOOKUP(B74,'Data Core CPI'!$A:$AX,MATCH($L$1,'Data Core CPI'!$A$1:$AX$1,),)=0,#N/A,(VLOOKUP(B74,'Data Core CPI'!$A:$AX,MATCH($L$1,'Data Core CPI'!$A$1:$AX$1,),)-VLOOKUP(EDATE(B74,-12),'Data Core CPI'!$A:$AX,MATCH($L$1,'Data Core CPI'!$A$1:$AX$1,),))/VLOOKUP(EDATE(B74,-12),'Data Core CPI'!$A:$AX,MATCH($L$1,'Data Core CPI'!$A$1:$AX$1,),))</f>
        <v/>
      </c>
      <c r="M74" s="20">
        <f>IF(VLOOKUP(B74,'Data Core CPI'!$A:$AX,MATCH($M$1,'Data Core CPI'!$A$1:$AX$1,),)=0,#N/A,(VLOOKUP(B74,'Data Core CPI'!$A:$AX,MATCH($M$1,'Data Core CPI'!$A$1:$AX$1,),)-VLOOKUP(EDATE(B74,-12),'Data Core CPI'!$A:$AX,MATCH($M$1,'Data Core CPI'!$A$1:$AX$1,),))/VLOOKUP(EDATE(B74,-12),'Data Core CPI'!$A:$AX,MATCH($M$1,'Data Core CPI'!$A$1:$AX$1,),))</f>
        <v/>
      </c>
      <c r="N74" s="20">
        <f>(VLOOKUP(B74,'Data Core CPI'!$A:$AX,MATCH($N$1,'Data Core CPI'!$A$1:$AX$1,),)-VLOOKUP(EDATE(B74,-12),'Data Core CPI'!$A:$AX,MATCH($N$1,'Data Core CPI'!$A$1:$AX$1,),))/VLOOKUP(EDATE(B74,-12),'Data Core CPI'!$A:$AX,MATCH($N$1,'Data Core CPI'!$A$1:$AX$1,),)</f>
        <v/>
      </c>
      <c r="O74" s="20">
        <f>(VLOOKUP(B74,'Data Core CPI'!$A:$AX,MATCH($O$1,'Data Core CPI'!$A$1:$AX$1,),)-VLOOKUP(EDATE(B74,-12),'Data Core CPI'!$A:$AX,MATCH($O$1,'Data Core CPI'!$A$1:$AX$1,),))/VLOOKUP(EDATE(B74,-12),'Data Core CPI'!$A:$AX,MATCH($O$1,'Data Core CPI'!$A$1:$AX$1,),)</f>
        <v/>
      </c>
      <c r="P74" s="20">
        <f>IF(VLOOKUP(B74,'Data Core CPI'!$A:$AX,MATCH($P$1,'Data Core CPI'!$A$1:$AX$1,),)=0,#N/A,(VLOOKUP(B74,'Data Core CPI'!$A:$AX,MATCH($P$1,'Data Core CPI'!$A$1:$AX$1,),)-VLOOKUP(EDATE(B74,-12),'Data Core CPI'!$A:$AX,MATCH($P$1,'Data Core CPI'!$A$1:$AX$1,),))/VLOOKUP(EDATE(B74,-12),'Data Core CPI'!$A:$AX,MATCH($P$1,'Data Core CPI'!$A$1:$AX$1,),))</f>
        <v/>
      </c>
      <c r="Q74" s="20">
        <f>(VLOOKUP(B74,'Data Core CPI'!$A:$AX,MATCH($Q$1,'Data Core CPI'!$A$1:$AX$1,),)-VLOOKUP(EDATE(B74,-12),'Data Core CPI'!$A:$AX,MATCH($Q$1,'Data Core CPI'!$A$1:$AX$1,),))/VLOOKUP(EDATE(B74,-12),'Data Core CPI'!$A:$AX,MATCH($Q$1,'Data Core CPI'!$A$1:$AX$1,),)</f>
        <v/>
      </c>
      <c r="R74" s="20">
        <f>IF(VLOOKUP(B74,'Data Core CPI'!$A:$AX,MATCH($R$1,'Data Core CPI'!$A$1:$AX$1,),)=0,#N/A,(VLOOKUP(B74,'Data Core CPI'!$A:$AX,MATCH($R$1,'Data Core CPI'!$A$1:$AX$1,),)-VLOOKUP(EDATE(B74,-12),'Data Core CPI'!$A:$AX,MATCH($R$1,'Data Core CPI'!$A$1:$AX$1,),))/VLOOKUP(EDATE(B74,-12),'Data Core CPI'!$A:$AX,MATCH($R$1,'Data Core CPI'!$A$1:$AX$1,),))</f>
        <v/>
      </c>
      <c r="S74" s="20">
        <f>(VLOOKUP(B74,'Data Core CPI'!$A:$AX,MATCH($S$1,'Data Core CPI'!$A$1:$AX$1,),)-VLOOKUP(EDATE(B74,-12),'Data Core CPI'!$A:$AX,MATCH($S$1,'Data Core CPI'!$A$1:$AX$1,),))/VLOOKUP(EDATE(B74,-12),'Data Core CPI'!$A:$AX,MATCH($S$1,'Data Core CPI'!$A$1:$AX$1,),)</f>
        <v/>
      </c>
      <c r="T74" s="20">
        <f>(VLOOKUP(B74,'Data Core CPI'!$A:$AX,MATCH($T$1,'Data Core CPI'!$A$1:$AX$1,),)-VLOOKUP(EDATE(B74,-12),'Data Core CPI'!$A:$AX,MATCH($T$1,'Data Core CPI'!$A$1:$AX$1,),))/VLOOKUP(EDATE(B74,-12),'Data Core CPI'!$A:$AX,MATCH($T$1,'Data Core CPI'!$A$1:$AX$1,),)</f>
        <v/>
      </c>
      <c r="U74" s="20">
        <f>IF(VLOOKUP(B74,'Data Core CPI'!$A:$AX,MATCH($U$1,'Data Core CPI'!$A$1:$AX$1,),)=0,#N/A,(VLOOKUP(B74,'Data Core CPI'!$A:$AX,MATCH($U$1,'Data Core CPI'!$A$1:$AX$1,),)-VLOOKUP(EDATE(B74,-12),'Data Core CPI'!$A:$AX,MATCH($U$1,'Data Core CPI'!$A$1:$AX$1,),))/VLOOKUP(EDATE(B74,-12),'Data Core CPI'!$A:$AX,MATCH($U$1,'Data Core CPI'!$A$1:$AX$1,),))</f>
        <v/>
      </c>
      <c r="V74" s="20">
        <f>(VLOOKUP(B74,'Data Core CPI'!$A:$AX,MATCH($V$1,'Data Core CPI'!$A$1:$AX$1,),)-VLOOKUP(EDATE(B74,-12),'Data Core CPI'!$A:$AX,MATCH($V$1,'Data Core CPI'!$A$1:$AX$1,),))/VLOOKUP(EDATE(B74,-12),'Data Core CPI'!$A:$AX,MATCH($V$1,'Data Core CPI'!$A$1:$AX$1,),)</f>
        <v/>
      </c>
      <c r="W74" s="20">
        <f>IF(VLOOKUP(B74,'Data Core CPI'!$A:$AX,MATCH($W$1,'Data Core CPI'!$A$1:$AX$1,),)=0,#N/A,(VLOOKUP(B74,'Data Core CPI'!$A:$AX,MATCH($W$1,'Data Core CPI'!$A$1:$AX$1,),)-VLOOKUP(EDATE(B74,-12),'Data Core CPI'!$A:$AX,MATCH($W$1,'Data Core CPI'!$A$1:$AX$1,),))/VLOOKUP(EDATE(B74,-12),'Data Core CPI'!$A:$AX,MATCH($W$1,'Data Core CPI'!$A$1:$AX$1,),))</f>
        <v/>
      </c>
      <c r="X74" s="20">
        <f>IF(VLOOKUP(B74,'Data Core CPI'!$A:$AX,MATCH($X$1,'Data Core CPI'!$A$1:$AX$1,),)=0,#N/A,(VLOOKUP(B74,'Data Core CPI'!$A:$AX,MATCH($X$1,'Data Core CPI'!$A$1:$AX$1,),)-VLOOKUP(EDATE(B74,-12),'Data Core CPI'!$A:$AX,MATCH($X$1,'Data Core CPI'!$A$1:$AX$1,),))/VLOOKUP(EDATE(B74,-12),'Data Core CPI'!$A:$AX,MATCH($X$1,'Data Core CPI'!$A$1:$AX$1,),))</f>
        <v/>
      </c>
      <c r="Y74" s="20">
        <f>IF(VLOOKUP(B74,'Data Core CPI'!$A:$AX,MATCH($Y$1,'Data Core CPI'!$A$1:$AX$1,),)=0,#N/A,(VLOOKUP(B74,'Data Core CPI'!$A:$AX,MATCH($Y$1,'Data Core CPI'!$A$1:$AX$1,),)-VLOOKUP(EDATE(B74,-12),'Data Core CPI'!$A:$AX,MATCH($Y$1,'Data Core CPI'!$A$1:$AX$1,),))/VLOOKUP(EDATE(B74,-12),'Data Core CPI'!$A:$AX,MATCH($Y$1,'Data Core CPI'!$A$1:$AX$1,),))</f>
        <v/>
      </c>
      <c r="Z74" s="20">
        <f>(VLOOKUP(B74,Data!$A:$AX,MATCH($Z$1,Data!$A$1:$AX$1,),)-VLOOKUP(EDATE(B74,-12),Data!$A:$AX,MATCH($Z$1,Data!$A$1:$AX$1,),))/VLOOKUP(EDATE(B74,-12),Data!$A:$AX,MATCH($Z$1,Data!$A$1:$AX$1,),)</f>
        <v/>
      </c>
      <c r="AA74" s="20">
        <f>(VLOOKUP(B74,Data!$A:$AX,MATCH($AA$1,Data!$A$1:$AX$1,),)-VLOOKUP(EDATE(B74,-12),Data!$A:$AX,MATCH($AA$1,Data!$A$1:$AX$1,),))/VLOOKUP(EDATE(B74,-12),Data!$A:$AX,MATCH($AA$1,Data!$A$1:$AX$1,),)</f>
        <v/>
      </c>
      <c r="AB74" s="19" t="n"/>
    </row>
    <row r="75">
      <c r="B75" s="15" t="n">
        <v>42491</v>
      </c>
      <c r="C75" s="20">
        <f>IF(VLOOKUP(B75,'Data Core CPI'!$A:$AX,MATCH($C$1,'Data Core CPI'!$A$1:$AX$1,),)=0,#N/A,(VLOOKUP(B75,'Data Core CPI'!$A:$AX,MATCH($C$1,'Data Core CPI'!$A$1:$AX$1,),)-VLOOKUP(EDATE(B75,-12),'Data Core CPI'!$A:$AX,MATCH($C$1,'Data Core CPI'!$A$1:$AX$1,),))/VLOOKUP(EDATE(B75,-12),'Data Core CPI'!$A:$AX,MATCH($C$1,'Data Core CPI'!$A$1:$AX$1,),))</f>
        <v/>
      </c>
      <c r="D75" s="20">
        <f>(VLOOKUP(B75,'Data Core CPI'!$A:$AX,MATCH($D$1,'Data Core CPI'!$A$1:$AX$1,),)-VLOOKUP(EDATE(B75,-12),'Data Core CPI'!$A:$AX,MATCH($D$1,'Data Core CPI'!$A$1:$AX$1,),))/VLOOKUP(EDATE(B75,-12),'Data Core CPI'!$A:$AX,MATCH($D$1,'Data Core CPI'!$A$1:$AX$1,),)</f>
        <v/>
      </c>
      <c r="E75" s="20">
        <f>IF(VLOOKUP(B75,'Data Core CPI'!$A:$AX,MATCH($E$1,'Data Core CPI'!$A$1:$AX$1,),)=0,#N/A,(VLOOKUP(B75,'Data Core CPI'!$A:$AX,MATCH($E$1,'Data Core CPI'!$A$1:$AX$1,),)-VLOOKUP(EDATE(B75,-12),'Data Core CPI'!$A:$AX,MATCH($E$1,'Data Core CPI'!$A$1:$AX$1,),))/VLOOKUP(EDATE(B75,-12),'Data Core CPI'!$A:$AX,MATCH($E$1,'Data Core CPI'!$A$1:$AX$1,),))</f>
        <v/>
      </c>
      <c r="F75" s="20">
        <f>IF(VLOOKUP(B75,'Data Core CPI'!$A:$AX,MATCH($F$1,'Data Core CPI'!$A$1:$AX$1,),)=0,#N/A,(VLOOKUP(B75,'Data Core CPI'!$A:$AX,MATCH($F$1,'Data Core CPI'!$A$1:$AX$1,),)-VLOOKUP(EDATE(B75,-12),'Data Core CPI'!$A:$AX,MATCH($F$1,'Data Core CPI'!$A$1:$AX$1,),))/VLOOKUP(EDATE(B75,-12),'Data Core CPI'!$A:$AX,MATCH($F$1,'Data Core CPI'!$A$1:$AX$1,),))</f>
        <v/>
      </c>
      <c r="G75" s="20">
        <f>IF(VLOOKUP(B75,'Data Core CPI'!$A:$AX,MATCH($G$1,'Data Core CPI'!$A$1:$AX$1,),)=0,#N/A,(VLOOKUP(B75,'Data Core CPI'!$A:$AX,MATCH($G$1,'Data Core CPI'!$A$1:$AX$1,),)-VLOOKUP(EDATE(B75,-12),'Data Core CPI'!$A:$AX,MATCH($G$1,'Data Core CPI'!$A$1:$AX$1,),))/VLOOKUP(EDATE(B75,-12),'Data Core CPI'!$A:$AX,MATCH($G$1,'Data Core CPI'!$A$1:$AX$1,),))</f>
        <v/>
      </c>
      <c r="H75" s="20">
        <f>IF(VLOOKUP(B75,'Data Core CPI'!$A:$AX,MATCH($H$1,'Data Core CPI'!$A$1:$AX$1,),)=0,#N/A,(VLOOKUP(B75,'Data Core CPI'!$A:$AX,MATCH($H$1,'Data Core CPI'!$A$1:$AX$1,),)-VLOOKUP(EDATE(B75,-12),'Data Core CPI'!$A:$AX,MATCH($H$1,'Data Core CPI'!$A$1:$AX$1,),))/VLOOKUP(EDATE(B75,-12),'Data Core CPI'!$A:$AX,MATCH($H$1,'Data Core CPI'!$A$1:$AX$1,),))</f>
        <v/>
      </c>
      <c r="I75" s="20">
        <f>IF(VLOOKUP(B75,'Data Core CPI'!$A:$AX,MATCH($I$1,'Data Core CPI'!$A$1:$AX$1,),)=0,#N/A,(VLOOKUP(B75,'Data Core CPI'!$A:$AX,MATCH($I$1,'Data Core CPI'!$A$1:$AX$1,),)-VLOOKUP(EDATE(B75,-12),'Data Core CPI'!$A:$AX,MATCH($I$1,'Data Core CPI'!$A$1:$AX$1,),))/VLOOKUP(EDATE(B75,-12),'Data Core CPI'!$A:$AX,MATCH($I$1,'Data Core CPI'!$A$1:$AX$1,),))</f>
        <v/>
      </c>
      <c r="J75" s="20">
        <f>IF(VLOOKUP(B75,'Data Core CPI'!$A:$AX,MATCH($J$1,'Data Core CPI'!$A$1:$AX$1,),)=0,#N/A,(VLOOKUP(B75,'Data Core CPI'!$A:$AX,MATCH($J$1,'Data Core CPI'!$A$1:$AX$1,),)-VLOOKUP(EDATE(B75,-12),'Data Core CPI'!$A:$AX,MATCH($J$1,'Data Core CPI'!$A$1:$AX$1,),))/VLOOKUP(EDATE(B75,-12),'Data Core CPI'!$A:$AX,MATCH($J$1,'Data Core CPI'!$A$1:$AX$1,),))</f>
        <v/>
      </c>
      <c r="K75" s="20">
        <f>IF(VLOOKUP(B75,'Data Core CPI'!$A:$AX,MATCH($K$1,'Data Core CPI'!$A$1:$AX$1,),)=0,#N/A,(VLOOKUP(B75,'Data Core CPI'!$A:$AX,MATCH($K$1,'Data Core CPI'!$A$1:$AX$1,),)-VLOOKUP(EDATE(B75,-12),'Data Core CPI'!$A:$AX,MATCH($K$1,'Data Core CPI'!$A$1:$AX$1,),))/VLOOKUP(EDATE(B75,-12),'Data Core CPI'!$A:$AX,MATCH($K$1,'Data Core CPI'!$A$1:$AX$1,),))</f>
        <v/>
      </c>
      <c r="L75" s="20">
        <f>IF(VLOOKUP(B75,'Data Core CPI'!$A:$AX,MATCH($L$1,'Data Core CPI'!$A$1:$AX$1,),)=0,#N/A,(VLOOKUP(B75,'Data Core CPI'!$A:$AX,MATCH($L$1,'Data Core CPI'!$A$1:$AX$1,),)-VLOOKUP(EDATE(B75,-12),'Data Core CPI'!$A:$AX,MATCH($L$1,'Data Core CPI'!$A$1:$AX$1,),))/VLOOKUP(EDATE(B75,-12),'Data Core CPI'!$A:$AX,MATCH($L$1,'Data Core CPI'!$A$1:$AX$1,),))</f>
        <v/>
      </c>
      <c r="M75" s="20">
        <f>IF(VLOOKUP(B75,'Data Core CPI'!$A:$AX,MATCH($M$1,'Data Core CPI'!$A$1:$AX$1,),)=0,#N/A,(VLOOKUP(B75,'Data Core CPI'!$A:$AX,MATCH($M$1,'Data Core CPI'!$A$1:$AX$1,),)-VLOOKUP(EDATE(B75,-12),'Data Core CPI'!$A:$AX,MATCH($M$1,'Data Core CPI'!$A$1:$AX$1,),))/VLOOKUP(EDATE(B75,-12),'Data Core CPI'!$A:$AX,MATCH($M$1,'Data Core CPI'!$A$1:$AX$1,),))</f>
        <v/>
      </c>
      <c r="N75" s="20">
        <f>(VLOOKUP(B75,'Data Core CPI'!$A:$AX,MATCH($N$1,'Data Core CPI'!$A$1:$AX$1,),)-VLOOKUP(EDATE(B75,-12),'Data Core CPI'!$A:$AX,MATCH($N$1,'Data Core CPI'!$A$1:$AX$1,),))/VLOOKUP(EDATE(B75,-12),'Data Core CPI'!$A:$AX,MATCH($N$1,'Data Core CPI'!$A$1:$AX$1,),)</f>
        <v/>
      </c>
      <c r="O75" s="20">
        <f>(VLOOKUP(B75,'Data Core CPI'!$A:$AX,MATCH($O$1,'Data Core CPI'!$A$1:$AX$1,),)-VLOOKUP(EDATE(B75,-12),'Data Core CPI'!$A:$AX,MATCH($O$1,'Data Core CPI'!$A$1:$AX$1,),))/VLOOKUP(EDATE(B75,-12),'Data Core CPI'!$A:$AX,MATCH($O$1,'Data Core CPI'!$A$1:$AX$1,),)</f>
        <v/>
      </c>
      <c r="P75" s="20">
        <f>IF(VLOOKUP(B75,'Data Core CPI'!$A:$AX,MATCH($P$1,'Data Core CPI'!$A$1:$AX$1,),)=0,#N/A,(VLOOKUP(B75,'Data Core CPI'!$A:$AX,MATCH($P$1,'Data Core CPI'!$A$1:$AX$1,),)-VLOOKUP(EDATE(B75,-12),'Data Core CPI'!$A:$AX,MATCH($P$1,'Data Core CPI'!$A$1:$AX$1,),))/VLOOKUP(EDATE(B75,-12),'Data Core CPI'!$A:$AX,MATCH($P$1,'Data Core CPI'!$A$1:$AX$1,),))</f>
        <v/>
      </c>
      <c r="Q75" s="20">
        <f>(VLOOKUP(B75,'Data Core CPI'!$A:$AX,MATCH($Q$1,'Data Core CPI'!$A$1:$AX$1,),)-VLOOKUP(EDATE(B75,-12),'Data Core CPI'!$A:$AX,MATCH($Q$1,'Data Core CPI'!$A$1:$AX$1,),))/VLOOKUP(EDATE(B75,-12),'Data Core CPI'!$A:$AX,MATCH($Q$1,'Data Core CPI'!$A$1:$AX$1,),)</f>
        <v/>
      </c>
      <c r="R75" s="20">
        <f>IF(VLOOKUP(B75,'Data Core CPI'!$A:$AX,MATCH($R$1,'Data Core CPI'!$A$1:$AX$1,),)=0,#N/A,(VLOOKUP(B75,'Data Core CPI'!$A:$AX,MATCH($R$1,'Data Core CPI'!$A$1:$AX$1,),)-VLOOKUP(EDATE(B75,-12),'Data Core CPI'!$A:$AX,MATCH($R$1,'Data Core CPI'!$A$1:$AX$1,),))/VLOOKUP(EDATE(B75,-12),'Data Core CPI'!$A:$AX,MATCH($R$1,'Data Core CPI'!$A$1:$AX$1,),))</f>
        <v/>
      </c>
      <c r="S75" s="20">
        <f>(VLOOKUP(B75,'Data Core CPI'!$A:$AX,MATCH($S$1,'Data Core CPI'!$A$1:$AX$1,),)-VLOOKUP(EDATE(B75,-12),'Data Core CPI'!$A:$AX,MATCH($S$1,'Data Core CPI'!$A$1:$AX$1,),))/VLOOKUP(EDATE(B75,-12),'Data Core CPI'!$A:$AX,MATCH($S$1,'Data Core CPI'!$A$1:$AX$1,),)</f>
        <v/>
      </c>
      <c r="T75" s="20">
        <f>(VLOOKUP(B75,'Data Core CPI'!$A:$AX,MATCH($T$1,'Data Core CPI'!$A$1:$AX$1,),)-VLOOKUP(EDATE(B75,-12),'Data Core CPI'!$A:$AX,MATCH($T$1,'Data Core CPI'!$A$1:$AX$1,),))/VLOOKUP(EDATE(B75,-12),'Data Core CPI'!$A:$AX,MATCH($T$1,'Data Core CPI'!$A$1:$AX$1,),)</f>
        <v/>
      </c>
      <c r="U75" s="20">
        <f>IF(VLOOKUP(B75,'Data Core CPI'!$A:$AX,MATCH($U$1,'Data Core CPI'!$A$1:$AX$1,),)=0,#N/A,(VLOOKUP(B75,'Data Core CPI'!$A:$AX,MATCH($U$1,'Data Core CPI'!$A$1:$AX$1,),)-VLOOKUP(EDATE(B75,-12),'Data Core CPI'!$A:$AX,MATCH($U$1,'Data Core CPI'!$A$1:$AX$1,),))/VLOOKUP(EDATE(B75,-12),'Data Core CPI'!$A:$AX,MATCH($U$1,'Data Core CPI'!$A$1:$AX$1,),))</f>
        <v/>
      </c>
      <c r="V75" s="20">
        <f>(VLOOKUP(B75,'Data Core CPI'!$A:$AX,MATCH($V$1,'Data Core CPI'!$A$1:$AX$1,),)-VLOOKUP(EDATE(B75,-12),'Data Core CPI'!$A:$AX,MATCH($V$1,'Data Core CPI'!$A$1:$AX$1,),))/VLOOKUP(EDATE(B75,-12),'Data Core CPI'!$A:$AX,MATCH($V$1,'Data Core CPI'!$A$1:$AX$1,),)</f>
        <v/>
      </c>
      <c r="W75" s="20">
        <f>IF(VLOOKUP(B75,'Data Core CPI'!$A:$AX,MATCH($W$1,'Data Core CPI'!$A$1:$AX$1,),)=0,#N/A,(VLOOKUP(B75,'Data Core CPI'!$A:$AX,MATCH($W$1,'Data Core CPI'!$A$1:$AX$1,),)-VLOOKUP(EDATE(B75,-12),'Data Core CPI'!$A:$AX,MATCH($W$1,'Data Core CPI'!$A$1:$AX$1,),))/VLOOKUP(EDATE(B75,-12),'Data Core CPI'!$A:$AX,MATCH($W$1,'Data Core CPI'!$A$1:$AX$1,),))</f>
        <v/>
      </c>
      <c r="X75" s="20">
        <f>IF(VLOOKUP(B75,'Data Core CPI'!$A:$AX,MATCH($X$1,'Data Core CPI'!$A$1:$AX$1,),)=0,#N/A,(VLOOKUP(B75,'Data Core CPI'!$A:$AX,MATCH($X$1,'Data Core CPI'!$A$1:$AX$1,),)-VLOOKUP(EDATE(B75,-12),'Data Core CPI'!$A:$AX,MATCH($X$1,'Data Core CPI'!$A$1:$AX$1,),))/VLOOKUP(EDATE(B75,-12),'Data Core CPI'!$A:$AX,MATCH($X$1,'Data Core CPI'!$A$1:$AX$1,),))</f>
        <v/>
      </c>
      <c r="Y75" s="20">
        <f>IF(VLOOKUP(B75,'Data Core CPI'!$A:$AX,MATCH($Y$1,'Data Core CPI'!$A$1:$AX$1,),)=0,#N/A,(VLOOKUP(B75,'Data Core CPI'!$A:$AX,MATCH($Y$1,'Data Core CPI'!$A$1:$AX$1,),)-VLOOKUP(EDATE(B75,-12),'Data Core CPI'!$A:$AX,MATCH($Y$1,'Data Core CPI'!$A$1:$AX$1,),))/VLOOKUP(EDATE(B75,-12),'Data Core CPI'!$A:$AX,MATCH($Y$1,'Data Core CPI'!$A$1:$AX$1,),))</f>
        <v/>
      </c>
      <c r="Z75" s="20">
        <f>(VLOOKUP(B75,Data!$A:$AX,MATCH($Z$1,Data!$A$1:$AX$1,),)-VLOOKUP(EDATE(B75,-12),Data!$A:$AX,MATCH($Z$1,Data!$A$1:$AX$1,),))/VLOOKUP(EDATE(B75,-12),Data!$A:$AX,MATCH($Z$1,Data!$A$1:$AX$1,),)</f>
        <v/>
      </c>
      <c r="AA75" s="20">
        <f>(VLOOKUP(B75,Data!$A:$AX,MATCH($AA$1,Data!$A$1:$AX$1,),)-VLOOKUP(EDATE(B75,-12),Data!$A:$AX,MATCH($AA$1,Data!$A$1:$AX$1,),))/VLOOKUP(EDATE(B75,-12),Data!$A:$AX,MATCH($AA$1,Data!$A$1:$AX$1,),)</f>
        <v/>
      </c>
      <c r="AB75" s="19" t="n"/>
    </row>
    <row r="76">
      <c r="B76" s="15" t="n">
        <v>42522</v>
      </c>
      <c r="C76" s="20">
        <f>IF(VLOOKUP(B76,'Data Core CPI'!$A:$AX,MATCH($C$1,'Data Core CPI'!$A$1:$AX$1,),)=0,#N/A,(VLOOKUP(B76,'Data Core CPI'!$A:$AX,MATCH($C$1,'Data Core CPI'!$A$1:$AX$1,),)-VLOOKUP(EDATE(B76,-12),'Data Core CPI'!$A:$AX,MATCH($C$1,'Data Core CPI'!$A$1:$AX$1,),))/VLOOKUP(EDATE(B76,-12),'Data Core CPI'!$A:$AX,MATCH($C$1,'Data Core CPI'!$A$1:$AX$1,),))</f>
        <v/>
      </c>
      <c r="D76" s="20">
        <f>(VLOOKUP(B76,'Data Core CPI'!$A:$AX,MATCH($D$1,'Data Core CPI'!$A$1:$AX$1,),)-VLOOKUP(EDATE(B76,-12),'Data Core CPI'!$A:$AX,MATCH($D$1,'Data Core CPI'!$A$1:$AX$1,),))/VLOOKUP(EDATE(B76,-12),'Data Core CPI'!$A:$AX,MATCH($D$1,'Data Core CPI'!$A$1:$AX$1,),)</f>
        <v/>
      </c>
      <c r="E76" s="20">
        <f>IF(VLOOKUP(B76,'Data Core CPI'!$A:$AX,MATCH($E$1,'Data Core CPI'!$A$1:$AX$1,),)=0,#N/A,(VLOOKUP(B76,'Data Core CPI'!$A:$AX,MATCH($E$1,'Data Core CPI'!$A$1:$AX$1,),)-VLOOKUP(EDATE(B76,-12),'Data Core CPI'!$A:$AX,MATCH($E$1,'Data Core CPI'!$A$1:$AX$1,),))/VLOOKUP(EDATE(B76,-12),'Data Core CPI'!$A:$AX,MATCH($E$1,'Data Core CPI'!$A$1:$AX$1,),))</f>
        <v/>
      </c>
      <c r="F76" s="20">
        <f>IF(VLOOKUP(B76,'Data Core CPI'!$A:$AX,MATCH($F$1,'Data Core CPI'!$A$1:$AX$1,),)=0,#N/A,(VLOOKUP(B76,'Data Core CPI'!$A:$AX,MATCH($F$1,'Data Core CPI'!$A$1:$AX$1,),)-VLOOKUP(EDATE(B76,-12),'Data Core CPI'!$A:$AX,MATCH($F$1,'Data Core CPI'!$A$1:$AX$1,),))/VLOOKUP(EDATE(B76,-12),'Data Core CPI'!$A:$AX,MATCH($F$1,'Data Core CPI'!$A$1:$AX$1,),))</f>
        <v/>
      </c>
      <c r="G76" s="20">
        <f>IF(VLOOKUP(B76,'Data Core CPI'!$A:$AX,MATCH($G$1,'Data Core CPI'!$A$1:$AX$1,),)=0,#N/A,(VLOOKUP(B76,'Data Core CPI'!$A:$AX,MATCH($G$1,'Data Core CPI'!$A$1:$AX$1,),)-VLOOKUP(EDATE(B76,-12),'Data Core CPI'!$A:$AX,MATCH($G$1,'Data Core CPI'!$A$1:$AX$1,),))/VLOOKUP(EDATE(B76,-12),'Data Core CPI'!$A:$AX,MATCH($G$1,'Data Core CPI'!$A$1:$AX$1,),))</f>
        <v/>
      </c>
      <c r="H76" s="20">
        <f>IF(VLOOKUP(B76,'Data Core CPI'!$A:$AX,MATCH($H$1,'Data Core CPI'!$A$1:$AX$1,),)=0,#N/A,(VLOOKUP(B76,'Data Core CPI'!$A:$AX,MATCH($H$1,'Data Core CPI'!$A$1:$AX$1,),)-VLOOKUP(EDATE(B76,-12),'Data Core CPI'!$A:$AX,MATCH($H$1,'Data Core CPI'!$A$1:$AX$1,),))/VLOOKUP(EDATE(B76,-12),'Data Core CPI'!$A:$AX,MATCH($H$1,'Data Core CPI'!$A$1:$AX$1,),))</f>
        <v/>
      </c>
      <c r="I76" s="20">
        <f>IF(VLOOKUP(B76,'Data Core CPI'!$A:$AX,MATCH($I$1,'Data Core CPI'!$A$1:$AX$1,),)=0,#N/A,(VLOOKUP(B76,'Data Core CPI'!$A:$AX,MATCH($I$1,'Data Core CPI'!$A$1:$AX$1,),)-VLOOKUP(EDATE(B76,-12),'Data Core CPI'!$A:$AX,MATCH($I$1,'Data Core CPI'!$A$1:$AX$1,),))/VLOOKUP(EDATE(B76,-12),'Data Core CPI'!$A:$AX,MATCH($I$1,'Data Core CPI'!$A$1:$AX$1,),))</f>
        <v/>
      </c>
      <c r="J76" s="20">
        <f>IF(VLOOKUP(B76,'Data Core CPI'!$A:$AX,MATCH($J$1,'Data Core CPI'!$A$1:$AX$1,),)=0,#N/A,(VLOOKUP(B76,'Data Core CPI'!$A:$AX,MATCH($J$1,'Data Core CPI'!$A$1:$AX$1,),)-VLOOKUP(EDATE(B76,-12),'Data Core CPI'!$A:$AX,MATCH($J$1,'Data Core CPI'!$A$1:$AX$1,),))/VLOOKUP(EDATE(B76,-12),'Data Core CPI'!$A:$AX,MATCH($J$1,'Data Core CPI'!$A$1:$AX$1,),))</f>
        <v/>
      </c>
      <c r="K76" s="20">
        <f>IF(VLOOKUP(B76,'Data Core CPI'!$A:$AX,MATCH($K$1,'Data Core CPI'!$A$1:$AX$1,),)=0,#N/A,(VLOOKUP(B76,'Data Core CPI'!$A:$AX,MATCH($K$1,'Data Core CPI'!$A$1:$AX$1,),)-VLOOKUP(EDATE(B76,-12),'Data Core CPI'!$A:$AX,MATCH($K$1,'Data Core CPI'!$A$1:$AX$1,),))/VLOOKUP(EDATE(B76,-12),'Data Core CPI'!$A:$AX,MATCH($K$1,'Data Core CPI'!$A$1:$AX$1,),))</f>
        <v/>
      </c>
      <c r="L76" s="20">
        <f>IF(VLOOKUP(B76,'Data Core CPI'!$A:$AX,MATCH($L$1,'Data Core CPI'!$A$1:$AX$1,),)=0,#N/A,(VLOOKUP(B76,'Data Core CPI'!$A:$AX,MATCH($L$1,'Data Core CPI'!$A$1:$AX$1,),)-VLOOKUP(EDATE(B76,-12),'Data Core CPI'!$A:$AX,MATCH($L$1,'Data Core CPI'!$A$1:$AX$1,),))/VLOOKUP(EDATE(B76,-12),'Data Core CPI'!$A:$AX,MATCH($L$1,'Data Core CPI'!$A$1:$AX$1,),))</f>
        <v/>
      </c>
      <c r="M76" s="20">
        <f>IF(VLOOKUP(B76,'Data Core CPI'!$A:$AX,MATCH($M$1,'Data Core CPI'!$A$1:$AX$1,),)=0,#N/A,(VLOOKUP(B76,'Data Core CPI'!$A:$AX,MATCH($M$1,'Data Core CPI'!$A$1:$AX$1,),)-VLOOKUP(EDATE(B76,-12),'Data Core CPI'!$A:$AX,MATCH($M$1,'Data Core CPI'!$A$1:$AX$1,),))/VLOOKUP(EDATE(B76,-12),'Data Core CPI'!$A:$AX,MATCH($M$1,'Data Core CPI'!$A$1:$AX$1,),))</f>
        <v/>
      </c>
      <c r="N76" s="20">
        <f>(VLOOKUP(B76,'Data Core CPI'!$A:$AX,MATCH($N$1,'Data Core CPI'!$A$1:$AX$1,),)-VLOOKUP(EDATE(B76,-12),'Data Core CPI'!$A:$AX,MATCH($N$1,'Data Core CPI'!$A$1:$AX$1,),))/VLOOKUP(EDATE(B76,-12),'Data Core CPI'!$A:$AX,MATCH($N$1,'Data Core CPI'!$A$1:$AX$1,),)</f>
        <v/>
      </c>
      <c r="O76" s="20">
        <f>(VLOOKUP(B76,'Data Core CPI'!$A:$AX,MATCH($O$1,'Data Core CPI'!$A$1:$AX$1,),)-VLOOKUP(EDATE(B76,-12),'Data Core CPI'!$A:$AX,MATCH($O$1,'Data Core CPI'!$A$1:$AX$1,),))/VLOOKUP(EDATE(B76,-12),'Data Core CPI'!$A:$AX,MATCH($O$1,'Data Core CPI'!$A$1:$AX$1,),)</f>
        <v/>
      </c>
      <c r="P76" s="20">
        <f>IF(VLOOKUP(B76,'Data Core CPI'!$A:$AX,MATCH($P$1,'Data Core CPI'!$A$1:$AX$1,),)=0,#N/A,(VLOOKUP(B76,'Data Core CPI'!$A:$AX,MATCH($P$1,'Data Core CPI'!$A$1:$AX$1,),)-VLOOKUP(EDATE(B76,-12),'Data Core CPI'!$A:$AX,MATCH($P$1,'Data Core CPI'!$A$1:$AX$1,),))/VLOOKUP(EDATE(B76,-12),'Data Core CPI'!$A:$AX,MATCH($P$1,'Data Core CPI'!$A$1:$AX$1,),))</f>
        <v/>
      </c>
      <c r="Q76" s="20">
        <f>(VLOOKUP(B76,'Data Core CPI'!$A:$AX,MATCH($Q$1,'Data Core CPI'!$A$1:$AX$1,),)-VLOOKUP(EDATE(B76,-12),'Data Core CPI'!$A:$AX,MATCH($Q$1,'Data Core CPI'!$A$1:$AX$1,),))/VLOOKUP(EDATE(B76,-12),'Data Core CPI'!$A:$AX,MATCH($Q$1,'Data Core CPI'!$A$1:$AX$1,),)</f>
        <v/>
      </c>
      <c r="R76" s="20">
        <f>IF(VLOOKUP(B76,'Data Core CPI'!$A:$AX,MATCH($R$1,'Data Core CPI'!$A$1:$AX$1,),)=0,#N/A,(VLOOKUP(B76,'Data Core CPI'!$A:$AX,MATCH($R$1,'Data Core CPI'!$A$1:$AX$1,),)-VLOOKUP(EDATE(B76,-12),'Data Core CPI'!$A:$AX,MATCH($R$1,'Data Core CPI'!$A$1:$AX$1,),))/VLOOKUP(EDATE(B76,-12),'Data Core CPI'!$A:$AX,MATCH($R$1,'Data Core CPI'!$A$1:$AX$1,),))</f>
        <v/>
      </c>
      <c r="S76" s="20">
        <f>(VLOOKUP(B76,'Data Core CPI'!$A:$AX,MATCH($S$1,'Data Core CPI'!$A$1:$AX$1,),)-VLOOKUP(EDATE(B76,-12),'Data Core CPI'!$A:$AX,MATCH($S$1,'Data Core CPI'!$A$1:$AX$1,),))/VLOOKUP(EDATE(B76,-12),'Data Core CPI'!$A:$AX,MATCH($S$1,'Data Core CPI'!$A$1:$AX$1,),)</f>
        <v/>
      </c>
      <c r="T76" s="20">
        <f>(VLOOKUP(B76,'Data Core CPI'!$A:$AX,MATCH($T$1,'Data Core CPI'!$A$1:$AX$1,),)-VLOOKUP(EDATE(B76,-12),'Data Core CPI'!$A:$AX,MATCH($T$1,'Data Core CPI'!$A$1:$AX$1,),))/VLOOKUP(EDATE(B76,-12),'Data Core CPI'!$A:$AX,MATCH($T$1,'Data Core CPI'!$A$1:$AX$1,),)</f>
        <v/>
      </c>
      <c r="U76" s="20">
        <f>IF(VLOOKUP(B76,'Data Core CPI'!$A:$AX,MATCH($U$1,'Data Core CPI'!$A$1:$AX$1,),)=0,#N/A,(VLOOKUP(B76,'Data Core CPI'!$A:$AX,MATCH($U$1,'Data Core CPI'!$A$1:$AX$1,),)-VLOOKUP(EDATE(B76,-12),'Data Core CPI'!$A:$AX,MATCH($U$1,'Data Core CPI'!$A$1:$AX$1,),))/VLOOKUP(EDATE(B76,-12),'Data Core CPI'!$A:$AX,MATCH($U$1,'Data Core CPI'!$A$1:$AX$1,),))</f>
        <v/>
      </c>
      <c r="V76" s="20">
        <f>(VLOOKUP(B76,'Data Core CPI'!$A:$AX,MATCH($V$1,'Data Core CPI'!$A$1:$AX$1,),)-VLOOKUP(EDATE(B76,-12),'Data Core CPI'!$A:$AX,MATCH($V$1,'Data Core CPI'!$A$1:$AX$1,),))/VLOOKUP(EDATE(B76,-12),'Data Core CPI'!$A:$AX,MATCH($V$1,'Data Core CPI'!$A$1:$AX$1,),)</f>
        <v/>
      </c>
      <c r="W76" s="20">
        <f>IF(VLOOKUP(B76,'Data Core CPI'!$A:$AX,MATCH($W$1,'Data Core CPI'!$A$1:$AX$1,),)=0,#N/A,(VLOOKUP(B76,'Data Core CPI'!$A:$AX,MATCH($W$1,'Data Core CPI'!$A$1:$AX$1,),)-VLOOKUP(EDATE(B76,-12),'Data Core CPI'!$A:$AX,MATCH($W$1,'Data Core CPI'!$A$1:$AX$1,),))/VLOOKUP(EDATE(B76,-12),'Data Core CPI'!$A:$AX,MATCH($W$1,'Data Core CPI'!$A$1:$AX$1,),))</f>
        <v/>
      </c>
      <c r="X76" s="20">
        <f>IF(VLOOKUP(B76,'Data Core CPI'!$A:$AX,MATCH($X$1,'Data Core CPI'!$A$1:$AX$1,),)=0,#N/A,(VLOOKUP(B76,'Data Core CPI'!$A:$AX,MATCH($X$1,'Data Core CPI'!$A$1:$AX$1,),)-VLOOKUP(EDATE(B76,-12),'Data Core CPI'!$A:$AX,MATCH($X$1,'Data Core CPI'!$A$1:$AX$1,),))/VLOOKUP(EDATE(B76,-12),'Data Core CPI'!$A:$AX,MATCH($X$1,'Data Core CPI'!$A$1:$AX$1,),))</f>
        <v/>
      </c>
      <c r="Y76" s="20">
        <f>IF(VLOOKUP(B76,'Data Core CPI'!$A:$AX,MATCH($Y$1,'Data Core CPI'!$A$1:$AX$1,),)=0,#N/A,(VLOOKUP(B76,'Data Core CPI'!$A:$AX,MATCH($Y$1,'Data Core CPI'!$A$1:$AX$1,),)-VLOOKUP(EDATE(B76,-12),'Data Core CPI'!$A:$AX,MATCH($Y$1,'Data Core CPI'!$A$1:$AX$1,),))/VLOOKUP(EDATE(B76,-12),'Data Core CPI'!$A:$AX,MATCH($Y$1,'Data Core CPI'!$A$1:$AX$1,),))</f>
        <v/>
      </c>
      <c r="Z76" s="20">
        <f>(VLOOKUP(B76,Data!$A:$AX,MATCH($Z$1,Data!$A$1:$AX$1,),)-VLOOKUP(EDATE(B76,-12),Data!$A:$AX,MATCH($Z$1,Data!$A$1:$AX$1,),))/VLOOKUP(EDATE(B76,-12),Data!$A:$AX,MATCH($Z$1,Data!$A$1:$AX$1,),)</f>
        <v/>
      </c>
      <c r="AA76" s="20">
        <f>(VLOOKUP(B76,Data!$A:$AX,MATCH($AA$1,Data!$A$1:$AX$1,),)-VLOOKUP(EDATE(B76,-12),Data!$A:$AX,MATCH($AA$1,Data!$A$1:$AX$1,),))/VLOOKUP(EDATE(B76,-12),Data!$A:$AX,MATCH($AA$1,Data!$A$1:$AX$1,),)</f>
        <v/>
      </c>
      <c r="AB76" s="19" t="n"/>
    </row>
    <row r="77">
      <c r="B77" s="15" t="n">
        <v>42552</v>
      </c>
      <c r="C77" s="20">
        <f>IF(VLOOKUP(B77,'Data Core CPI'!$A:$AX,MATCH($C$1,'Data Core CPI'!$A$1:$AX$1,),)=0,#N/A,(VLOOKUP(B77,'Data Core CPI'!$A:$AX,MATCH($C$1,'Data Core CPI'!$A$1:$AX$1,),)-VLOOKUP(EDATE(B77,-12),'Data Core CPI'!$A:$AX,MATCH($C$1,'Data Core CPI'!$A$1:$AX$1,),))/VLOOKUP(EDATE(B77,-12),'Data Core CPI'!$A:$AX,MATCH($C$1,'Data Core CPI'!$A$1:$AX$1,),))</f>
        <v/>
      </c>
      <c r="D77" s="20">
        <f>(VLOOKUP(B77,'Data Core CPI'!$A:$AX,MATCH($D$1,'Data Core CPI'!$A$1:$AX$1,),)-VLOOKUP(EDATE(B77,-12),'Data Core CPI'!$A:$AX,MATCH($D$1,'Data Core CPI'!$A$1:$AX$1,),))/VLOOKUP(EDATE(B77,-12),'Data Core CPI'!$A:$AX,MATCH($D$1,'Data Core CPI'!$A$1:$AX$1,),)</f>
        <v/>
      </c>
      <c r="E77" s="20">
        <f>IF(VLOOKUP(B77,'Data Core CPI'!$A:$AX,MATCH($E$1,'Data Core CPI'!$A$1:$AX$1,),)=0,#N/A,(VLOOKUP(B77,'Data Core CPI'!$A:$AX,MATCH($E$1,'Data Core CPI'!$A$1:$AX$1,),)-VLOOKUP(EDATE(B77,-12),'Data Core CPI'!$A:$AX,MATCH($E$1,'Data Core CPI'!$A$1:$AX$1,),))/VLOOKUP(EDATE(B77,-12),'Data Core CPI'!$A:$AX,MATCH($E$1,'Data Core CPI'!$A$1:$AX$1,),))</f>
        <v/>
      </c>
      <c r="F77" s="20">
        <f>IF(VLOOKUP(B77,'Data Core CPI'!$A:$AX,MATCH($F$1,'Data Core CPI'!$A$1:$AX$1,),)=0,#N/A,(VLOOKUP(B77,'Data Core CPI'!$A:$AX,MATCH($F$1,'Data Core CPI'!$A$1:$AX$1,),)-VLOOKUP(EDATE(B77,-12),'Data Core CPI'!$A:$AX,MATCH($F$1,'Data Core CPI'!$A$1:$AX$1,),))/VLOOKUP(EDATE(B77,-12),'Data Core CPI'!$A:$AX,MATCH($F$1,'Data Core CPI'!$A$1:$AX$1,),))</f>
        <v/>
      </c>
      <c r="G77" s="20">
        <f>IF(VLOOKUP(B77,'Data Core CPI'!$A:$AX,MATCH($G$1,'Data Core CPI'!$A$1:$AX$1,),)=0,#N/A,(VLOOKUP(B77,'Data Core CPI'!$A:$AX,MATCH($G$1,'Data Core CPI'!$A$1:$AX$1,),)-VLOOKUP(EDATE(B77,-12),'Data Core CPI'!$A:$AX,MATCH($G$1,'Data Core CPI'!$A$1:$AX$1,),))/VLOOKUP(EDATE(B77,-12),'Data Core CPI'!$A:$AX,MATCH($G$1,'Data Core CPI'!$A$1:$AX$1,),))</f>
        <v/>
      </c>
      <c r="H77" s="20">
        <f>IF(VLOOKUP(B77,'Data Core CPI'!$A:$AX,MATCH($H$1,'Data Core CPI'!$A$1:$AX$1,),)=0,#N/A,(VLOOKUP(B77,'Data Core CPI'!$A:$AX,MATCH($H$1,'Data Core CPI'!$A$1:$AX$1,),)-VLOOKUP(EDATE(B77,-12),'Data Core CPI'!$A:$AX,MATCH($H$1,'Data Core CPI'!$A$1:$AX$1,),))/VLOOKUP(EDATE(B77,-12),'Data Core CPI'!$A:$AX,MATCH($H$1,'Data Core CPI'!$A$1:$AX$1,),))</f>
        <v/>
      </c>
      <c r="I77" s="20">
        <f>IF(VLOOKUP(B77,'Data Core CPI'!$A:$AX,MATCH($I$1,'Data Core CPI'!$A$1:$AX$1,),)=0,#N/A,(VLOOKUP(B77,'Data Core CPI'!$A:$AX,MATCH($I$1,'Data Core CPI'!$A$1:$AX$1,),)-VLOOKUP(EDATE(B77,-12),'Data Core CPI'!$A:$AX,MATCH($I$1,'Data Core CPI'!$A$1:$AX$1,),))/VLOOKUP(EDATE(B77,-12),'Data Core CPI'!$A:$AX,MATCH($I$1,'Data Core CPI'!$A$1:$AX$1,),))</f>
        <v/>
      </c>
      <c r="J77" s="20">
        <f>IF(VLOOKUP(B77,'Data Core CPI'!$A:$AX,MATCH($J$1,'Data Core CPI'!$A$1:$AX$1,),)=0,#N/A,(VLOOKUP(B77,'Data Core CPI'!$A:$AX,MATCH($J$1,'Data Core CPI'!$A$1:$AX$1,),)-VLOOKUP(EDATE(B77,-12),'Data Core CPI'!$A:$AX,MATCH($J$1,'Data Core CPI'!$A$1:$AX$1,),))/VLOOKUP(EDATE(B77,-12),'Data Core CPI'!$A:$AX,MATCH($J$1,'Data Core CPI'!$A$1:$AX$1,),))</f>
        <v/>
      </c>
      <c r="K77" s="20">
        <f>IF(VLOOKUP(B77,'Data Core CPI'!$A:$AX,MATCH($K$1,'Data Core CPI'!$A$1:$AX$1,),)=0,#N/A,(VLOOKUP(B77,'Data Core CPI'!$A:$AX,MATCH($K$1,'Data Core CPI'!$A$1:$AX$1,),)-VLOOKUP(EDATE(B77,-12),'Data Core CPI'!$A:$AX,MATCH($K$1,'Data Core CPI'!$A$1:$AX$1,),))/VLOOKUP(EDATE(B77,-12),'Data Core CPI'!$A:$AX,MATCH($K$1,'Data Core CPI'!$A$1:$AX$1,),))</f>
        <v/>
      </c>
      <c r="L77" s="20">
        <f>IF(VLOOKUP(B77,'Data Core CPI'!$A:$AX,MATCH($L$1,'Data Core CPI'!$A$1:$AX$1,),)=0,#N/A,(VLOOKUP(B77,'Data Core CPI'!$A:$AX,MATCH($L$1,'Data Core CPI'!$A$1:$AX$1,),)-VLOOKUP(EDATE(B77,-12),'Data Core CPI'!$A:$AX,MATCH($L$1,'Data Core CPI'!$A$1:$AX$1,),))/VLOOKUP(EDATE(B77,-12),'Data Core CPI'!$A:$AX,MATCH($L$1,'Data Core CPI'!$A$1:$AX$1,),))</f>
        <v/>
      </c>
      <c r="M77" s="20">
        <f>IF(VLOOKUP(B77,'Data Core CPI'!$A:$AX,MATCH($M$1,'Data Core CPI'!$A$1:$AX$1,),)=0,#N/A,(VLOOKUP(B77,'Data Core CPI'!$A:$AX,MATCH($M$1,'Data Core CPI'!$A$1:$AX$1,),)-VLOOKUP(EDATE(B77,-12),'Data Core CPI'!$A:$AX,MATCH($M$1,'Data Core CPI'!$A$1:$AX$1,),))/VLOOKUP(EDATE(B77,-12),'Data Core CPI'!$A:$AX,MATCH($M$1,'Data Core CPI'!$A$1:$AX$1,),))</f>
        <v/>
      </c>
      <c r="N77" s="20">
        <f>(VLOOKUP(B77,'Data Core CPI'!$A:$AX,MATCH($N$1,'Data Core CPI'!$A$1:$AX$1,),)-VLOOKUP(EDATE(B77,-12),'Data Core CPI'!$A:$AX,MATCH($N$1,'Data Core CPI'!$A$1:$AX$1,),))/VLOOKUP(EDATE(B77,-12),'Data Core CPI'!$A:$AX,MATCH($N$1,'Data Core CPI'!$A$1:$AX$1,),)</f>
        <v/>
      </c>
      <c r="O77" s="20">
        <f>(VLOOKUP(B77,'Data Core CPI'!$A:$AX,MATCH($O$1,'Data Core CPI'!$A$1:$AX$1,),)-VLOOKUP(EDATE(B77,-12),'Data Core CPI'!$A:$AX,MATCH($O$1,'Data Core CPI'!$A$1:$AX$1,),))/VLOOKUP(EDATE(B77,-12),'Data Core CPI'!$A:$AX,MATCH($O$1,'Data Core CPI'!$A$1:$AX$1,),)</f>
        <v/>
      </c>
      <c r="P77" s="20">
        <f>IF(VLOOKUP(B77,'Data Core CPI'!$A:$AX,MATCH($P$1,'Data Core CPI'!$A$1:$AX$1,),)=0,#N/A,(VLOOKUP(B77,'Data Core CPI'!$A:$AX,MATCH($P$1,'Data Core CPI'!$A$1:$AX$1,),)-VLOOKUP(EDATE(B77,-12),'Data Core CPI'!$A:$AX,MATCH($P$1,'Data Core CPI'!$A$1:$AX$1,),))/VLOOKUP(EDATE(B77,-12),'Data Core CPI'!$A:$AX,MATCH($P$1,'Data Core CPI'!$A$1:$AX$1,),))</f>
        <v/>
      </c>
      <c r="Q77" s="20">
        <f>(VLOOKUP(B77,'Data Core CPI'!$A:$AX,MATCH($Q$1,'Data Core CPI'!$A$1:$AX$1,),)-VLOOKUP(EDATE(B77,-12),'Data Core CPI'!$A:$AX,MATCH($Q$1,'Data Core CPI'!$A$1:$AX$1,),))/VLOOKUP(EDATE(B77,-12),'Data Core CPI'!$A:$AX,MATCH($Q$1,'Data Core CPI'!$A$1:$AX$1,),)</f>
        <v/>
      </c>
      <c r="R77" s="20">
        <f>IF(VLOOKUP(B77,'Data Core CPI'!$A:$AX,MATCH($R$1,'Data Core CPI'!$A$1:$AX$1,),)=0,#N/A,(VLOOKUP(B77,'Data Core CPI'!$A:$AX,MATCH($R$1,'Data Core CPI'!$A$1:$AX$1,),)-VLOOKUP(EDATE(B77,-12),'Data Core CPI'!$A:$AX,MATCH($R$1,'Data Core CPI'!$A$1:$AX$1,),))/VLOOKUP(EDATE(B77,-12),'Data Core CPI'!$A:$AX,MATCH($R$1,'Data Core CPI'!$A$1:$AX$1,),))</f>
        <v/>
      </c>
      <c r="S77" s="20">
        <f>(VLOOKUP(B77,'Data Core CPI'!$A:$AX,MATCH($S$1,'Data Core CPI'!$A$1:$AX$1,),)-VLOOKUP(EDATE(B77,-12),'Data Core CPI'!$A:$AX,MATCH($S$1,'Data Core CPI'!$A$1:$AX$1,),))/VLOOKUP(EDATE(B77,-12),'Data Core CPI'!$A:$AX,MATCH($S$1,'Data Core CPI'!$A$1:$AX$1,),)</f>
        <v/>
      </c>
      <c r="T77" s="20">
        <f>(VLOOKUP(B77,'Data Core CPI'!$A:$AX,MATCH($T$1,'Data Core CPI'!$A$1:$AX$1,),)-VLOOKUP(EDATE(B77,-12),'Data Core CPI'!$A:$AX,MATCH($T$1,'Data Core CPI'!$A$1:$AX$1,),))/VLOOKUP(EDATE(B77,-12),'Data Core CPI'!$A:$AX,MATCH($T$1,'Data Core CPI'!$A$1:$AX$1,),)</f>
        <v/>
      </c>
      <c r="U77" s="20">
        <f>IF(VLOOKUP(B77,'Data Core CPI'!$A:$AX,MATCH($U$1,'Data Core CPI'!$A$1:$AX$1,),)=0,#N/A,(VLOOKUP(B77,'Data Core CPI'!$A:$AX,MATCH($U$1,'Data Core CPI'!$A$1:$AX$1,),)-VLOOKUP(EDATE(B77,-12),'Data Core CPI'!$A:$AX,MATCH($U$1,'Data Core CPI'!$A$1:$AX$1,),))/VLOOKUP(EDATE(B77,-12),'Data Core CPI'!$A:$AX,MATCH($U$1,'Data Core CPI'!$A$1:$AX$1,),))</f>
        <v/>
      </c>
      <c r="V77" s="20">
        <f>(VLOOKUP(B77,'Data Core CPI'!$A:$AX,MATCH($V$1,'Data Core CPI'!$A$1:$AX$1,),)-VLOOKUP(EDATE(B77,-12),'Data Core CPI'!$A:$AX,MATCH($V$1,'Data Core CPI'!$A$1:$AX$1,),))/VLOOKUP(EDATE(B77,-12),'Data Core CPI'!$A:$AX,MATCH($V$1,'Data Core CPI'!$A$1:$AX$1,),)</f>
        <v/>
      </c>
      <c r="W77" s="20">
        <f>IF(VLOOKUP(B77,'Data Core CPI'!$A:$AX,MATCH($W$1,'Data Core CPI'!$A$1:$AX$1,),)=0,#N/A,(VLOOKUP(B77,'Data Core CPI'!$A:$AX,MATCH($W$1,'Data Core CPI'!$A$1:$AX$1,),)-VLOOKUP(EDATE(B77,-12),'Data Core CPI'!$A:$AX,MATCH($W$1,'Data Core CPI'!$A$1:$AX$1,),))/VLOOKUP(EDATE(B77,-12),'Data Core CPI'!$A:$AX,MATCH($W$1,'Data Core CPI'!$A$1:$AX$1,),))</f>
        <v/>
      </c>
      <c r="X77" s="20">
        <f>IF(VLOOKUP(B77,'Data Core CPI'!$A:$AX,MATCH($X$1,'Data Core CPI'!$A$1:$AX$1,),)=0,#N/A,(VLOOKUP(B77,'Data Core CPI'!$A:$AX,MATCH($X$1,'Data Core CPI'!$A$1:$AX$1,),)-VLOOKUP(EDATE(B77,-12),'Data Core CPI'!$A:$AX,MATCH($X$1,'Data Core CPI'!$A$1:$AX$1,),))/VLOOKUP(EDATE(B77,-12),'Data Core CPI'!$A:$AX,MATCH($X$1,'Data Core CPI'!$A$1:$AX$1,),))</f>
        <v/>
      </c>
      <c r="Y77" s="20">
        <f>IF(VLOOKUP(B77,'Data Core CPI'!$A:$AX,MATCH($Y$1,'Data Core CPI'!$A$1:$AX$1,),)=0,#N/A,(VLOOKUP(B77,'Data Core CPI'!$A:$AX,MATCH($Y$1,'Data Core CPI'!$A$1:$AX$1,),)-VLOOKUP(EDATE(B77,-12),'Data Core CPI'!$A:$AX,MATCH($Y$1,'Data Core CPI'!$A$1:$AX$1,),))/VLOOKUP(EDATE(B77,-12),'Data Core CPI'!$A:$AX,MATCH($Y$1,'Data Core CPI'!$A$1:$AX$1,),))</f>
        <v/>
      </c>
      <c r="Z77" s="20">
        <f>(VLOOKUP(B77,Data!$A:$AX,MATCH($Z$1,Data!$A$1:$AX$1,),)-VLOOKUP(EDATE(B77,-12),Data!$A:$AX,MATCH($Z$1,Data!$A$1:$AX$1,),))/VLOOKUP(EDATE(B77,-12),Data!$A:$AX,MATCH($Z$1,Data!$A$1:$AX$1,),)</f>
        <v/>
      </c>
      <c r="AA77" s="20">
        <f>(VLOOKUP(B77,Data!$A:$AX,MATCH($AA$1,Data!$A$1:$AX$1,),)-VLOOKUP(EDATE(B77,-12),Data!$A:$AX,MATCH($AA$1,Data!$A$1:$AX$1,),))/VLOOKUP(EDATE(B77,-12),Data!$A:$AX,MATCH($AA$1,Data!$A$1:$AX$1,),)</f>
        <v/>
      </c>
      <c r="AB77" s="19" t="n"/>
    </row>
    <row r="78">
      <c r="B78" s="15" t="n">
        <v>42583</v>
      </c>
      <c r="C78" s="20">
        <f>IF(VLOOKUP(B78,'Data Core CPI'!$A:$AX,MATCH($C$1,'Data Core CPI'!$A$1:$AX$1,),)=0,#N/A,(VLOOKUP(B78,'Data Core CPI'!$A:$AX,MATCH($C$1,'Data Core CPI'!$A$1:$AX$1,),)-VLOOKUP(EDATE(B78,-12),'Data Core CPI'!$A:$AX,MATCH($C$1,'Data Core CPI'!$A$1:$AX$1,),))/VLOOKUP(EDATE(B78,-12),'Data Core CPI'!$A:$AX,MATCH($C$1,'Data Core CPI'!$A$1:$AX$1,),))</f>
        <v/>
      </c>
      <c r="D78" s="20">
        <f>(VLOOKUP(B78,'Data Core CPI'!$A:$AX,MATCH($D$1,'Data Core CPI'!$A$1:$AX$1,),)-VLOOKUP(EDATE(B78,-12),'Data Core CPI'!$A:$AX,MATCH($D$1,'Data Core CPI'!$A$1:$AX$1,),))/VLOOKUP(EDATE(B78,-12),'Data Core CPI'!$A:$AX,MATCH($D$1,'Data Core CPI'!$A$1:$AX$1,),)</f>
        <v/>
      </c>
      <c r="E78" s="20">
        <f>IF(VLOOKUP(B78,'Data Core CPI'!$A:$AX,MATCH($E$1,'Data Core CPI'!$A$1:$AX$1,),)=0,#N/A,(VLOOKUP(B78,'Data Core CPI'!$A:$AX,MATCH($E$1,'Data Core CPI'!$A$1:$AX$1,),)-VLOOKUP(EDATE(B78,-12),'Data Core CPI'!$A:$AX,MATCH($E$1,'Data Core CPI'!$A$1:$AX$1,),))/VLOOKUP(EDATE(B78,-12),'Data Core CPI'!$A:$AX,MATCH($E$1,'Data Core CPI'!$A$1:$AX$1,),))</f>
        <v/>
      </c>
      <c r="F78" s="20">
        <f>IF(VLOOKUP(B78,'Data Core CPI'!$A:$AX,MATCH($F$1,'Data Core CPI'!$A$1:$AX$1,),)=0,#N/A,(VLOOKUP(B78,'Data Core CPI'!$A:$AX,MATCH($F$1,'Data Core CPI'!$A$1:$AX$1,),)-VLOOKUP(EDATE(B78,-12),'Data Core CPI'!$A:$AX,MATCH($F$1,'Data Core CPI'!$A$1:$AX$1,),))/VLOOKUP(EDATE(B78,-12),'Data Core CPI'!$A:$AX,MATCH($F$1,'Data Core CPI'!$A$1:$AX$1,),))</f>
        <v/>
      </c>
      <c r="G78" s="20">
        <f>IF(VLOOKUP(B78,'Data Core CPI'!$A:$AX,MATCH($G$1,'Data Core CPI'!$A$1:$AX$1,),)=0,#N/A,(VLOOKUP(B78,'Data Core CPI'!$A:$AX,MATCH($G$1,'Data Core CPI'!$A$1:$AX$1,),)-VLOOKUP(EDATE(B78,-12),'Data Core CPI'!$A:$AX,MATCH($G$1,'Data Core CPI'!$A$1:$AX$1,),))/VLOOKUP(EDATE(B78,-12),'Data Core CPI'!$A:$AX,MATCH($G$1,'Data Core CPI'!$A$1:$AX$1,),))</f>
        <v/>
      </c>
      <c r="H78" s="20">
        <f>IF(VLOOKUP(B78,'Data Core CPI'!$A:$AX,MATCH($H$1,'Data Core CPI'!$A$1:$AX$1,),)=0,#N/A,(VLOOKUP(B78,'Data Core CPI'!$A:$AX,MATCH($H$1,'Data Core CPI'!$A$1:$AX$1,),)-VLOOKUP(EDATE(B78,-12),'Data Core CPI'!$A:$AX,MATCH($H$1,'Data Core CPI'!$A$1:$AX$1,),))/VLOOKUP(EDATE(B78,-12),'Data Core CPI'!$A:$AX,MATCH($H$1,'Data Core CPI'!$A$1:$AX$1,),))</f>
        <v/>
      </c>
      <c r="I78" s="20">
        <f>IF(VLOOKUP(B78,'Data Core CPI'!$A:$AX,MATCH($I$1,'Data Core CPI'!$A$1:$AX$1,),)=0,#N/A,(VLOOKUP(B78,'Data Core CPI'!$A:$AX,MATCH($I$1,'Data Core CPI'!$A$1:$AX$1,),)-VLOOKUP(EDATE(B78,-12),'Data Core CPI'!$A:$AX,MATCH($I$1,'Data Core CPI'!$A$1:$AX$1,),))/VLOOKUP(EDATE(B78,-12),'Data Core CPI'!$A:$AX,MATCH($I$1,'Data Core CPI'!$A$1:$AX$1,),))</f>
        <v/>
      </c>
      <c r="J78" s="20">
        <f>IF(VLOOKUP(B78,'Data Core CPI'!$A:$AX,MATCH($J$1,'Data Core CPI'!$A$1:$AX$1,),)=0,#N/A,(VLOOKUP(B78,'Data Core CPI'!$A:$AX,MATCH($J$1,'Data Core CPI'!$A$1:$AX$1,),)-VLOOKUP(EDATE(B78,-12),'Data Core CPI'!$A:$AX,MATCH($J$1,'Data Core CPI'!$A$1:$AX$1,),))/VLOOKUP(EDATE(B78,-12),'Data Core CPI'!$A:$AX,MATCH($J$1,'Data Core CPI'!$A$1:$AX$1,),))</f>
        <v/>
      </c>
      <c r="K78" s="20">
        <f>IF(VLOOKUP(B78,'Data Core CPI'!$A:$AX,MATCH($K$1,'Data Core CPI'!$A$1:$AX$1,),)=0,#N/A,(VLOOKUP(B78,'Data Core CPI'!$A:$AX,MATCH($K$1,'Data Core CPI'!$A$1:$AX$1,),)-VLOOKUP(EDATE(B78,-12),'Data Core CPI'!$A:$AX,MATCH($K$1,'Data Core CPI'!$A$1:$AX$1,),))/VLOOKUP(EDATE(B78,-12),'Data Core CPI'!$A:$AX,MATCH($K$1,'Data Core CPI'!$A$1:$AX$1,),))</f>
        <v/>
      </c>
      <c r="L78" s="20">
        <f>IF(VLOOKUP(B78,'Data Core CPI'!$A:$AX,MATCH($L$1,'Data Core CPI'!$A$1:$AX$1,),)=0,#N/A,(VLOOKUP(B78,'Data Core CPI'!$A:$AX,MATCH($L$1,'Data Core CPI'!$A$1:$AX$1,),)-VLOOKUP(EDATE(B78,-12),'Data Core CPI'!$A:$AX,MATCH($L$1,'Data Core CPI'!$A$1:$AX$1,),))/VLOOKUP(EDATE(B78,-12),'Data Core CPI'!$A:$AX,MATCH($L$1,'Data Core CPI'!$A$1:$AX$1,),))</f>
        <v/>
      </c>
      <c r="M78" s="20">
        <f>IF(VLOOKUP(B78,'Data Core CPI'!$A:$AX,MATCH($M$1,'Data Core CPI'!$A$1:$AX$1,),)=0,#N/A,(VLOOKUP(B78,'Data Core CPI'!$A:$AX,MATCH($M$1,'Data Core CPI'!$A$1:$AX$1,),)-VLOOKUP(EDATE(B78,-12),'Data Core CPI'!$A:$AX,MATCH($M$1,'Data Core CPI'!$A$1:$AX$1,),))/VLOOKUP(EDATE(B78,-12),'Data Core CPI'!$A:$AX,MATCH($M$1,'Data Core CPI'!$A$1:$AX$1,),))</f>
        <v/>
      </c>
      <c r="N78" s="20">
        <f>(VLOOKUP(B78,'Data Core CPI'!$A:$AX,MATCH($N$1,'Data Core CPI'!$A$1:$AX$1,),)-VLOOKUP(EDATE(B78,-12),'Data Core CPI'!$A:$AX,MATCH($N$1,'Data Core CPI'!$A$1:$AX$1,),))/VLOOKUP(EDATE(B78,-12),'Data Core CPI'!$A:$AX,MATCH($N$1,'Data Core CPI'!$A$1:$AX$1,),)</f>
        <v/>
      </c>
      <c r="O78" s="20">
        <f>(VLOOKUP(B78,'Data Core CPI'!$A:$AX,MATCH($O$1,'Data Core CPI'!$A$1:$AX$1,),)-VLOOKUP(EDATE(B78,-12),'Data Core CPI'!$A:$AX,MATCH($O$1,'Data Core CPI'!$A$1:$AX$1,),))/VLOOKUP(EDATE(B78,-12),'Data Core CPI'!$A:$AX,MATCH($O$1,'Data Core CPI'!$A$1:$AX$1,),)</f>
        <v/>
      </c>
      <c r="P78" s="20">
        <f>IF(VLOOKUP(B78,'Data Core CPI'!$A:$AX,MATCH($P$1,'Data Core CPI'!$A$1:$AX$1,),)=0,#N/A,(VLOOKUP(B78,'Data Core CPI'!$A:$AX,MATCH($P$1,'Data Core CPI'!$A$1:$AX$1,),)-VLOOKUP(EDATE(B78,-12),'Data Core CPI'!$A:$AX,MATCH($P$1,'Data Core CPI'!$A$1:$AX$1,),))/VLOOKUP(EDATE(B78,-12),'Data Core CPI'!$A:$AX,MATCH($P$1,'Data Core CPI'!$A$1:$AX$1,),))</f>
        <v/>
      </c>
      <c r="Q78" s="20">
        <f>(VLOOKUP(B78,'Data Core CPI'!$A:$AX,MATCH($Q$1,'Data Core CPI'!$A$1:$AX$1,),)-VLOOKUP(EDATE(B78,-12),'Data Core CPI'!$A:$AX,MATCH($Q$1,'Data Core CPI'!$A$1:$AX$1,),))/VLOOKUP(EDATE(B78,-12),'Data Core CPI'!$A:$AX,MATCH($Q$1,'Data Core CPI'!$A$1:$AX$1,),)</f>
        <v/>
      </c>
      <c r="R78" s="20">
        <f>IF(VLOOKUP(B78,'Data Core CPI'!$A:$AX,MATCH($R$1,'Data Core CPI'!$A$1:$AX$1,),)=0,#N/A,(VLOOKUP(B78,'Data Core CPI'!$A:$AX,MATCH($R$1,'Data Core CPI'!$A$1:$AX$1,),)-VLOOKUP(EDATE(B78,-12),'Data Core CPI'!$A:$AX,MATCH($R$1,'Data Core CPI'!$A$1:$AX$1,),))/VLOOKUP(EDATE(B78,-12),'Data Core CPI'!$A:$AX,MATCH($R$1,'Data Core CPI'!$A$1:$AX$1,),))</f>
        <v/>
      </c>
      <c r="S78" s="20">
        <f>(VLOOKUP(B78,'Data Core CPI'!$A:$AX,MATCH($S$1,'Data Core CPI'!$A$1:$AX$1,),)-VLOOKUP(EDATE(B78,-12),'Data Core CPI'!$A:$AX,MATCH($S$1,'Data Core CPI'!$A$1:$AX$1,),))/VLOOKUP(EDATE(B78,-12),'Data Core CPI'!$A:$AX,MATCH($S$1,'Data Core CPI'!$A$1:$AX$1,),)</f>
        <v/>
      </c>
      <c r="T78" s="20">
        <f>(VLOOKUP(B78,'Data Core CPI'!$A:$AX,MATCH($T$1,'Data Core CPI'!$A$1:$AX$1,),)-VLOOKUP(EDATE(B78,-12),'Data Core CPI'!$A:$AX,MATCH($T$1,'Data Core CPI'!$A$1:$AX$1,),))/VLOOKUP(EDATE(B78,-12),'Data Core CPI'!$A:$AX,MATCH($T$1,'Data Core CPI'!$A$1:$AX$1,),)</f>
        <v/>
      </c>
      <c r="U78" s="20">
        <f>IF(VLOOKUP(B78,'Data Core CPI'!$A:$AX,MATCH($U$1,'Data Core CPI'!$A$1:$AX$1,),)=0,#N/A,(VLOOKUP(B78,'Data Core CPI'!$A:$AX,MATCH($U$1,'Data Core CPI'!$A$1:$AX$1,),)-VLOOKUP(EDATE(B78,-12),'Data Core CPI'!$A:$AX,MATCH($U$1,'Data Core CPI'!$A$1:$AX$1,),))/VLOOKUP(EDATE(B78,-12),'Data Core CPI'!$A:$AX,MATCH($U$1,'Data Core CPI'!$A$1:$AX$1,),))</f>
        <v/>
      </c>
      <c r="V78" s="20">
        <f>(VLOOKUP(B78,'Data Core CPI'!$A:$AX,MATCH($V$1,'Data Core CPI'!$A$1:$AX$1,),)-VLOOKUP(EDATE(B78,-12),'Data Core CPI'!$A:$AX,MATCH($V$1,'Data Core CPI'!$A$1:$AX$1,),))/VLOOKUP(EDATE(B78,-12),'Data Core CPI'!$A:$AX,MATCH($V$1,'Data Core CPI'!$A$1:$AX$1,),)</f>
        <v/>
      </c>
      <c r="W78" s="20">
        <f>IF(VLOOKUP(B78,'Data Core CPI'!$A:$AX,MATCH($W$1,'Data Core CPI'!$A$1:$AX$1,),)=0,#N/A,(VLOOKUP(B78,'Data Core CPI'!$A:$AX,MATCH($W$1,'Data Core CPI'!$A$1:$AX$1,),)-VLOOKUP(EDATE(B78,-12),'Data Core CPI'!$A:$AX,MATCH($W$1,'Data Core CPI'!$A$1:$AX$1,),))/VLOOKUP(EDATE(B78,-12),'Data Core CPI'!$A:$AX,MATCH($W$1,'Data Core CPI'!$A$1:$AX$1,),))</f>
        <v/>
      </c>
      <c r="X78" s="20">
        <f>IF(VLOOKUP(B78,'Data Core CPI'!$A:$AX,MATCH($X$1,'Data Core CPI'!$A$1:$AX$1,),)=0,#N/A,(VLOOKUP(B78,'Data Core CPI'!$A:$AX,MATCH($X$1,'Data Core CPI'!$A$1:$AX$1,),)-VLOOKUP(EDATE(B78,-12),'Data Core CPI'!$A:$AX,MATCH($X$1,'Data Core CPI'!$A$1:$AX$1,),))/VLOOKUP(EDATE(B78,-12),'Data Core CPI'!$A:$AX,MATCH($X$1,'Data Core CPI'!$A$1:$AX$1,),))</f>
        <v/>
      </c>
      <c r="Y78" s="20">
        <f>IF(VLOOKUP(B78,'Data Core CPI'!$A:$AX,MATCH($Y$1,'Data Core CPI'!$A$1:$AX$1,),)=0,#N/A,(VLOOKUP(B78,'Data Core CPI'!$A:$AX,MATCH($Y$1,'Data Core CPI'!$A$1:$AX$1,),)-VLOOKUP(EDATE(B78,-12),'Data Core CPI'!$A:$AX,MATCH($Y$1,'Data Core CPI'!$A$1:$AX$1,),))/VLOOKUP(EDATE(B78,-12),'Data Core CPI'!$A:$AX,MATCH($Y$1,'Data Core CPI'!$A$1:$AX$1,),))</f>
        <v/>
      </c>
      <c r="Z78" s="20">
        <f>(VLOOKUP(B78,Data!$A:$AX,MATCH($Z$1,Data!$A$1:$AX$1,),)-VLOOKUP(EDATE(B78,-12),Data!$A:$AX,MATCH($Z$1,Data!$A$1:$AX$1,),))/VLOOKUP(EDATE(B78,-12),Data!$A:$AX,MATCH($Z$1,Data!$A$1:$AX$1,),)</f>
        <v/>
      </c>
      <c r="AA78" s="20">
        <f>(VLOOKUP(B78,Data!$A:$AX,MATCH($AA$1,Data!$A$1:$AX$1,),)-VLOOKUP(EDATE(B78,-12),Data!$A:$AX,MATCH($AA$1,Data!$A$1:$AX$1,),))/VLOOKUP(EDATE(B78,-12),Data!$A:$AX,MATCH($AA$1,Data!$A$1:$AX$1,),)</f>
        <v/>
      </c>
      <c r="AB78" s="19" t="n"/>
    </row>
    <row r="79">
      <c r="B79" s="15" t="n">
        <v>42614</v>
      </c>
      <c r="C79" s="20">
        <f>IF(VLOOKUP(B79,'Data Core CPI'!$A:$AX,MATCH($C$1,'Data Core CPI'!$A$1:$AX$1,),)=0,#N/A,(VLOOKUP(B79,'Data Core CPI'!$A:$AX,MATCH($C$1,'Data Core CPI'!$A$1:$AX$1,),)-VLOOKUP(EDATE(B79,-12),'Data Core CPI'!$A:$AX,MATCH($C$1,'Data Core CPI'!$A$1:$AX$1,),))/VLOOKUP(EDATE(B79,-12),'Data Core CPI'!$A:$AX,MATCH($C$1,'Data Core CPI'!$A$1:$AX$1,),))</f>
        <v/>
      </c>
      <c r="D79" s="20">
        <f>(VLOOKUP(B79,'Data Core CPI'!$A:$AX,MATCH($D$1,'Data Core CPI'!$A$1:$AX$1,),)-VLOOKUP(EDATE(B79,-12),'Data Core CPI'!$A:$AX,MATCH($D$1,'Data Core CPI'!$A$1:$AX$1,),))/VLOOKUP(EDATE(B79,-12),'Data Core CPI'!$A:$AX,MATCH($D$1,'Data Core CPI'!$A$1:$AX$1,),)</f>
        <v/>
      </c>
      <c r="E79" s="20">
        <f>IF(VLOOKUP(B79,'Data Core CPI'!$A:$AX,MATCH($E$1,'Data Core CPI'!$A$1:$AX$1,),)=0,#N/A,(VLOOKUP(B79,'Data Core CPI'!$A:$AX,MATCH($E$1,'Data Core CPI'!$A$1:$AX$1,),)-VLOOKUP(EDATE(B79,-12),'Data Core CPI'!$A:$AX,MATCH($E$1,'Data Core CPI'!$A$1:$AX$1,),))/VLOOKUP(EDATE(B79,-12),'Data Core CPI'!$A:$AX,MATCH($E$1,'Data Core CPI'!$A$1:$AX$1,),))</f>
        <v/>
      </c>
      <c r="F79" s="20">
        <f>IF(VLOOKUP(B79,'Data Core CPI'!$A:$AX,MATCH($F$1,'Data Core CPI'!$A$1:$AX$1,),)=0,#N/A,(VLOOKUP(B79,'Data Core CPI'!$A:$AX,MATCH($F$1,'Data Core CPI'!$A$1:$AX$1,),)-VLOOKUP(EDATE(B79,-12),'Data Core CPI'!$A:$AX,MATCH($F$1,'Data Core CPI'!$A$1:$AX$1,),))/VLOOKUP(EDATE(B79,-12),'Data Core CPI'!$A:$AX,MATCH($F$1,'Data Core CPI'!$A$1:$AX$1,),))</f>
        <v/>
      </c>
      <c r="G79" s="20">
        <f>IF(VLOOKUP(B79,'Data Core CPI'!$A:$AX,MATCH($G$1,'Data Core CPI'!$A$1:$AX$1,),)=0,#N/A,(VLOOKUP(B79,'Data Core CPI'!$A:$AX,MATCH($G$1,'Data Core CPI'!$A$1:$AX$1,),)-VLOOKUP(EDATE(B79,-12),'Data Core CPI'!$A:$AX,MATCH($G$1,'Data Core CPI'!$A$1:$AX$1,),))/VLOOKUP(EDATE(B79,-12),'Data Core CPI'!$A:$AX,MATCH($G$1,'Data Core CPI'!$A$1:$AX$1,),))</f>
        <v/>
      </c>
      <c r="H79" s="20">
        <f>IF(VLOOKUP(B79,'Data Core CPI'!$A:$AX,MATCH($H$1,'Data Core CPI'!$A$1:$AX$1,),)=0,#N/A,(VLOOKUP(B79,'Data Core CPI'!$A:$AX,MATCH($H$1,'Data Core CPI'!$A$1:$AX$1,),)-VLOOKUP(EDATE(B79,-12),'Data Core CPI'!$A:$AX,MATCH($H$1,'Data Core CPI'!$A$1:$AX$1,),))/VLOOKUP(EDATE(B79,-12),'Data Core CPI'!$A:$AX,MATCH($H$1,'Data Core CPI'!$A$1:$AX$1,),))</f>
        <v/>
      </c>
      <c r="I79" s="20">
        <f>IF(VLOOKUP(B79,'Data Core CPI'!$A:$AX,MATCH($I$1,'Data Core CPI'!$A$1:$AX$1,),)=0,#N/A,(VLOOKUP(B79,'Data Core CPI'!$A:$AX,MATCH($I$1,'Data Core CPI'!$A$1:$AX$1,),)-VLOOKUP(EDATE(B79,-12),'Data Core CPI'!$A:$AX,MATCH($I$1,'Data Core CPI'!$A$1:$AX$1,),))/VLOOKUP(EDATE(B79,-12),'Data Core CPI'!$A:$AX,MATCH($I$1,'Data Core CPI'!$A$1:$AX$1,),))</f>
        <v/>
      </c>
      <c r="J79" s="20">
        <f>IF(VLOOKUP(B79,'Data Core CPI'!$A:$AX,MATCH($J$1,'Data Core CPI'!$A$1:$AX$1,),)=0,#N/A,(VLOOKUP(B79,'Data Core CPI'!$A:$AX,MATCH($J$1,'Data Core CPI'!$A$1:$AX$1,),)-VLOOKUP(EDATE(B79,-12),'Data Core CPI'!$A:$AX,MATCH($J$1,'Data Core CPI'!$A$1:$AX$1,),))/VLOOKUP(EDATE(B79,-12),'Data Core CPI'!$A:$AX,MATCH($J$1,'Data Core CPI'!$A$1:$AX$1,),))</f>
        <v/>
      </c>
      <c r="K79" s="20">
        <f>IF(VLOOKUP(B79,'Data Core CPI'!$A:$AX,MATCH($K$1,'Data Core CPI'!$A$1:$AX$1,),)=0,#N/A,(VLOOKUP(B79,'Data Core CPI'!$A:$AX,MATCH($K$1,'Data Core CPI'!$A$1:$AX$1,),)-VLOOKUP(EDATE(B79,-12),'Data Core CPI'!$A:$AX,MATCH($K$1,'Data Core CPI'!$A$1:$AX$1,),))/VLOOKUP(EDATE(B79,-12),'Data Core CPI'!$A:$AX,MATCH($K$1,'Data Core CPI'!$A$1:$AX$1,),))</f>
        <v/>
      </c>
      <c r="L79" s="20">
        <f>IF(VLOOKUP(B79,'Data Core CPI'!$A:$AX,MATCH($L$1,'Data Core CPI'!$A$1:$AX$1,),)=0,#N/A,(VLOOKUP(B79,'Data Core CPI'!$A:$AX,MATCH($L$1,'Data Core CPI'!$A$1:$AX$1,),)-VLOOKUP(EDATE(B79,-12),'Data Core CPI'!$A:$AX,MATCH($L$1,'Data Core CPI'!$A$1:$AX$1,),))/VLOOKUP(EDATE(B79,-12),'Data Core CPI'!$A:$AX,MATCH($L$1,'Data Core CPI'!$A$1:$AX$1,),))</f>
        <v/>
      </c>
      <c r="M79" s="20">
        <f>IF(VLOOKUP(B79,'Data Core CPI'!$A:$AX,MATCH($M$1,'Data Core CPI'!$A$1:$AX$1,),)=0,#N/A,(VLOOKUP(B79,'Data Core CPI'!$A:$AX,MATCH($M$1,'Data Core CPI'!$A$1:$AX$1,),)-VLOOKUP(EDATE(B79,-12),'Data Core CPI'!$A:$AX,MATCH($M$1,'Data Core CPI'!$A$1:$AX$1,),))/VLOOKUP(EDATE(B79,-12),'Data Core CPI'!$A:$AX,MATCH($M$1,'Data Core CPI'!$A$1:$AX$1,),))</f>
        <v/>
      </c>
      <c r="N79" s="20">
        <f>(VLOOKUP(B79,'Data Core CPI'!$A:$AX,MATCH($N$1,'Data Core CPI'!$A$1:$AX$1,),)-VLOOKUP(EDATE(B79,-12),'Data Core CPI'!$A:$AX,MATCH($N$1,'Data Core CPI'!$A$1:$AX$1,),))/VLOOKUP(EDATE(B79,-12),'Data Core CPI'!$A:$AX,MATCH($N$1,'Data Core CPI'!$A$1:$AX$1,),)</f>
        <v/>
      </c>
      <c r="O79" s="20">
        <f>(VLOOKUP(B79,'Data Core CPI'!$A:$AX,MATCH($O$1,'Data Core CPI'!$A$1:$AX$1,),)-VLOOKUP(EDATE(B79,-12),'Data Core CPI'!$A:$AX,MATCH($O$1,'Data Core CPI'!$A$1:$AX$1,),))/VLOOKUP(EDATE(B79,-12),'Data Core CPI'!$A:$AX,MATCH($O$1,'Data Core CPI'!$A$1:$AX$1,),)</f>
        <v/>
      </c>
      <c r="P79" s="20">
        <f>IF(VLOOKUP(B79,'Data Core CPI'!$A:$AX,MATCH($P$1,'Data Core CPI'!$A$1:$AX$1,),)=0,#N/A,(VLOOKUP(B79,'Data Core CPI'!$A:$AX,MATCH($P$1,'Data Core CPI'!$A$1:$AX$1,),)-VLOOKUP(EDATE(B79,-12),'Data Core CPI'!$A:$AX,MATCH($P$1,'Data Core CPI'!$A$1:$AX$1,),))/VLOOKUP(EDATE(B79,-12),'Data Core CPI'!$A:$AX,MATCH($P$1,'Data Core CPI'!$A$1:$AX$1,),))</f>
        <v/>
      </c>
      <c r="Q79" s="20">
        <f>(VLOOKUP(B79,'Data Core CPI'!$A:$AX,MATCH($Q$1,'Data Core CPI'!$A$1:$AX$1,),)-VLOOKUP(EDATE(B79,-12),'Data Core CPI'!$A:$AX,MATCH($Q$1,'Data Core CPI'!$A$1:$AX$1,),))/VLOOKUP(EDATE(B79,-12),'Data Core CPI'!$A:$AX,MATCH($Q$1,'Data Core CPI'!$A$1:$AX$1,),)</f>
        <v/>
      </c>
      <c r="R79" s="20">
        <f>IF(VLOOKUP(B79,'Data Core CPI'!$A:$AX,MATCH($R$1,'Data Core CPI'!$A$1:$AX$1,),)=0,#N/A,(VLOOKUP(B79,'Data Core CPI'!$A:$AX,MATCH($R$1,'Data Core CPI'!$A$1:$AX$1,),)-VLOOKUP(EDATE(B79,-12),'Data Core CPI'!$A:$AX,MATCH($R$1,'Data Core CPI'!$A$1:$AX$1,),))/VLOOKUP(EDATE(B79,-12),'Data Core CPI'!$A:$AX,MATCH($R$1,'Data Core CPI'!$A$1:$AX$1,),))</f>
        <v/>
      </c>
      <c r="S79" s="20">
        <f>(VLOOKUP(B79,'Data Core CPI'!$A:$AX,MATCH($S$1,'Data Core CPI'!$A$1:$AX$1,),)-VLOOKUP(EDATE(B79,-12),'Data Core CPI'!$A:$AX,MATCH($S$1,'Data Core CPI'!$A$1:$AX$1,),))/VLOOKUP(EDATE(B79,-12),'Data Core CPI'!$A:$AX,MATCH($S$1,'Data Core CPI'!$A$1:$AX$1,),)</f>
        <v/>
      </c>
      <c r="T79" s="20">
        <f>(VLOOKUP(B79,'Data Core CPI'!$A:$AX,MATCH($T$1,'Data Core CPI'!$A$1:$AX$1,),)-VLOOKUP(EDATE(B79,-12),'Data Core CPI'!$A:$AX,MATCH($T$1,'Data Core CPI'!$A$1:$AX$1,),))/VLOOKUP(EDATE(B79,-12),'Data Core CPI'!$A:$AX,MATCH($T$1,'Data Core CPI'!$A$1:$AX$1,),)</f>
        <v/>
      </c>
      <c r="U79" s="20">
        <f>IF(VLOOKUP(B79,'Data Core CPI'!$A:$AX,MATCH($U$1,'Data Core CPI'!$A$1:$AX$1,),)=0,#N/A,(VLOOKUP(B79,'Data Core CPI'!$A:$AX,MATCH($U$1,'Data Core CPI'!$A$1:$AX$1,),)-VLOOKUP(EDATE(B79,-12),'Data Core CPI'!$A:$AX,MATCH($U$1,'Data Core CPI'!$A$1:$AX$1,),))/VLOOKUP(EDATE(B79,-12),'Data Core CPI'!$A:$AX,MATCH($U$1,'Data Core CPI'!$A$1:$AX$1,),))</f>
        <v/>
      </c>
      <c r="V79" s="20">
        <f>(VLOOKUP(B79,'Data Core CPI'!$A:$AX,MATCH($V$1,'Data Core CPI'!$A$1:$AX$1,),)-VLOOKUP(EDATE(B79,-12),'Data Core CPI'!$A:$AX,MATCH($V$1,'Data Core CPI'!$A$1:$AX$1,),))/VLOOKUP(EDATE(B79,-12),'Data Core CPI'!$A:$AX,MATCH($V$1,'Data Core CPI'!$A$1:$AX$1,),)</f>
        <v/>
      </c>
      <c r="W79" s="20">
        <f>IF(VLOOKUP(B79,'Data Core CPI'!$A:$AX,MATCH($W$1,'Data Core CPI'!$A$1:$AX$1,),)=0,#N/A,(VLOOKUP(B79,'Data Core CPI'!$A:$AX,MATCH($W$1,'Data Core CPI'!$A$1:$AX$1,),)-VLOOKUP(EDATE(B79,-12),'Data Core CPI'!$A:$AX,MATCH($W$1,'Data Core CPI'!$A$1:$AX$1,),))/VLOOKUP(EDATE(B79,-12),'Data Core CPI'!$A:$AX,MATCH($W$1,'Data Core CPI'!$A$1:$AX$1,),))</f>
        <v/>
      </c>
      <c r="X79" s="20">
        <f>IF(VLOOKUP(B79,'Data Core CPI'!$A:$AX,MATCH($X$1,'Data Core CPI'!$A$1:$AX$1,),)=0,#N/A,(VLOOKUP(B79,'Data Core CPI'!$A:$AX,MATCH($X$1,'Data Core CPI'!$A$1:$AX$1,),)-VLOOKUP(EDATE(B79,-12),'Data Core CPI'!$A:$AX,MATCH($X$1,'Data Core CPI'!$A$1:$AX$1,),))/VLOOKUP(EDATE(B79,-12),'Data Core CPI'!$A:$AX,MATCH($X$1,'Data Core CPI'!$A$1:$AX$1,),))</f>
        <v/>
      </c>
      <c r="Y79" s="20">
        <f>IF(VLOOKUP(B79,'Data Core CPI'!$A:$AX,MATCH($Y$1,'Data Core CPI'!$A$1:$AX$1,),)=0,#N/A,(VLOOKUP(B79,'Data Core CPI'!$A:$AX,MATCH($Y$1,'Data Core CPI'!$A$1:$AX$1,),)-VLOOKUP(EDATE(B79,-12),'Data Core CPI'!$A:$AX,MATCH($Y$1,'Data Core CPI'!$A$1:$AX$1,),))/VLOOKUP(EDATE(B79,-12),'Data Core CPI'!$A:$AX,MATCH($Y$1,'Data Core CPI'!$A$1:$AX$1,),))</f>
        <v/>
      </c>
      <c r="Z79" s="20">
        <f>(VLOOKUP(B79,Data!$A:$AX,MATCH($Z$1,Data!$A$1:$AX$1,),)-VLOOKUP(EDATE(B79,-12),Data!$A:$AX,MATCH($Z$1,Data!$A$1:$AX$1,),))/VLOOKUP(EDATE(B79,-12),Data!$A:$AX,MATCH($Z$1,Data!$A$1:$AX$1,),)</f>
        <v/>
      </c>
      <c r="AA79" s="20">
        <f>(VLOOKUP(B79,Data!$A:$AX,MATCH($AA$1,Data!$A$1:$AX$1,),)-VLOOKUP(EDATE(B79,-12),Data!$A:$AX,MATCH($AA$1,Data!$A$1:$AX$1,),))/VLOOKUP(EDATE(B79,-12),Data!$A:$AX,MATCH($AA$1,Data!$A$1:$AX$1,),)</f>
        <v/>
      </c>
      <c r="AB79" s="19" t="n"/>
    </row>
    <row r="80">
      <c r="B80" s="15" t="n">
        <v>42644</v>
      </c>
      <c r="C80" s="20">
        <f>IF(VLOOKUP(B80,'Data Core CPI'!$A:$AX,MATCH($C$1,'Data Core CPI'!$A$1:$AX$1,),)=0,#N/A,(VLOOKUP(B80,'Data Core CPI'!$A:$AX,MATCH($C$1,'Data Core CPI'!$A$1:$AX$1,),)-VLOOKUP(EDATE(B80,-12),'Data Core CPI'!$A:$AX,MATCH($C$1,'Data Core CPI'!$A$1:$AX$1,),))/VLOOKUP(EDATE(B80,-12),'Data Core CPI'!$A:$AX,MATCH($C$1,'Data Core CPI'!$A$1:$AX$1,),))</f>
        <v/>
      </c>
      <c r="D80" s="20">
        <f>(VLOOKUP(B80,'Data Core CPI'!$A:$AX,MATCH($D$1,'Data Core CPI'!$A$1:$AX$1,),)-VLOOKUP(EDATE(B80,-12),'Data Core CPI'!$A:$AX,MATCH($D$1,'Data Core CPI'!$A$1:$AX$1,),))/VLOOKUP(EDATE(B80,-12),'Data Core CPI'!$A:$AX,MATCH($D$1,'Data Core CPI'!$A$1:$AX$1,),)</f>
        <v/>
      </c>
      <c r="E80" s="20">
        <f>IF(VLOOKUP(B80,'Data Core CPI'!$A:$AX,MATCH($E$1,'Data Core CPI'!$A$1:$AX$1,),)=0,#N/A,(VLOOKUP(B80,'Data Core CPI'!$A:$AX,MATCH($E$1,'Data Core CPI'!$A$1:$AX$1,),)-VLOOKUP(EDATE(B80,-12),'Data Core CPI'!$A:$AX,MATCH($E$1,'Data Core CPI'!$A$1:$AX$1,),))/VLOOKUP(EDATE(B80,-12),'Data Core CPI'!$A:$AX,MATCH($E$1,'Data Core CPI'!$A$1:$AX$1,),))</f>
        <v/>
      </c>
      <c r="F80" s="20">
        <f>IF(VLOOKUP(B80,'Data Core CPI'!$A:$AX,MATCH($F$1,'Data Core CPI'!$A$1:$AX$1,),)=0,#N/A,(VLOOKUP(B80,'Data Core CPI'!$A:$AX,MATCH($F$1,'Data Core CPI'!$A$1:$AX$1,),)-VLOOKUP(EDATE(B80,-12),'Data Core CPI'!$A:$AX,MATCH($F$1,'Data Core CPI'!$A$1:$AX$1,),))/VLOOKUP(EDATE(B80,-12),'Data Core CPI'!$A:$AX,MATCH($F$1,'Data Core CPI'!$A$1:$AX$1,),))</f>
        <v/>
      </c>
      <c r="G80" s="20">
        <f>IF(VLOOKUP(B80,'Data Core CPI'!$A:$AX,MATCH($G$1,'Data Core CPI'!$A$1:$AX$1,),)=0,#N/A,(VLOOKUP(B80,'Data Core CPI'!$A:$AX,MATCH($G$1,'Data Core CPI'!$A$1:$AX$1,),)-VLOOKUP(EDATE(B80,-12),'Data Core CPI'!$A:$AX,MATCH($G$1,'Data Core CPI'!$A$1:$AX$1,),))/VLOOKUP(EDATE(B80,-12),'Data Core CPI'!$A:$AX,MATCH($G$1,'Data Core CPI'!$A$1:$AX$1,),))</f>
        <v/>
      </c>
      <c r="H80" s="20">
        <f>IF(VLOOKUP(B80,'Data Core CPI'!$A:$AX,MATCH($H$1,'Data Core CPI'!$A$1:$AX$1,),)=0,#N/A,(VLOOKUP(B80,'Data Core CPI'!$A:$AX,MATCH($H$1,'Data Core CPI'!$A$1:$AX$1,),)-VLOOKUP(EDATE(B80,-12),'Data Core CPI'!$A:$AX,MATCH($H$1,'Data Core CPI'!$A$1:$AX$1,),))/VLOOKUP(EDATE(B80,-12),'Data Core CPI'!$A:$AX,MATCH($H$1,'Data Core CPI'!$A$1:$AX$1,),))</f>
        <v/>
      </c>
      <c r="I80" s="20">
        <f>IF(VLOOKUP(B80,'Data Core CPI'!$A:$AX,MATCH($I$1,'Data Core CPI'!$A$1:$AX$1,),)=0,#N/A,(VLOOKUP(B80,'Data Core CPI'!$A:$AX,MATCH($I$1,'Data Core CPI'!$A$1:$AX$1,),)-VLOOKUP(EDATE(B80,-12),'Data Core CPI'!$A:$AX,MATCH($I$1,'Data Core CPI'!$A$1:$AX$1,),))/VLOOKUP(EDATE(B80,-12),'Data Core CPI'!$A:$AX,MATCH($I$1,'Data Core CPI'!$A$1:$AX$1,),))</f>
        <v/>
      </c>
      <c r="J80" s="20">
        <f>IF(VLOOKUP(B80,'Data Core CPI'!$A:$AX,MATCH($J$1,'Data Core CPI'!$A$1:$AX$1,),)=0,#N/A,(VLOOKUP(B80,'Data Core CPI'!$A:$AX,MATCH($J$1,'Data Core CPI'!$A$1:$AX$1,),)-VLOOKUP(EDATE(B80,-12),'Data Core CPI'!$A:$AX,MATCH($J$1,'Data Core CPI'!$A$1:$AX$1,),))/VLOOKUP(EDATE(B80,-12),'Data Core CPI'!$A:$AX,MATCH($J$1,'Data Core CPI'!$A$1:$AX$1,),))</f>
        <v/>
      </c>
      <c r="K80" s="20">
        <f>IF(VLOOKUP(B80,'Data Core CPI'!$A:$AX,MATCH($K$1,'Data Core CPI'!$A$1:$AX$1,),)=0,#N/A,(VLOOKUP(B80,'Data Core CPI'!$A:$AX,MATCH($K$1,'Data Core CPI'!$A$1:$AX$1,),)-VLOOKUP(EDATE(B80,-12),'Data Core CPI'!$A:$AX,MATCH($K$1,'Data Core CPI'!$A$1:$AX$1,),))/VLOOKUP(EDATE(B80,-12),'Data Core CPI'!$A:$AX,MATCH($K$1,'Data Core CPI'!$A$1:$AX$1,),))</f>
        <v/>
      </c>
      <c r="L80" s="20">
        <f>IF(VLOOKUP(B80,'Data Core CPI'!$A:$AX,MATCH($L$1,'Data Core CPI'!$A$1:$AX$1,),)=0,#N/A,(VLOOKUP(B80,'Data Core CPI'!$A:$AX,MATCH($L$1,'Data Core CPI'!$A$1:$AX$1,),)-VLOOKUP(EDATE(B80,-12),'Data Core CPI'!$A:$AX,MATCH($L$1,'Data Core CPI'!$A$1:$AX$1,),))/VLOOKUP(EDATE(B80,-12),'Data Core CPI'!$A:$AX,MATCH($L$1,'Data Core CPI'!$A$1:$AX$1,),))</f>
        <v/>
      </c>
      <c r="M80" s="20">
        <f>IF(VLOOKUP(B80,'Data Core CPI'!$A:$AX,MATCH($M$1,'Data Core CPI'!$A$1:$AX$1,),)=0,#N/A,(VLOOKUP(B80,'Data Core CPI'!$A:$AX,MATCH($M$1,'Data Core CPI'!$A$1:$AX$1,),)-VLOOKUP(EDATE(B80,-12),'Data Core CPI'!$A:$AX,MATCH($M$1,'Data Core CPI'!$A$1:$AX$1,),))/VLOOKUP(EDATE(B80,-12),'Data Core CPI'!$A:$AX,MATCH($M$1,'Data Core CPI'!$A$1:$AX$1,),))</f>
        <v/>
      </c>
      <c r="N80" s="20">
        <f>(VLOOKUP(B80,'Data Core CPI'!$A:$AX,MATCH($N$1,'Data Core CPI'!$A$1:$AX$1,),)-VLOOKUP(EDATE(B80,-12),'Data Core CPI'!$A:$AX,MATCH($N$1,'Data Core CPI'!$A$1:$AX$1,),))/VLOOKUP(EDATE(B80,-12),'Data Core CPI'!$A:$AX,MATCH($N$1,'Data Core CPI'!$A$1:$AX$1,),)</f>
        <v/>
      </c>
      <c r="O80" s="20">
        <f>(VLOOKUP(B80,'Data Core CPI'!$A:$AX,MATCH($O$1,'Data Core CPI'!$A$1:$AX$1,),)-VLOOKUP(EDATE(B80,-12),'Data Core CPI'!$A:$AX,MATCH($O$1,'Data Core CPI'!$A$1:$AX$1,),))/VLOOKUP(EDATE(B80,-12),'Data Core CPI'!$A:$AX,MATCH($O$1,'Data Core CPI'!$A$1:$AX$1,),)</f>
        <v/>
      </c>
      <c r="P80" s="20">
        <f>IF(VLOOKUP(B80,'Data Core CPI'!$A:$AX,MATCH($P$1,'Data Core CPI'!$A$1:$AX$1,),)=0,#N/A,(VLOOKUP(B80,'Data Core CPI'!$A:$AX,MATCH($P$1,'Data Core CPI'!$A$1:$AX$1,),)-VLOOKUP(EDATE(B80,-12),'Data Core CPI'!$A:$AX,MATCH($P$1,'Data Core CPI'!$A$1:$AX$1,),))/VLOOKUP(EDATE(B80,-12),'Data Core CPI'!$A:$AX,MATCH($P$1,'Data Core CPI'!$A$1:$AX$1,),))</f>
        <v/>
      </c>
      <c r="Q80" s="20">
        <f>(VLOOKUP(B80,'Data Core CPI'!$A:$AX,MATCH($Q$1,'Data Core CPI'!$A$1:$AX$1,),)-VLOOKUP(EDATE(B80,-12),'Data Core CPI'!$A:$AX,MATCH($Q$1,'Data Core CPI'!$A$1:$AX$1,),))/VLOOKUP(EDATE(B80,-12),'Data Core CPI'!$A:$AX,MATCH($Q$1,'Data Core CPI'!$A$1:$AX$1,),)</f>
        <v/>
      </c>
      <c r="R80" s="20">
        <f>IF(VLOOKUP(B80,'Data Core CPI'!$A:$AX,MATCH($R$1,'Data Core CPI'!$A$1:$AX$1,),)=0,#N/A,(VLOOKUP(B80,'Data Core CPI'!$A:$AX,MATCH($R$1,'Data Core CPI'!$A$1:$AX$1,),)-VLOOKUP(EDATE(B80,-12),'Data Core CPI'!$A:$AX,MATCH($R$1,'Data Core CPI'!$A$1:$AX$1,),))/VLOOKUP(EDATE(B80,-12),'Data Core CPI'!$A:$AX,MATCH($R$1,'Data Core CPI'!$A$1:$AX$1,),))</f>
        <v/>
      </c>
      <c r="S80" s="20">
        <f>(VLOOKUP(B80,'Data Core CPI'!$A:$AX,MATCH($S$1,'Data Core CPI'!$A$1:$AX$1,),)-VLOOKUP(EDATE(B80,-12),'Data Core CPI'!$A:$AX,MATCH($S$1,'Data Core CPI'!$A$1:$AX$1,),))/VLOOKUP(EDATE(B80,-12),'Data Core CPI'!$A:$AX,MATCH($S$1,'Data Core CPI'!$A$1:$AX$1,),)</f>
        <v/>
      </c>
      <c r="T80" s="20">
        <f>(VLOOKUP(B80,'Data Core CPI'!$A:$AX,MATCH($T$1,'Data Core CPI'!$A$1:$AX$1,),)-VLOOKUP(EDATE(B80,-12),'Data Core CPI'!$A:$AX,MATCH($T$1,'Data Core CPI'!$A$1:$AX$1,),))/VLOOKUP(EDATE(B80,-12),'Data Core CPI'!$A:$AX,MATCH($T$1,'Data Core CPI'!$A$1:$AX$1,),)</f>
        <v/>
      </c>
      <c r="U80" s="20">
        <f>IF(VLOOKUP(B80,'Data Core CPI'!$A:$AX,MATCH($U$1,'Data Core CPI'!$A$1:$AX$1,),)=0,#N/A,(VLOOKUP(B80,'Data Core CPI'!$A:$AX,MATCH($U$1,'Data Core CPI'!$A$1:$AX$1,),)-VLOOKUP(EDATE(B80,-12),'Data Core CPI'!$A:$AX,MATCH($U$1,'Data Core CPI'!$A$1:$AX$1,),))/VLOOKUP(EDATE(B80,-12),'Data Core CPI'!$A:$AX,MATCH($U$1,'Data Core CPI'!$A$1:$AX$1,),))</f>
        <v/>
      </c>
      <c r="V80" s="20">
        <f>(VLOOKUP(B80,'Data Core CPI'!$A:$AX,MATCH($V$1,'Data Core CPI'!$A$1:$AX$1,),)-VLOOKUP(EDATE(B80,-12),'Data Core CPI'!$A:$AX,MATCH($V$1,'Data Core CPI'!$A$1:$AX$1,),))/VLOOKUP(EDATE(B80,-12),'Data Core CPI'!$A:$AX,MATCH($V$1,'Data Core CPI'!$A$1:$AX$1,),)</f>
        <v/>
      </c>
      <c r="W80" s="20">
        <f>IF(VLOOKUP(B80,'Data Core CPI'!$A:$AX,MATCH($W$1,'Data Core CPI'!$A$1:$AX$1,),)=0,#N/A,(VLOOKUP(B80,'Data Core CPI'!$A:$AX,MATCH($W$1,'Data Core CPI'!$A$1:$AX$1,),)-VLOOKUP(EDATE(B80,-12),'Data Core CPI'!$A:$AX,MATCH($W$1,'Data Core CPI'!$A$1:$AX$1,),))/VLOOKUP(EDATE(B80,-12),'Data Core CPI'!$A:$AX,MATCH($W$1,'Data Core CPI'!$A$1:$AX$1,),))</f>
        <v/>
      </c>
      <c r="X80" s="20">
        <f>IF(VLOOKUP(B80,'Data Core CPI'!$A:$AX,MATCH($X$1,'Data Core CPI'!$A$1:$AX$1,),)=0,#N/A,(VLOOKUP(B80,'Data Core CPI'!$A:$AX,MATCH($X$1,'Data Core CPI'!$A$1:$AX$1,),)-VLOOKUP(EDATE(B80,-12),'Data Core CPI'!$A:$AX,MATCH($X$1,'Data Core CPI'!$A$1:$AX$1,),))/VLOOKUP(EDATE(B80,-12),'Data Core CPI'!$A:$AX,MATCH($X$1,'Data Core CPI'!$A$1:$AX$1,),))</f>
        <v/>
      </c>
      <c r="Y80" s="20">
        <f>IF(VLOOKUP(B80,'Data Core CPI'!$A:$AX,MATCH($Y$1,'Data Core CPI'!$A$1:$AX$1,),)=0,#N/A,(VLOOKUP(B80,'Data Core CPI'!$A:$AX,MATCH($Y$1,'Data Core CPI'!$A$1:$AX$1,),)-VLOOKUP(EDATE(B80,-12),'Data Core CPI'!$A:$AX,MATCH($Y$1,'Data Core CPI'!$A$1:$AX$1,),))/VLOOKUP(EDATE(B80,-12),'Data Core CPI'!$A:$AX,MATCH($Y$1,'Data Core CPI'!$A$1:$AX$1,),))</f>
        <v/>
      </c>
      <c r="Z80" s="20">
        <f>(VLOOKUP(B80,Data!$A:$AX,MATCH($Z$1,Data!$A$1:$AX$1,),)-VLOOKUP(EDATE(B80,-12),Data!$A:$AX,MATCH($Z$1,Data!$A$1:$AX$1,),))/VLOOKUP(EDATE(B80,-12),Data!$A:$AX,MATCH($Z$1,Data!$A$1:$AX$1,),)</f>
        <v/>
      </c>
      <c r="AA80" s="20">
        <f>(VLOOKUP(B80,Data!$A:$AX,MATCH($AA$1,Data!$A$1:$AX$1,),)-VLOOKUP(EDATE(B80,-12),Data!$A:$AX,MATCH($AA$1,Data!$A$1:$AX$1,),))/VLOOKUP(EDATE(B80,-12),Data!$A:$AX,MATCH($AA$1,Data!$A$1:$AX$1,),)</f>
        <v/>
      </c>
      <c r="AB80" s="19" t="n"/>
    </row>
    <row r="81">
      <c r="B81" s="15" t="n">
        <v>42675</v>
      </c>
      <c r="C81" s="20">
        <f>IF(VLOOKUP(B81,'Data Core CPI'!$A:$AX,MATCH($C$1,'Data Core CPI'!$A$1:$AX$1,),)=0,#N/A,(VLOOKUP(B81,'Data Core CPI'!$A:$AX,MATCH($C$1,'Data Core CPI'!$A$1:$AX$1,),)-VLOOKUP(EDATE(B81,-12),'Data Core CPI'!$A:$AX,MATCH($C$1,'Data Core CPI'!$A$1:$AX$1,),))/VLOOKUP(EDATE(B81,-12),'Data Core CPI'!$A:$AX,MATCH($C$1,'Data Core CPI'!$A$1:$AX$1,),))</f>
        <v/>
      </c>
      <c r="D81" s="20">
        <f>(VLOOKUP(B81,'Data Core CPI'!$A:$AX,MATCH($D$1,'Data Core CPI'!$A$1:$AX$1,),)-VLOOKUP(EDATE(B81,-12),'Data Core CPI'!$A:$AX,MATCH($D$1,'Data Core CPI'!$A$1:$AX$1,),))/VLOOKUP(EDATE(B81,-12),'Data Core CPI'!$A:$AX,MATCH($D$1,'Data Core CPI'!$A$1:$AX$1,),)</f>
        <v/>
      </c>
      <c r="E81" s="20">
        <f>IF(VLOOKUP(B81,'Data Core CPI'!$A:$AX,MATCH($E$1,'Data Core CPI'!$A$1:$AX$1,),)=0,#N/A,(VLOOKUP(B81,'Data Core CPI'!$A:$AX,MATCH($E$1,'Data Core CPI'!$A$1:$AX$1,),)-VLOOKUP(EDATE(B81,-12),'Data Core CPI'!$A:$AX,MATCH($E$1,'Data Core CPI'!$A$1:$AX$1,),))/VLOOKUP(EDATE(B81,-12),'Data Core CPI'!$A:$AX,MATCH($E$1,'Data Core CPI'!$A$1:$AX$1,),))</f>
        <v/>
      </c>
      <c r="F81" s="20">
        <f>IF(VLOOKUP(B81,'Data Core CPI'!$A:$AX,MATCH($F$1,'Data Core CPI'!$A$1:$AX$1,),)=0,#N/A,(VLOOKUP(B81,'Data Core CPI'!$A:$AX,MATCH($F$1,'Data Core CPI'!$A$1:$AX$1,),)-VLOOKUP(EDATE(B81,-12),'Data Core CPI'!$A:$AX,MATCH($F$1,'Data Core CPI'!$A$1:$AX$1,),))/VLOOKUP(EDATE(B81,-12),'Data Core CPI'!$A:$AX,MATCH($F$1,'Data Core CPI'!$A$1:$AX$1,),))</f>
        <v/>
      </c>
      <c r="G81" s="20">
        <f>IF(VLOOKUP(B81,'Data Core CPI'!$A:$AX,MATCH($G$1,'Data Core CPI'!$A$1:$AX$1,),)=0,#N/A,(VLOOKUP(B81,'Data Core CPI'!$A:$AX,MATCH($G$1,'Data Core CPI'!$A$1:$AX$1,),)-VLOOKUP(EDATE(B81,-12),'Data Core CPI'!$A:$AX,MATCH($G$1,'Data Core CPI'!$A$1:$AX$1,),))/VLOOKUP(EDATE(B81,-12),'Data Core CPI'!$A:$AX,MATCH($G$1,'Data Core CPI'!$A$1:$AX$1,),))</f>
        <v/>
      </c>
      <c r="H81" s="20">
        <f>IF(VLOOKUP(B81,'Data Core CPI'!$A:$AX,MATCH($H$1,'Data Core CPI'!$A$1:$AX$1,),)=0,#N/A,(VLOOKUP(B81,'Data Core CPI'!$A:$AX,MATCH($H$1,'Data Core CPI'!$A$1:$AX$1,),)-VLOOKUP(EDATE(B81,-12),'Data Core CPI'!$A:$AX,MATCH($H$1,'Data Core CPI'!$A$1:$AX$1,),))/VLOOKUP(EDATE(B81,-12),'Data Core CPI'!$A:$AX,MATCH($H$1,'Data Core CPI'!$A$1:$AX$1,),))</f>
        <v/>
      </c>
      <c r="I81" s="20">
        <f>IF(VLOOKUP(B81,'Data Core CPI'!$A:$AX,MATCH($I$1,'Data Core CPI'!$A$1:$AX$1,),)=0,#N/A,(VLOOKUP(B81,'Data Core CPI'!$A:$AX,MATCH($I$1,'Data Core CPI'!$A$1:$AX$1,),)-VLOOKUP(EDATE(B81,-12),'Data Core CPI'!$A:$AX,MATCH($I$1,'Data Core CPI'!$A$1:$AX$1,),))/VLOOKUP(EDATE(B81,-12),'Data Core CPI'!$A:$AX,MATCH($I$1,'Data Core CPI'!$A$1:$AX$1,),))</f>
        <v/>
      </c>
      <c r="J81" s="20">
        <f>IF(VLOOKUP(B81,'Data Core CPI'!$A:$AX,MATCH($J$1,'Data Core CPI'!$A$1:$AX$1,),)=0,#N/A,(VLOOKUP(B81,'Data Core CPI'!$A:$AX,MATCH($J$1,'Data Core CPI'!$A$1:$AX$1,),)-VLOOKUP(EDATE(B81,-12),'Data Core CPI'!$A:$AX,MATCH($J$1,'Data Core CPI'!$A$1:$AX$1,),))/VLOOKUP(EDATE(B81,-12),'Data Core CPI'!$A:$AX,MATCH($J$1,'Data Core CPI'!$A$1:$AX$1,),))</f>
        <v/>
      </c>
      <c r="K81" s="20">
        <f>IF(VLOOKUP(B81,'Data Core CPI'!$A:$AX,MATCH($K$1,'Data Core CPI'!$A$1:$AX$1,),)=0,#N/A,(VLOOKUP(B81,'Data Core CPI'!$A:$AX,MATCH($K$1,'Data Core CPI'!$A$1:$AX$1,),)-VLOOKUP(EDATE(B81,-12),'Data Core CPI'!$A:$AX,MATCH($K$1,'Data Core CPI'!$A$1:$AX$1,),))/VLOOKUP(EDATE(B81,-12),'Data Core CPI'!$A:$AX,MATCH($K$1,'Data Core CPI'!$A$1:$AX$1,),))</f>
        <v/>
      </c>
      <c r="L81" s="20">
        <f>IF(VLOOKUP(B81,'Data Core CPI'!$A:$AX,MATCH($L$1,'Data Core CPI'!$A$1:$AX$1,),)=0,#N/A,(VLOOKUP(B81,'Data Core CPI'!$A:$AX,MATCH($L$1,'Data Core CPI'!$A$1:$AX$1,),)-VLOOKUP(EDATE(B81,-12),'Data Core CPI'!$A:$AX,MATCH($L$1,'Data Core CPI'!$A$1:$AX$1,),))/VLOOKUP(EDATE(B81,-12),'Data Core CPI'!$A:$AX,MATCH($L$1,'Data Core CPI'!$A$1:$AX$1,),))</f>
        <v/>
      </c>
      <c r="M81" s="20">
        <f>IF(VLOOKUP(B81,'Data Core CPI'!$A:$AX,MATCH($M$1,'Data Core CPI'!$A$1:$AX$1,),)=0,#N/A,(VLOOKUP(B81,'Data Core CPI'!$A:$AX,MATCH($M$1,'Data Core CPI'!$A$1:$AX$1,),)-VLOOKUP(EDATE(B81,-12),'Data Core CPI'!$A:$AX,MATCH($M$1,'Data Core CPI'!$A$1:$AX$1,),))/VLOOKUP(EDATE(B81,-12),'Data Core CPI'!$A:$AX,MATCH($M$1,'Data Core CPI'!$A$1:$AX$1,),))</f>
        <v/>
      </c>
      <c r="N81" s="20">
        <f>(VLOOKUP(B81,'Data Core CPI'!$A:$AX,MATCH($N$1,'Data Core CPI'!$A$1:$AX$1,),)-VLOOKUP(EDATE(B81,-12),'Data Core CPI'!$A:$AX,MATCH($N$1,'Data Core CPI'!$A$1:$AX$1,),))/VLOOKUP(EDATE(B81,-12),'Data Core CPI'!$A:$AX,MATCH($N$1,'Data Core CPI'!$A$1:$AX$1,),)</f>
        <v/>
      </c>
      <c r="O81" s="20">
        <f>(VLOOKUP(B81,'Data Core CPI'!$A:$AX,MATCH($O$1,'Data Core CPI'!$A$1:$AX$1,),)-VLOOKUP(EDATE(B81,-12),'Data Core CPI'!$A:$AX,MATCH($O$1,'Data Core CPI'!$A$1:$AX$1,),))/VLOOKUP(EDATE(B81,-12),'Data Core CPI'!$A:$AX,MATCH($O$1,'Data Core CPI'!$A$1:$AX$1,),)</f>
        <v/>
      </c>
      <c r="P81" s="20">
        <f>IF(VLOOKUP(B81,'Data Core CPI'!$A:$AX,MATCH($P$1,'Data Core CPI'!$A$1:$AX$1,),)=0,#N/A,(VLOOKUP(B81,'Data Core CPI'!$A:$AX,MATCH($P$1,'Data Core CPI'!$A$1:$AX$1,),)-VLOOKUP(EDATE(B81,-12),'Data Core CPI'!$A:$AX,MATCH($P$1,'Data Core CPI'!$A$1:$AX$1,),))/VLOOKUP(EDATE(B81,-12),'Data Core CPI'!$A:$AX,MATCH($P$1,'Data Core CPI'!$A$1:$AX$1,),))</f>
        <v/>
      </c>
      <c r="Q81" s="20">
        <f>(VLOOKUP(B81,'Data Core CPI'!$A:$AX,MATCH($Q$1,'Data Core CPI'!$A$1:$AX$1,),)-VLOOKUP(EDATE(B81,-12),'Data Core CPI'!$A:$AX,MATCH($Q$1,'Data Core CPI'!$A$1:$AX$1,),))/VLOOKUP(EDATE(B81,-12),'Data Core CPI'!$A:$AX,MATCH($Q$1,'Data Core CPI'!$A$1:$AX$1,),)</f>
        <v/>
      </c>
      <c r="R81" s="20">
        <f>IF(VLOOKUP(B81,'Data Core CPI'!$A:$AX,MATCH($R$1,'Data Core CPI'!$A$1:$AX$1,),)=0,#N/A,(VLOOKUP(B81,'Data Core CPI'!$A:$AX,MATCH($R$1,'Data Core CPI'!$A$1:$AX$1,),)-VLOOKUP(EDATE(B81,-12),'Data Core CPI'!$A:$AX,MATCH($R$1,'Data Core CPI'!$A$1:$AX$1,),))/VLOOKUP(EDATE(B81,-12),'Data Core CPI'!$A:$AX,MATCH($R$1,'Data Core CPI'!$A$1:$AX$1,),))</f>
        <v/>
      </c>
      <c r="S81" s="20">
        <f>(VLOOKUP(B81,'Data Core CPI'!$A:$AX,MATCH($S$1,'Data Core CPI'!$A$1:$AX$1,),)-VLOOKUP(EDATE(B81,-12),'Data Core CPI'!$A:$AX,MATCH($S$1,'Data Core CPI'!$A$1:$AX$1,),))/VLOOKUP(EDATE(B81,-12),'Data Core CPI'!$A:$AX,MATCH($S$1,'Data Core CPI'!$A$1:$AX$1,),)</f>
        <v/>
      </c>
      <c r="T81" s="20">
        <f>(VLOOKUP(B81,'Data Core CPI'!$A:$AX,MATCH($T$1,'Data Core CPI'!$A$1:$AX$1,),)-VLOOKUP(EDATE(B81,-12),'Data Core CPI'!$A:$AX,MATCH($T$1,'Data Core CPI'!$A$1:$AX$1,),))/VLOOKUP(EDATE(B81,-12),'Data Core CPI'!$A:$AX,MATCH($T$1,'Data Core CPI'!$A$1:$AX$1,),)</f>
        <v/>
      </c>
      <c r="U81" s="20">
        <f>IF(VLOOKUP(B81,'Data Core CPI'!$A:$AX,MATCH($U$1,'Data Core CPI'!$A$1:$AX$1,),)=0,#N/A,(VLOOKUP(B81,'Data Core CPI'!$A:$AX,MATCH($U$1,'Data Core CPI'!$A$1:$AX$1,),)-VLOOKUP(EDATE(B81,-12),'Data Core CPI'!$A:$AX,MATCH($U$1,'Data Core CPI'!$A$1:$AX$1,),))/VLOOKUP(EDATE(B81,-12),'Data Core CPI'!$A:$AX,MATCH($U$1,'Data Core CPI'!$A$1:$AX$1,),))</f>
        <v/>
      </c>
      <c r="V81" s="20">
        <f>(VLOOKUP(B81,'Data Core CPI'!$A:$AX,MATCH($V$1,'Data Core CPI'!$A$1:$AX$1,),)-VLOOKUP(EDATE(B81,-12),'Data Core CPI'!$A:$AX,MATCH($V$1,'Data Core CPI'!$A$1:$AX$1,),))/VLOOKUP(EDATE(B81,-12),'Data Core CPI'!$A:$AX,MATCH($V$1,'Data Core CPI'!$A$1:$AX$1,),)</f>
        <v/>
      </c>
      <c r="W81" s="20">
        <f>IF(VLOOKUP(B81,'Data Core CPI'!$A:$AX,MATCH($W$1,'Data Core CPI'!$A$1:$AX$1,),)=0,#N/A,(VLOOKUP(B81,'Data Core CPI'!$A:$AX,MATCH($W$1,'Data Core CPI'!$A$1:$AX$1,),)-VLOOKUP(EDATE(B81,-12),'Data Core CPI'!$A:$AX,MATCH($W$1,'Data Core CPI'!$A$1:$AX$1,),))/VLOOKUP(EDATE(B81,-12),'Data Core CPI'!$A:$AX,MATCH($W$1,'Data Core CPI'!$A$1:$AX$1,),))</f>
        <v/>
      </c>
      <c r="X81" s="20">
        <f>IF(VLOOKUP(B81,'Data Core CPI'!$A:$AX,MATCH($X$1,'Data Core CPI'!$A$1:$AX$1,),)=0,#N/A,(VLOOKUP(B81,'Data Core CPI'!$A:$AX,MATCH($X$1,'Data Core CPI'!$A$1:$AX$1,),)-VLOOKUP(EDATE(B81,-12),'Data Core CPI'!$A:$AX,MATCH($X$1,'Data Core CPI'!$A$1:$AX$1,),))/VLOOKUP(EDATE(B81,-12),'Data Core CPI'!$A:$AX,MATCH($X$1,'Data Core CPI'!$A$1:$AX$1,),))</f>
        <v/>
      </c>
      <c r="Y81" s="20">
        <f>IF(VLOOKUP(B81,'Data Core CPI'!$A:$AX,MATCH($Y$1,'Data Core CPI'!$A$1:$AX$1,),)=0,#N/A,(VLOOKUP(B81,'Data Core CPI'!$A:$AX,MATCH($Y$1,'Data Core CPI'!$A$1:$AX$1,),)-VLOOKUP(EDATE(B81,-12),'Data Core CPI'!$A:$AX,MATCH($Y$1,'Data Core CPI'!$A$1:$AX$1,),))/VLOOKUP(EDATE(B81,-12),'Data Core CPI'!$A:$AX,MATCH($Y$1,'Data Core CPI'!$A$1:$AX$1,),))</f>
        <v/>
      </c>
      <c r="Z81" s="20">
        <f>(VLOOKUP(B81,Data!$A:$AX,MATCH($Z$1,Data!$A$1:$AX$1,),)-VLOOKUP(EDATE(B81,-12),Data!$A:$AX,MATCH($Z$1,Data!$A$1:$AX$1,),))/VLOOKUP(EDATE(B81,-12),Data!$A:$AX,MATCH($Z$1,Data!$A$1:$AX$1,),)</f>
        <v/>
      </c>
      <c r="AA81" s="20">
        <f>(VLOOKUP(B81,Data!$A:$AX,MATCH($AA$1,Data!$A$1:$AX$1,),)-VLOOKUP(EDATE(B81,-12),Data!$A:$AX,MATCH($AA$1,Data!$A$1:$AX$1,),))/VLOOKUP(EDATE(B81,-12),Data!$A:$AX,MATCH($AA$1,Data!$A$1:$AX$1,),)</f>
        <v/>
      </c>
      <c r="AB81" s="19" t="n"/>
    </row>
    <row r="82">
      <c r="B82" s="15" t="n">
        <v>42705</v>
      </c>
      <c r="C82" s="20">
        <f>IF(VLOOKUP(B82,'Data Core CPI'!$A:$AX,MATCH($C$1,'Data Core CPI'!$A$1:$AX$1,),)=0,#N/A,(VLOOKUP(B82,'Data Core CPI'!$A:$AX,MATCH($C$1,'Data Core CPI'!$A$1:$AX$1,),)-VLOOKUP(EDATE(B82,-12),'Data Core CPI'!$A:$AX,MATCH($C$1,'Data Core CPI'!$A$1:$AX$1,),))/VLOOKUP(EDATE(B82,-12),'Data Core CPI'!$A:$AX,MATCH($C$1,'Data Core CPI'!$A$1:$AX$1,),))</f>
        <v/>
      </c>
      <c r="D82" s="20">
        <f>(VLOOKUP(B82,'Data Core CPI'!$A:$AX,MATCH($D$1,'Data Core CPI'!$A$1:$AX$1,),)-VLOOKUP(EDATE(B82,-12),'Data Core CPI'!$A:$AX,MATCH($D$1,'Data Core CPI'!$A$1:$AX$1,),))/VLOOKUP(EDATE(B82,-12),'Data Core CPI'!$A:$AX,MATCH($D$1,'Data Core CPI'!$A$1:$AX$1,),)</f>
        <v/>
      </c>
      <c r="E82" s="20">
        <f>IF(VLOOKUP(B82,'Data Core CPI'!$A:$AX,MATCH($E$1,'Data Core CPI'!$A$1:$AX$1,),)=0,#N/A,(VLOOKUP(B82,'Data Core CPI'!$A:$AX,MATCH($E$1,'Data Core CPI'!$A$1:$AX$1,),)-VLOOKUP(EDATE(B82,-12),'Data Core CPI'!$A:$AX,MATCH($E$1,'Data Core CPI'!$A$1:$AX$1,),))/VLOOKUP(EDATE(B82,-12),'Data Core CPI'!$A:$AX,MATCH($E$1,'Data Core CPI'!$A$1:$AX$1,),))</f>
        <v/>
      </c>
      <c r="F82" s="20">
        <f>IF(VLOOKUP(B82,'Data Core CPI'!$A:$AX,MATCH($F$1,'Data Core CPI'!$A$1:$AX$1,),)=0,#N/A,(VLOOKUP(B82,'Data Core CPI'!$A:$AX,MATCH($F$1,'Data Core CPI'!$A$1:$AX$1,),)-VLOOKUP(EDATE(B82,-12),'Data Core CPI'!$A:$AX,MATCH($F$1,'Data Core CPI'!$A$1:$AX$1,),))/VLOOKUP(EDATE(B82,-12),'Data Core CPI'!$A:$AX,MATCH($F$1,'Data Core CPI'!$A$1:$AX$1,),))</f>
        <v/>
      </c>
      <c r="G82" s="20">
        <f>IF(VLOOKUP(B82,'Data Core CPI'!$A:$AX,MATCH($G$1,'Data Core CPI'!$A$1:$AX$1,),)=0,#N/A,(VLOOKUP(B82,'Data Core CPI'!$A:$AX,MATCH($G$1,'Data Core CPI'!$A$1:$AX$1,),)-VLOOKUP(EDATE(B82,-12),'Data Core CPI'!$A:$AX,MATCH($G$1,'Data Core CPI'!$A$1:$AX$1,),))/VLOOKUP(EDATE(B82,-12),'Data Core CPI'!$A:$AX,MATCH($G$1,'Data Core CPI'!$A$1:$AX$1,),))</f>
        <v/>
      </c>
      <c r="H82" s="20">
        <f>IF(VLOOKUP(B82,'Data Core CPI'!$A:$AX,MATCH($H$1,'Data Core CPI'!$A$1:$AX$1,),)=0,#N/A,(VLOOKUP(B82,'Data Core CPI'!$A:$AX,MATCH($H$1,'Data Core CPI'!$A$1:$AX$1,),)-VLOOKUP(EDATE(B82,-12),'Data Core CPI'!$A:$AX,MATCH($H$1,'Data Core CPI'!$A$1:$AX$1,),))/VLOOKUP(EDATE(B82,-12),'Data Core CPI'!$A:$AX,MATCH($H$1,'Data Core CPI'!$A$1:$AX$1,),))</f>
        <v/>
      </c>
      <c r="I82" s="20">
        <f>IF(VLOOKUP(B82,'Data Core CPI'!$A:$AX,MATCH($I$1,'Data Core CPI'!$A$1:$AX$1,),)=0,#N/A,(VLOOKUP(B82,'Data Core CPI'!$A:$AX,MATCH($I$1,'Data Core CPI'!$A$1:$AX$1,),)-VLOOKUP(EDATE(B82,-12),'Data Core CPI'!$A:$AX,MATCH($I$1,'Data Core CPI'!$A$1:$AX$1,),))/VLOOKUP(EDATE(B82,-12),'Data Core CPI'!$A:$AX,MATCH($I$1,'Data Core CPI'!$A$1:$AX$1,),))</f>
        <v/>
      </c>
      <c r="J82" s="20">
        <f>IF(VLOOKUP(B82,'Data Core CPI'!$A:$AX,MATCH($J$1,'Data Core CPI'!$A$1:$AX$1,),)=0,#N/A,(VLOOKUP(B82,'Data Core CPI'!$A:$AX,MATCH($J$1,'Data Core CPI'!$A$1:$AX$1,),)-VLOOKUP(EDATE(B82,-12),'Data Core CPI'!$A:$AX,MATCH($J$1,'Data Core CPI'!$A$1:$AX$1,),))/VLOOKUP(EDATE(B82,-12),'Data Core CPI'!$A:$AX,MATCH($J$1,'Data Core CPI'!$A$1:$AX$1,),))</f>
        <v/>
      </c>
      <c r="K82" s="20">
        <f>IF(VLOOKUP(B82,'Data Core CPI'!$A:$AX,MATCH($K$1,'Data Core CPI'!$A$1:$AX$1,),)=0,#N/A,(VLOOKUP(B82,'Data Core CPI'!$A:$AX,MATCH($K$1,'Data Core CPI'!$A$1:$AX$1,),)-VLOOKUP(EDATE(B82,-12),'Data Core CPI'!$A:$AX,MATCH($K$1,'Data Core CPI'!$A$1:$AX$1,),))/VLOOKUP(EDATE(B82,-12),'Data Core CPI'!$A:$AX,MATCH($K$1,'Data Core CPI'!$A$1:$AX$1,),))</f>
        <v/>
      </c>
      <c r="L82" s="20">
        <f>IF(VLOOKUP(B82,'Data Core CPI'!$A:$AX,MATCH($L$1,'Data Core CPI'!$A$1:$AX$1,),)=0,#N/A,(VLOOKUP(B82,'Data Core CPI'!$A:$AX,MATCH($L$1,'Data Core CPI'!$A$1:$AX$1,),)-VLOOKUP(EDATE(B82,-12),'Data Core CPI'!$A:$AX,MATCH($L$1,'Data Core CPI'!$A$1:$AX$1,),))/VLOOKUP(EDATE(B82,-12),'Data Core CPI'!$A:$AX,MATCH($L$1,'Data Core CPI'!$A$1:$AX$1,),))</f>
        <v/>
      </c>
      <c r="M82" s="20">
        <f>IF(VLOOKUP(B82,'Data Core CPI'!$A:$AX,MATCH($M$1,'Data Core CPI'!$A$1:$AX$1,),)=0,#N/A,(VLOOKUP(B82,'Data Core CPI'!$A:$AX,MATCH($M$1,'Data Core CPI'!$A$1:$AX$1,),)-VLOOKUP(EDATE(B82,-12),'Data Core CPI'!$A:$AX,MATCH($M$1,'Data Core CPI'!$A$1:$AX$1,),))/VLOOKUP(EDATE(B82,-12),'Data Core CPI'!$A:$AX,MATCH($M$1,'Data Core CPI'!$A$1:$AX$1,),))</f>
        <v/>
      </c>
      <c r="N82" s="20">
        <f>(VLOOKUP(B82,'Data Core CPI'!$A:$AX,MATCH($N$1,'Data Core CPI'!$A$1:$AX$1,),)-VLOOKUP(EDATE(B82,-12),'Data Core CPI'!$A:$AX,MATCH($N$1,'Data Core CPI'!$A$1:$AX$1,),))/VLOOKUP(EDATE(B82,-12),'Data Core CPI'!$A:$AX,MATCH($N$1,'Data Core CPI'!$A$1:$AX$1,),)</f>
        <v/>
      </c>
      <c r="O82" s="20">
        <f>(VLOOKUP(B82,'Data Core CPI'!$A:$AX,MATCH($O$1,'Data Core CPI'!$A$1:$AX$1,),)-VLOOKUP(EDATE(B82,-12),'Data Core CPI'!$A:$AX,MATCH($O$1,'Data Core CPI'!$A$1:$AX$1,),))/VLOOKUP(EDATE(B82,-12),'Data Core CPI'!$A:$AX,MATCH($O$1,'Data Core CPI'!$A$1:$AX$1,),)</f>
        <v/>
      </c>
      <c r="P82" s="20">
        <f>IF(VLOOKUP(B82,'Data Core CPI'!$A:$AX,MATCH($P$1,'Data Core CPI'!$A$1:$AX$1,),)=0,#N/A,(VLOOKUP(B82,'Data Core CPI'!$A:$AX,MATCH($P$1,'Data Core CPI'!$A$1:$AX$1,),)-VLOOKUP(EDATE(B82,-12),'Data Core CPI'!$A:$AX,MATCH($P$1,'Data Core CPI'!$A$1:$AX$1,),))/VLOOKUP(EDATE(B82,-12),'Data Core CPI'!$A:$AX,MATCH($P$1,'Data Core CPI'!$A$1:$AX$1,),))</f>
        <v/>
      </c>
      <c r="Q82" s="20">
        <f>(VLOOKUP(B82,'Data Core CPI'!$A:$AX,MATCH($Q$1,'Data Core CPI'!$A$1:$AX$1,),)-VLOOKUP(EDATE(B82,-12),'Data Core CPI'!$A:$AX,MATCH($Q$1,'Data Core CPI'!$A$1:$AX$1,),))/VLOOKUP(EDATE(B82,-12),'Data Core CPI'!$A:$AX,MATCH($Q$1,'Data Core CPI'!$A$1:$AX$1,),)</f>
        <v/>
      </c>
      <c r="R82" s="20">
        <f>IF(VLOOKUP(B82,'Data Core CPI'!$A:$AX,MATCH($R$1,'Data Core CPI'!$A$1:$AX$1,),)=0,#N/A,(VLOOKUP(B82,'Data Core CPI'!$A:$AX,MATCH($R$1,'Data Core CPI'!$A$1:$AX$1,),)-VLOOKUP(EDATE(B82,-12),'Data Core CPI'!$A:$AX,MATCH($R$1,'Data Core CPI'!$A$1:$AX$1,),))/VLOOKUP(EDATE(B82,-12),'Data Core CPI'!$A:$AX,MATCH($R$1,'Data Core CPI'!$A$1:$AX$1,),))</f>
        <v/>
      </c>
      <c r="S82" s="20">
        <f>(VLOOKUP(B82,'Data Core CPI'!$A:$AX,MATCH($S$1,'Data Core CPI'!$A$1:$AX$1,),)-VLOOKUP(EDATE(B82,-12),'Data Core CPI'!$A:$AX,MATCH($S$1,'Data Core CPI'!$A$1:$AX$1,),))/VLOOKUP(EDATE(B82,-12),'Data Core CPI'!$A:$AX,MATCH($S$1,'Data Core CPI'!$A$1:$AX$1,),)</f>
        <v/>
      </c>
      <c r="T82" s="20">
        <f>(VLOOKUP(B82,'Data Core CPI'!$A:$AX,MATCH($T$1,'Data Core CPI'!$A$1:$AX$1,),)-VLOOKUP(EDATE(B82,-12),'Data Core CPI'!$A:$AX,MATCH($T$1,'Data Core CPI'!$A$1:$AX$1,),))/VLOOKUP(EDATE(B82,-12),'Data Core CPI'!$A:$AX,MATCH($T$1,'Data Core CPI'!$A$1:$AX$1,),)</f>
        <v/>
      </c>
      <c r="U82" s="20">
        <f>IF(VLOOKUP(B82,'Data Core CPI'!$A:$AX,MATCH($U$1,'Data Core CPI'!$A$1:$AX$1,),)=0,#N/A,(VLOOKUP(B82,'Data Core CPI'!$A:$AX,MATCH($U$1,'Data Core CPI'!$A$1:$AX$1,),)-VLOOKUP(EDATE(B82,-12),'Data Core CPI'!$A:$AX,MATCH($U$1,'Data Core CPI'!$A$1:$AX$1,),))/VLOOKUP(EDATE(B82,-12),'Data Core CPI'!$A:$AX,MATCH($U$1,'Data Core CPI'!$A$1:$AX$1,),))</f>
        <v/>
      </c>
      <c r="V82" s="20">
        <f>(VLOOKUP(B82,'Data Core CPI'!$A:$AX,MATCH($V$1,'Data Core CPI'!$A$1:$AX$1,),)-VLOOKUP(EDATE(B82,-12),'Data Core CPI'!$A:$AX,MATCH($V$1,'Data Core CPI'!$A$1:$AX$1,),))/VLOOKUP(EDATE(B82,-12),'Data Core CPI'!$A:$AX,MATCH($V$1,'Data Core CPI'!$A$1:$AX$1,),)</f>
        <v/>
      </c>
      <c r="W82" s="20">
        <f>IF(VLOOKUP(B82,'Data Core CPI'!$A:$AX,MATCH($W$1,'Data Core CPI'!$A$1:$AX$1,),)=0,#N/A,(VLOOKUP(B82,'Data Core CPI'!$A:$AX,MATCH($W$1,'Data Core CPI'!$A$1:$AX$1,),)-VLOOKUP(EDATE(B82,-12),'Data Core CPI'!$A:$AX,MATCH($W$1,'Data Core CPI'!$A$1:$AX$1,),))/VLOOKUP(EDATE(B82,-12),'Data Core CPI'!$A:$AX,MATCH($W$1,'Data Core CPI'!$A$1:$AX$1,),))</f>
        <v/>
      </c>
      <c r="X82" s="20">
        <f>IF(VLOOKUP(B82,'Data Core CPI'!$A:$AX,MATCH($X$1,'Data Core CPI'!$A$1:$AX$1,),)=0,#N/A,(VLOOKUP(B82,'Data Core CPI'!$A:$AX,MATCH($X$1,'Data Core CPI'!$A$1:$AX$1,),)-VLOOKUP(EDATE(B82,-12),'Data Core CPI'!$A:$AX,MATCH($X$1,'Data Core CPI'!$A$1:$AX$1,),))/VLOOKUP(EDATE(B82,-12),'Data Core CPI'!$A:$AX,MATCH($X$1,'Data Core CPI'!$A$1:$AX$1,),))</f>
        <v/>
      </c>
      <c r="Y82" s="20">
        <f>IF(VLOOKUP(B82,'Data Core CPI'!$A:$AX,MATCH($Y$1,'Data Core CPI'!$A$1:$AX$1,),)=0,#N/A,(VLOOKUP(B82,'Data Core CPI'!$A:$AX,MATCH($Y$1,'Data Core CPI'!$A$1:$AX$1,),)-VLOOKUP(EDATE(B82,-12),'Data Core CPI'!$A:$AX,MATCH($Y$1,'Data Core CPI'!$A$1:$AX$1,),))/VLOOKUP(EDATE(B82,-12),'Data Core CPI'!$A:$AX,MATCH($Y$1,'Data Core CPI'!$A$1:$AX$1,),))</f>
        <v/>
      </c>
      <c r="Z82" s="20">
        <f>(VLOOKUP(B82,Data!$A:$AX,MATCH($Z$1,Data!$A$1:$AX$1,),)-VLOOKUP(EDATE(B82,-12),Data!$A:$AX,MATCH($Z$1,Data!$A$1:$AX$1,),))/VLOOKUP(EDATE(B82,-12),Data!$A:$AX,MATCH($Z$1,Data!$A$1:$AX$1,),)</f>
        <v/>
      </c>
      <c r="AA82" s="20">
        <f>(VLOOKUP(B82,Data!$A:$AX,MATCH($AA$1,Data!$A$1:$AX$1,),)-VLOOKUP(EDATE(B82,-12),Data!$A:$AX,MATCH($AA$1,Data!$A$1:$AX$1,),))/VLOOKUP(EDATE(B82,-12),Data!$A:$AX,MATCH($AA$1,Data!$A$1:$AX$1,),)</f>
        <v/>
      </c>
      <c r="AB82" s="19" t="n"/>
    </row>
    <row r="83">
      <c r="B83" s="15" t="n">
        <v>42736</v>
      </c>
      <c r="C83" s="20">
        <f>IF(VLOOKUP(B83,'Data Core CPI'!$A:$AX,MATCH($C$1,'Data Core CPI'!$A$1:$AX$1,),)=0,#N/A,(VLOOKUP(B83,'Data Core CPI'!$A:$AX,MATCH($C$1,'Data Core CPI'!$A$1:$AX$1,),)-VLOOKUP(EDATE(B83,-12),'Data Core CPI'!$A:$AX,MATCH($C$1,'Data Core CPI'!$A$1:$AX$1,),))/VLOOKUP(EDATE(B83,-12),'Data Core CPI'!$A:$AX,MATCH($C$1,'Data Core CPI'!$A$1:$AX$1,),))</f>
        <v/>
      </c>
      <c r="D83" s="20">
        <f>(VLOOKUP(B83,'Data Core CPI'!$A:$AX,MATCH($D$1,'Data Core CPI'!$A$1:$AX$1,),)-VLOOKUP(EDATE(B83,-12),'Data Core CPI'!$A:$AX,MATCH($D$1,'Data Core CPI'!$A$1:$AX$1,),))/VLOOKUP(EDATE(B83,-12),'Data Core CPI'!$A:$AX,MATCH($D$1,'Data Core CPI'!$A$1:$AX$1,),)</f>
        <v/>
      </c>
      <c r="E83" s="20">
        <f>IF(VLOOKUP(B83,'Data Core CPI'!$A:$AX,MATCH($E$1,'Data Core CPI'!$A$1:$AX$1,),)=0,#N/A,(VLOOKUP(B83,'Data Core CPI'!$A:$AX,MATCH($E$1,'Data Core CPI'!$A$1:$AX$1,),)-VLOOKUP(EDATE(B83,-12),'Data Core CPI'!$A:$AX,MATCH($E$1,'Data Core CPI'!$A$1:$AX$1,),))/VLOOKUP(EDATE(B83,-12),'Data Core CPI'!$A:$AX,MATCH($E$1,'Data Core CPI'!$A$1:$AX$1,),))</f>
        <v/>
      </c>
      <c r="F83" s="20">
        <f>IF(VLOOKUP(B83,'Data Core CPI'!$A:$AX,MATCH($F$1,'Data Core CPI'!$A$1:$AX$1,),)=0,#N/A,(VLOOKUP(B83,'Data Core CPI'!$A:$AX,MATCH($F$1,'Data Core CPI'!$A$1:$AX$1,),)-VLOOKUP(EDATE(B83,-12),'Data Core CPI'!$A:$AX,MATCH($F$1,'Data Core CPI'!$A$1:$AX$1,),))/VLOOKUP(EDATE(B83,-12),'Data Core CPI'!$A:$AX,MATCH($F$1,'Data Core CPI'!$A$1:$AX$1,),))</f>
        <v/>
      </c>
      <c r="G83" s="20">
        <f>IF(VLOOKUP(B83,'Data Core CPI'!$A:$AX,MATCH($G$1,'Data Core CPI'!$A$1:$AX$1,),)=0,#N/A,(VLOOKUP(B83,'Data Core CPI'!$A:$AX,MATCH($G$1,'Data Core CPI'!$A$1:$AX$1,),)-VLOOKUP(EDATE(B83,-12),'Data Core CPI'!$A:$AX,MATCH($G$1,'Data Core CPI'!$A$1:$AX$1,),))/VLOOKUP(EDATE(B83,-12),'Data Core CPI'!$A:$AX,MATCH($G$1,'Data Core CPI'!$A$1:$AX$1,),))</f>
        <v/>
      </c>
      <c r="H83" s="20">
        <f>IF(VLOOKUP(B83,'Data Core CPI'!$A:$AX,MATCH($H$1,'Data Core CPI'!$A$1:$AX$1,),)=0,#N/A,(VLOOKUP(B83,'Data Core CPI'!$A:$AX,MATCH($H$1,'Data Core CPI'!$A$1:$AX$1,),)-VLOOKUP(EDATE(B83,-12),'Data Core CPI'!$A:$AX,MATCH($H$1,'Data Core CPI'!$A$1:$AX$1,),))/VLOOKUP(EDATE(B83,-12),'Data Core CPI'!$A:$AX,MATCH($H$1,'Data Core CPI'!$A$1:$AX$1,),))</f>
        <v/>
      </c>
      <c r="I83" s="20">
        <f>IF(VLOOKUP(B83,'Data Core CPI'!$A:$AX,MATCH($I$1,'Data Core CPI'!$A$1:$AX$1,),)=0,#N/A,(VLOOKUP(B83,'Data Core CPI'!$A:$AX,MATCH($I$1,'Data Core CPI'!$A$1:$AX$1,),)-VLOOKUP(EDATE(B83,-12),'Data Core CPI'!$A:$AX,MATCH($I$1,'Data Core CPI'!$A$1:$AX$1,),))/VLOOKUP(EDATE(B83,-12),'Data Core CPI'!$A:$AX,MATCH($I$1,'Data Core CPI'!$A$1:$AX$1,),))</f>
        <v/>
      </c>
      <c r="J83" s="20">
        <f>IF(VLOOKUP(B83,'Data Core CPI'!$A:$AX,MATCH($J$1,'Data Core CPI'!$A$1:$AX$1,),)=0,#N/A,(VLOOKUP(B83,'Data Core CPI'!$A:$AX,MATCH($J$1,'Data Core CPI'!$A$1:$AX$1,),)-VLOOKUP(EDATE(B83,-12),'Data Core CPI'!$A:$AX,MATCH($J$1,'Data Core CPI'!$A$1:$AX$1,),))/VLOOKUP(EDATE(B83,-12),'Data Core CPI'!$A:$AX,MATCH($J$1,'Data Core CPI'!$A$1:$AX$1,),))</f>
        <v/>
      </c>
      <c r="K83" s="20">
        <f>IF(VLOOKUP(B83,'Data Core CPI'!$A:$AX,MATCH($K$1,'Data Core CPI'!$A$1:$AX$1,),)=0,#N/A,(VLOOKUP(B83,'Data Core CPI'!$A:$AX,MATCH($K$1,'Data Core CPI'!$A$1:$AX$1,),)-VLOOKUP(EDATE(B83,-12),'Data Core CPI'!$A:$AX,MATCH($K$1,'Data Core CPI'!$A$1:$AX$1,),))/VLOOKUP(EDATE(B83,-12),'Data Core CPI'!$A:$AX,MATCH($K$1,'Data Core CPI'!$A$1:$AX$1,),))</f>
        <v/>
      </c>
      <c r="L83" s="20">
        <f>IF(VLOOKUP(B83,'Data Core CPI'!$A:$AX,MATCH($L$1,'Data Core CPI'!$A$1:$AX$1,),)=0,#N/A,(VLOOKUP(B83,'Data Core CPI'!$A:$AX,MATCH($L$1,'Data Core CPI'!$A$1:$AX$1,),)-VLOOKUP(EDATE(B83,-12),'Data Core CPI'!$A:$AX,MATCH($L$1,'Data Core CPI'!$A$1:$AX$1,),))/VLOOKUP(EDATE(B83,-12),'Data Core CPI'!$A:$AX,MATCH($L$1,'Data Core CPI'!$A$1:$AX$1,),))</f>
        <v/>
      </c>
      <c r="M83" s="20">
        <f>IF(VLOOKUP(B83,'Data Core CPI'!$A:$AX,MATCH($M$1,'Data Core CPI'!$A$1:$AX$1,),)=0,#N/A,(VLOOKUP(B83,'Data Core CPI'!$A:$AX,MATCH($M$1,'Data Core CPI'!$A$1:$AX$1,),)-VLOOKUP(EDATE(B83,-12),'Data Core CPI'!$A:$AX,MATCH($M$1,'Data Core CPI'!$A$1:$AX$1,),))/VLOOKUP(EDATE(B83,-12),'Data Core CPI'!$A:$AX,MATCH($M$1,'Data Core CPI'!$A$1:$AX$1,),))</f>
        <v/>
      </c>
      <c r="N83" s="20">
        <f>(VLOOKUP(B83,'Data Core CPI'!$A:$AX,MATCH($N$1,'Data Core CPI'!$A$1:$AX$1,),)-VLOOKUP(EDATE(B83,-12),'Data Core CPI'!$A:$AX,MATCH($N$1,'Data Core CPI'!$A$1:$AX$1,),))/VLOOKUP(EDATE(B83,-12),'Data Core CPI'!$A:$AX,MATCH($N$1,'Data Core CPI'!$A$1:$AX$1,),)</f>
        <v/>
      </c>
      <c r="O83" s="20">
        <f>(VLOOKUP(B83,'Data Core CPI'!$A:$AX,MATCH($O$1,'Data Core CPI'!$A$1:$AX$1,),)-VLOOKUP(EDATE(B83,-12),'Data Core CPI'!$A:$AX,MATCH($O$1,'Data Core CPI'!$A$1:$AX$1,),))/VLOOKUP(EDATE(B83,-12),'Data Core CPI'!$A:$AX,MATCH($O$1,'Data Core CPI'!$A$1:$AX$1,),)</f>
        <v/>
      </c>
      <c r="P83" s="20">
        <f>IF(VLOOKUP(B83,'Data Core CPI'!$A:$AX,MATCH($P$1,'Data Core CPI'!$A$1:$AX$1,),)=0,#N/A,(VLOOKUP(B83,'Data Core CPI'!$A:$AX,MATCH($P$1,'Data Core CPI'!$A$1:$AX$1,),)-VLOOKUP(EDATE(B83,-12),'Data Core CPI'!$A:$AX,MATCH($P$1,'Data Core CPI'!$A$1:$AX$1,),))/VLOOKUP(EDATE(B83,-12),'Data Core CPI'!$A:$AX,MATCH($P$1,'Data Core CPI'!$A$1:$AX$1,),))</f>
        <v/>
      </c>
      <c r="Q83" s="20">
        <f>(VLOOKUP(B83,'Data Core CPI'!$A:$AX,MATCH($Q$1,'Data Core CPI'!$A$1:$AX$1,),)-VLOOKUP(EDATE(B83,-12),'Data Core CPI'!$A:$AX,MATCH($Q$1,'Data Core CPI'!$A$1:$AX$1,),))/VLOOKUP(EDATE(B83,-12),'Data Core CPI'!$A:$AX,MATCH($Q$1,'Data Core CPI'!$A$1:$AX$1,),)</f>
        <v/>
      </c>
      <c r="R83" s="20">
        <f>IF(VLOOKUP(B83,'Data Core CPI'!$A:$AX,MATCH($R$1,'Data Core CPI'!$A$1:$AX$1,),)=0,#N/A,(VLOOKUP(B83,'Data Core CPI'!$A:$AX,MATCH($R$1,'Data Core CPI'!$A$1:$AX$1,),)-VLOOKUP(EDATE(B83,-12),'Data Core CPI'!$A:$AX,MATCH($R$1,'Data Core CPI'!$A$1:$AX$1,),))/VLOOKUP(EDATE(B83,-12),'Data Core CPI'!$A:$AX,MATCH($R$1,'Data Core CPI'!$A$1:$AX$1,),))</f>
        <v/>
      </c>
      <c r="S83" s="20">
        <f>(VLOOKUP(B83,'Data Core CPI'!$A:$AX,MATCH($S$1,'Data Core CPI'!$A$1:$AX$1,),)-VLOOKUP(EDATE(B83,-12),'Data Core CPI'!$A:$AX,MATCH($S$1,'Data Core CPI'!$A$1:$AX$1,),))/VLOOKUP(EDATE(B83,-12),'Data Core CPI'!$A:$AX,MATCH($S$1,'Data Core CPI'!$A$1:$AX$1,),)</f>
        <v/>
      </c>
      <c r="T83" s="20">
        <f>(VLOOKUP(B83,'Data Core CPI'!$A:$AX,MATCH($T$1,'Data Core CPI'!$A$1:$AX$1,),)-VLOOKUP(EDATE(B83,-12),'Data Core CPI'!$A:$AX,MATCH($T$1,'Data Core CPI'!$A$1:$AX$1,),))/VLOOKUP(EDATE(B83,-12),'Data Core CPI'!$A:$AX,MATCH($T$1,'Data Core CPI'!$A$1:$AX$1,),)</f>
        <v/>
      </c>
      <c r="U83" s="20">
        <f>IF(VLOOKUP(B83,'Data Core CPI'!$A:$AX,MATCH($U$1,'Data Core CPI'!$A$1:$AX$1,),)=0,#N/A,(VLOOKUP(B83,'Data Core CPI'!$A:$AX,MATCH($U$1,'Data Core CPI'!$A$1:$AX$1,),)-VLOOKUP(EDATE(B83,-12),'Data Core CPI'!$A:$AX,MATCH($U$1,'Data Core CPI'!$A$1:$AX$1,),))/VLOOKUP(EDATE(B83,-12),'Data Core CPI'!$A:$AX,MATCH($U$1,'Data Core CPI'!$A$1:$AX$1,),))</f>
        <v/>
      </c>
      <c r="V83" s="20">
        <f>(VLOOKUP(B83,'Data Core CPI'!$A:$AX,MATCH($V$1,'Data Core CPI'!$A$1:$AX$1,),)-VLOOKUP(EDATE(B83,-12),'Data Core CPI'!$A:$AX,MATCH($V$1,'Data Core CPI'!$A$1:$AX$1,),))/VLOOKUP(EDATE(B83,-12),'Data Core CPI'!$A:$AX,MATCH($V$1,'Data Core CPI'!$A$1:$AX$1,),)</f>
        <v/>
      </c>
      <c r="W83" s="20">
        <f>IF(VLOOKUP(B83,'Data Core CPI'!$A:$AX,MATCH($W$1,'Data Core CPI'!$A$1:$AX$1,),)=0,#N/A,(VLOOKUP(B83,'Data Core CPI'!$A:$AX,MATCH($W$1,'Data Core CPI'!$A$1:$AX$1,),)-VLOOKUP(EDATE(B83,-12),'Data Core CPI'!$A:$AX,MATCH($W$1,'Data Core CPI'!$A$1:$AX$1,),))/VLOOKUP(EDATE(B83,-12),'Data Core CPI'!$A:$AX,MATCH($W$1,'Data Core CPI'!$A$1:$AX$1,),))</f>
        <v/>
      </c>
      <c r="X83" s="20">
        <f>IF(VLOOKUP(B83,'Data Core CPI'!$A:$AX,MATCH($X$1,'Data Core CPI'!$A$1:$AX$1,),)=0,#N/A,(VLOOKUP(B83,'Data Core CPI'!$A:$AX,MATCH($X$1,'Data Core CPI'!$A$1:$AX$1,),)-VLOOKUP(EDATE(B83,-12),'Data Core CPI'!$A:$AX,MATCH($X$1,'Data Core CPI'!$A$1:$AX$1,),))/VLOOKUP(EDATE(B83,-12),'Data Core CPI'!$A:$AX,MATCH($X$1,'Data Core CPI'!$A$1:$AX$1,),))</f>
        <v/>
      </c>
      <c r="Y83" s="20">
        <f>IF(VLOOKUP(B83,'Data Core CPI'!$A:$AX,MATCH($Y$1,'Data Core CPI'!$A$1:$AX$1,),)=0,#N/A,(VLOOKUP(B83,'Data Core CPI'!$A:$AX,MATCH($Y$1,'Data Core CPI'!$A$1:$AX$1,),)-VLOOKUP(EDATE(B83,-12),'Data Core CPI'!$A:$AX,MATCH($Y$1,'Data Core CPI'!$A$1:$AX$1,),))/VLOOKUP(EDATE(B83,-12),'Data Core CPI'!$A:$AX,MATCH($Y$1,'Data Core CPI'!$A$1:$AX$1,),))</f>
        <v/>
      </c>
      <c r="Z83" s="20">
        <f>(VLOOKUP(B83,Data!$A:$AX,MATCH($Z$1,Data!$A$1:$AX$1,),)-VLOOKUP(EDATE(B83,-12),Data!$A:$AX,MATCH($Z$1,Data!$A$1:$AX$1,),))/VLOOKUP(EDATE(B83,-12),Data!$A:$AX,MATCH($Z$1,Data!$A$1:$AX$1,),)</f>
        <v/>
      </c>
      <c r="AA83" s="20">
        <f>(VLOOKUP(B83,Data!$A:$AX,MATCH($AA$1,Data!$A$1:$AX$1,),)-VLOOKUP(EDATE(B83,-12),Data!$A:$AX,MATCH($AA$1,Data!$A$1:$AX$1,),))/VLOOKUP(EDATE(B83,-12),Data!$A:$AX,MATCH($AA$1,Data!$A$1:$AX$1,),)</f>
        <v/>
      </c>
      <c r="AB83" s="19" t="n"/>
    </row>
    <row r="84">
      <c r="B84" s="15" t="n">
        <v>42767</v>
      </c>
      <c r="C84" s="20">
        <f>IF(VLOOKUP(B84,'Data Core CPI'!$A:$AX,MATCH($C$1,'Data Core CPI'!$A$1:$AX$1,),)=0,#N/A,(VLOOKUP(B84,'Data Core CPI'!$A:$AX,MATCH($C$1,'Data Core CPI'!$A$1:$AX$1,),)-VLOOKUP(EDATE(B84,-12),'Data Core CPI'!$A:$AX,MATCH($C$1,'Data Core CPI'!$A$1:$AX$1,),))/VLOOKUP(EDATE(B84,-12),'Data Core CPI'!$A:$AX,MATCH($C$1,'Data Core CPI'!$A$1:$AX$1,),))</f>
        <v/>
      </c>
      <c r="D84" s="20">
        <f>(VLOOKUP(B84,'Data Core CPI'!$A:$AX,MATCH($D$1,'Data Core CPI'!$A$1:$AX$1,),)-VLOOKUP(EDATE(B84,-12),'Data Core CPI'!$A:$AX,MATCH($D$1,'Data Core CPI'!$A$1:$AX$1,),))/VLOOKUP(EDATE(B84,-12),'Data Core CPI'!$A:$AX,MATCH($D$1,'Data Core CPI'!$A$1:$AX$1,),)</f>
        <v/>
      </c>
      <c r="E84" s="20">
        <f>IF(VLOOKUP(B84,'Data Core CPI'!$A:$AX,MATCH($E$1,'Data Core CPI'!$A$1:$AX$1,),)=0,#N/A,(VLOOKUP(B84,'Data Core CPI'!$A:$AX,MATCH($E$1,'Data Core CPI'!$A$1:$AX$1,),)-VLOOKUP(EDATE(B84,-12),'Data Core CPI'!$A:$AX,MATCH($E$1,'Data Core CPI'!$A$1:$AX$1,),))/VLOOKUP(EDATE(B84,-12),'Data Core CPI'!$A:$AX,MATCH($E$1,'Data Core CPI'!$A$1:$AX$1,),))</f>
        <v/>
      </c>
      <c r="F84" s="20">
        <f>IF(VLOOKUP(B84,'Data Core CPI'!$A:$AX,MATCH($F$1,'Data Core CPI'!$A$1:$AX$1,),)=0,#N/A,(VLOOKUP(B84,'Data Core CPI'!$A:$AX,MATCH($F$1,'Data Core CPI'!$A$1:$AX$1,),)-VLOOKUP(EDATE(B84,-12),'Data Core CPI'!$A:$AX,MATCH($F$1,'Data Core CPI'!$A$1:$AX$1,),))/VLOOKUP(EDATE(B84,-12),'Data Core CPI'!$A:$AX,MATCH($F$1,'Data Core CPI'!$A$1:$AX$1,),))</f>
        <v/>
      </c>
      <c r="G84" s="20">
        <f>IF(VLOOKUP(B84,'Data Core CPI'!$A:$AX,MATCH($G$1,'Data Core CPI'!$A$1:$AX$1,),)=0,#N/A,(VLOOKUP(B84,'Data Core CPI'!$A:$AX,MATCH($G$1,'Data Core CPI'!$A$1:$AX$1,),)-VLOOKUP(EDATE(B84,-12),'Data Core CPI'!$A:$AX,MATCH($G$1,'Data Core CPI'!$A$1:$AX$1,),))/VLOOKUP(EDATE(B84,-12),'Data Core CPI'!$A:$AX,MATCH($G$1,'Data Core CPI'!$A$1:$AX$1,),))</f>
        <v/>
      </c>
      <c r="H84" s="20">
        <f>IF(VLOOKUP(B84,'Data Core CPI'!$A:$AX,MATCH($H$1,'Data Core CPI'!$A$1:$AX$1,),)=0,#N/A,(VLOOKUP(B84,'Data Core CPI'!$A:$AX,MATCH($H$1,'Data Core CPI'!$A$1:$AX$1,),)-VLOOKUP(EDATE(B84,-12),'Data Core CPI'!$A:$AX,MATCH($H$1,'Data Core CPI'!$A$1:$AX$1,),))/VLOOKUP(EDATE(B84,-12),'Data Core CPI'!$A:$AX,MATCH($H$1,'Data Core CPI'!$A$1:$AX$1,),))</f>
        <v/>
      </c>
      <c r="I84" s="20">
        <f>IF(VLOOKUP(B84,'Data Core CPI'!$A:$AX,MATCH($I$1,'Data Core CPI'!$A$1:$AX$1,),)=0,#N/A,(VLOOKUP(B84,'Data Core CPI'!$A:$AX,MATCH($I$1,'Data Core CPI'!$A$1:$AX$1,),)-VLOOKUP(EDATE(B84,-12),'Data Core CPI'!$A:$AX,MATCH($I$1,'Data Core CPI'!$A$1:$AX$1,),))/VLOOKUP(EDATE(B84,-12),'Data Core CPI'!$A:$AX,MATCH($I$1,'Data Core CPI'!$A$1:$AX$1,),))</f>
        <v/>
      </c>
      <c r="J84" s="20">
        <f>IF(VLOOKUP(B84,'Data Core CPI'!$A:$AX,MATCH($J$1,'Data Core CPI'!$A$1:$AX$1,),)=0,#N/A,(VLOOKUP(B84,'Data Core CPI'!$A:$AX,MATCH($J$1,'Data Core CPI'!$A$1:$AX$1,),)-VLOOKUP(EDATE(B84,-12),'Data Core CPI'!$A:$AX,MATCH($J$1,'Data Core CPI'!$A$1:$AX$1,),))/VLOOKUP(EDATE(B84,-12),'Data Core CPI'!$A:$AX,MATCH($J$1,'Data Core CPI'!$A$1:$AX$1,),))</f>
        <v/>
      </c>
      <c r="K84" s="20">
        <f>IF(VLOOKUP(B84,'Data Core CPI'!$A:$AX,MATCH($K$1,'Data Core CPI'!$A$1:$AX$1,),)=0,#N/A,(VLOOKUP(B84,'Data Core CPI'!$A:$AX,MATCH($K$1,'Data Core CPI'!$A$1:$AX$1,),)-VLOOKUP(EDATE(B84,-12),'Data Core CPI'!$A:$AX,MATCH($K$1,'Data Core CPI'!$A$1:$AX$1,),))/VLOOKUP(EDATE(B84,-12),'Data Core CPI'!$A:$AX,MATCH($K$1,'Data Core CPI'!$A$1:$AX$1,),))</f>
        <v/>
      </c>
      <c r="L84" s="20">
        <f>IF(VLOOKUP(B84,'Data Core CPI'!$A:$AX,MATCH($L$1,'Data Core CPI'!$A$1:$AX$1,),)=0,#N/A,(VLOOKUP(B84,'Data Core CPI'!$A:$AX,MATCH($L$1,'Data Core CPI'!$A$1:$AX$1,),)-VLOOKUP(EDATE(B84,-12),'Data Core CPI'!$A:$AX,MATCH($L$1,'Data Core CPI'!$A$1:$AX$1,),))/VLOOKUP(EDATE(B84,-12),'Data Core CPI'!$A:$AX,MATCH($L$1,'Data Core CPI'!$A$1:$AX$1,),))</f>
        <v/>
      </c>
      <c r="M84" s="20">
        <f>IF(VLOOKUP(B84,'Data Core CPI'!$A:$AX,MATCH($M$1,'Data Core CPI'!$A$1:$AX$1,),)=0,#N/A,(VLOOKUP(B84,'Data Core CPI'!$A:$AX,MATCH($M$1,'Data Core CPI'!$A$1:$AX$1,),)-VLOOKUP(EDATE(B84,-12),'Data Core CPI'!$A:$AX,MATCH($M$1,'Data Core CPI'!$A$1:$AX$1,),))/VLOOKUP(EDATE(B84,-12),'Data Core CPI'!$A:$AX,MATCH($M$1,'Data Core CPI'!$A$1:$AX$1,),))</f>
        <v/>
      </c>
      <c r="N84" s="20">
        <f>(VLOOKUP(B84,'Data Core CPI'!$A:$AX,MATCH($N$1,'Data Core CPI'!$A$1:$AX$1,),)-VLOOKUP(EDATE(B84,-12),'Data Core CPI'!$A:$AX,MATCH($N$1,'Data Core CPI'!$A$1:$AX$1,),))/VLOOKUP(EDATE(B84,-12),'Data Core CPI'!$A:$AX,MATCH($N$1,'Data Core CPI'!$A$1:$AX$1,),)</f>
        <v/>
      </c>
      <c r="O84" s="20">
        <f>(VLOOKUP(B84,'Data Core CPI'!$A:$AX,MATCH($O$1,'Data Core CPI'!$A$1:$AX$1,),)-VLOOKUP(EDATE(B84,-12),'Data Core CPI'!$A:$AX,MATCH($O$1,'Data Core CPI'!$A$1:$AX$1,),))/VLOOKUP(EDATE(B84,-12),'Data Core CPI'!$A:$AX,MATCH($O$1,'Data Core CPI'!$A$1:$AX$1,),)</f>
        <v/>
      </c>
      <c r="P84" s="20">
        <f>IF(VLOOKUP(B84,'Data Core CPI'!$A:$AX,MATCH($P$1,'Data Core CPI'!$A$1:$AX$1,),)=0,#N/A,(VLOOKUP(B84,'Data Core CPI'!$A:$AX,MATCH($P$1,'Data Core CPI'!$A$1:$AX$1,),)-VLOOKUP(EDATE(B84,-12),'Data Core CPI'!$A:$AX,MATCH($P$1,'Data Core CPI'!$A$1:$AX$1,),))/VLOOKUP(EDATE(B84,-12),'Data Core CPI'!$A:$AX,MATCH($P$1,'Data Core CPI'!$A$1:$AX$1,),))</f>
        <v/>
      </c>
      <c r="Q84" s="20">
        <f>(VLOOKUP(B84,'Data Core CPI'!$A:$AX,MATCH($Q$1,'Data Core CPI'!$A$1:$AX$1,),)-VLOOKUP(EDATE(B84,-12),'Data Core CPI'!$A:$AX,MATCH($Q$1,'Data Core CPI'!$A$1:$AX$1,),))/VLOOKUP(EDATE(B84,-12),'Data Core CPI'!$A:$AX,MATCH($Q$1,'Data Core CPI'!$A$1:$AX$1,),)</f>
        <v/>
      </c>
      <c r="R84" s="20">
        <f>IF(VLOOKUP(B84,'Data Core CPI'!$A:$AX,MATCH($R$1,'Data Core CPI'!$A$1:$AX$1,),)=0,#N/A,(VLOOKUP(B84,'Data Core CPI'!$A:$AX,MATCH($R$1,'Data Core CPI'!$A$1:$AX$1,),)-VLOOKUP(EDATE(B84,-12),'Data Core CPI'!$A:$AX,MATCH($R$1,'Data Core CPI'!$A$1:$AX$1,),))/VLOOKUP(EDATE(B84,-12),'Data Core CPI'!$A:$AX,MATCH($R$1,'Data Core CPI'!$A$1:$AX$1,),))</f>
        <v/>
      </c>
      <c r="S84" s="20">
        <f>(VLOOKUP(B84,'Data Core CPI'!$A:$AX,MATCH($S$1,'Data Core CPI'!$A$1:$AX$1,),)-VLOOKUP(EDATE(B84,-12),'Data Core CPI'!$A:$AX,MATCH($S$1,'Data Core CPI'!$A$1:$AX$1,),))/VLOOKUP(EDATE(B84,-12),'Data Core CPI'!$A:$AX,MATCH($S$1,'Data Core CPI'!$A$1:$AX$1,),)</f>
        <v/>
      </c>
      <c r="T84" s="20">
        <f>(VLOOKUP(B84,'Data Core CPI'!$A:$AX,MATCH($T$1,'Data Core CPI'!$A$1:$AX$1,),)-VLOOKUP(EDATE(B84,-12),'Data Core CPI'!$A:$AX,MATCH($T$1,'Data Core CPI'!$A$1:$AX$1,),))/VLOOKUP(EDATE(B84,-12),'Data Core CPI'!$A:$AX,MATCH($T$1,'Data Core CPI'!$A$1:$AX$1,),)</f>
        <v/>
      </c>
      <c r="U84" s="20">
        <f>IF(VLOOKUP(B84,'Data Core CPI'!$A:$AX,MATCH($U$1,'Data Core CPI'!$A$1:$AX$1,),)=0,#N/A,(VLOOKUP(B84,'Data Core CPI'!$A:$AX,MATCH($U$1,'Data Core CPI'!$A$1:$AX$1,),)-VLOOKUP(EDATE(B84,-12),'Data Core CPI'!$A:$AX,MATCH($U$1,'Data Core CPI'!$A$1:$AX$1,),))/VLOOKUP(EDATE(B84,-12),'Data Core CPI'!$A:$AX,MATCH($U$1,'Data Core CPI'!$A$1:$AX$1,),))</f>
        <v/>
      </c>
      <c r="V84" s="20">
        <f>(VLOOKUP(B84,'Data Core CPI'!$A:$AX,MATCH($V$1,'Data Core CPI'!$A$1:$AX$1,),)-VLOOKUP(EDATE(B84,-12),'Data Core CPI'!$A:$AX,MATCH($V$1,'Data Core CPI'!$A$1:$AX$1,),))/VLOOKUP(EDATE(B84,-12),'Data Core CPI'!$A:$AX,MATCH($V$1,'Data Core CPI'!$A$1:$AX$1,),)</f>
        <v/>
      </c>
      <c r="W84" s="20">
        <f>IF(VLOOKUP(B84,'Data Core CPI'!$A:$AX,MATCH($W$1,'Data Core CPI'!$A$1:$AX$1,),)=0,#N/A,(VLOOKUP(B84,'Data Core CPI'!$A:$AX,MATCH($W$1,'Data Core CPI'!$A$1:$AX$1,),)-VLOOKUP(EDATE(B84,-12),'Data Core CPI'!$A:$AX,MATCH($W$1,'Data Core CPI'!$A$1:$AX$1,),))/VLOOKUP(EDATE(B84,-12),'Data Core CPI'!$A:$AX,MATCH($W$1,'Data Core CPI'!$A$1:$AX$1,),))</f>
        <v/>
      </c>
      <c r="X84" s="20">
        <f>IF(VLOOKUP(B84,'Data Core CPI'!$A:$AX,MATCH($X$1,'Data Core CPI'!$A$1:$AX$1,),)=0,#N/A,(VLOOKUP(B84,'Data Core CPI'!$A:$AX,MATCH($X$1,'Data Core CPI'!$A$1:$AX$1,),)-VLOOKUP(EDATE(B84,-12),'Data Core CPI'!$A:$AX,MATCH($X$1,'Data Core CPI'!$A$1:$AX$1,),))/VLOOKUP(EDATE(B84,-12),'Data Core CPI'!$A:$AX,MATCH($X$1,'Data Core CPI'!$A$1:$AX$1,),))</f>
        <v/>
      </c>
      <c r="Y84" s="20">
        <f>IF(VLOOKUP(B84,'Data Core CPI'!$A:$AX,MATCH($Y$1,'Data Core CPI'!$A$1:$AX$1,),)=0,#N/A,(VLOOKUP(B84,'Data Core CPI'!$A:$AX,MATCH($Y$1,'Data Core CPI'!$A$1:$AX$1,),)-VLOOKUP(EDATE(B84,-12),'Data Core CPI'!$A:$AX,MATCH($Y$1,'Data Core CPI'!$A$1:$AX$1,),))/VLOOKUP(EDATE(B84,-12),'Data Core CPI'!$A:$AX,MATCH($Y$1,'Data Core CPI'!$A$1:$AX$1,),))</f>
        <v/>
      </c>
      <c r="Z84" s="20">
        <f>(VLOOKUP(B84,Data!$A:$AX,MATCH($Z$1,Data!$A$1:$AX$1,),)-VLOOKUP(EDATE(B84,-12),Data!$A:$AX,MATCH($Z$1,Data!$A$1:$AX$1,),))/VLOOKUP(EDATE(B84,-12),Data!$A:$AX,MATCH($Z$1,Data!$A$1:$AX$1,),)</f>
        <v/>
      </c>
      <c r="AA84" s="20">
        <f>(VLOOKUP(B84,Data!$A:$AX,MATCH($AA$1,Data!$A$1:$AX$1,),)-VLOOKUP(EDATE(B84,-12),Data!$A:$AX,MATCH($AA$1,Data!$A$1:$AX$1,),))/VLOOKUP(EDATE(B84,-12),Data!$A:$AX,MATCH($AA$1,Data!$A$1:$AX$1,),)</f>
        <v/>
      </c>
      <c r="AB84" s="19" t="n"/>
    </row>
    <row r="85">
      <c r="B85" s="15" t="n">
        <v>42795</v>
      </c>
      <c r="C85" s="20">
        <f>IF(VLOOKUP(B85,'Data Core CPI'!$A:$AX,MATCH($C$1,'Data Core CPI'!$A$1:$AX$1,),)=0,#N/A,(VLOOKUP(B85,'Data Core CPI'!$A:$AX,MATCH($C$1,'Data Core CPI'!$A$1:$AX$1,),)-VLOOKUP(EDATE(B85,-12),'Data Core CPI'!$A:$AX,MATCH($C$1,'Data Core CPI'!$A$1:$AX$1,),))/VLOOKUP(EDATE(B85,-12),'Data Core CPI'!$A:$AX,MATCH($C$1,'Data Core CPI'!$A$1:$AX$1,),))</f>
        <v/>
      </c>
      <c r="D85" s="20">
        <f>(VLOOKUP(B85,'Data Core CPI'!$A:$AX,MATCH($D$1,'Data Core CPI'!$A$1:$AX$1,),)-VLOOKUP(EDATE(B85,-12),'Data Core CPI'!$A:$AX,MATCH($D$1,'Data Core CPI'!$A$1:$AX$1,),))/VLOOKUP(EDATE(B85,-12),'Data Core CPI'!$A:$AX,MATCH($D$1,'Data Core CPI'!$A$1:$AX$1,),)</f>
        <v/>
      </c>
      <c r="E85" s="20">
        <f>IF(VLOOKUP(B85,'Data Core CPI'!$A:$AX,MATCH($E$1,'Data Core CPI'!$A$1:$AX$1,),)=0,#N/A,(VLOOKUP(B85,'Data Core CPI'!$A:$AX,MATCH($E$1,'Data Core CPI'!$A$1:$AX$1,),)-VLOOKUP(EDATE(B85,-12),'Data Core CPI'!$A:$AX,MATCH($E$1,'Data Core CPI'!$A$1:$AX$1,),))/VLOOKUP(EDATE(B85,-12),'Data Core CPI'!$A:$AX,MATCH($E$1,'Data Core CPI'!$A$1:$AX$1,),))</f>
        <v/>
      </c>
      <c r="F85" s="20">
        <f>IF(VLOOKUP(B85,'Data Core CPI'!$A:$AX,MATCH($F$1,'Data Core CPI'!$A$1:$AX$1,),)=0,#N/A,(VLOOKUP(B85,'Data Core CPI'!$A:$AX,MATCH($F$1,'Data Core CPI'!$A$1:$AX$1,),)-VLOOKUP(EDATE(B85,-12),'Data Core CPI'!$A:$AX,MATCH($F$1,'Data Core CPI'!$A$1:$AX$1,),))/VLOOKUP(EDATE(B85,-12),'Data Core CPI'!$A:$AX,MATCH($F$1,'Data Core CPI'!$A$1:$AX$1,),))</f>
        <v/>
      </c>
      <c r="G85" s="20">
        <f>IF(VLOOKUP(B85,'Data Core CPI'!$A:$AX,MATCH($G$1,'Data Core CPI'!$A$1:$AX$1,),)=0,#N/A,(VLOOKUP(B85,'Data Core CPI'!$A:$AX,MATCH($G$1,'Data Core CPI'!$A$1:$AX$1,),)-VLOOKUP(EDATE(B85,-12),'Data Core CPI'!$A:$AX,MATCH($G$1,'Data Core CPI'!$A$1:$AX$1,),))/VLOOKUP(EDATE(B85,-12),'Data Core CPI'!$A:$AX,MATCH($G$1,'Data Core CPI'!$A$1:$AX$1,),))</f>
        <v/>
      </c>
      <c r="H85" s="20">
        <f>IF(VLOOKUP(B85,'Data Core CPI'!$A:$AX,MATCH($H$1,'Data Core CPI'!$A$1:$AX$1,),)=0,#N/A,(VLOOKUP(B85,'Data Core CPI'!$A:$AX,MATCH($H$1,'Data Core CPI'!$A$1:$AX$1,),)-VLOOKUP(EDATE(B85,-12),'Data Core CPI'!$A:$AX,MATCH($H$1,'Data Core CPI'!$A$1:$AX$1,),))/VLOOKUP(EDATE(B85,-12),'Data Core CPI'!$A:$AX,MATCH($H$1,'Data Core CPI'!$A$1:$AX$1,),))</f>
        <v/>
      </c>
      <c r="I85" s="20">
        <f>IF(VLOOKUP(B85,'Data Core CPI'!$A:$AX,MATCH($I$1,'Data Core CPI'!$A$1:$AX$1,),)=0,#N/A,(VLOOKUP(B85,'Data Core CPI'!$A:$AX,MATCH($I$1,'Data Core CPI'!$A$1:$AX$1,),)-VLOOKUP(EDATE(B85,-12),'Data Core CPI'!$A:$AX,MATCH($I$1,'Data Core CPI'!$A$1:$AX$1,),))/VLOOKUP(EDATE(B85,-12),'Data Core CPI'!$A:$AX,MATCH($I$1,'Data Core CPI'!$A$1:$AX$1,),))</f>
        <v/>
      </c>
      <c r="J85" s="20">
        <f>IF(VLOOKUP(B85,'Data Core CPI'!$A:$AX,MATCH($J$1,'Data Core CPI'!$A$1:$AX$1,),)=0,#N/A,(VLOOKUP(B85,'Data Core CPI'!$A:$AX,MATCH($J$1,'Data Core CPI'!$A$1:$AX$1,),)-VLOOKUP(EDATE(B85,-12),'Data Core CPI'!$A:$AX,MATCH($J$1,'Data Core CPI'!$A$1:$AX$1,),))/VLOOKUP(EDATE(B85,-12),'Data Core CPI'!$A:$AX,MATCH($J$1,'Data Core CPI'!$A$1:$AX$1,),))</f>
        <v/>
      </c>
      <c r="K85" s="20">
        <f>IF(VLOOKUP(B85,'Data Core CPI'!$A:$AX,MATCH($K$1,'Data Core CPI'!$A$1:$AX$1,),)=0,#N/A,(VLOOKUP(B85,'Data Core CPI'!$A:$AX,MATCH($K$1,'Data Core CPI'!$A$1:$AX$1,),)-VLOOKUP(EDATE(B85,-12),'Data Core CPI'!$A:$AX,MATCH($K$1,'Data Core CPI'!$A$1:$AX$1,),))/VLOOKUP(EDATE(B85,-12),'Data Core CPI'!$A:$AX,MATCH($K$1,'Data Core CPI'!$A$1:$AX$1,),))</f>
        <v/>
      </c>
      <c r="L85" s="20">
        <f>IF(VLOOKUP(B85,'Data Core CPI'!$A:$AX,MATCH($L$1,'Data Core CPI'!$A$1:$AX$1,),)=0,#N/A,(VLOOKUP(B85,'Data Core CPI'!$A:$AX,MATCH($L$1,'Data Core CPI'!$A$1:$AX$1,),)-VLOOKUP(EDATE(B85,-12),'Data Core CPI'!$A:$AX,MATCH($L$1,'Data Core CPI'!$A$1:$AX$1,),))/VLOOKUP(EDATE(B85,-12),'Data Core CPI'!$A:$AX,MATCH($L$1,'Data Core CPI'!$A$1:$AX$1,),))</f>
        <v/>
      </c>
      <c r="M85" s="20">
        <f>IF(VLOOKUP(B85,'Data Core CPI'!$A:$AX,MATCH($M$1,'Data Core CPI'!$A$1:$AX$1,),)=0,#N/A,(VLOOKUP(B85,'Data Core CPI'!$A:$AX,MATCH($M$1,'Data Core CPI'!$A$1:$AX$1,),)-VLOOKUP(EDATE(B85,-12),'Data Core CPI'!$A:$AX,MATCH($M$1,'Data Core CPI'!$A$1:$AX$1,),))/VLOOKUP(EDATE(B85,-12),'Data Core CPI'!$A:$AX,MATCH($M$1,'Data Core CPI'!$A$1:$AX$1,),))</f>
        <v/>
      </c>
      <c r="N85" s="20">
        <f>(VLOOKUP(B85,'Data Core CPI'!$A:$AX,MATCH($N$1,'Data Core CPI'!$A$1:$AX$1,),)-VLOOKUP(EDATE(B85,-12),'Data Core CPI'!$A:$AX,MATCH($N$1,'Data Core CPI'!$A$1:$AX$1,),))/VLOOKUP(EDATE(B85,-12),'Data Core CPI'!$A:$AX,MATCH($N$1,'Data Core CPI'!$A$1:$AX$1,),)</f>
        <v/>
      </c>
      <c r="O85" s="20">
        <f>(VLOOKUP(B85,'Data Core CPI'!$A:$AX,MATCH($O$1,'Data Core CPI'!$A$1:$AX$1,),)-VLOOKUP(EDATE(B85,-12),'Data Core CPI'!$A:$AX,MATCH($O$1,'Data Core CPI'!$A$1:$AX$1,),))/VLOOKUP(EDATE(B85,-12),'Data Core CPI'!$A:$AX,MATCH($O$1,'Data Core CPI'!$A$1:$AX$1,),)</f>
        <v/>
      </c>
      <c r="P85" s="20">
        <f>IF(VLOOKUP(B85,'Data Core CPI'!$A:$AX,MATCH($P$1,'Data Core CPI'!$A$1:$AX$1,),)=0,#N/A,(VLOOKUP(B85,'Data Core CPI'!$A:$AX,MATCH($P$1,'Data Core CPI'!$A$1:$AX$1,),)-VLOOKUP(EDATE(B85,-12),'Data Core CPI'!$A:$AX,MATCH($P$1,'Data Core CPI'!$A$1:$AX$1,),))/VLOOKUP(EDATE(B85,-12),'Data Core CPI'!$A:$AX,MATCH($P$1,'Data Core CPI'!$A$1:$AX$1,),))</f>
        <v/>
      </c>
      <c r="Q85" s="20">
        <f>(VLOOKUP(B85,'Data Core CPI'!$A:$AX,MATCH($Q$1,'Data Core CPI'!$A$1:$AX$1,),)-VLOOKUP(EDATE(B85,-12),'Data Core CPI'!$A:$AX,MATCH($Q$1,'Data Core CPI'!$A$1:$AX$1,),))/VLOOKUP(EDATE(B85,-12),'Data Core CPI'!$A:$AX,MATCH($Q$1,'Data Core CPI'!$A$1:$AX$1,),)</f>
        <v/>
      </c>
      <c r="R85" s="20">
        <f>IF(VLOOKUP(B85,'Data Core CPI'!$A:$AX,MATCH($R$1,'Data Core CPI'!$A$1:$AX$1,),)=0,#N/A,(VLOOKUP(B85,'Data Core CPI'!$A:$AX,MATCH($R$1,'Data Core CPI'!$A$1:$AX$1,),)-VLOOKUP(EDATE(B85,-12),'Data Core CPI'!$A:$AX,MATCH($R$1,'Data Core CPI'!$A$1:$AX$1,),))/VLOOKUP(EDATE(B85,-12),'Data Core CPI'!$A:$AX,MATCH($R$1,'Data Core CPI'!$A$1:$AX$1,),))</f>
        <v/>
      </c>
      <c r="S85" s="20">
        <f>(VLOOKUP(B85,'Data Core CPI'!$A:$AX,MATCH($S$1,'Data Core CPI'!$A$1:$AX$1,),)-VLOOKUP(EDATE(B85,-12),'Data Core CPI'!$A:$AX,MATCH($S$1,'Data Core CPI'!$A$1:$AX$1,),))/VLOOKUP(EDATE(B85,-12),'Data Core CPI'!$A:$AX,MATCH($S$1,'Data Core CPI'!$A$1:$AX$1,),)</f>
        <v/>
      </c>
      <c r="T85" s="20">
        <f>(VLOOKUP(B85,'Data Core CPI'!$A:$AX,MATCH($T$1,'Data Core CPI'!$A$1:$AX$1,),)-VLOOKUP(EDATE(B85,-12),'Data Core CPI'!$A:$AX,MATCH($T$1,'Data Core CPI'!$A$1:$AX$1,),))/VLOOKUP(EDATE(B85,-12),'Data Core CPI'!$A:$AX,MATCH($T$1,'Data Core CPI'!$A$1:$AX$1,),)</f>
        <v/>
      </c>
      <c r="U85" s="20">
        <f>IF(VLOOKUP(B85,'Data Core CPI'!$A:$AX,MATCH($U$1,'Data Core CPI'!$A$1:$AX$1,),)=0,#N/A,(VLOOKUP(B85,'Data Core CPI'!$A:$AX,MATCH($U$1,'Data Core CPI'!$A$1:$AX$1,),)-VLOOKUP(EDATE(B85,-12),'Data Core CPI'!$A:$AX,MATCH($U$1,'Data Core CPI'!$A$1:$AX$1,),))/VLOOKUP(EDATE(B85,-12),'Data Core CPI'!$A:$AX,MATCH($U$1,'Data Core CPI'!$A$1:$AX$1,),))</f>
        <v/>
      </c>
      <c r="V85" s="20">
        <f>(VLOOKUP(B85,'Data Core CPI'!$A:$AX,MATCH($V$1,'Data Core CPI'!$A$1:$AX$1,),)-VLOOKUP(EDATE(B85,-12),'Data Core CPI'!$A:$AX,MATCH($V$1,'Data Core CPI'!$A$1:$AX$1,),))/VLOOKUP(EDATE(B85,-12),'Data Core CPI'!$A:$AX,MATCH($V$1,'Data Core CPI'!$A$1:$AX$1,),)</f>
        <v/>
      </c>
      <c r="W85" s="20">
        <f>IF(VLOOKUP(B85,'Data Core CPI'!$A:$AX,MATCH($W$1,'Data Core CPI'!$A$1:$AX$1,),)=0,#N/A,(VLOOKUP(B85,'Data Core CPI'!$A:$AX,MATCH($W$1,'Data Core CPI'!$A$1:$AX$1,),)-VLOOKUP(EDATE(B85,-12),'Data Core CPI'!$A:$AX,MATCH($W$1,'Data Core CPI'!$A$1:$AX$1,),))/VLOOKUP(EDATE(B85,-12),'Data Core CPI'!$A:$AX,MATCH($W$1,'Data Core CPI'!$A$1:$AX$1,),))</f>
        <v/>
      </c>
      <c r="X85" s="20">
        <f>IF(VLOOKUP(B85,'Data Core CPI'!$A:$AX,MATCH($X$1,'Data Core CPI'!$A$1:$AX$1,),)=0,#N/A,(VLOOKUP(B85,'Data Core CPI'!$A:$AX,MATCH($X$1,'Data Core CPI'!$A$1:$AX$1,),)-VLOOKUP(EDATE(B85,-12),'Data Core CPI'!$A:$AX,MATCH($X$1,'Data Core CPI'!$A$1:$AX$1,),))/VLOOKUP(EDATE(B85,-12),'Data Core CPI'!$A:$AX,MATCH($X$1,'Data Core CPI'!$A$1:$AX$1,),))</f>
        <v/>
      </c>
      <c r="Y85" s="20">
        <f>IF(VLOOKUP(B85,'Data Core CPI'!$A:$AX,MATCH($Y$1,'Data Core CPI'!$A$1:$AX$1,),)=0,#N/A,(VLOOKUP(B85,'Data Core CPI'!$A:$AX,MATCH($Y$1,'Data Core CPI'!$A$1:$AX$1,),)-VLOOKUP(EDATE(B85,-12),'Data Core CPI'!$A:$AX,MATCH($Y$1,'Data Core CPI'!$A$1:$AX$1,),))/VLOOKUP(EDATE(B85,-12),'Data Core CPI'!$A:$AX,MATCH($Y$1,'Data Core CPI'!$A$1:$AX$1,),))</f>
        <v/>
      </c>
      <c r="Z85" s="20">
        <f>(VLOOKUP(B85,Data!$A:$AX,MATCH($Z$1,Data!$A$1:$AX$1,),)-VLOOKUP(EDATE(B85,-12),Data!$A:$AX,MATCH($Z$1,Data!$A$1:$AX$1,),))/VLOOKUP(EDATE(B85,-12),Data!$A:$AX,MATCH($Z$1,Data!$A$1:$AX$1,),)</f>
        <v/>
      </c>
      <c r="AA85" s="20">
        <f>(VLOOKUP(B85,Data!$A:$AX,MATCH($AA$1,Data!$A$1:$AX$1,),)-VLOOKUP(EDATE(B85,-12),Data!$A:$AX,MATCH($AA$1,Data!$A$1:$AX$1,),))/VLOOKUP(EDATE(B85,-12),Data!$A:$AX,MATCH($AA$1,Data!$A$1:$AX$1,),)</f>
        <v/>
      </c>
      <c r="AB85" s="19" t="n"/>
    </row>
    <row r="86">
      <c r="B86" s="15" t="n">
        <v>42826</v>
      </c>
      <c r="C86" s="20">
        <f>IF(VLOOKUP(B86,'Data Core CPI'!$A:$AX,MATCH($C$1,'Data Core CPI'!$A$1:$AX$1,),)=0,#N/A,(VLOOKUP(B86,'Data Core CPI'!$A:$AX,MATCH($C$1,'Data Core CPI'!$A$1:$AX$1,),)-VLOOKUP(EDATE(B86,-12),'Data Core CPI'!$A:$AX,MATCH($C$1,'Data Core CPI'!$A$1:$AX$1,),))/VLOOKUP(EDATE(B86,-12),'Data Core CPI'!$A:$AX,MATCH($C$1,'Data Core CPI'!$A$1:$AX$1,),))</f>
        <v/>
      </c>
      <c r="D86" s="20">
        <f>(VLOOKUP(B86,'Data Core CPI'!$A:$AX,MATCH($D$1,'Data Core CPI'!$A$1:$AX$1,),)-VLOOKUP(EDATE(B86,-12),'Data Core CPI'!$A:$AX,MATCH($D$1,'Data Core CPI'!$A$1:$AX$1,),))/VLOOKUP(EDATE(B86,-12),'Data Core CPI'!$A:$AX,MATCH($D$1,'Data Core CPI'!$A$1:$AX$1,),)</f>
        <v/>
      </c>
      <c r="E86" s="20">
        <f>IF(VLOOKUP(B86,'Data Core CPI'!$A:$AX,MATCH($E$1,'Data Core CPI'!$A$1:$AX$1,),)=0,#N/A,(VLOOKUP(B86,'Data Core CPI'!$A:$AX,MATCH($E$1,'Data Core CPI'!$A$1:$AX$1,),)-VLOOKUP(EDATE(B86,-12),'Data Core CPI'!$A:$AX,MATCH($E$1,'Data Core CPI'!$A$1:$AX$1,),))/VLOOKUP(EDATE(B86,-12),'Data Core CPI'!$A:$AX,MATCH($E$1,'Data Core CPI'!$A$1:$AX$1,),))</f>
        <v/>
      </c>
      <c r="F86" s="20">
        <f>IF(VLOOKUP(B86,'Data Core CPI'!$A:$AX,MATCH($F$1,'Data Core CPI'!$A$1:$AX$1,),)=0,#N/A,(VLOOKUP(B86,'Data Core CPI'!$A:$AX,MATCH($F$1,'Data Core CPI'!$A$1:$AX$1,),)-VLOOKUP(EDATE(B86,-12),'Data Core CPI'!$A:$AX,MATCH($F$1,'Data Core CPI'!$A$1:$AX$1,),))/VLOOKUP(EDATE(B86,-12),'Data Core CPI'!$A:$AX,MATCH($F$1,'Data Core CPI'!$A$1:$AX$1,),))</f>
        <v/>
      </c>
      <c r="G86" s="20">
        <f>IF(VLOOKUP(B86,'Data Core CPI'!$A:$AX,MATCH($G$1,'Data Core CPI'!$A$1:$AX$1,),)=0,#N/A,(VLOOKUP(B86,'Data Core CPI'!$A:$AX,MATCH($G$1,'Data Core CPI'!$A$1:$AX$1,),)-VLOOKUP(EDATE(B86,-12),'Data Core CPI'!$A:$AX,MATCH($G$1,'Data Core CPI'!$A$1:$AX$1,),))/VLOOKUP(EDATE(B86,-12),'Data Core CPI'!$A:$AX,MATCH($G$1,'Data Core CPI'!$A$1:$AX$1,),))</f>
        <v/>
      </c>
      <c r="H86" s="20">
        <f>IF(VLOOKUP(B86,'Data Core CPI'!$A:$AX,MATCH($H$1,'Data Core CPI'!$A$1:$AX$1,),)=0,#N/A,(VLOOKUP(B86,'Data Core CPI'!$A:$AX,MATCH($H$1,'Data Core CPI'!$A$1:$AX$1,),)-VLOOKUP(EDATE(B86,-12),'Data Core CPI'!$A:$AX,MATCH($H$1,'Data Core CPI'!$A$1:$AX$1,),))/VLOOKUP(EDATE(B86,-12),'Data Core CPI'!$A:$AX,MATCH($H$1,'Data Core CPI'!$A$1:$AX$1,),))</f>
        <v/>
      </c>
      <c r="I86" s="20">
        <f>IF(VLOOKUP(B86,'Data Core CPI'!$A:$AX,MATCH($I$1,'Data Core CPI'!$A$1:$AX$1,),)=0,#N/A,(VLOOKUP(B86,'Data Core CPI'!$A:$AX,MATCH($I$1,'Data Core CPI'!$A$1:$AX$1,),)-VLOOKUP(EDATE(B86,-12),'Data Core CPI'!$A:$AX,MATCH($I$1,'Data Core CPI'!$A$1:$AX$1,),))/VLOOKUP(EDATE(B86,-12),'Data Core CPI'!$A:$AX,MATCH($I$1,'Data Core CPI'!$A$1:$AX$1,),))</f>
        <v/>
      </c>
      <c r="J86" s="20">
        <f>IF(VLOOKUP(B86,'Data Core CPI'!$A:$AX,MATCH($J$1,'Data Core CPI'!$A$1:$AX$1,),)=0,#N/A,(VLOOKUP(B86,'Data Core CPI'!$A:$AX,MATCH($J$1,'Data Core CPI'!$A$1:$AX$1,),)-VLOOKUP(EDATE(B86,-12),'Data Core CPI'!$A:$AX,MATCH($J$1,'Data Core CPI'!$A$1:$AX$1,),))/VLOOKUP(EDATE(B86,-12),'Data Core CPI'!$A:$AX,MATCH($J$1,'Data Core CPI'!$A$1:$AX$1,),))</f>
        <v/>
      </c>
      <c r="K86" s="20">
        <f>IF(VLOOKUP(B86,'Data Core CPI'!$A:$AX,MATCH($K$1,'Data Core CPI'!$A$1:$AX$1,),)=0,#N/A,(VLOOKUP(B86,'Data Core CPI'!$A:$AX,MATCH($K$1,'Data Core CPI'!$A$1:$AX$1,),)-VLOOKUP(EDATE(B86,-12),'Data Core CPI'!$A:$AX,MATCH($K$1,'Data Core CPI'!$A$1:$AX$1,),))/VLOOKUP(EDATE(B86,-12),'Data Core CPI'!$A:$AX,MATCH($K$1,'Data Core CPI'!$A$1:$AX$1,),))</f>
        <v/>
      </c>
      <c r="L86" s="20">
        <f>IF(VLOOKUP(B86,'Data Core CPI'!$A:$AX,MATCH($L$1,'Data Core CPI'!$A$1:$AX$1,),)=0,#N/A,(VLOOKUP(B86,'Data Core CPI'!$A:$AX,MATCH($L$1,'Data Core CPI'!$A$1:$AX$1,),)-VLOOKUP(EDATE(B86,-12),'Data Core CPI'!$A:$AX,MATCH($L$1,'Data Core CPI'!$A$1:$AX$1,),))/VLOOKUP(EDATE(B86,-12),'Data Core CPI'!$A:$AX,MATCH($L$1,'Data Core CPI'!$A$1:$AX$1,),))</f>
        <v/>
      </c>
      <c r="M86" s="20">
        <f>IF(VLOOKUP(B86,'Data Core CPI'!$A:$AX,MATCH($M$1,'Data Core CPI'!$A$1:$AX$1,),)=0,#N/A,(VLOOKUP(B86,'Data Core CPI'!$A:$AX,MATCH($M$1,'Data Core CPI'!$A$1:$AX$1,),)-VLOOKUP(EDATE(B86,-12),'Data Core CPI'!$A:$AX,MATCH($M$1,'Data Core CPI'!$A$1:$AX$1,),))/VLOOKUP(EDATE(B86,-12),'Data Core CPI'!$A:$AX,MATCH($M$1,'Data Core CPI'!$A$1:$AX$1,),))</f>
        <v/>
      </c>
      <c r="N86" s="20">
        <f>(VLOOKUP(B86,'Data Core CPI'!$A:$AX,MATCH($N$1,'Data Core CPI'!$A$1:$AX$1,),)-VLOOKUP(EDATE(B86,-12),'Data Core CPI'!$A:$AX,MATCH($N$1,'Data Core CPI'!$A$1:$AX$1,),))/VLOOKUP(EDATE(B86,-12),'Data Core CPI'!$A:$AX,MATCH($N$1,'Data Core CPI'!$A$1:$AX$1,),)</f>
        <v/>
      </c>
      <c r="O86" s="20">
        <f>(VLOOKUP(B86,'Data Core CPI'!$A:$AX,MATCH($O$1,'Data Core CPI'!$A$1:$AX$1,),)-VLOOKUP(EDATE(B86,-12),'Data Core CPI'!$A:$AX,MATCH($O$1,'Data Core CPI'!$A$1:$AX$1,),))/VLOOKUP(EDATE(B86,-12),'Data Core CPI'!$A:$AX,MATCH($O$1,'Data Core CPI'!$A$1:$AX$1,),)</f>
        <v/>
      </c>
      <c r="P86" s="20">
        <f>IF(VLOOKUP(B86,'Data Core CPI'!$A:$AX,MATCH($P$1,'Data Core CPI'!$A$1:$AX$1,),)=0,#N/A,(VLOOKUP(B86,'Data Core CPI'!$A:$AX,MATCH($P$1,'Data Core CPI'!$A$1:$AX$1,),)-VLOOKUP(EDATE(B86,-12),'Data Core CPI'!$A:$AX,MATCH($P$1,'Data Core CPI'!$A$1:$AX$1,),))/VLOOKUP(EDATE(B86,-12),'Data Core CPI'!$A:$AX,MATCH($P$1,'Data Core CPI'!$A$1:$AX$1,),))</f>
        <v/>
      </c>
      <c r="Q86" s="20">
        <f>(VLOOKUP(B86,'Data Core CPI'!$A:$AX,MATCH($Q$1,'Data Core CPI'!$A$1:$AX$1,),)-VLOOKUP(EDATE(B86,-12),'Data Core CPI'!$A:$AX,MATCH($Q$1,'Data Core CPI'!$A$1:$AX$1,),))/VLOOKUP(EDATE(B86,-12),'Data Core CPI'!$A:$AX,MATCH($Q$1,'Data Core CPI'!$A$1:$AX$1,),)</f>
        <v/>
      </c>
      <c r="R86" s="20">
        <f>IF(VLOOKUP(B86,'Data Core CPI'!$A:$AX,MATCH($R$1,'Data Core CPI'!$A$1:$AX$1,),)=0,#N/A,(VLOOKUP(B86,'Data Core CPI'!$A:$AX,MATCH($R$1,'Data Core CPI'!$A$1:$AX$1,),)-VLOOKUP(EDATE(B86,-12),'Data Core CPI'!$A:$AX,MATCH($R$1,'Data Core CPI'!$A$1:$AX$1,),))/VLOOKUP(EDATE(B86,-12),'Data Core CPI'!$A:$AX,MATCH($R$1,'Data Core CPI'!$A$1:$AX$1,),))</f>
        <v/>
      </c>
      <c r="S86" s="20">
        <f>(VLOOKUP(B86,'Data Core CPI'!$A:$AX,MATCH($S$1,'Data Core CPI'!$A$1:$AX$1,),)-VLOOKUP(EDATE(B86,-12),'Data Core CPI'!$A:$AX,MATCH($S$1,'Data Core CPI'!$A$1:$AX$1,),))/VLOOKUP(EDATE(B86,-12),'Data Core CPI'!$A:$AX,MATCH($S$1,'Data Core CPI'!$A$1:$AX$1,),)</f>
        <v/>
      </c>
      <c r="T86" s="20">
        <f>(VLOOKUP(B86,'Data Core CPI'!$A:$AX,MATCH($T$1,'Data Core CPI'!$A$1:$AX$1,),)-VLOOKUP(EDATE(B86,-12),'Data Core CPI'!$A:$AX,MATCH($T$1,'Data Core CPI'!$A$1:$AX$1,),))/VLOOKUP(EDATE(B86,-12),'Data Core CPI'!$A:$AX,MATCH($T$1,'Data Core CPI'!$A$1:$AX$1,),)</f>
        <v/>
      </c>
      <c r="U86" s="20">
        <f>IF(VLOOKUP(B86,'Data Core CPI'!$A:$AX,MATCH($U$1,'Data Core CPI'!$A$1:$AX$1,),)=0,#N/A,(VLOOKUP(B86,'Data Core CPI'!$A:$AX,MATCH($U$1,'Data Core CPI'!$A$1:$AX$1,),)-VLOOKUP(EDATE(B86,-12),'Data Core CPI'!$A:$AX,MATCH($U$1,'Data Core CPI'!$A$1:$AX$1,),))/VLOOKUP(EDATE(B86,-12),'Data Core CPI'!$A:$AX,MATCH($U$1,'Data Core CPI'!$A$1:$AX$1,),))</f>
        <v/>
      </c>
      <c r="V86" s="20">
        <f>(VLOOKUP(B86,'Data Core CPI'!$A:$AX,MATCH($V$1,'Data Core CPI'!$A$1:$AX$1,),)-VLOOKUP(EDATE(B86,-12),'Data Core CPI'!$A:$AX,MATCH($V$1,'Data Core CPI'!$A$1:$AX$1,),))/VLOOKUP(EDATE(B86,-12),'Data Core CPI'!$A:$AX,MATCH($V$1,'Data Core CPI'!$A$1:$AX$1,),)</f>
        <v/>
      </c>
      <c r="W86" s="20">
        <f>IF(VLOOKUP(B86,'Data Core CPI'!$A:$AX,MATCH($W$1,'Data Core CPI'!$A$1:$AX$1,),)=0,#N/A,(VLOOKUP(B86,'Data Core CPI'!$A:$AX,MATCH($W$1,'Data Core CPI'!$A$1:$AX$1,),)-VLOOKUP(EDATE(B86,-12),'Data Core CPI'!$A:$AX,MATCH($W$1,'Data Core CPI'!$A$1:$AX$1,),))/VLOOKUP(EDATE(B86,-12),'Data Core CPI'!$A:$AX,MATCH($W$1,'Data Core CPI'!$A$1:$AX$1,),))</f>
        <v/>
      </c>
      <c r="X86" s="20">
        <f>IF(VLOOKUP(B86,'Data Core CPI'!$A:$AX,MATCH($X$1,'Data Core CPI'!$A$1:$AX$1,),)=0,#N/A,(VLOOKUP(B86,'Data Core CPI'!$A:$AX,MATCH($X$1,'Data Core CPI'!$A$1:$AX$1,),)-VLOOKUP(EDATE(B86,-12),'Data Core CPI'!$A:$AX,MATCH($X$1,'Data Core CPI'!$A$1:$AX$1,),))/VLOOKUP(EDATE(B86,-12),'Data Core CPI'!$A:$AX,MATCH($X$1,'Data Core CPI'!$A$1:$AX$1,),))</f>
        <v/>
      </c>
      <c r="Y86" s="20">
        <f>IF(VLOOKUP(B86,'Data Core CPI'!$A:$AX,MATCH($Y$1,'Data Core CPI'!$A$1:$AX$1,),)=0,#N/A,(VLOOKUP(B86,'Data Core CPI'!$A:$AX,MATCH($Y$1,'Data Core CPI'!$A$1:$AX$1,),)-VLOOKUP(EDATE(B86,-12),'Data Core CPI'!$A:$AX,MATCH($Y$1,'Data Core CPI'!$A$1:$AX$1,),))/VLOOKUP(EDATE(B86,-12),'Data Core CPI'!$A:$AX,MATCH($Y$1,'Data Core CPI'!$A$1:$AX$1,),))</f>
        <v/>
      </c>
      <c r="Z86" s="20">
        <f>(VLOOKUP(B86,Data!$A:$AX,MATCH($Z$1,Data!$A$1:$AX$1,),)-VLOOKUP(EDATE(B86,-12),Data!$A:$AX,MATCH($Z$1,Data!$A$1:$AX$1,),))/VLOOKUP(EDATE(B86,-12),Data!$A:$AX,MATCH($Z$1,Data!$A$1:$AX$1,),)</f>
        <v/>
      </c>
      <c r="AA86" s="20">
        <f>(VLOOKUP(B86,Data!$A:$AX,MATCH($AA$1,Data!$A$1:$AX$1,),)-VLOOKUP(EDATE(B86,-12),Data!$A:$AX,MATCH($AA$1,Data!$A$1:$AX$1,),))/VLOOKUP(EDATE(B86,-12),Data!$A:$AX,MATCH($AA$1,Data!$A$1:$AX$1,),)</f>
        <v/>
      </c>
      <c r="AB86" s="19" t="n"/>
    </row>
    <row r="87">
      <c r="B87" s="15" t="n">
        <v>42856</v>
      </c>
      <c r="C87" s="20">
        <f>IF(VLOOKUP(B87,'Data Core CPI'!$A:$AX,MATCH($C$1,'Data Core CPI'!$A$1:$AX$1,),)=0,#N/A,(VLOOKUP(B87,'Data Core CPI'!$A:$AX,MATCH($C$1,'Data Core CPI'!$A$1:$AX$1,),)-VLOOKUP(EDATE(B87,-12),'Data Core CPI'!$A:$AX,MATCH($C$1,'Data Core CPI'!$A$1:$AX$1,),))/VLOOKUP(EDATE(B87,-12),'Data Core CPI'!$A:$AX,MATCH($C$1,'Data Core CPI'!$A$1:$AX$1,),))</f>
        <v/>
      </c>
      <c r="D87" s="20">
        <f>(VLOOKUP(B87,'Data Core CPI'!$A:$AX,MATCH($D$1,'Data Core CPI'!$A$1:$AX$1,),)-VLOOKUP(EDATE(B87,-12),'Data Core CPI'!$A:$AX,MATCH($D$1,'Data Core CPI'!$A$1:$AX$1,),))/VLOOKUP(EDATE(B87,-12),'Data Core CPI'!$A:$AX,MATCH($D$1,'Data Core CPI'!$A$1:$AX$1,),)</f>
        <v/>
      </c>
      <c r="E87" s="20">
        <f>IF(VLOOKUP(B87,'Data Core CPI'!$A:$AX,MATCH($E$1,'Data Core CPI'!$A$1:$AX$1,),)=0,#N/A,(VLOOKUP(B87,'Data Core CPI'!$A:$AX,MATCH($E$1,'Data Core CPI'!$A$1:$AX$1,),)-VLOOKUP(EDATE(B87,-12),'Data Core CPI'!$A:$AX,MATCH($E$1,'Data Core CPI'!$A$1:$AX$1,),))/VLOOKUP(EDATE(B87,-12),'Data Core CPI'!$A:$AX,MATCH($E$1,'Data Core CPI'!$A$1:$AX$1,),))</f>
        <v/>
      </c>
      <c r="F87" s="20">
        <f>IF(VLOOKUP(B87,'Data Core CPI'!$A:$AX,MATCH($F$1,'Data Core CPI'!$A$1:$AX$1,),)=0,#N/A,(VLOOKUP(B87,'Data Core CPI'!$A:$AX,MATCH($F$1,'Data Core CPI'!$A$1:$AX$1,),)-VLOOKUP(EDATE(B87,-12),'Data Core CPI'!$A:$AX,MATCH($F$1,'Data Core CPI'!$A$1:$AX$1,),))/VLOOKUP(EDATE(B87,-12),'Data Core CPI'!$A:$AX,MATCH($F$1,'Data Core CPI'!$A$1:$AX$1,),))</f>
        <v/>
      </c>
      <c r="G87" s="20">
        <f>IF(VLOOKUP(B87,'Data Core CPI'!$A:$AX,MATCH($G$1,'Data Core CPI'!$A$1:$AX$1,),)=0,#N/A,(VLOOKUP(B87,'Data Core CPI'!$A:$AX,MATCH($G$1,'Data Core CPI'!$A$1:$AX$1,),)-VLOOKUP(EDATE(B87,-12),'Data Core CPI'!$A:$AX,MATCH($G$1,'Data Core CPI'!$A$1:$AX$1,),))/VLOOKUP(EDATE(B87,-12),'Data Core CPI'!$A:$AX,MATCH($G$1,'Data Core CPI'!$A$1:$AX$1,),))</f>
        <v/>
      </c>
      <c r="H87" s="20">
        <f>IF(VLOOKUP(B87,'Data Core CPI'!$A:$AX,MATCH($H$1,'Data Core CPI'!$A$1:$AX$1,),)=0,#N/A,(VLOOKUP(B87,'Data Core CPI'!$A:$AX,MATCH($H$1,'Data Core CPI'!$A$1:$AX$1,),)-VLOOKUP(EDATE(B87,-12),'Data Core CPI'!$A:$AX,MATCH($H$1,'Data Core CPI'!$A$1:$AX$1,),))/VLOOKUP(EDATE(B87,-12),'Data Core CPI'!$A:$AX,MATCH($H$1,'Data Core CPI'!$A$1:$AX$1,),))</f>
        <v/>
      </c>
      <c r="I87" s="20">
        <f>IF(VLOOKUP(B87,'Data Core CPI'!$A:$AX,MATCH($I$1,'Data Core CPI'!$A$1:$AX$1,),)=0,#N/A,(VLOOKUP(B87,'Data Core CPI'!$A:$AX,MATCH($I$1,'Data Core CPI'!$A$1:$AX$1,),)-VLOOKUP(EDATE(B87,-12),'Data Core CPI'!$A:$AX,MATCH($I$1,'Data Core CPI'!$A$1:$AX$1,),))/VLOOKUP(EDATE(B87,-12),'Data Core CPI'!$A:$AX,MATCH($I$1,'Data Core CPI'!$A$1:$AX$1,),))</f>
        <v/>
      </c>
      <c r="J87" s="20">
        <f>IF(VLOOKUP(B87,'Data Core CPI'!$A:$AX,MATCH($J$1,'Data Core CPI'!$A$1:$AX$1,),)=0,#N/A,(VLOOKUP(B87,'Data Core CPI'!$A:$AX,MATCH($J$1,'Data Core CPI'!$A$1:$AX$1,),)-VLOOKUP(EDATE(B87,-12),'Data Core CPI'!$A:$AX,MATCH($J$1,'Data Core CPI'!$A$1:$AX$1,),))/VLOOKUP(EDATE(B87,-12),'Data Core CPI'!$A:$AX,MATCH($J$1,'Data Core CPI'!$A$1:$AX$1,),))</f>
        <v/>
      </c>
      <c r="K87" s="20">
        <f>IF(VLOOKUP(B87,'Data Core CPI'!$A:$AX,MATCH($K$1,'Data Core CPI'!$A$1:$AX$1,),)=0,#N/A,(VLOOKUP(B87,'Data Core CPI'!$A:$AX,MATCH($K$1,'Data Core CPI'!$A$1:$AX$1,),)-VLOOKUP(EDATE(B87,-12),'Data Core CPI'!$A:$AX,MATCH($K$1,'Data Core CPI'!$A$1:$AX$1,),))/VLOOKUP(EDATE(B87,-12),'Data Core CPI'!$A:$AX,MATCH($K$1,'Data Core CPI'!$A$1:$AX$1,),))</f>
        <v/>
      </c>
      <c r="L87" s="20">
        <f>IF(VLOOKUP(B87,'Data Core CPI'!$A:$AX,MATCH($L$1,'Data Core CPI'!$A$1:$AX$1,),)=0,#N/A,(VLOOKUP(B87,'Data Core CPI'!$A:$AX,MATCH($L$1,'Data Core CPI'!$A$1:$AX$1,),)-VLOOKUP(EDATE(B87,-12),'Data Core CPI'!$A:$AX,MATCH($L$1,'Data Core CPI'!$A$1:$AX$1,),))/VLOOKUP(EDATE(B87,-12),'Data Core CPI'!$A:$AX,MATCH($L$1,'Data Core CPI'!$A$1:$AX$1,),))</f>
        <v/>
      </c>
      <c r="M87" s="20">
        <f>IF(VLOOKUP(B87,'Data Core CPI'!$A:$AX,MATCH($M$1,'Data Core CPI'!$A$1:$AX$1,),)=0,#N/A,(VLOOKUP(B87,'Data Core CPI'!$A:$AX,MATCH($M$1,'Data Core CPI'!$A$1:$AX$1,),)-VLOOKUP(EDATE(B87,-12),'Data Core CPI'!$A:$AX,MATCH($M$1,'Data Core CPI'!$A$1:$AX$1,),))/VLOOKUP(EDATE(B87,-12),'Data Core CPI'!$A:$AX,MATCH($M$1,'Data Core CPI'!$A$1:$AX$1,),))</f>
        <v/>
      </c>
      <c r="N87" s="20">
        <f>(VLOOKUP(B87,'Data Core CPI'!$A:$AX,MATCH($N$1,'Data Core CPI'!$A$1:$AX$1,),)-VLOOKUP(EDATE(B87,-12),'Data Core CPI'!$A:$AX,MATCH($N$1,'Data Core CPI'!$A$1:$AX$1,),))/VLOOKUP(EDATE(B87,-12),'Data Core CPI'!$A:$AX,MATCH($N$1,'Data Core CPI'!$A$1:$AX$1,),)</f>
        <v/>
      </c>
      <c r="O87" s="20">
        <f>(VLOOKUP(B87,'Data Core CPI'!$A:$AX,MATCH($O$1,'Data Core CPI'!$A$1:$AX$1,),)-VLOOKUP(EDATE(B87,-12),'Data Core CPI'!$A:$AX,MATCH($O$1,'Data Core CPI'!$A$1:$AX$1,),))/VLOOKUP(EDATE(B87,-12),'Data Core CPI'!$A:$AX,MATCH($O$1,'Data Core CPI'!$A$1:$AX$1,),)</f>
        <v/>
      </c>
      <c r="P87" s="20">
        <f>IF(VLOOKUP(B87,'Data Core CPI'!$A:$AX,MATCH($P$1,'Data Core CPI'!$A$1:$AX$1,),)=0,#N/A,(VLOOKUP(B87,'Data Core CPI'!$A:$AX,MATCH($P$1,'Data Core CPI'!$A$1:$AX$1,),)-VLOOKUP(EDATE(B87,-12),'Data Core CPI'!$A:$AX,MATCH($P$1,'Data Core CPI'!$A$1:$AX$1,),))/VLOOKUP(EDATE(B87,-12),'Data Core CPI'!$A:$AX,MATCH($P$1,'Data Core CPI'!$A$1:$AX$1,),))</f>
        <v/>
      </c>
      <c r="Q87" s="20">
        <f>(VLOOKUP(B87,'Data Core CPI'!$A:$AX,MATCH($Q$1,'Data Core CPI'!$A$1:$AX$1,),)-VLOOKUP(EDATE(B87,-12),'Data Core CPI'!$A:$AX,MATCH($Q$1,'Data Core CPI'!$A$1:$AX$1,),))/VLOOKUP(EDATE(B87,-12),'Data Core CPI'!$A:$AX,MATCH($Q$1,'Data Core CPI'!$A$1:$AX$1,),)</f>
        <v/>
      </c>
      <c r="R87" s="20">
        <f>IF(VLOOKUP(B87,'Data Core CPI'!$A:$AX,MATCH($R$1,'Data Core CPI'!$A$1:$AX$1,),)=0,#N/A,(VLOOKUP(B87,'Data Core CPI'!$A:$AX,MATCH($R$1,'Data Core CPI'!$A$1:$AX$1,),)-VLOOKUP(EDATE(B87,-12),'Data Core CPI'!$A:$AX,MATCH($R$1,'Data Core CPI'!$A$1:$AX$1,),))/VLOOKUP(EDATE(B87,-12),'Data Core CPI'!$A:$AX,MATCH($R$1,'Data Core CPI'!$A$1:$AX$1,),))</f>
        <v/>
      </c>
      <c r="S87" s="20">
        <f>(VLOOKUP(B87,'Data Core CPI'!$A:$AX,MATCH($S$1,'Data Core CPI'!$A$1:$AX$1,),)-VLOOKUP(EDATE(B87,-12),'Data Core CPI'!$A:$AX,MATCH($S$1,'Data Core CPI'!$A$1:$AX$1,),))/VLOOKUP(EDATE(B87,-12),'Data Core CPI'!$A:$AX,MATCH($S$1,'Data Core CPI'!$A$1:$AX$1,),)</f>
        <v/>
      </c>
      <c r="T87" s="20">
        <f>(VLOOKUP(B87,'Data Core CPI'!$A:$AX,MATCH($T$1,'Data Core CPI'!$A$1:$AX$1,),)-VLOOKUP(EDATE(B87,-12),'Data Core CPI'!$A:$AX,MATCH($T$1,'Data Core CPI'!$A$1:$AX$1,),))/VLOOKUP(EDATE(B87,-12),'Data Core CPI'!$A:$AX,MATCH($T$1,'Data Core CPI'!$A$1:$AX$1,),)</f>
        <v/>
      </c>
      <c r="U87" s="20">
        <f>IF(VLOOKUP(B87,'Data Core CPI'!$A:$AX,MATCH($U$1,'Data Core CPI'!$A$1:$AX$1,),)=0,#N/A,(VLOOKUP(B87,'Data Core CPI'!$A:$AX,MATCH($U$1,'Data Core CPI'!$A$1:$AX$1,),)-VLOOKUP(EDATE(B87,-12),'Data Core CPI'!$A:$AX,MATCH($U$1,'Data Core CPI'!$A$1:$AX$1,),))/VLOOKUP(EDATE(B87,-12),'Data Core CPI'!$A:$AX,MATCH($U$1,'Data Core CPI'!$A$1:$AX$1,),))</f>
        <v/>
      </c>
      <c r="V87" s="20">
        <f>(VLOOKUP(B87,'Data Core CPI'!$A:$AX,MATCH($V$1,'Data Core CPI'!$A$1:$AX$1,),)-VLOOKUP(EDATE(B87,-12),'Data Core CPI'!$A:$AX,MATCH($V$1,'Data Core CPI'!$A$1:$AX$1,),))/VLOOKUP(EDATE(B87,-12),'Data Core CPI'!$A:$AX,MATCH($V$1,'Data Core CPI'!$A$1:$AX$1,),)</f>
        <v/>
      </c>
      <c r="W87" s="20">
        <f>IF(VLOOKUP(B87,'Data Core CPI'!$A:$AX,MATCH($W$1,'Data Core CPI'!$A$1:$AX$1,),)=0,#N/A,(VLOOKUP(B87,'Data Core CPI'!$A:$AX,MATCH($W$1,'Data Core CPI'!$A$1:$AX$1,),)-VLOOKUP(EDATE(B87,-12),'Data Core CPI'!$A:$AX,MATCH($W$1,'Data Core CPI'!$A$1:$AX$1,),))/VLOOKUP(EDATE(B87,-12),'Data Core CPI'!$A:$AX,MATCH($W$1,'Data Core CPI'!$A$1:$AX$1,),))</f>
        <v/>
      </c>
      <c r="X87" s="20">
        <f>IF(VLOOKUP(B87,'Data Core CPI'!$A:$AX,MATCH($X$1,'Data Core CPI'!$A$1:$AX$1,),)=0,#N/A,(VLOOKUP(B87,'Data Core CPI'!$A:$AX,MATCH($X$1,'Data Core CPI'!$A$1:$AX$1,),)-VLOOKUP(EDATE(B87,-12),'Data Core CPI'!$A:$AX,MATCH($X$1,'Data Core CPI'!$A$1:$AX$1,),))/VLOOKUP(EDATE(B87,-12),'Data Core CPI'!$A:$AX,MATCH($X$1,'Data Core CPI'!$A$1:$AX$1,),))</f>
        <v/>
      </c>
      <c r="Y87" s="20">
        <f>IF(VLOOKUP(B87,'Data Core CPI'!$A:$AX,MATCH($Y$1,'Data Core CPI'!$A$1:$AX$1,),)=0,#N/A,(VLOOKUP(B87,'Data Core CPI'!$A:$AX,MATCH($Y$1,'Data Core CPI'!$A$1:$AX$1,),)-VLOOKUP(EDATE(B87,-12),'Data Core CPI'!$A:$AX,MATCH($Y$1,'Data Core CPI'!$A$1:$AX$1,),))/VLOOKUP(EDATE(B87,-12),'Data Core CPI'!$A:$AX,MATCH($Y$1,'Data Core CPI'!$A$1:$AX$1,),))</f>
        <v/>
      </c>
      <c r="Z87" s="20">
        <f>(VLOOKUP(B87,Data!$A:$AX,MATCH($Z$1,Data!$A$1:$AX$1,),)-VLOOKUP(EDATE(B87,-12),Data!$A:$AX,MATCH($Z$1,Data!$A$1:$AX$1,),))/VLOOKUP(EDATE(B87,-12),Data!$A:$AX,MATCH($Z$1,Data!$A$1:$AX$1,),)</f>
        <v/>
      </c>
      <c r="AA87" s="20">
        <f>(VLOOKUP(B87,Data!$A:$AX,MATCH($AA$1,Data!$A$1:$AX$1,),)-VLOOKUP(EDATE(B87,-12),Data!$A:$AX,MATCH($AA$1,Data!$A$1:$AX$1,),))/VLOOKUP(EDATE(B87,-12),Data!$A:$AX,MATCH($AA$1,Data!$A$1:$AX$1,),)</f>
        <v/>
      </c>
      <c r="AB87" s="19" t="n"/>
    </row>
    <row r="88">
      <c r="B88" s="15" t="n">
        <v>42887</v>
      </c>
      <c r="C88" s="20">
        <f>IF(VLOOKUP(B88,'Data Core CPI'!$A:$AX,MATCH($C$1,'Data Core CPI'!$A$1:$AX$1,),)=0,#N/A,(VLOOKUP(B88,'Data Core CPI'!$A:$AX,MATCH($C$1,'Data Core CPI'!$A$1:$AX$1,),)-VLOOKUP(EDATE(B88,-12),'Data Core CPI'!$A:$AX,MATCH($C$1,'Data Core CPI'!$A$1:$AX$1,),))/VLOOKUP(EDATE(B88,-12),'Data Core CPI'!$A:$AX,MATCH($C$1,'Data Core CPI'!$A$1:$AX$1,),))</f>
        <v/>
      </c>
      <c r="D88" s="20">
        <f>(VLOOKUP(B88,'Data Core CPI'!$A:$AX,MATCH($D$1,'Data Core CPI'!$A$1:$AX$1,),)-VLOOKUP(EDATE(B88,-12),'Data Core CPI'!$A:$AX,MATCH($D$1,'Data Core CPI'!$A$1:$AX$1,),))/VLOOKUP(EDATE(B88,-12),'Data Core CPI'!$A:$AX,MATCH($D$1,'Data Core CPI'!$A$1:$AX$1,),)</f>
        <v/>
      </c>
      <c r="E88" s="20">
        <f>IF(VLOOKUP(B88,'Data Core CPI'!$A:$AX,MATCH($E$1,'Data Core CPI'!$A$1:$AX$1,),)=0,#N/A,(VLOOKUP(B88,'Data Core CPI'!$A:$AX,MATCH($E$1,'Data Core CPI'!$A$1:$AX$1,),)-VLOOKUP(EDATE(B88,-12),'Data Core CPI'!$A:$AX,MATCH($E$1,'Data Core CPI'!$A$1:$AX$1,),))/VLOOKUP(EDATE(B88,-12),'Data Core CPI'!$A:$AX,MATCH($E$1,'Data Core CPI'!$A$1:$AX$1,),))</f>
        <v/>
      </c>
      <c r="F88" s="20">
        <f>IF(VLOOKUP(B88,'Data Core CPI'!$A:$AX,MATCH($F$1,'Data Core CPI'!$A$1:$AX$1,),)=0,#N/A,(VLOOKUP(B88,'Data Core CPI'!$A:$AX,MATCH($F$1,'Data Core CPI'!$A$1:$AX$1,),)-VLOOKUP(EDATE(B88,-12),'Data Core CPI'!$A:$AX,MATCH($F$1,'Data Core CPI'!$A$1:$AX$1,),))/VLOOKUP(EDATE(B88,-12),'Data Core CPI'!$A:$AX,MATCH($F$1,'Data Core CPI'!$A$1:$AX$1,),))</f>
        <v/>
      </c>
      <c r="G88" s="20">
        <f>IF(VLOOKUP(B88,'Data Core CPI'!$A:$AX,MATCH($G$1,'Data Core CPI'!$A$1:$AX$1,),)=0,#N/A,(VLOOKUP(B88,'Data Core CPI'!$A:$AX,MATCH($G$1,'Data Core CPI'!$A$1:$AX$1,),)-VLOOKUP(EDATE(B88,-12),'Data Core CPI'!$A:$AX,MATCH($G$1,'Data Core CPI'!$A$1:$AX$1,),))/VLOOKUP(EDATE(B88,-12),'Data Core CPI'!$A:$AX,MATCH($G$1,'Data Core CPI'!$A$1:$AX$1,),))</f>
        <v/>
      </c>
      <c r="H88" s="20">
        <f>IF(VLOOKUP(B88,'Data Core CPI'!$A:$AX,MATCH($H$1,'Data Core CPI'!$A$1:$AX$1,),)=0,#N/A,(VLOOKUP(B88,'Data Core CPI'!$A:$AX,MATCH($H$1,'Data Core CPI'!$A$1:$AX$1,),)-VLOOKUP(EDATE(B88,-12),'Data Core CPI'!$A:$AX,MATCH($H$1,'Data Core CPI'!$A$1:$AX$1,),))/VLOOKUP(EDATE(B88,-12),'Data Core CPI'!$A:$AX,MATCH($H$1,'Data Core CPI'!$A$1:$AX$1,),))</f>
        <v/>
      </c>
      <c r="I88" s="20">
        <f>IF(VLOOKUP(B88,'Data Core CPI'!$A:$AX,MATCH($I$1,'Data Core CPI'!$A$1:$AX$1,),)=0,#N/A,(VLOOKUP(B88,'Data Core CPI'!$A:$AX,MATCH($I$1,'Data Core CPI'!$A$1:$AX$1,),)-VLOOKUP(EDATE(B88,-12),'Data Core CPI'!$A:$AX,MATCH($I$1,'Data Core CPI'!$A$1:$AX$1,),))/VLOOKUP(EDATE(B88,-12),'Data Core CPI'!$A:$AX,MATCH($I$1,'Data Core CPI'!$A$1:$AX$1,),))</f>
        <v/>
      </c>
      <c r="J88" s="20">
        <f>IF(VLOOKUP(B88,'Data Core CPI'!$A:$AX,MATCH($J$1,'Data Core CPI'!$A$1:$AX$1,),)=0,#N/A,(VLOOKUP(B88,'Data Core CPI'!$A:$AX,MATCH($J$1,'Data Core CPI'!$A$1:$AX$1,),)-VLOOKUP(EDATE(B88,-12),'Data Core CPI'!$A:$AX,MATCH($J$1,'Data Core CPI'!$A$1:$AX$1,),))/VLOOKUP(EDATE(B88,-12),'Data Core CPI'!$A:$AX,MATCH($J$1,'Data Core CPI'!$A$1:$AX$1,),))</f>
        <v/>
      </c>
      <c r="K88" s="20">
        <f>IF(VLOOKUP(B88,'Data Core CPI'!$A:$AX,MATCH($K$1,'Data Core CPI'!$A$1:$AX$1,),)=0,#N/A,(VLOOKUP(B88,'Data Core CPI'!$A:$AX,MATCH($K$1,'Data Core CPI'!$A$1:$AX$1,),)-VLOOKUP(EDATE(B88,-12),'Data Core CPI'!$A:$AX,MATCH($K$1,'Data Core CPI'!$A$1:$AX$1,),))/VLOOKUP(EDATE(B88,-12),'Data Core CPI'!$A:$AX,MATCH($K$1,'Data Core CPI'!$A$1:$AX$1,),))</f>
        <v/>
      </c>
      <c r="L88" s="20">
        <f>IF(VLOOKUP(B88,'Data Core CPI'!$A:$AX,MATCH($L$1,'Data Core CPI'!$A$1:$AX$1,),)=0,#N/A,(VLOOKUP(B88,'Data Core CPI'!$A:$AX,MATCH($L$1,'Data Core CPI'!$A$1:$AX$1,),)-VLOOKUP(EDATE(B88,-12),'Data Core CPI'!$A:$AX,MATCH($L$1,'Data Core CPI'!$A$1:$AX$1,),))/VLOOKUP(EDATE(B88,-12),'Data Core CPI'!$A:$AX,MATCH($L$1,'Data Core CPI'!$A$1:$AX$1,),))</f>
        <v/>
      </c>
      <c r="M88" s="20">
        <f>IF(VLOOKUP(B88,'Data Core CPI'!$A:$AX,MATCH($M$1,'Data Core CPI'!$A$1:$AX$1,),)=0,#N/A,(VLOOKUP(B88,'Data Core CPI'!$A:$AX,MATCH($M$1,'Data Core CPI'!$A$1:$AX$1,),)-VLOOKUP(EDATE(B88,-12),'Data Core CPI'!$A:$AX,MATCH($M$1,'Data Core CPI'!$A$1:$AX$1,),))/VLOOKUP(EDATE(B88,-12),'Data Core CPI'!$A:$AX,MATCH($M$1,'Data Core CPI'!$A$1:$AX$1,),))</f>
        <v/>
      </c>
      <c r="N88" s="20">
        <f>(VLOOKUP(B88,'Data Core CPI'!$A:$AX,MATCH($N$1,'Data Core CPI'!$A$1:$AX$1,),)-VLOOKUP(EDATE(B88,-12),'Data Core CPI'!$A:$AX,MATCH($N$1,'Data Core CPI'!$A$1:$AX$1,),))/VLOOKUP(EDATE(B88,-12),'Data Core CPI'!$A:$AX,MATCH($N$1,'Data Core CPI'!$A$1:$AX$1,),)</f>
        <v/>
      </c>
      <c r="O88" s="20">
        <f>(VLOOKUP(B88,'Data Core CPI'!$A:$AX,MATCH($O$1,'Data Core CPI'!$A$1:$AX$1,),)-VLOOKUP(EDATE(B88,-12),'Data Core CPI'!$A:$AX,MATCH($O$1,'Data Core CPI'!$A$1:$AX$1,),))/VLOOKUP(EDATE(B88,-12),'Data Core CPI'!$A:$AX,MATCH($O$1,'Data Core CPI'!$A$1:$AX$1,),)</f>
        <v/>
      </c>
      <c r="P88" s="20">
        <f>IF(VLOOKUP(B88,'Data Core CPI'!$A:$AX,MATCH($P$1,'Data Core CPI'!$A$1:$AX$1,),)=0,#N/A,(VLOOKUP(B88,'Data Core CPI'!$A:$AX,MATCH($P$1,'Data Core CPI'!$A$1:$AX$1,),)-VLOOKUP(EDATE(B88,-12),'Data Core CPI'!$A:$AX,MATCH($P$1,'Data Core CPI'!$A$1:$AX$1,),))/VLOOKUP(EDATE(B88,-12),'Data Core CPI'!$A:$AX,MATCH($P$1,'Data Core CPI'!$A$1:$AX$1,),))</f>
        <v/>
      </c>
      <c r="Q88" s="20">
        <f>(VLOOKUP(B88,'Data Core CPI'!$A:$AX,MATCH($Q$1,'Data Core CPI'!$A$1:$AX$1,),)-VLOOKUP(EDATE(B88,-12),'Data Core CPI'!$A:$AX,MATCH($Q$1,'Data Core CPI'!$A$1:$AX$1,),))/VLOOKUP(EDATE(B88,-12),'Data Core CPI'!$A:$AX,MATCH($Q$1,'Data Core CPI'!$A$1:$AX$1,),)</f>
        <v/>
      </c>
      <c r="R88" s="20">
        <f>IF(VLOOKUP(B88,'Data Core CPI'!$A:$AX,MATCH($R$1,'Data Core CPI'!$A$1:$AX$1,),)=0,#N/A,(VLOOKUP(B88,'Data Core CPI'!$A:$AX,MATCH($R$1,'Data Core CPI'!$A$1:$AX$1,),)-VLOOKUP(EDATE(B88,-12),'Data Core CPI'!$A:$AX,MATCH($R$1,'Data Core CPI'!$A$1:$AX$1,),))/VLOOKUP(EDATE(B88,-12),'Data Core CPI'!$A:$AX,MATCH($R$1,'Data Core CPI'!$A$1:$AX$1,),))</f>
        <v/>
      </c>
      <c r="S88" s="20">
        <f>(VLOOKUP(B88,'Data Core CPI'!$A:$AX,MATCH($S$1,'Data Core CPI'!$A$1:$AX$1,),)-VLOOKUP(EDATE(B88,-12),'Data Core CPI'!$A:$AX,MATCH($S$1,'Data Core CPI'!$A$1:$AX$1,),))/VLOOKUP(EDATE(B88,-12),'Data Core CPI'!$A:$AX,MATCH($S$1,'Data Core CPI'!$A$1:$AX$1,),)</f>
        <v/>
      </c>
      <c r="T88" s="20">
        <f>(VLOOKUP(B88,'Data Core CPI'!$A:$AX,MATCH($T$1,'Data Core CPI'!$A$1:$AX$1,),)-VLOOKUP(EDATE(B88,-12),'Data Core CPI'!$A:$AX,MATCH($T$1,'Data Core CPI'!$A$1:$AX$1,),))/VLOOKUP(EDATE(B88,-12),'Data Core CPI'!$A:$AX,MATCH($T$1,'Data Core CPI'!$A$1:$AX$1,),)</f>
        <v/>
      </c>
      <c r="U88" s="20">
        <f>IF(VLOOKUP(B88,'Data Core CPI'!$A:$AX,MATCH($U$1,'Data Core CPI'!$A$1:$AX$1,),)=0,#N/A,(VLOOKUP(B88,'Data Core CPI'!$A:$AX,MATCH($U$1,'Data Core CPI'!$A$1:$AX$1,),)-VLOOKUP(EDATE(B88,-12),'Data Core CPI'!$A:$AX,MATCH($U$1,'Data Core CPI'!$A$1:$AX$1,),))/VLOOKUP(EDATE(B88,-12),'Data Core CPI'!$A:$AX,MATCH($U$1,'Data Core CPI'!$A$1:$AX$1,),))</f>
        <v/>
      </c>
      <c r="V88" s="20">
        <f>(VLOOKUP(B88,'Data Core CPI'!$A:$AX,MATCH($V$1,'Data Core CPI'!$A$1:$AX$1,),)-VLOOKUP(EDATE(B88,-12),'Data Core CPI'!$A:$AX,MATCH($V$1,'Data Core CPI'!$A$1:$AX$1,),))/VLOOKUP(EDATE(B88,-12),'Data Core CPI'!$A:$AX,MATCH($V$1,'Data Core CPI'!$A$1:$AX$1,),)</f>
        <v/>
      </c>
      <c r="W88" s="20">
        <f>IF(VLOOKUP(B88,'Data Core CPI'!$A:$AX,MATCH($W$1,'Data Core CPI'!$A$1:$AX$1,),)=0,#N/A,(VLOOKUP(B88,'Data Core CPI'!$A:$AX,MATCH($W$1,'Data Core CPI'!$A$1:$AX$1,),)-VLOOKUP(EDATE(B88,-12),'Data Core CPI'!$A:$AX,MATCH($W$1,'Data Core CPI'!$A$1:$AX$1,),))/VLOOKUP(EDATE(B88,-12),'Data Core CPI'!$A:$AX,MATCH($W$1,'Data Core CPI'!$A$1:$AX$1,),))</f>
        <v/>
      </c>
      <c r="X88" s="20">
        <f>IF(VLOOKUP(B88,'Data Core CPI'!$A:$AX,MATCH($X$1,'Data Core CPI'!$A$1:$AX$1,),)=0,#N/A,(VLOOKUP(B88,'Data Core CPI'!$A:$AX,MATCH($X$1,'Data Core CPI'!$A$1:$AX$1,),)-VLOOKUP(EDATE(B88,-12),'Data Core CPI'!$A:$AX,MATCH($X$1,'Data Core CPI'!$A$1:$AX$1,),))/VLOOKUP(EDATE(B88,-12),'Data Core CPI'!$A:$AX,MATCH($X$1,'Data Core CPI'!$A$1:$AX$1,),))</f>
        <v/>
      </c>
      <c r="Y88" s="20">
        <f>IF(VLOOKUP(B88,'Data Core CPI'!$A:$AX,MATCH($Y$1,'Data Core CPI'!$A$1:$AX$1,),)=0,#N/A,(VLOOKUP(B88,'Data Core CPI'!$A:$AX,MATCH($Y$1,'Data Core CPI'!$A$1:$AX$1,),)-VLOOKUP(EDATE(B88,-12),'Data Core CPI'!$A:$AX,MATCH($Y$1,'Data Core CPI'!$A$1:$AX$1,),))/VLOOKUP(EDATE(B88,-12),'Data Core CPI'!$A:$AX,MATCH($Y$1,'Data Core CPI'!$A$1:$AX$1,),))</f>
        <v/>
      </c>
      <c r="Z88" s="20">
        <f>(VLOOKUP(B88,Data!$A:$AX,MATCH($Z$1,Data!$A$1:$AX$1,),)-VLOOKUP(EDATE(B88,-12),Data!$A:$AX,MATCH($Z$1,Data!$A$1:$AX$1,),))/VLOOKUP(EDATE(B88,-12),Data!$A:$AX,MATCH($Z$1,Data!$A$1:$AX$1,),)</f>
        <v/>
      </c>
      <c r="AA88" s="20">
        <f>(VLOOKUP(B88,Data!$A:$AX,MATCH($AA$1,Data!$A$1:$AX$1,),)-VLOOKUP(EDATE(B88,-12),Data!$A:$AX,MATCH($AA$1,Data!$A$1:$AX$1,),))/VLOOKUP(EDATE(B88,-12),Data!$A:$AX,MATCH($AA$1,Data!$A$1:$AX$1,),)</f>
        <v/>
      </c>
      <c r="AB88" s="19" t="n"/>
    </row>
    <row r="89">
      <c r="B89" s="15" t="n">
        <v>42917</v>
      </c>
      <c r="C89" s="20">
        <f>IF(VLOOKUP(B89,'Data Core CPI'!$A:$AX,MATCH($C$1,'Data Core CPI'!$A$1:$AX$1,),)=0,#N/A,(VLOOKUP(B89,'Data Core CPI'!$A:$AX,MATCH($C$1,'Data Core CPI'!$A$1:$AX$1,),)-VLOOKUP(EDATE(B89,-12),'Data Core CPI'!$A:$AX,MATCH($C$1,'Data Core CPI'!$A$1:$AX$1,),))/VLOOKUP(EDATE(B89,-12),'Data Core CPI'!$A:$AX,MATCH($C$1,'Data Core CPI'!$A$1:$AX$1,),))</f>
        <v/>
      </c>
      <c r="D89" s="20">
        <f>(VLOOKUP(B89,'Data Core CPI'!$A:$AX,MATCH($D$1,'Data Core CPI'!$A$1:$AX$1,),)-VLOOKUP(EDATE(B89,-12),'Data Core CPI'!$A:$AX,MATCH($D$1,'Data Core CPI'!$A$1:$AX$1,),))/VLOOKUP(EDATE(B89,-12),'Data Core CPI'!$A:$AX,MATCH($D$1,'Data Core CPI'!$A$1:$AX$1,),)</f>
        <v/>
      </c>
      <c r="E89" s="20">
        <f>IF(VLOOKUP(B89,'Data Core CPI'!$A:$AX,MATCH($E$1,'Data Core CPI'!$A$1:$AX$1,),)=0,#N/A,(VLOOKUP(B89,'Data Core CPI'!$A:$AX,MATCH($E$1,'Data Core CPI'!$A$1:$AX$1,),)-VLOOKUP(EDATE(B89,-12),'Data Core CPI'!$A:$AX,MATCH($E$1,'Data Core CPI'!$A$1:$AX$1,),))/VLOOKUP(EDATE(B89,-12),'Data Core CPI'!$A:$AX,MATCH($E$1,'Data Core CPI'!$A$1:$AX$1,),))</f>
        <v/>
      </c>
      <c r="F89" s="20">
        <f>IF(VLOOKUP(B89,'Data Core CPI'!$A:$AX,MATCH($F$1,'Data Core CPI'!$A$1:$AX$1,),)=0,#N/A,(VLOOKUP(B89,'Data Core CPI'!$A:$AX,MATCH($F$1,'Data Core CPI'!$A$1:$AX$1,),)-VLOOKUP(EDATE(B89,-12),'Data Core CPI'!$A:$AX,MATCH($F$1,'Data Core CPI'!$A$1:$AX$1,),))/VLOOKUP(EDATE(B89,-12),'Data Core CPI'!$A:$AX,MATCH($F$1,'Data Core CPI'!$A$1:$AX$1,),))</f>
        <v/>
      </c>
      <c r="G89" s="20">
        <f>IF(VLOOKUP(B89,'Data Core CPI'!$A:$AX,MATCH($G$1,'Data Core CPI'!$A$1:$AX$1,),)=0,#N/A,(VLOOKUP(B89,'Data Core CPI'!$A:$AX,MATCH($G$1,'Data Core CPI'!$A$1:$AX$1,),)-VLOOKUP(EDATE(B89,-12),'Data Core CPI'!$A:$AX,MATCH($G$1,'Data Core CPI'!$A$1:$AX$1,),))/VLOOKUP(EDATE(B89,-12),'Data Core CPI'!$A:$AX,MATCH($G$1,'Data Core CPI'!$A$1:$AX$1,),))</f>
        <v/>
      </c>
      <c r="H89" s="20">
        <f>IF(VLOOKUP(B89,'Data Core CPI'!$A:$AX,MATCH($H$1,'Data Core CPI'!$A$1:$AX$1,),)=0,#N/A,(VLOOKUP(B89,'Data Core CPI'!$A:$AX,MATCH($H$1,'Data Core CPI'!$A$1:$AX$1,),)-VLOOKUP(EDATE(B89,-12),'Data Core CPI'!$A:$AX,MATCH($H$1,'Data Core CPI'!$A$1:$AX$1,),))/VLOOKUP(EDATE(B89,-12),'Data Core CPI'!$A:$AX,MATCH($H$1,'Data Core CPI'!$A$1:$AX$1,),))</f>
        <v/>
      </c>
      <c r="I89" s="20">
        <f>IF(VLOOKUP(B89,'Data Core CPI'!$A:$AX,MATCH($I$1,'Data Core CPI'!$A$1:$AX$1,),)=0,#N/A,(VLOOKUP(B89,'Data Core CPI'!$A:$AX,MATCH($I$1,'Data Core CPI'!$A$1:$AX$1,),)-VLOOKUP(EDATE(B89,-12),'Data Core CPI'!$A:$AX,MATCH($I$1,'Data Core CPI'!$A$1:$AX$1,),))/VLOOKUP(EDATE(B89,-12),'Data Core CPI'!$A:$AX,MATCH($I$1,'Data Core CPI'!$A$1:$AX$1,),))</f>
        <v/>
      </c>
      <c r="J89" s="20">
        <f>IF(VLOOKUP(B89,'Data Core CPI'!$A:$AX,MATCH($J$1,'Data Core CPI'!$A$1:$AX$1,),)=0,#N/A,(VLOOKUP(B89,'Data Core CPI'!$A:$AX,MATCH($J$1,'Data Core CPI'!$A$1:$AX$1,),)-VLOOKUP(EDATE(B89,-12),'Data Core CPI'!$A:$AX,MATCH($J$1,'Data Core CPI'!$A$1:$AX$1,),))/VLOOKUP(EDATE(B89,-12),'Data Core CPI'!$A:$AX,MATCH($J$1,'Data Core CPI'!$A$1:$AX$1,),))</f>
        <v/>
      </c>
      <c r="K89" s="20">
        <f>IF(VLOOKUP(B89,'Data Core CPI'!$A:$AX,MATCH($K$1,'Data Core CPI'!$A$1:$AX$1,),)=0,#N/A,(VLOOKUP(B89,'Data Core CPI'!$A:$AX,MATCH($K$1,'Data Core CPI'!$A$1:$AX$1,),)-VLOOKUP(EDATE(B89,-12),'Data Core CPI'!$A:$AX,MATCH($K$1,'Data Core CPI'!$A$1:$AX$1,),))/VLOOKUP(EDATE(B89,-12),'Data Core CPI'!$A:$AX,MATCH($K$1,'Data Core CPI'!$A$1:$AX$1,),))</f>
        <v/>
      </c>
      <c r="L89" s="20">
        <f>IF(VLOOKUP(B89,'Data Core CPI'!$A:$AX,MATCH($L$1,'Data Core CPI'!$A$1:$AX$1,),)=0,#N/A,(VLOOKUP(B89,'Data Core CPI'!$A:$AX,MATCH($L$1,'Data Core CPI'!$A$1:$AX$1,),)-VLOOKUP(EDATE(B89,-12),'Data Core CPI'!$A:$AX,MATCH($L$1,'Data Core CPI'!$A$1:$AX$1,),))/VLOOKUP(EDATE(B89,-12),'Data Core CPI'!$A:$AX,MATCH($L$1,'Data Core CPI'!$A$1:$AX$1,),))</f>
        <v/>
      </c>
      <c r="M89" s="20">
        <f>IF(VLOOKUP(B89,'Data Core CPI'!$A:$AX,MATCH($M$1,'Data Core CPI'!$A$1:$AX$1,),)=0,#N/A,(VLOOKUP(B89,'Data Core CPI'!$A:$AX,MATCH($M$1,'Data Core CPI'!$A$1:$AX$1,),)-VLOOKUP(EDATE(B89,-12),'Data Core CPI'!$A:$AX,MATCH($M$1,'Data Core CPI'!$A$1:$AX$1,),))/VLOOKUP(EDATE(B89,-12),'Data Core CPI'!$A:$AX,MATCH($M$1,'Data Core CPI'!$A$1:$AX$1,),))</f>
        <v/>
      </c>
      <c r="N89" s="20">
        <f>(VLOOKUP(B89,'Data Core CPI'!$A:$AX,MATCH($N$1,'Data Core CPI'!$A$1:$AX$1,),)-VLOOKUP(EDATE(B89,-12),'Data Core CPI'!$A:$AX,MATCH($N$1,'Data Core CPI'!$A$1:$AX$1,),))/VLOOKUP(EDATE(B89,-12),'Data Core CPI'!$A:$AX,MATCH($N$1,'Data Core CPI'!$A$1:$AX$1,),)</f>
        <v/>
      </c>
      <c r="O89" s="20">
        <f>(VLOOKUP(B89,'Data Core CPI'!$A:$AX,MATCH($O$1,'Data Core CPI'!$A$1:$AX$1,),)-VLOOKUP(EDATE(B89,-12),'Data Core CPI'!$A:$AX,MATCH($O$1,'Data Core CPI'!$A$1:$AX$1,),))/VLOOKUP(EDATE(B89,-12),'Data Core CPI'!$A:$AX,MATCH($O$1,'Data Core CPI'!$A$1:$AX$1,),)</f>
        <v/>
      </c>
      <c r="P89" s="20">
        <f>IF(VLOOKUP(B89,'Data Core CPI'!$A:$AX,MATCH($P$1,'Data Core CPI'!$A$1:$AX$1,),)=0,#N/A,(VLOOKUP(B89,'Data Core CPI'!$A:$AX,MATCH($P$1,'Data Core CPI'!$A$1:$AX$1,),)-VLOOKUP(EDATE(B89,-12),'Data Core CPI'!$A:$AX,MATCH($P$1,'Data Core CPI'!$A$1:$AX$1,),))/VLOOKUP(EDATE(B89,-12),'Data Core CPI'!$A:$AX,MATCH($P$1,'Data Core CPI'!$A$1:$AX$1,),))</f>
        <v/>
      </c>
      <c r="Q89" s="20">
        <f>(VLOOKUP(B89,'Data Core CPI'!$A:$AX,MATCH($Q$1,'Data Core CPI'!$A$1:$AX$1,),)-VLOOKUP(EDATE(B89,-12),'Data Core CPI'!$A:$AX,MATCH($Q$1,'Data Core CPI'!$A$1:$AX$1,),))/VLOOKUP(EDATE(B89,-12),'Data Core CPI'!$A:$AX,MATCH($Q$1,'Data Core CPI'!$A$1:$AX$1,),)</f>
        <v/>
      </c>
      <c r="R89" s="20">
        <f>IF(VLOOKUP(B89,'Data Core CPI'!$A:$AX,MATCH($R$1,'Data Core CPI'!$A$1:$AX$1,),)=0,#N/A,(VLOOKUP(B89,'Data Core CPI'!$A:$AX,MATCH($R$1,'Data Core CPI'!$A$1:$AX$1,),)-VLOOKUP(EDATE(B89,-12),'Data Core CPI'!$A:$AX,MATCH($R$1,'Data Core CPI'!$A$1:$AX$1,),))/VLOOKUP(EDATE(B89,-12),'Data Core CPI'!$A:$AX,MATCH($R$1,'Data Core CPI'!$A$1:$AX$1,),))</f>
        <v/>
      </c>
      <c r="S89" s="20">
        <f>(VLOOKUP(B89,'Data Core CPI'!$A:$AX,MATCH($S$1,'Data Core CPI'!$A$1:$AX$1,),)-VLOOKUP(EDATE(B89,-12),'Data Core CPI'!$A:$AX,MATCH($S$1,'Data Core CPI'!$A$1:$AX$1,),))/VLOOKUP(EDATE(B89,-12),'Data Core CPI'!$A:$AX,MATCH($S$1,'Data Core CPI'!$A$1:$AX$1,),)</f>
        <v/>
      </c>
      <c r="T89" s="20">
        <f>(VLOOKUP(B89,'Data Core CPI'!$A:$AX,MATCH($T$1,'Data Core CPI'!$A$1:$AX$1,),)-VLOOKUP(EDATE(B89,-12),'Data Core CPI'!$A:$AX,MATCH($T$1,'Data Core CPI'!$A$1:$AX$1,),))/VLOOKUP(EDATE(B89,-12),'Data Core CPI'!$A:$AX,MATCH($T$1,'Data Core CPI'!$A$1:$AX$1,),)</f>
        <v/>
      </c>
      <c r="U89" s="20">
        <f>IF(VLOOKUP(B89,'Data Core CPI'!$A:$AX,MATCH($U$1,'Data Core CPI'!$A$1:$AX$1,),)=0,#N/A,(VLOOKUP(B89,'Data Core CPI'!$A:$AX,MATCH($U$1,'Data Core CPI'!$A$1:$AX$1,),)-VLOOKUP(EDATE(B89,-12),'Data Core CPI'!$A:$AX,MATCH($U$1,'Data Core CPI'!$A$1:$AX$1,),))/VLOOKUP(EDATE(B89,-12),'Data Core CPI'!$A:$AX,MATCH($U$1,'Data Core CPI'!$A$1:$AX$1,),))</f>
        <v/>
      </c>
      <c r="V89" s="20">
        <f>(VLOOKUP(B89,'Data Core CPI'!$A:$AX,MATCH($V$1,'Data Core CPI'!$A$1:$AX$1,),)-VLOOKUP(EDATE(B89,-12),'Data Core CPI'!$A:$AX,MATCH($V$1,'Data Core CPI'!$A$1:$AX$1,),))/VLOOKUP(EDATE(B89,-12),'Data Core CPI'!$A:$AX,MATCH($V$1,'Data Core CPI'!$A$1:$AX$1,),)</f>
        <v/>
      </c>
      <c r="W89" s="20">
        <f>IF(VLOOKUP(B89,'Data Core CPI'!$A:$AX,MATCH($W$1,'Data Core CPI'!$A$1:$AX$1,),)=0,#N/A,(VLOOKUP(B89,'Data Core CPI'!$A:$AX,MATCH($W$1,'Data Core CPI'!$A$1:$AX$1,),)-VLOOKUP(EDATE(B89,-12),'Data Core CPI'!$A:$AX,MATCH($W$1,'Data Core CPI'!$A$1:$AX$1,),))/VLOOKUP(EDATE(B89,-12),'Data Core CPI'!$A:$AX,MATCH($W$1,'Data Core CPI'!$A$1:$AX$1,),))</f>
        <v/>
      </c>
      <c r="X89" s="20">
        <f>IF(VLOOKUP(B89,'Data Core CPI'!$A:$AX,MATCH($X$1,'Data Core CPI'!$A$1:$AX$1,),)=0,#N/A,(VLOOKUP(B89,'Data Core CPI'!$A:$AX,MATCH($X$1,'Data Core CPI'!$A$1:$AX$1,),)-VLOOKUP(EDATE(B89,-12),'Data Core CPI'!$A:$AX,MATCH($X$1,'Data Core CPI'!$A$1:$AX$1,),))/VLOOKUP(EDATE(B89,-12),'Data Core CPI'!$A:$AX,MATCH($X$1,'Data Core CPI'!$A$1:$AX$1,),))</f>
        <v/>
      </c>
      <c r="Y89" s="20">
        <f>IF(VLOOKUP(B89,'Data Core CPI'!$A:$AX,MATCH($Y$1,'Data Core CPI'!$A$1:$AX$1,),)=0,#N/A,(VLOOKUP(B89,'Data Core CPI'!$A:$AX,MATCH($Y$1,'Data Core CPI'!$A$1:$AX$1,),)-VLOOKUP(EDATE(B89,-12),'Data Core CPI'!$A:$AX,MATCH($Y$1,'Data Core CPI'!$A$1:$AX$1,),))/VLOOKUP(EDATE(B89,-12),'Data Core CPI'!$A:$AX,MATCH($Y$1,'Data Core CPI'!$A$1:$AX$1,),))</f>
        <v/>
      </c>
      <c r="Z89" s="20">
        <f>(VLOOKUP(B89,Data!$A:$AX,MATCH($Z$1,Data!$A$1:$AX$1,),)-VLOOKUP(EDATE(B89,-12),Data!$A:$AX,MATCH($Z$1,Data!$A$1:$AX$1,),))/VLOOKUP(EDATE(B89,-12),Data!$A:$AX,MATCH($Z$1,Data!$A$1:$AX$1,),)</f>
        <v/>
      </c>
      <c r="AA89" s="20">
        <f>(VLOOKUP(B89,Data!$A:$AX,MATCH($AA$1,Data!$A$1:$AX$1,),)-VLOOKUP(EDATE(B89,-12),Data!$A:$AX,MATCH($AA$1,Data!$A$1:$AX$1,),))/VLOOKUP(EDATE(B89,-12),Data!$A:$AX,MATCH($AA$1,Data!$A$1:$AX$1,),)</f>
        <v/>
      </c>
      <c r="AB89" s="19" t="n"/>
    </row>
    <row r="90">
      <c r="B90" s="15" t="n">
        <v>42948</v>
      </c>
      <c r="C90" s="20">
        <f>IF(VLOOKUP(B90,'Data Core CPI'!$A:$AX,MATCH($C$1,'Data Core CPI'!$A$1:$AX$1,),)=0,#N/A,(VLOOKUP(B90,'Data Core CPI'!$A:$AX,MATCH($C$1,'Data Core CPI'!$A$1:$AX$1,),)-VLOOKUP(EDATE(B90,-12),'Data Core CPI'!$A:$AX,MATCH($C$1,'Data Core CPI'!$A$1:$AX$1,),))/VLOOKUP(EDATE(B90,-12),'Data Core CPI'!$A:$AX,MATCH($C$1,'Data Core CPI'!$A$1:$AX$1,),))</f>
        <v/>
      </c>
      <c r="D90" s="20">
        <f>(VLOOKUP(B90,'Data Core CPI'!$A:$AX,MATCH($D$1,'Data Core CPI'!$A$1:$AX$1,),)-VLOOKUP(EDATE(B90,-12),'Data Core CPI'!$A:$AX,MATCH($D$1,'Data Core CPI'!$A$1:$AX$1,),))/VLOOKUP(EDATE(B90,-12),'Data Core CPI'!$A:$AX,MATCH($D$1,'Data Core CPI'!$A$1:$AX$1,),)</f>
        <v/>
      </c>
      <c r="E90" s="20">
        <f>IF(VLOOKUP(B90,'Data Core CPI'!$A:$AX,MATCH($E$1,'Data Core CPI'!$A$1:$AX$1,),)=0,#N/A,(VLOOKUP(B90,'Data Core CPI'!$A:$AX,MATCH($E$1,'Data Core CPI'!$A$1:$AX$1,),)-VLOOKUP(EDATE(B90,-12),'Data Core CPI'!$A:$AX,MATCH($E$1,'Data Core CPI'!$A$1:$AX$1,),))/VLOOKUP(EDATE(B90,-12),'Data Core CPI'!$A:$AX,MATCH($E$1,'Data Core CPI'!$A$1:$AX$1,),))</f>
        <v/>
      </c>
      <c r="F90" s="20">
        <f>IF(VLOOKUP(B90,'Data Core CPI'!$A:$AX,MATCH($F$1,'Data Core CPI'!$A$1:$AX$1,),)=0,#N/A,(VLOOKUP(B90,'Data Core CPI'!$A:$AX,MATCH($F$1,'Data Core CPI'!$A$1:$AX$1,),)-VLOOKUP(EDATE(B90,-12),'Data Core CPI'!$A:$AX,MATCH($F$1,'Data Core CPI'!$A$1:$AX$1,),))/VLOOKUP(EDATE(B90,-12),'Data Core CPI'!$A:$AX,MATCH($F$1,'Data Core CPI'!$A$1:$AX$1,),))</f>
        <v/>
      </c>
      <c r="G90" s="20">
        <f>IF(VLOOKUP(B90,'Data Core CPI'!$A:$AX,MATCH($G$1,'Data Core CPI'!$A$1:$AX$1,),)=0,#N/A,(VLOOKUP(B90,'Data Core CPI'!$A:$AX,MATCH($G$1,'Data Core CPI'!$A$1:$AX$1,),)-VLOOKUP(EDATE(B90,-12),'Data Core CPI'!$A:$AX,MATCH($G$1,'Data Core CPI'!$A$1:$AX$1,),))/VLOOKUP(EDATE(B90,-12),'Data Core CPI'!$A:$AX,MATCH($G$1,'Data Core CPI'!$A$1:$AX$1,),))</f>
        <v/>
      </c>
      <c r="H90" s="20">
        <f>IF(VLOOKUP(B90,'Data Core CPI'!$A:$AX,MATCH($H$1,'Data Core CPI'!$A$1:$AX$1,),)=0,#N/A,(VLOOKUP(B90,'Data Core CPI'!$A:$AX,MATCH($H$1,'Data Core CPI'!$A$1:$AX$1,),)-VLOOKUP(EDATE(B90,-12),'Data Core CPI'!$A:$AX,MATCH($H$1,'Data Core CPI'!$A$1:$AX$1,),))/VLOOKUP(EDATE(B90,-12),'Data Core CPI'!$A:$AX,MATCH($H$1,'Data Core CPI'!$A$1:$AX$1,),))</f>
        <v/>
      </c>
      <c r="I90" s="20">
        <f>IF(VLOOKUP(B90,'Data Core CPI'!$A:$AX,MATCH($I$1,'Data Core CPI'!$A$1:$AX$1,),)=0,#N/A,(VLOOKUP(B90,'Data Core CPI'!$A:$AX,MATCH($I$1,'Data Core CPI'!$A$1:$AX$1,),)-VLOOKUP(EDATE(B90,-12),'Data Core CPI'!$A:$AX,MATCH($I$1,'Data Core CPI'!$A$1:$AX$1,),))/VLOOKUP(EDATE(B90,-12),'Data Core CPI'!$A:$AX,MATCH($I$1,'Data Core CPI'!$A$1:$AX$1,),))</f>
        <v/>
      </c>
      <c r="J90" s="20">
        <f>IF(VLOOKUP(B90,'Data Core CPI'!$A:$AX,MATCH($J$1,'Data Core CPI'!$A$1:$AX$1,),)=0,#N/A,(VLOOKUP(B90,'Data Core CPI'!$A:$AX,MATCH($J$1,'Data Core CPI'!$A$1:$AX$1,),)-VLOOKUP(EDATE(B90,-12),'Data Core CPI'!$A:$AX,MATCH($J$1,'Data Core CPI'!$A$1:$AX$1,),))/VLOOKUP(EDATE(B90,-12),'Data Core CPI'!$A:$AX,MATCH($J$1,'Data Core CPI'!$A$1:$AX$1,),))</f>
        <v/>
      </c>
      <c r="K90" s="20">
        <f>IF(VLOOKUP(B90,'Data Core CPI'!$A:$AX,MATCH($K$1,'Data Core CPI'!$A$1:$AX$1,),)=0,#N/A,(VLOOKUP(B90,'Data Core CPI'!$A:$AX,MATCH($K$1,'Data Core CPI'!$A$1:$AX$1,),)-VLOOKUP(EDATE(B90,-12),'Data Core CPI'!$A:$AX,MATCH($K$1,'Data Core CPI'!$A$1:$AX$1,),))/VLOOKUP(EDATE(B90,-12),'Data Core CPI'!$A:$AX,MATCH($K$1,'Data Core CPI'!$A$1:$AX$1,),))</f>
        <v/>
      </c>
      <c r="L90" s="20">
        <f>IF(VLOOKUP(B90,'Data Core CPI'!$A:$AX,MATCH($L$1,'Data Core CPI'!$A$1:$AX$1,),)=0,#N/A,(VLOOKUP(B90,'Data Core CPI'!$A:$AX,MATCH($L$1,'Data Core CPI'!$A$1:$AX$1,),)-VLOOKUP(EDATE(B90,-12),'Data Core CPI'!$A:$AX,MATCH($L$1,'Data Core CPI'!$A$1:$AX$1,),))/VLOOKUP(EDATE(B90,-12),'Data Core CPI'!$A:$AX,MATCH($L$1,'Data Core CPI'!$A$1:$AX$1,),))</f>
        <v/>
      </c>
      <c r="M90" s="20">
        <f>IF(VLOOKUP(B90,'Data Core CPI'!$A:$AX,MATCH($M$1,'Data Core CPI'!$A$1:$AX$1,),)=0,#N/A,(VLOOKUP(B90,'Data Core CPI'!$A:$AX,MATCH($M$1,'Data Core CPI'!$A$1:$AX$1,),)-VLOOKUP(EDATE(B90,-12),'Data Core CPI'!$A:$AX,MATCH($M$1,'Data Core CPI'!$A$1:$AX$1,),))/VLOOKUP(EDATE(B90,-12),'Data Core CPI'!$A:$AX,MATCH($M$1,'Data Core CPI'!$A$1:$AX$1,),))</f>
        <v/>
      </c>
      <c r="N90" s="20">
        <f>(VLOOKUP(B90,'Data Core CPI'!$A:$AX,MATCH($N$1,'Data Core CPI'!$A$1:$AX$1,),)-VLOOKUP(EDATE(B90,-12),'Data Core CPI'!$A:$AX,MATCH($N$1,'Data Core CPI'!$A$1:$AX$1,),))/VLOOKUP(EDATE(B90,-12),'Data Core CPI'!$A:$AX,MATCH($N$1,'Data Core CPI'!$A$1:$AX$1,),)</f>
        <v/>
      </c>
      <c r="O90" s="20">
        <f>(VLOOKUP(B90,'Data Core CPI'!$A:$AX,MATCH($O$1,'Data Core CPI'!$A$1:$AX$1,),)-VLOOKUP(EDATE(B90,-12),'Data Core CPI'!$A:$AX,MATCH($O$1,'Data Core CPI'!$A$1:$AX$1,),))/VLOOKUP(EDATE(B90,-12),'Data Core CPI'!$A:$AX,MATCH($O$1,'Data Core CPI'!$A$1:$AX$1,),)</f>
        <v/>
      </c>
      <c r="P90" s="20">
        <f>IF(VLOOKUP(B90,'Data Core CPI'!$A:$AX,MATCH($P$1,'Data Core CPI'!$A$1:$AX$1,),)=0,#N/A,(VLOOKUP(B90,'Data Core CPI'!$A:$AX,MATCH($P$1,'Data Core CPI'!$A$1:$AX$1,),)-VLOOKUP(EDATE(B90,-12),'Data Core CPI'!$A:$AX,MATCH($P$1,'Data Core CPI'!$A$1:$AX$1,),))/VLOOKUP(EDATE(B90,-12),'Data Core CPI'!$A:$AX,MATCH($P$1,'Data Core CPI'!$A$1:$AX$1,),))</f>
        <v/>
      </c>
      <c r="Q90" s="20">
        <f>(VLOOKUP(B90,'Data Core CPI'!$A:$AX,MATCH($Q$1,'Data Core CPI'!$A$1:$AX$1,),)-VLOOKUP(EDATE(B90,-12),'Data Core CPI'!$A:$AX,MATCH($Q$1,'Data Core CPI'!$A$1:$AX$1,),))/VLOOKUP(EDATE(B90,-12),'Data Core CPI'!$A:$AX,MATCH($Q$1,'Data Core CPI'!$A$1:$AX$1,),)</f>
        <v/>
      </c>
      <c r="R90" s="20">
        <f>IF(VLOOKUP(B90,'Data Core CPI'!$A:$AX,MATCH($R$1,'Data Core CPI'!$A$1:$AX$1,),)=0,#N/A,(VLOOKUP(B90,'Data Core CPI'!$A:$AX,MATCH($R$1,'Data Core CPI'!$A$1:$AX$1,),)-VLOOKUP(EDATE(B90,-12),'Data Core CPI'!$A:$AX,MATCH($R$1,'Data Core CPI'!$A$1:$AX$1,),))/VLOOKUP(EDATE(B90,-12),'Data Core CPI'!$A:$AX,MATCH($R$1,'Data Core CPI'!$A$1:$AX$1,),))</f>
        <v/>
      </c>
      <c r="S90" s="20">
        <f>(VLOOKUP(B90,'Data Core CPI'!$A:$AX,MATCH($S$1,'Data Core CPI'!$A$1:$AX$1,),)-VLOOKUP(EDATE(B90,-12),'Data Core CPI'!$A:$AX,MATCH($S$1,'Data Core CPI'!$A$1:$AX$1,),))/VLOOKUP(EDATE(B90,-12),'Data Core CPI'!$A:$AX,MATCH($S$1,'Data Core CPI'!$A$1:$AX$1,),)</f>
        <v/>
      </c>
      <c r="T90" s="20">
        <f>(VLOOKUP(B90,'Data Core CPI'!$A:$AX,MATCH($T$1,'Data Core CPI'!$A$1:$AX$1,),)-VLOOKUP(EDATE(B90,-12),'Data Core CPI'!$A:$AX,MATCH($T$1,'Data Core CPI'!$A$1:$AX$1,),))/VLOOKUP(EDATE(B90,-12),'Data Core CPI'!$A:$AX,MATCH($T$1,'Data Core CPI'!$A$1:$AX$1,),)</f>
        <v/>
      </c>
      <c r="U90" s="20">
        <f>IF(VLOOKUP(B90,'Data Core CPI'!$A:$AX,MATCH($U$1,'Data Core CPI'!$A$1:$AX$1,),)=0,#N/A,(VLOOKUP(B90,'Data Core CPI'!$A:$AX,MATCH($U$1,'Data Core CPI'!$A$1:$AX$1,),)-VLOOKUP(EDATE(B90,-12),'Data Core CPI'!$A:$AX,MATCH($U$1,'Data Core CPI'!$A$1:$AX$1,),))/VLOOKUP(EDATE(B90,-12),'Data Core CPI'!$A:$AX,MATCH($U$1,'Data Core CPI'!$A$1:$AX$1,),))</f>
        <v/>
      </c>
      <c r="V90" s="20">
        <f>(VLOOKUP(B90,'Data Core CPI'!$A:$AX,MATCH($V$1,'Data Core CPI'!$A$1:$AX$1,),)-VLOOKUP(EDATE(B90,-12),'Data Core CPI'!$A:$AX,MATCH($V$1,'Data Core CPI'!$A$1:$AX$1,),))/VLOOKUP(EDATE(B90,-12),'Data Core CPI'!$A:$AX,MATCH($V$1,'Data Core CPI'!$A$1:$AX$1,),)</f>
        <v/>
      </c>
      <c r="W90" s="20">
        <f>IF(VLOOKUP(B90,'Data Core CPI'!$A:$AX,MATCH($W$1,'Data Core CPI'!$A$1:$AX$1,),)=0,#N/A,(VLOOKUP(B90,'Data Core CPI'!$A:$AX,MATCH($W$1,'Data Core CPI'!$A$1:$AX$1,),)-VLOOKUP(EDATE(B90,-12),'Data Core CPI'!$A:$AX,MATCH($W$1,'Data Core CPI'!$A$1:$AX$1,),))/VLOOKUP(EDATE(B90,-12),'Data Core CPI'!$A:$AX,MATCH($W$1,'Data Core CPI'!$A$1:$AX$1,),))</f>
        <v/>
      </c>
      <c r="X90" s="20">
        <f>IF(VLOOKUP(B90,'Data Core CPI'!$A:$AX,MATCH($X$1,'Data Core CPI'!$A$1:$AX$1,),)=0,#N/A,(VLOOKUP(B90,'Data Core CPI'!$A:$AX,MATCH($X$1,'Data Core CPI'!$A$1:$AX$1,),)-VLOOKUP(EDATE(B90,-12),'Data Core CPI'!$A:$AX,MATCH($X$1,'Data Core CPI'!$A$1:$AX$1,),))/VLOOKUP(EDATE(B90,-12),'Data Core CPI'!$A:$AX,MATCH($X$1,'Data Core CPI'!$A$1:$AX$1,),))</f>
        <v/>
      </c>
      <c r="Y90" s="20">
        <f>IF(VLOOKUP(B90,'Data Core CPI'!$A:$AX,MATCH($Y$1,'Data Core CPI'!$A$1:$AX$1,),)=0,#N/A,(VLOOKUP(B90,'Data Core CPI'!$A:$AX,MATCH($Y$1,'Data Core CPI'!$A$1:$AX$1,),)-VLOOKUP(EDATE(B90,-12),'Data Core CPI'!$A:$AX,MATCH($Y$1,'Data Core CPI'!$A$1:$AX$1,),))/VLOOKUP(EDATE(B90,-12),'Data Core CPI'!$A:$AX,MATCH($Y$1,'Data Core CPI'!$A$1:$AX$1,),))</f>
        <v/>
      </c>
      <c r="Z90" s="20">
        <f>(VLOOKUP(B90,Data!$A:$AX,MATCH($Z$1,Data!$A$1:$AX$1,),)-VLOOKUP(EDATE(B90,-12),Data!$A:$AX,MATCH($Z$1,Data!$A$1:$AX$1,),))/VLOOKUP(EDATE(B90,-12),Data!$A:$AX,MATCH($Z$1,Data!$A$1:$AX$1,),)</f>
        <v/>
      </c>
      <c r="AA90" s="20">
        <f>(VLOOKUP(B90,Data!$A:$AX,MATCH($AA$1,Data!$A$1:$AX$1,),)-VLOOKUP(EDATE(B90,-12),Data!$A:$AX,MATCH($AA$1,Data!$A$1:$AX$1,),))/VLOOKUP(EDATE(B90,-12),Data!$A:$AX,MATCH($AA$1,Data!$A$1:$AX$1,),)</f>
        <v/>
      </c>
      <c r="AB90" s="19" t="n"/>
    </row>
    <row r="91">
      <c r="B91" s="15" t="n">
        <v>42979</v>
      </c>
      <c r="C91" s="20">
        <f>IF(VLOOKUP(B91,'Data Core CPI'!$A:$AX,MATCH($C$1,'Data Core CPI'!$A$1:$AX$1,),)=0,#N/A,(VLOOKUP(B91,'Data Core CPI'!$A:$AX,MATCH($C$1,'Data Core CPI'!$A$1:$AX$1,),)-VLOOKUP(EDATE(B91,-12),'Data Core CPI'!$A:$AX,MATCH($C$1,'Data Core CPI'!$A$1:$AX$1,),))/VLOOKUP(EDATE(B91,-12),'Data Core CPI'!$A:$AX,MATCH($C$1,'Data Core CPI'!$A$1:$AX$1,),))</f>
        <v/>
      </c>
      <c r="D91" s="20">
        <f>(VLOOKUP(B91,'Data Core CPI'!$A:$AX,MATCH($D$1,'Data Core CPI'!$A$1:$AX$1,),)-VLOOKUP(EDATE(B91,-12),'Data Core CPI'!$A:$AX,MATCH($D$1,'Data Core CPI'!$A$1:$AX$1,),))/VLOOKUP(EDATE(B91,-12),'Data Core CPI'!$A:$AX,MATCH($D$1,'Data Core CPI'!$A$1:$AX$1,),)</f>
        <v/>
      </c>
      <c r="E91" s="20">
        <f>IF(VLOOKUP(B91,'Data Core CPI'!$A:$AX,MATCH($E$1,'Data Core CPI'!$A$1:$AX$1,),)=0,#N/A,(VLOOKUP(B91,'Data Core CPI'!$A:$AX,MATCH($E$1,'Data Core CPI'!$A$1:$AX$1,),)-VLOOKUP(EDATE(B91,-12),'Data Core CPI'!$A:$AX,MATCH($E$1,'Data Core CPI'!$A$1:$AX$1,),))/VLOOKUP(EDATE(B91,-12),'Data Core CPI'!$A:$AX,MATCH($E$1,'Data Core CPI'!$A$1:$AX$1,),))</f>
        <v/>
      </c>
      <c r="F91" s="20">
        <f>IF(VLOOKUP(B91,'Data Core CPI'!$A:$AX,MATCH($F$1,'Data Core CPI'!$A$1:$AX$1,),)=0,#N/A,(VLOOKUP(B91,'Data Core CPI'!$A:$AX,MATCH($F$1,'Data Core CPI'!$A$1:$AX$1,),)-VLOOKUP(EDATE(B91,-12),'Data Core CPI'!$A:$AX,MATCH($F$1,'Data Core CPI'!$A$1:$AX$1,),))/VLOOKUP(EDATE(B91,-12),'Data Core CPI'!$A:$AX,MATCH($F$1,'Data Core CPI'!$A$1:$AX$1,),))</f>
        <v/>
      </c>
      <c r="G91" s="20">
        <f>IF(VLOOKUP(B91,'Data Core CPI'!$A:$AX,MATCH($G$1,'Data Core CPI'!$A$1:$AX$1,),)=0,#N/A,(VLOOKUP(B91,'Data Core CPI'!$A:$AX,MATCH($G$1,'Data Core CPI'!$A$1:$AX$1,),)-VLOOKUP(EDATE(B91,-12),'Data Core CPI'!$A:$AX,MATCH($G$1,'Data Core CPI'!$A$1:$AX$1,),))/VLOOKUP(EDATE(B91,-12),'Data Core CPI'!$A:$AX,MATCH($G$1,'Data Core CPI'!$A$1:$AX$1,),))</f>
        <v/>
      </c>
      <c r="H91" s="20">
        <f>IF(VLOOKUP(B91,'Data Core CPI'!$A:$AX,MATCH($H$1,'Data Core CPI'!$A$1:$AX$1,),)=0,#N/A,(VLOOKUP(B91,'Data Core CPI'!$A:$AX,MATCH($H$1,'Data Core CPI'!$A$1:$AX$1,),)-VLOOKUP(EDATE(B91,-12),'Data Core CPI'!$A:$AX,MATCH($H$1,'Data Core CPI'!$A$1:$AX$1,),))/VLOOKUP(EDATE(B91,-12),'Data Core CPI'!$A:$AX,MATCH($H$1,'Data Core CPI'!$A$1:$AX$1,),))</f>
        <v/>
      </c>
      <c r="I91" s="20">
        <f>IF(VLOOKUP(B91,'Data Core CPI'!$A:$AX,MATCH($I$1,'Data Core CPI'!$A$1:$AX$1,),)=0,#N/A,(VLOOKUP(B91,'Data Core CPI'!$A:$AX,MATCH($I$1,'Data Core CPI'!$A$1:$AX$1,),)-VLOOKUP(EDATE(B91,-12),'Data Core CPI'!$A:$AX,MATCH($I$1,'Data Core CPI'!$A$1:$AX$1,),))/VLOOKUP(EDATE(B91,-12),'Data Core CPI'!$A:$AX,MATCH($I$1,'Data Core CPI'!$A$1:$AX$1,),))</f>
        <v/>
      </c>
      <c r="J91" s="20">
        <f>IF(VLOOKUP(B91,'Data Core CPI'!$A:$AX,MATCH($J$1,'Data Core CPI'!$A$1:$AX$1,),)=0,#N/A,(VLOOKUP(B91,'Data Core CPI'!$A:$AX,MATCH($J$1,'Data Core CPI'!$A$1:$AX$1,),)-VLOOKUP(EDATE(B91,-12),'Data Core CPI'!$A:$AX,MATCH($J$1,'Data Core CPI'!$A$1:$AX$1,),))/VLOOKUP(EDATE(B91,-12),'Data Core CPI'!$A:$AX,MATCH($J$1,'Data Core CPI'!$A$1:$AX$1,),))</f>
        <v/>
      </c>
      <c r="K91" s="20">
        <f>IF(VLOOKUP(B91,'Data Core CPI'!$A:$AX,MATCH($K$1,'Data Core CPI'!$A$1:$AX$1,),)=0,#N/A,(VLOOKUP(B91,'Data Core CPI'!$A:$AX,MATCH($K$1,'Data Core CPI'!$A$1:$AX$1,),)-VLOOKUP(EDATE(B91,-12),'Data Core CPI'!$A:$AX,MATCH($K$1,'Data Core CPI'!$A$1:$AX$1,),))/VLOOKUP(EDATE(B91,-12),'Data Core CPI'!$A:$AX,MATCH($K$1,'Data Core CPI'!$A$1:$AX$1,),))</f>
        <v/>
      </c>
      <c r="L91" s="20">
        <f>IF(VLOOKUP(B91,'Data Core CPI'!$A:$AX,MATCH($L$1,'Data Core CPI'!$A$1:$AX$1,),)=0,#N/A,(VLOOKUP(B91,'Data Core CPI'!$A:$AX,MATCH($L$1,'Data Core CPI'!$A$1:$AX$1,),)-VLOOKUP(EDATE(B91,-12),'Data Core CPI'!$A:$AX,MATCH($L$1,'Data Core CPI'!$A$1:$AX$1,),))/VLOOKUP(EDATE(B91,-12),'Data Core CPI'!$A:$AX,MATCH($L$1,'Data Core CPI'!$A$1:$AX$1,),))</f>
        <v/>
      </c>
      <c r="M91" s="20">
        <f>IF(VLOOKUP(B91,'Data Core CPI'!$A:$AX,MATCH($M$1,'Data Core CPI'!$A$1:$AX$1,),)=0,#N/A,(VLOOKUP(B91,'Data Core CPI'!$A:$AX,MATCH($M$1,'Data Core CPI'!$A$1:$AX$1,),)-VLOOKUP(EDATE(B91,-12),'Data Core CPI'!$A:$AX,MATCH($M$1,'Data Core CPI'!$A$1:$AX$1,),))/VLOOKUP(EDATE(B91,-12),'Data Core CPI'!$A:$AX,MATCH($M$1,'Data Core CPI'!$A$1:$AX$1,),))</f>
        <v/>
      </c>
      <c r="N91" s="20">
        <f>(VLOOKUP(B91,'Data Core CPI'!$A:$AX,MATCH($N$1,'Data Core CPI'!$A$1:$AX$1,),)-VLOOKUP(EDATE(B91,-12),'Data Core CPI'!$A:$AX,MATCH($N$1,'Data Core CPI'!$A$1:$AX$1,),))/VLOOKUP(EDATE(B91,-12),'Data Core CPI'!$A:$AX,MATCH($N$1,'Data Core CPI'!$A$1:$AX$1,),)</f>
        <v/>
      </c>
      <c r="O91" s="20">
        <f>(VLOOKUP(B91,'Data Core CPI'!$A:$AX,MATCH($O$1,'Data Core CPI'!$A$1:$AX$1,),)-VLOOKUP(EDATE(B91,-12),'Data Core CPI'!$A:$AX,MATCH($O$1,'Data Core CPI'!$A$1:$AX$1,),))/VLOOKUP(EDATE(B91,-12),'Data Core CPI'!$A:$AX,MATCH($O$1,'Data Core CPI'!$A$1:$AX$1,),)</f>
        <v/>
      </c>
      <c r="P91" s="20">
        <f>IF(VLOOKUP(B91,'Data Core CPI'!$A:$AX,MATCH($P$1,'Data Core CPI'!$A$1:$AX$1,),)=0,#N/A,(VLOOKUP(B91,'Data Core CPI'!$A:$AX,MATCH($P$1,'Data Core CPI'!$A$1:$AX$1,),)-VLOOKUP(EDATE(B91,-12),'Data Core CPI'!$A:$AX,MATCH($P$1,'Data Core CPI'!$A$1:$AX$1,),))/VLOOKUP(EDATE(B91,-12),'Data Core CPI'!$A:$AX,MATCH($P$1,'Data Core CPI'!$A$1:$AX$1,),))</f>
        <v/>
      </c>
      <c r="Q91" s="20">
        <f>(VLOOKUP(B91,'Data Core CPI'!$A:$AX,MATCH($Q$1,'Data Core CPI'!$A$1:$AX$1,),)-VLOOKUP(EDATE(B91,-12),'Data Core CPI'!$A:$AX,MATCH($Q$1,'Data Core CPI'!$A$1:$AX$1,),))/VLOOKUP(EDATE(B91,-12),'Data Core CPI'!$A:$AX,MATCH($Q$1,'Data Core CPI'!$A$1:$AX$1,),)</f>
        <v/>
      </c>
      <c r="R91" s="20">
        <f>IF(VLOOKUP(B91,'Data Core CPI'!$A:$AX,MATCH($R$1,'Data Core CPI'!$A$1:$AX$1,),)=0,#N/A,(VLOOKUP(B91,'Data Core CPI'!$A:$AX,MATCH($R$1,'Data Core CPI'!$A$1:$AX$1,),)-VLOOKUP(EDATE(B91,-12),'Data Core CPI'!$A:$AX,MATCH($R$1,'Data Core CPI'!$A$1:$AX$1,),))/VLOOKUP(EDATE(B91,-12),'Data Core CPI'!$A:$AX,MATCH($R$1,'Data Core CPI'!$A$1:$AX$1,),))</f>
        <v/>
      </c>
      <c r="S91" s="20">
        <f>(VLOOKUP(B91,'Data Core CPI'!$A:$AX,MATCH($S$1,'Data Core CPI'!$A$1:$AX$1,),)-VLOOKUP(EDATE(B91,-12),'Data Core CPI'!$A:$AX,MATCH($S$1,'Data Core CPI'!$A$1:$AX$1,),))/VLOOKUP(EDATE(B91,-12),'Data Core CPI'!$A:$AX,MATCH($S$1,'Data Core CPI'!$A$1:$AX$1,),)</f>
        <v/>
      </c>
      <c r="T91" s="20">
        <f>(VLOOKUP(B91,'Data Core CPI'!$A:$AX,MATCH($T$1,'Data Core CPI'!$A$1:$AX$1,),)-VLOOKUP(EDATE(B91,-12),'Data Core CPI'!$A:$AX,MATCH($T$1,'Data Core CPI'!$A$1:$AX$1,),))/VLOOKUP(EDATE(B91,-12),'Data Core CPI'!$A:$AX,MATCH($T$1,'Data Core CPI'!$A$1:$AX$1,),)</f>
        <v/>
      </c>
      <c r="U91" s="20">
        <f>IF(VLOOKUP(B91,'Data Core CPI'!$A:$AX,MATCH($U$1,'Data Core CPI'!$A$1:$AX$1,),)=0,#N/A,(VLOOKUP(B91,'Data Core CPI'!$A:$AX,MATCH($U$1,'Data Core CPI'!$A$1:$AX$1,),)-VLOOKUP(EDATE(B91,-12),'Data Core CPI'!$A:$AX,MATCH($U$1,'Data Core CPI'!$A$1:$AX$1,),))/VLOOKUP(EDATE(B91,-12),'Data Core CPI'!$A:$AX,MATCH($U$1,'Data Core CPI'!$A$1:$AX$1,),))</f>
        <v/>
      </c>
      <c r="V91" s="20">
        <f>(VLOOKUP(B91,'Data Core CPI'!$A:$AX,MATCH($V$1,'Data Core CPI'!$A$1:$AX$1,),)-VLOOKUP(EDATE(B91,-12),'Data Core CPI'!$A:$AX,MATCH($V$1,'Data Core CPI'!$A$1:$AX$1,),))/VLOOKUP(EDATE(B91,-12),'Data Core CPI'!$A:$AX,MATCH($V$1,'Data Core CPI'!$A$1:$AX$1,),)</f>
        <v/>
      </c>
      <c r="W91" s="20">
        <f>IF(VLOOKUP(B91,'Data Core CPI'!$A:$AX,MATCH($W$1,'Data Core CPI'!$A$1:$AX$1,),)=0,#N/A,(VLOOKUP(B91,'Data Core CPI'!$A:$AX,MATCH($W$1,'Data Core CPI'!$A$1:$AX$1,),)-VLOOKUP(EDATE(B91,-12),'Data Core CPI'!$A:$AX,MATCH($W$1,'Data Core CPI'!$A$1:$AX$1,),))/VLOOKUP(EDATE(B91,-12),'Data Core CPI'!$A:$AX,MATCH($W$1,'Data Core CPI'!$A$1:$AX$1,),))</f>
        <v/>
      </c>
      <c r="X91" s="20">
        <f>IF(VLOOKUP(B91,'Data Core CPI'!$A:$AX,MATCH($X$1,'Data Core CPI'!$A$1:$AX$1,),)=0,#N/A,(VLOOKUP(B91,'Data Core CPI'!$A:$AX,MATCH($X$1,'Data Core CPI'!$A$1:$AX$1,),)-VLOOKUP(EDATE(B91,-12),'Data Core CPI'!$A:$AX,MATCH($X$1,'Data Core CPI'!$A$1:$AX$1,),))/VLOOKUP(EDATE(B91,-12),'Data Core CPI'!$A:$AX,MATCH($X$1,'Data Core CPI'!$A$1:$AX$1,),))</f>
        <v/>
      </c>
      <c r="Y91" s="20">
        <f>IF(VLOOKUP(B91,'Data Core CPI'!$A:$AX,MATCH($Y$1,'Data Core CPI'!$A$1:$AX$1,),)=0,#N/A,(VLOOKUP(B91,'Data Core CPI'!$A:$AX,MATCH($Y$1,'Data Core CPI'!$A$1:$AX$1,),)-VLOOKUP(EDATE(B91,-12),'Data Core CPI'!$A:$AX,MATCH($Y$1,'Data Core CPI'!$A$1:$AX$1,),))/VLOOKUP(EDATE(B91,-12),'Data Core CPI'!$A:$AX,MATCH($Y$1,'Data Core CPI'!$A$1:$AX$1,),))</f>
        <v/>
      </c>
      <c r="Z91" s="20">
        <f>(VLOOKUP(B91,Data!$A:$AX,MATCH($Z$1,Data!$A$1:$AX$1,),)-VLOOKUP(EDATE(B91,-12),Data!$A:$AX,MATCH($Z$1,Data!$A$1:$AX$1,),))/VLOOKUP(EDATE(B91,-12),Data!$A:$AX,MATCH($Z$1,Data!$A$1:$AX$1,),)</f>
        <v/>
      </c>
      <c r="AA91" s="20">
        <f>(VLOOKUP(B91,Data!$A:$AX,MATCH($AA$1,Data!$A$1:$AX$1,),)-VLOOKUP(EDATE(B91,-12),Data!$A:$AX,MATCH($AA$1,Data!$A$1:$AX$1,),))/VLOOKUP(EDATE(B91,-12),Data!$A:$AX,MATCH($AA$1,Data!$A$1:$AX$1,),)</f>
        <v/>
      </c>
      <c r="AB91" s="19" t="n"/>
    </row>
    <row r="92">
      <c r="B92" s="15" t="n">
        <v>43009</v>
      </c>
      <c r="C92" s="20">
        <f>IF(VLOOKUP(B92,'Data Core CPI'!$A:$AX,MATCH($C$1,'Data Core CPI'!$A$1:$AX$1,),)=0,#N/A,(VLOOKUP(B92,'Data Core CPI'!$A:$AX,MATCH($C$1,'Data Core CPI'!$A$1:$AX$1,),)-VLOOKUP(EDATE(B92,-12),'Data Core CPI'!$A:$AX,MATCH($C$1,'Data Core CPI'!$A$1:$AX$1,),))/VLOOKUP(EDATE(B92,-12),'Data Core CPI'!$A:$AX,MATCH($C$1,'Data Core CPI'!$A$1:$AX$1,),))</f>
        <v/>
      </c>
      <c r="D92" s="20">
        <f>(VLOOKUP(B92,'Data Core CPI'!$A:$AX,MATCH($D$1,'Data Core CPI'!$A$1:$AX$1,),)-VLOOKUP(EDATE(B92,-12),'Data Core CPI'!$A:$AX,MATCH($D$1,'Data Core CPI'!$A$1:$AX$1,),))/VLOOKUP(EDATE(B92,-12),'Data Core CPI'!$A:$AX,MATCH($D$1,'Data Core CPI'!$A$1:$AX$1,),)</f>
        <v/>
      </c>
      <c r="E92" s="20">
        <f>IF(VLOOKUP(B92,'Data Core CPI'!$A:$AX,MATCH($E$1,'Data Core CPI'!$A$1:$AX$1,),)=0,#N/A,(VLOOKUP(B92,'Data Core CPI'!$A:$AX,MATCH($E$1,'Data Core CPI'!$A$1:$AX$1,),)-VLOOKUP(EDATE(B92,-12),'Data Core CPI'!$A:$AX,MATCH($E$1,'Data Core CPI'!$A$1:$AX$1,),))/VLOOKUP(EDATE(B92,-12),'Data Core CPI'!$A:$AX,MATCH($E$1,'Data Core CPI'!$A$1:$AX$1,),))</f>
        <v/>
      </c>
      <c r="F92" s="20">
        <f>IF(VLOOKUP(B92,'Data Core CPI'!$A:$AX,MATCH($F$1,'Data Core CPI'!$A$1:$AX$1,),)=0,#N/A,(VLOOKUP(B92,'Data Core CPI'!$A:$AX,MATCH($F$1,'Data Core CPI'!$A$1:$AX$1,),)-VLOOKUP(EDATE(B92,-12),'Data Core CPI'!$A:$AX,MATCH($F$1,'Data Core CPI'!$A$1:$AX$1,),))/VLOOKUP(EDATE(B92,-12),'Data Core CPI'!$A:$AX,MATCH($F$1,'Data Core CPI'!$A$1:$AX$1,),))</f>
        <v/>
      </c>
      <c r="G92" s="20">
        <f>IF(VLOOKUP(B92,'Data Core CPI'!$A:$AX,MATCH($G$1,'Data Core CPI'!$A$1:$AX$1,),)=0,#N/A,(VLOOKUP(B92,'Data Core CPI'!$A:$AX,MATCH($G$1,'Data Core CPI'!$A$1:$AX$1,),)-VLOOKUP(EDATE(B92,-12),'Data Core CPI'!$A:$AX,MATCH($G$1,'Data Core CPI'!$A$1:$AX$1,),))/VLOOKUP(EDATE(B92,-12),'Data Core CPI'!$A:$AX,MATCH($G$1,'Data Core CPI'!$A$1:$AX$1,),))</f>
        <v/>
      </c>
      <c r="H92" s="20">
        <f>IF(VLOOKUP(B92,'Data Core CPI'!$A:$AX,MATCH($H$1,'Data Core CPI'!$A$1:$AX$1,),)=0,#N/A,(VLOOKUP(B92,'Data Core CPI'!$A:$AX,MATCH($H$1,'Data Core CPI'!$A$1:$AX$1,),)-VLOOKUP(EDATE(B92,-12),'Data Core CPI'!$A:$AX,MATCH($H$1,'Data Core CPI'!$A$1:$AX$1,),))/VLOOKUP(EDATE(B92,-12),'Data Core CPI'!$A:$AX,MATCH($H$1,'Data Core CPI'!$A$1:$AX$1,),))</f>
        <v/>
      </c>
      <c r="I92" s="20">
        <f>IF(VLOOKUP(B92,'Data Core CPI'!$A:$AX,MATCH($I$1,'Data Core CPI'!$A$1:$AX$1,),)=0,#N/A,(VLOOKUP(B92,'Data Core CPI'!$A:$AX,MATCH($I$1,'Data Core CPI'!$A$1:$AX$1,),)-VLOOKUP(EDATE(B92,-12),'Data Core CPI'!$A:$AX,MATCH($I$1,'Data Core CPI'!$A$1:$AX$1,),))/VLOOKUP(EDATE(B92,-12),'Data Core CPI'!$A:$AX,MATCH($I$1,'Data Core CPI'!$A$1:$AX$1,),))</f>
        <v/>
      </c>
      <c r="J92" s="20">
        <f>IF(VLOOKUP(B92,'Data Core CPI'!$A:$AX,MATCH($J$1,'Data Core CPI'!$A$1:$AX$1,),)=0,#N/A,(VLOOKUP(B92,'Data Core CPI'!$A:$AX,MATCH($J$1,'Data Core CPI'!$A$1:$AX$1,),)-VLOOKUP(EDATE(B92,-12),'Data Core CPI'!$A:$AX,MATCH($J$1,'Data Core CPI'!$A$1:$AX$1,),))/VLOOKUP(EDATE(B92,-12),'Data Core CPI'!$A:$AX,MATCH($J$1,'Data Core CPI'!$A$1:$AX$1,),))</f>
        <v/>
      </c>
      <c r="K92" s="20">
        <f>IF(VLOOKUP(B92,'Data Core CPI'!$A:$AX,MATCH($K$1,'Data Core CPI'!$A$1:$AX$1,),)=0,#N/A,(VLOOKUP(B92,'Data Core CPI'!$A:$AX,MATCH($K$1,'Data Core CPI'!$A$1:$AX$1,),)-VLOOKUP(EDATE(B92,-12),'Data Core CPI'!$A:$AX,MATCH($K$1,'Data Core CPI'!$A$1:$AX$1,),))/VLOOKUP(EDATE(B92,-12),'Data Core CPI'!$A:$AX,MATCH($K$1,'Data Core CPI'!$A$1:$AX$1,),))</f>
        <v/>
      </c>
      <c r="L92" s="20">
        <f>IF(VLOOKUP(B92,'Data Core CPI'!$A:$AX,MATCH($L$1,'Data Core CPI'!$A$1:$AX$1,),)=0,#N/A,(VLOOKUP(B92,'Data Core CPI'!$A:$AX,MATCH($L$1,'Data Core CPI'!$A$1:$AX$1,),)-VLOOKUP(EDATE(B92,-12),'Data Core CPI'!$A:$AX,MATCH($L$1,'Data Core CPI'!$A$1:$AX$1,),))/VLOOKUP(EDATE(B92,-12),'Data Core CPI'!$A:$AX,MATCH($L$1,'Data Core CPI'!$A$1:$AX$1,),))</f>
        <v/>
      </c>
      <c r="M92" s="20">
        <f>IF(VLOOKUP(B92,'Data Core CPI'!$A:$AX,MATCH($M$1,'Data Core CPI'!$A$1:$AX$1,),)=0,#N/A,(VLOOKUP(B92,'Data Core CPI'!$A:$AX,MATCH($M$1,'Data Core CPI'!$A$1:$AX$1,),)-VLOOKUP(EDATE(B92,-12),'Data Core CPI'!$A:$AX,MATCH($M$1,'Data Core CPI'!$A$1:$AX$1,),))/VLOOKUP(EDATE(B92,-12),'Data Core CPI'!$A:$AX,MATCH($M$1,'Data Core CPI'!$A$1:$AX$1,),))</f>
        <v/>
      </c>
      <c r="N92" s="20">
        <f>(VLOOKUP(B92,'Data Core CPI'!$A:$AX,MATCH($N$1,'Data Core CPI'!$A$1:$AX$1,),)-VLOOKUP(EDATE(B92,-12),'Data Core CPI'!$A:$AX,MATCH($N$1,'Data Core CPI'!$A$1:$AX$1,),))/VLOOKUP(EDATE(B92,-12),'Data Core CPI'!$A:$AX,MATCH($N$1,'Data Core CPI'!$A$1:$AX$1,),)</f>
        <v/>
      </c>
      <c r="O92" s="20">
        <f>(VLOOKUP(B92,'Data Core CPI'!$A:$AX,MATCH($O$1,'Data Core CPI'!$A$1:$AX$1,),)-VLOOKUP(EDATE(B92,-12),'Data Core CPI'!$A:$AX,MATCH($O$1,'Data Core CPI'!$A$1:$AX$1,),))/VLOOKUP(EDATE(B92,-12),'Data Core CPI'!$A:$AX,MATCH($O$1,'Data Core CPI'!$A$1:$AX$1,),)</f>
        <v/>
      </c>
      <c r="P92" s="20">
        <f>IF(VLOOKUP(B92,'Data Core CPI'!$A:$AX,MATCH($P$1,'Data Core CPI'!$A$1:$AX$1,),)=0,#N/A,(VLOOKUP(B92,'Data Core CPI'!$A:$AX,MATCH($P$1,'Data Core CPI'!$A$1:$AX$1,),)-VLOOKUP(EDATE(B92,-12),'Data Core CPI'!$A:$AX,MATCH($P$1,'Data Core CPI'!$A$1:$AX$1,),))/VLOOKUP(EDATE(B92,-12),'Data Core CPI'!$A:$AX,MATCH($P$1,'Data Core CPI'!$A$1:$AX$1,),))</f>
        <v/>
      </c>
      <c r="Q92" s="20">
        <f>(VLOOKUP(B92,'Data Core CPI'!$A:$AX,MATCH($Q$1,'Data Core CPI'!$A$1:$AX$1,),)-VLOOKUP(EDATE(B92,-12),'Data Core CPI'!$A:$AX,MATCH($Q$1,'Data Core CPI'!$A$1:$AX$1,),))/VLOOKUP(EDATE(B92,-12),'Data Core CPI'!$A:$AX,MATCH($Q$1,'Data Core CPI'!$A$1:$AX$1,),)</f>
        <v/>
      </c>
      <c r="R92" s="20">
        <f>IF(VLOOKUP(B92,'Data Core CPI'!$A:$AX,MATCH($R$1,'Data Core CPI'!$A$1:$AX$1,),)=0,#N/A,(VLOOKUP(B92,'Data Core CPI'!$A:$AX,MATCH($R$1,'Data Core CPI'!$A$1:$AX$1,),)-VLOOKUP(EDATE(B92,-12),'Data Core CPI'!$A:$AX,MATCH($R$1,'Data Core CPI'!$A$1:$AX$1,),))/VLOOKUP(EDATE(B92,-12),'Data Core CPI'!$A:$AX,MATCH($R$1,'Data Core CPI'!$A$1:$AX$1,),))</f>
        <v/>
      </c>
      <c r="S92" s="20">
        <f>(VLOOKUP(B92,'Data Core CPI'!$A:$AX,MATCH($S$1,'Data Core CPI'!$A$1:$AX$1,),)-VLOOKUP(EDATE(B92,-12),'Data Core CPI'!$A:$AX,MATCH($S$1,'Data Core CPI'!$A$1:$AX$1,),))/VLOOKUP(EDATE(B92,-12),'Data Core CPI'!$A:$AX,MATCH($S$1,'Data Core CPI'!$A$1:$AX$1,),)</f>
        <v/>
      </c>
      <c r="T92" s="20">
        <f>(VLOOKUP(B92,'Data Core CPI'!$A:$AX,MATCH($T$1,'Data Core CPI'!$A$1:$AX$1,),)-VLOOKUP(EDATE(B92,-12),'Data Core CPI'!$A:$AX,MATCH($T$1,'Data Core CPI'!$A$1:$AX$1,),))/VLOOKUP(EDATE(B92,-12),'Data Core CPI'!$A:$AX,MATCH($T$1,'Data Core CPI'!$A$1:$AX$1,),)</f>
        <v/>
      </c>
      <c r="U92" s="20">
        <f>IF(VLOOKUP(B92,'Data Core CPI'!$A:$AX,MATCH($U$1,'Data Core CPI'!$A$1:$AX$1,),)=0,#N/A,(VLOOKUP(B92,'Data Core CPI'!$A:$AX,MATCH($U$1,'Data Core CPI'!$A$1:$AX$1,),)-VLOOKUP(EDATE(B92,-12),'Data Core CPI'!$A:$AX,MATCH($U$1,'Data Core CPI'!$A$1:$AX$1,),))/VLOOKUP(EDATE(B92,-12),'Data Core CPI'!$A:$AX,MATCH($U$1,'Data Core CPI'!$A$1:$AX$1,),))</f>
        <v/>
      </c>
      <c r="V92" s="20">
        <f>(VLOOKUP(B92,'Data Core CPI'!$A:$AX,MATCH($V$1,'Data Core CPI'!$A$1:$AX$1,),)-VLOOKUP(EDATE(B92,-12),'Data Core CPI'!$A:$AX,MATCH($V$1,'Data Core CPI'!$A$1:$AX$1,),))/VLOOKUP(EDATE(B92,-12),'Data Core CPI'!$A:$AX,MATCH($V$1,'Data Core CPI'!$A$1:$AX$1,),)</f>
        <v/>
      </c>
      <c r="W92" s="20">
        <f>IF(VLOOKUP(B92,'Data Core CPI'!$A:$AX,MATCH($W$1,'Data Core CPI'!$A$1:$AX$1,),)=0,#N/A,(VLOOKUP(B92,'Data Core CPI'!$A:$AX,MATCH($W$1,'Data Core CPI'!$A$1:$AX$1,),)-VLOOKUP(EDATE(B92,-12),'Data Core CPI'!$A:$AX,MATCH($W$1,'Data Core CPI'!$A$1:$AX$1,),))/VLOOKUP(EDATE(B92,-12),'Data Core CPI'!$A:$AX,MATCH($W$1,'Data Core CPI'!$A$1:$AX$1,),))</f>
        <v/>
      </c>
      <c r="X92" s="20">
        <f>IF(VLOOKUP(B92,'Data Core CPI'!$A:$AX,MATCH($X$1,'Data Core CPI'!$A$1:$AX$1,),)=0,#N/A,(VLOOKUP(B92,'Data Core CPI'!$A:$AX,MATCH($X$1,'Data Core CPI'!$A$1:$AX$1,),)-VLOOKUP(EDATE(B92,-12),'Data Core CPI'!$A:$AX,MATCH($X$1,'Data Core CPI'!$A$1:$AX$1,),))/VLOOKUP(EDATE(B92,-12),'Data Core CPI'!$A:$AX,MATCH($X$1,'Data Core CPI'!$A$1:$AX$1,),))</f>
        <v/>
      </c>
      <c r="Y92" s="20">
        <f>IF(VLOOKUP(B92,'Data Core CPI'!$A:$AX,MATCH($Y$1,'Data Core CPI'!$A$1:$AX$1,),)=0,#N/A,(VLOOKUP(B92,'Data Core CPI'!$A:$AX,MATCH($Y$1,'Data Core CPI'!$A$1:$AX$1,),)-VLOOKUP(EDATE(B92,-12),'Data Core CPI'!$A:$AX,MATCH($Y$1,'Data Core CPI'!$A$1:$AX$1,),))/VLOOKUP(EDATE(B92,-12),'Data Core CPI'!$A:$AX,MATCH($Y$1,'Data Core CPI'!$A$1:$AX$1,),))</f>
        <v/>
      </c>
      <c r="Z92" s="20">
        <f>(VLOOKUP(B92,Data!$A:$AX,MATCH($Z$1,Data!$A$1:$AX$1,),)-VLOOKUP(EDATE(B92,-12),Data!$A:$AX,MATCH($Z$1,Data!$A$1:$AX$1,),))/VLOOKUP(EDATE(B92,-12),Data!$A:$AX,MATCH($Z$1,Data!$A$1:$AX$1,),)</f>
        <v/>
      </c>
      <c r="AA92" s="20">
        <f>(VLOOKUP(B92,Data!$A:$AX,MATCH($AA$1,Data!$A$1:$AX$1,),)-VLOOKUP(EDATE(B92,-12),Data!$A:$AX,MATCH($AA$1,Data!$A$1:$AX$1,),))/VLOOKUP(EDATE(B92,-12),Data!$A:$AX,MATCH($AA$1,Data!$A$1:$AX$1,),)</f>
        <v/>
      </c>
      <c r="AB92" s="19" t="n"/>
    </row>
    <row r="93">
      <c r="B93" s="15" t="n">
        <v>43040</v>
      </c>
      <c r="C93" s="20">
        <f>IF(VLOOKUP(B93,'Data Core CPI'!$A:$AX,MATCH($C$1,'Data Core CPI'!$A$1:$AX$1,),)=0,#N/A,(VLOOKUP(B93,'Data Core CPI'!$A:$AX,MATCH($C$1,'Data Core CPI'!$A$1:$AX$1,),)-VLOOKUP(EDATE(B93,-12),'Data Core CPI'!$A:$AX,MATCH($C$1,'Data Core CPI'!$A$1:$AX$1,),))/VLOOKUP(EDATE(B93,-12),'Data Core CPI'!$A:$AX,MATCH($C$1,'Data Core CPI'!$A$1:$AX$1,),))</f>
        <v/>
      </c>
      <c r="D93" s="20">
        <f>(VLOOKUP(B93,'Data Core CPI'!$A:$AX,MATCH($D$1,'Data Core CPI'!$A$1:$AX$1,),)-VLOOKUP(EDATE(B93,-12),'Data Core CPI'!$A:$AX,MATCH($D$1,'Data Core CPI'!$A$1:$AX$1,),))/VLOOKUP(EDATE(B93,-12),'Data Core CPI'!$A:$AX,MATCH($D$1,'Data Core CPI'!$A$1:$AX$1,),)</f>
        <v/>
      </c>
      <c r="E93" s="20">
        <f>IF(VLOOKUP(B93,'Data Core CPI'!$A:$AX,MATCH($E$1,'Data Core CPI'!$A$1:$AX$1,),)=0,#N/A,(VLOOKUP(B93,'Data Core CPI'!$A:$AX,MATCH($E$1,'Data Core CPI'!$A$1:$AX$1,),)-VLOOKUP(EDATE(B93,-12),'Data Core CPI'!$A:$AX,MATCH($E$1,'Data Core CPI'!$A$1:$AX$1,),))/VLOOKUP(EDATE(B93,-12),'Data Core CPI'!$A:$AX,MATCH($E$1,'Data Core CPI'!$A$1:$AX$1,),))</f>
        <v/>
      </c>
      <c r="F93" s="20">
        <f>IF(VLOOKUP(B93,'Data Core CPI'!$A:$AX,MATCH($F$1,'Data Core CPI'!$A$1:$AX$1,),)=0,#N/A,(VLOOKUP(B93,'Data Core CPI'!$A:$AX,MATCH($F$1,'Data Core CPI'!$A$1:$AX$1,),)-VLOOKUP(EDATE(B93,-12),'Data Core CPI'!$A:$AX,MATCH($F$1,'Data Core CPI'!$A$1:$AX$1,),))/VLOOKUP(EDATE(B93,-12),'Data Core CPI'!$A:$AX,MATCH($F$1,'Data Core CPI'!$A$1:$AX$1,),))</f>
        <v/>
      </c>
      <c r="G93" s="20">
        <f>IF(VLOOKUP(B93,'Data Core CPI'!$A:$AX,MATCH($G$1,'Data Core CPI'!$A$1:$AX$1,),)=0,#N/A,(VLOOKUP(B93,'Data Core CPI'!$A:$AX,MATCH($G$1,'Data Core CPI'!$A$1:$AX$1,),)-VLOOKUP(EDATE(B93,-12),'Data Core CPI'!$A:$AX,MATCH($G$1,'Data Core CPI'!$A$1:$AX$1,),))/VLOOKUP(EDATE(B93,-12),'Data Core CPI'!$A:$AX,MATCH($G$1,'Data Core CPI'!$A$1:$AX$1,),))</f>
        <v/>
      </c>
      <c r="H93" s="20">
        <f>IF(VLOOKUP(B93,'Data Core CPI'!$A:$AX,MATCH($H$1,'Data Core CPI'!$A$1:$AX$1,),)=0,#N/A,(VLOOKUP(B93,'Data Core CPI'!$A:$AX,MATCH($H$1,'Data Core CPI'!$A$1:$AX$1,),)-VLOOKUP(EDATE(B93,-12),'Data Core CPI'!$A:$AX,MATCH($H$1,'Data Core CPI'!$A$1:$AX$1,),))/VLOOKUP(EDATE(B93,-12),'Data Core CPI'!$A:$AX,MATCH($H$1,'Data Core CPI'!$A$1:$AX$1,),))</f>
        <v/>
      </c>
      <c r="I93" s="20">
        <f>IF(VLOOKUP(B93,'Data Core CPI'!$A:$AX,MATCH($I$1,'Data Core CPI'!$A$1:$AX$1,),)=0,#N/A,(VLOOKUP(B93,'Data Core CPI'!$A:$AX,MATCH($I$1,'Data Core CPI'!$A$1:$AX$1,),)-VLOOKUP(EDATE(B93,-12),'Data Core CPI'!$A:$AX,MATCH($I$1,'Data Core CPI'!$A$1:$AX$1,),))/VLOOKUP(EDATE(B93,-12),'Data Core CPI'!$A:$AX,MATCH($I$1,'Data Core CPI'!$A$1:$AX$1,),))</f>
        <v/>
      </c>
      <c r="J93" s="20">
        <f>IF(VLOOKUP(B93,'Data Core CPI'!$A:$AX,MATCH($J$1,'Data Core CPI'!$A$1:$AX$1,),)=0,#N/A,(VLOOKUP(B93,'Data Core CPI'!$A:$AX,MATCH($J$1,'Data Core CPI'!$A$1:$AX$1,),)-VLOOKUP(EDATE(B93,-12),'Data Core CPI'!$A:$AX,MATCH($J$1,'Data Core CPI'!$A$1:$AX$1,),))/VLOOKUP(EDATE(B93,-12),'Data Core CPI'!$A:$AX,MATCH($J$1,'Data Core CPI'!$A$1:$AX$1,),))</f>
        <v/>
      </c>
      <c r="K93" s="20">
        <f>IF(VLOOKUP(B93,'Data Core CPI'!$A:$AX,MATCH($K$1,'Data Core CPI'!$A$1:$AX$1,),)=0,#N/A,(VLOOKUP(B93,'Data Core CPI'!$A:$AX,MATCH($K$1,'Data Core CPI'!$A$1:$AX$1,),)-VLOOKUP(EDATE(B93,-12),'Data Core CPI'!$A:$AX,MATCH($K$1,'Data Core CPI'!$A$1:$AX$1,),))/VLOOKUP(EDATE(B93,-12),'Data Core CPI'!$A:$AX,MATCH($K$1,'Data Core CPI'!$A$1:$AX$1,),))</f>
        <v/>
      </c>
      <c r="L93" s="20">
        <f>IF(VLOOKUP(B93,'Data Core CPI'!$A:$AX,MATCH($L$1,'Data Core CPI'!$A$1:$AX$1,),)=0,#N/A,(VLOOKUP(B93,'Data Core CPI'!$A:$AX,MATCH($L$1,'Data Core CPI'!$A$1:$AX$1,),)-VLOOKUP(EDATE(B93,-12),'Data Core CPI'!$A:$AX,MATCH($L$1,'Data Core CPI'!$A$1:$AX$1,),))/VLOOKUP(EDATE(B93,-12),'Data Core CPI'!$A:$AX,MATCH($L$1,'Data Core CPI'!$A$1:$AX$1,),))</f>
        <v/>
      </c>
      <c r="M93" s="20">
        <f>IF(VLOOKUP(B93,'Data Core CPI'!$A:$AX,MATCH($M$1,'Data Core CPI'!$A$1:$AX$1,),)=0,#N/A,(VLOOKUP(B93,'Data Core CPI'!$A:$AX,MATCH($M$1,'Data Core CPI'!$A$1:$AX$1,),)-VLOOKUP(EDATE(B93,-12),'Data Core CPI'!$A:$AX,MATCH($M$1,'Data Core CPI'!$A$1:$AX$1,),))/VLOOKUP(EDATE(B93,-12),'Data Core CPI'!$A:$AX,MATCH($M$1,'Data Core CPI'!$A$1:$AX$1,),))</f>
        <v/>
      </c>
      <c r="N93" s="20">
        <f>(VLOOKUP(B93,'Data Core CPI'!$A:$AX,MATCH($N$1,'Data Core CPI'!$A$1:$AX$1,),)-VLOOKUP(EDATE(B93,-12),'Data Core CPI'!$A:$AX,MATCH($N$1,'Data Core CPI'!$A$1:$AX$1,),))/VLOOKUP(EDATE(B93,-12),'Data Core CPI'!$A:$AX,MATCH($N$1,'Data Core CPI'!$A$1:$AX$1,),)</f>
        <v/>
      </c>
      <c r="O93" s="20">
        <f>(VLOOKUP(B93,'Data Core CPI'!$A:$AX,MATCH($O$1,'Data Core CPI'!$A$1:$AX$1,),)-VLOOKUP(EDATE(B93,-12),'Data Core CPI'!$A:$AX,MATCH($O$1,'Data Core CPI'!$A$1:$AX$1,),))/VLOOKUP(EDATE(B93,-12),'Data Core CPI'!$A:$AX,MATCH($O$1,'Data Core CPI'!$A$1:$AX$1,),)</f>
        <v/>
      </c>
      <c r="P93" s="20">
        <f>IF(VLOOKUP(B93,'Data Core CPI'!$A:$AX,MATCH($P$1,'Data Core CPI'!$A$1:$AX$1,),)=0,#N/A,(VLOOKUP(B93,'Data Core CPI'!$A:$AX,MATCH($P$1,'Data Core CPI'!$A$1:$AX$1,),)-VLOOKUP(EDATE(B93,-12),'Data Core CPI'!$A:$AX,MATCH($P$1,'Data Core CPI'!$A$1:$AX$1,),))/VLOOKUP(EDATE(B93,-12),'Data Core CPI'!$A:$AX,MATCH($P$1,'Data Core CPI'!$A$1:$AX$1,),))</f>
        <v/>
      </c>
      <c r="Q93" s="20">
        <f>(VLOOKUP(B93,'Data Core CPI'!$A:$AX,MATCH($Q$1,'Data Core CPI'!$A$1:$AX$1,),)-VLOOKUP(EDATE(B93,-12),'Data Core CPI'!$A:$AX,MATCH($Q$1,'Data Core CPI'!$A$1:$AX$1,),))/VLOOKUP(EDATE(B93,-12),'Data Core CPI'!$A:$AX,MATCH($Q$1,'Data Core CPI'!$A$1:$AX$1,),)</f>
        <v/>
      </c>
      <c r="R93" s="20">
        <f>IF(VLOOKUP(B93,'Data Core CPI'!$A:$AX,MATCH($R$1,'Data Core CPI'!$A$1:$AX$1,),)=0,#N/A,(VLOOKUP(B93,'Data Core CPI'!$A:$AX,MATCH($R$1,'Data Core CPI'!$A$1:$AX$1,),)-VLOOKUP(EDATE(B93,-12),'Data Core CPI'!$A:$AX,MATCH($R$1,'Data Core CPI'!$A$1:$AX$1,),))/VLOOKUP(EDATE(B93,-12),'Data Core CPI'!$A:$AX,MATCH($R$1,'Data Core CPI'!$A$1:$AX$1,),))</f>
        <v/>
      </c>
      <c r="S93" s="20">
        <f>(VLOOKUP(B93,'Data Core CPI'!$A:$AX,MATCH($S$1,'Data Core CPI'!$A$1:$AX$1,),)-VLOOKUP(EDATE(B93,-12),'Data Core CPI'!$A:$AX,MATCH($S$1,'Data Core CPI'!$A$1:$AX$1,),))/VLOOKUP(EDATE(B93,-12),'Data Core CPI'!$A:$AX,MATCH($S$1,'Data Core CPI'!$A$1:$AX$1,),)</f>
        <v/>
      </c>
      <c r="T93" s="20">
        <f>(VLOOKUP(B93,'Data Core CPI'!$A:$AX,MATCH($T$1,'Data Core CPI'!$A$1:$AX$1,),)-VLOOKUP(EDATE(B93,-12),'Data Core CPI'!$A:$AX,MATCH($T$1,'Data Core CPI'!$A$1:$AX$1,),))/VLOOKUP(EDATE(B93,-12),'Data Core CPI'!$A:$AX,MATCH($T$1,'Data Core CPI'!$A$1:$AX$1,),)</f>
        <v/>
      </c>
      <c r="U93" s="20">
        <f>IF(VLOOKUP(B93,'Data Core CPI'!$A:$AX,MATCH($U$1,'Data Core CPI'!$A$1:$AX$1,),)=0,#N/A,(VLOOKUP(B93,'Data Core CPI'!$A:$AX,MATCH($U$1,'Data Core CPI'!$A$1:$AX$1,),)-VLOOKUP(EDATE(B93,-12),'Data Core CPI'!$A:$AX,MATCH($U$1,'Data Core CPI'!$A$1:$AX$1,),))/VLOOKUP(EDATE(B93,-12),'Data Core CPI'!$A:$AX,MATCH($U$1,'Data Core CPI'!$A$1:$AX$1,),))</f>
        <v/>
      </c>
      <c r="V93" s="20">
        <f>(VLOOKUP(B93,'Data Core CPI'!$A:$AX,MATCH($V$1,'Data Core CPI'!$A$1:$AX$1,),)-VLOOKUP(EDATE(B93,-12),'Data Core CPI'!$A:$AX,MATCH($V$1,'Data Core CPI'!$A$1:$AX$1,),))/VLOOKUP(EDATE(B93,-12),'Data Core CPI'!$A:$AX,MATCH($V$1,'Data Core CPI'!$A$1:$AX$1,),)</f>
        <v/>
      </c>
      <c r="W93" s="20">
        <f>IF(VLOOKUP(B93,'Data Core CPI'!$A:$AX,MATCH($W$1,'Data Core CPI'!$A$1:$AX$1,),)=0,#N/A,(VLOOKUP(B93,'Data Core CPI'!$A:$AX,MATCH($W$1,'Data Core CPI'!$A$1:$AX$1,),)-VLOOKUP(EDATE(B93,-12),'Data Core CPI'!$A:$AX,MATCH($W$1,'Data Core CPI'!$A$1:$AX$1,),))/VLOOKUP(EDATE(B93,-12),'Data Core CPI'!$A:$AX,MATCH($W$1,'Data Core CPI'!$A$1:$AX$1,),))</f>
        <v/>
      </c>
      <c r="X93" s="20">
        <f>IF(VLOOKUP(B93,'Data Core CPI'!$A:$AX,MATCH($X$1,'Data Core CPI'!$A$1:$AX$1,),)=0,#N/A,(VLOOKUP(B93,'Data Core CPI'!$A:$AX,MATCH($X$1,'Data Core CPI'!$A$1:$AX$1,),)-VLOOKUP(EDATE(B93,-12),'Data Core CPI'!$A:$AX,MATCH($X$1,'Data Core CPI'!$A$1:$AX$1,),))/VLOOKUP(EDATE(B93,-12),'Data Core CPI'!$A:$AX,MATCH($X$1,'Data Core CPI'!$A$1:$AX$1,),))</f>
        <v/>
      </c>
      <c r="Y93" s="20">
        <f>IF(VLOOKUP(B93,'Data Core CPI'!$A:$AX,MATCH($Y$1,'Data Core CPI'!$A$1:$AX$1,),)=0,#N/A,(VLOOKUP(B93,'Data Core CPI'!$A:$AX,MATCH($Y$1,'Data Core CPI'!$A$1:$AX$1,),)-VLOOKUP(EDATE(B93,-12),'Data Core CPI'!$A:$AX,MATCH($Y$1,'Data Core CPI'!$A$1:$AX$1,),))/VLOOKUP(EDATE(B93,-12),'Data Core CPI'!$A:$AX,MATCH($Y$1,'Data Core CPI'!$A$1:$AX$1,),))</f>
        <v/>
      </c>
      <c r="Z93" s="20">
        <f>(VLOOKUP(B93,Data!$A:$AX,MATCH($Z$1,Data!$A$1:$AX$1,),)-VLOOKUP(EDATE(B93,-12),Data!$A:$AX,MATCH($Z$1,Data!$A$1:$AX$1,),))/VLOOKUP(EDATE(B93,-12),Data!$A:$AX,MATCH($Z$1,Data!$A$1:$AX$1,),)</f>
        <v/>
      </c>
      <c r="AA93" s="20">
        <f>(VLOOKUP(B93,Data!$A:$AX,MATCH($AA$1,Data!$A$1:$AX$1,),)-VLOOKUP(EDATE(B93,-12),Data!$A:$AX,MATCH($AA$1,Data!$A$1:$AX$1,),))/VLOOKUP(EDATE(B93,-12),Data!$A:$AX,MATCH($AA$1,Data!$A$1:$AX$1,),)</f>
        <v/>
      </c>
      <c r="AB93" s="19" t="n"/>
    </row>
    <row r="94">
      <c r="B94" s="15" t="n">
        <v>43070</v>
      </c>
      <c r="C94" s="20">
        <f>IF(VLOOKUP(B94,'Data Core CPI'!$A:$AX,MATCH($C$1,'Data Core CPI'!$A$1:$AX$1,),)=0,#N/A,(VLOOKUP(B94,'Data Core CPI'!$A:$AX,MATCH($C$1,'Data Core CPI'!$A$1:$AX$1,),)-VLOOKUP(EDATE(B94,-12),'Data Core CPI'!$A:$AX,MATCH($C$1,'Data Core CPI'!$A$1:$AX$1,),))/VLOOKUP(EDATE(B94,-12),'Data Core CPI'!$A:$AX,MATCH($C$1,'Data Core CPI'!$A$1:$AX$1,),))</f>
        <v/>
      </c>
      <c r="D94" s="20">
        <f>(VLOOKUP(B94,'Data Core CPI'!$A:$AX,MATCH($D$1,'Data Core CPI'!$A$1:$AX$1,),)-VLOOKUP(EDATE(B94,-12),'Data Core CPI'!$A:$AX,MATCH($D$1,'Data Core CPI'!$A$1:$AX$1,),))/VLOOKUP(EDATE(B94,-12),'Data Core CPI'!$A:$AX,MATCH($D$1,'Data Core CPI'!$A$1:$AX$1,),)</f>
        <v/>
      </c>
      <c r="E94" s="20">
        <f>IF(VLOOKUP(B94,'Data Core CPI'!$A:$AX,MATCH($E$1,'Data Core CPI'!$A$1:$AX$1,),)=0,#N/A,(VLOOKUP(B94,'Data Core CPI'!$A:$AX,MATCH($E$1,'Data Core CPI'!$A$1:$AX$1,),)-VLOOKUP(EDATE(B94,-12),'Data Core CPI'!$A:$AX,MATCH($E$1,'Data Core CPI'!$A$1:$AX$1,),))/VLOOKUP(EDATE(B94,-12),'Data Core CPI'!$A:$AX,MATCH($E$1,'Data Core CPI'!$A$1:$AX$1,),))</f>
        <v/>
      </c>
      <c r="F94" s="20">
        <f>IF(VLOOKUP(B94,'Data Core CPI'!$A:$AX,MATCH($F$1,'Data Core CPI'!$A$1:$AX$1,),)=0,#N/A,(VLOOKUP(B94,'Data Core CPI'!$A:$AX,MATCH($F$1,'Data Core CPI'!$A$1:$AX$1,),)-VLOOKUP(EDATE(B94,-12),'Data Core CPI'!$A:$AX,MATCH($F$1,'Data Core CPI'!$A$1:$AX$1,),))/VLOOKUP(EDATE(B94,-12),'Data Core CPI'!$A:$AX,MATCH($F$1,'Data Core CPI'!$A$1:$AX$1,),))</f>
        <v/>
      </c>
      <c r="G94" s="20">
        <f>IF(VLOOKUP(B94,'Data Core CPI'!$A:$AX,MATCH($G$1,'Data Core CPI'!$A$1:$AX$1,),)=0,#N/A,(VLOOKUP(B94,'Data Core CPI'!$A:$AX,MATCH($G$1,'Data Core CPI'!$A$1:$AX$1,),)-VLOOKUP(EDATE(B94,-12),'Data Core CPI'!$A:$AX,MATCH($G$1,'Data Core CPI'!$A$1:$AX$1,),))/VLOOKUP(EDATE(B94,-12),'Data Core CPI'!$A:$AX,MATCH($G$1,'Data Core CPI'!$A$1:$AX$1,),))</f>
        <v/>
      </c>
      <c r="H94" s="20">
        <f>IF(VLOOKUP(B94,'Data Core CPI'!$A:$AX,MATCH($H$1,'Data Core CPI'!$A$1:$AX$1,),)=0,#N/A,(VLOOKUP(B94,'Data Core CPI'!$A:$AX,MATCH($H$1,'Data Core CPI'!$A$1:$AX$1,),)-VLOOKUP(EDATE(B94,-12),'Data Core CPI'!$A:$AX,MATCH($H$1,'Data Core CPI'!$A$1:$AX$1,),))/VLOOKUP(EDATE(B94,-12),'Data Core CPI'!$A:$AX,MATCH($H$1,'Data Core CPI'!$A$1:$AX$1,),))</f>
        <v/>
      </c>
      <c r="I94" s="20">
        <f>IF(VLOOKUP(B94,'Data Core CPI'!$A:$AX,MATCH($I$1,'Data Core CPI'!$A$1:$AX$1,),)=0,#N/A,(VLOOKUP(B94,'Data Core CPI'!$A:$AX,MATCH($I$1,'Data Core CPI'!$A$1:$AX$1,),)-VLOOKUP(EDATE(B94,-12),'Data Core CPI'!$A:$AX,MATCH($I$1,'Data Core CPI'!$A$1:$AX$1,),))/VLOOKUP(EDATE(B94,-12),'Data Core CPI'!$A:$AX,MATCH($I$1,'Data Core CPI'!$A$1:$AX$1,),))</f>
        <v/>
      </c>
      <c r="J94" s="20">
        <f>IF(VLOOKUP(B94,'Data Core CPI'!$A:$AX,MATCH($J$1,'Data Core CPI'!$A$1:$AX$1,),)=0,#N/A,(VLOOKUP(B94,'Data Core CPI'!$A:$AX,MATCH($J$1,'Data Core CPI'!$A$1:$AX$1,),)-VLOOKUP(EDATE(B94,-12),'Data Core CPI'!$A:$AX,MATCH($J$1,'Data Core CPI'!$A$1:$AX$1,),))/VLOOKUP(EDATE(B94,-12),'Data Core CPI'!$A:$AX,MATCH($J$1,'Data Core CPI'!$A$1:$AX$1,),))</f>
        <v/>
      </c>
      <c r="K94" s="20">
        <f>IF(VLOOKUP(B94,'Data Core CPI'!$A:$AX,MATCH($K$1,'Data Core CPI'!$A$1:$AX$1,),)=0,#N/A,(VLOOKUP(B94,'Data Core CPI'!$A:$AX,MATCH($K$1,'Data Core CPI'!$A$1:$AX$1,),)-VLOOKUP(EDATE(B94,-12),'Data Core CPI'!$A:$AX,MATCH($K$1,'Data Core CPI'!$A$1:$AX$1,),))/VLOOKUP(EDATE(B94,-12),'Data Core CPI'!$A:$AX,MATCH($K$1,'Data Core CPI'!$A$1:$AX$1,),))</f>
        <v/>
      </c>
      <c r="L94" s="20">
        <f>IF(VLOOKUP(B94,'Data Core CPI'!$A:$AX,MATCH($L$1,'Data Core CPI'!$A$1:$AX$1,),)=0,#N/A,(VLOOKUP(B94,'Data Core CPI'!$A:$AX,MATCH($L$1,'Data Core CPI'!$A$1:$AX$1,),)-VLOOKUP(EDATE(B94,-12),'Data Core CPI'!$A:$AX,MATCH($L$1,'Data Core CPI'!$A$1:$AX$1,),))/VLOOKUP(EDATE(B94,-12),'Data Core CPI'!$A:$AX,MATCH($L$1,'Data Core CPI'!$A$1:$AX$1,),))</f>
        <v/>
      </c>
      <c r="M94" s="20">
        <f>IF(VLOOKUP(B94,'Data Core CPI'!$A:$AX,MATCH($M$1,'Data Core CPI'!$A$1:$AX$1,),)=0,#N/A,(VLOOKUP(B94,'Data Core CPI'!$A:$AX,MATCH($M$1,'Data Core CPI'!$A$1:$AX$1,),)-VLOOKUP(EDATE(B94,-12),'Data Core CPI'!$A:$AX,MATCH($M$1,'Data Core CPI'!$A$1:$AX$1,),))/VLOOKUP(EDATE(B94,-12),'Data Core CPI'!$A:$AX,MATCH($M$1,'Data Core CPI'!$A$1:$AX$1,),))</f>
        <v/>
      </c>
      <c r="N94" s="20">
        <f>(VLOOKUP(B94,'Data Core CPI'!$A:$AX,MATCH($N$1,'Data Core CPI'!$A$1:$AX$1,),)-VLOOKUP(EDATE(B94,-12),'Data Core CPI'!$A:$AX,MATCH($N$1,'Data Core CPI'!$A$1:$AX$1,),))/VLOOKUP(EDATE(B94,-12),'Data Core CPI'!$A:$AX,MATCH($N$1,'Data Core CPI'!$A$1:$AX$1,),)</f>
        <v/>
      </c>
      <c r="O94" s="20">
        <f>(VLOOKUP(B94,'Data Core CPI'!$A:$AX,MATCH($O$1,'Data Core CPI'!$A$1:$AX$1,),)-VLOOKUP(EDATE(B94,-12),'Data Core CPI'!$A:$AX,MATCH($O$1,'Data Core CPI'!$A$1:$AX$1,),))/VLOOKUP(EDATE(B94,-12),'Data Core CPI'!$A:$AX,MATCH($O$1,'Data Core CPI'!$A$1:$AX$1,),)</f>
        <v/>
      </c>
      <c r="P94" s="20">
        <f>IF(VLOOKUP(B94,'Data Core CPI'!$A:$AX,MATCH($P$1,'Data Core CPI'!$A$1:$AX$1,),)=0,#N/A,(VLOOKUP(B94,'Data Core CPI'!$A:$AX,MATCH($P$1,'Data Core CPI'!$A$1:$AX$1,),)-VLOOKUP(EDATE(B94,-12),'Data Core CPI'!$A:$AX,MATCH($P$1,'Data Core CPI'!$A$1:$AX$1,),))/VLOOKUP(EDATE(B94,-12),'Data Core CPI'!$A:$AX,MATCH($P$1,'Data Core CPI'!$A$1:$AX$1,),))</f>
        <v/>
      </c>
      <c r="Q94" s="20">
        <f>(VLOOKUP(B94,'Data Core CPI'!$A:$AX,MATCH($Q$1,'Data Core CPI'!$A$1:$AX$1,),)-VLOOKUP(EDATE(B94,-12),'Data Core CPI'!$A:$AX,MATCH($Q$1,'Data Core CPI'!$A$1:$AX$1,),))/VLOOKUP(EDATE(B94,-12),'Data Core CPI'!$A:$AX,MATCH($Q$1,'Data Core CPI'!$A$1:$AX$1,),)</f>
        <v/>
      </c>
      <c r="R94" s="20">
        <f>IF(VLOOKUP(B94,'Data Core CPI'!$A:$AX,MATCH($R$1,'Data Core CPI'!$A$1:$AX$1,),)=0,#N/A,(VLOOKUP(B94,'Data Core CPI'!$A:$AX,MATCH($R$1,'Data Core CPI'!$A$1:$AX$1,),)-VLOOKUP(EDATE(B94,-12),'Data Core CPI'!$A:$AX,MATCH($R$1,'Data Core CPI'!$A$1:$AX$1,),))/VLOOKUP(EDATE(B94,-12),'Data Core CPI'!$A:$AX,MATCH($R$1,'Data Core CPI'!$A$1:$AX$1,),))</f>
        <v/>
      </c>
      <c r="S94" s="20">
        <f>(VLOOKUP(B94,'Data Core CPI'!$A:$AX,MATCH($S$1,'Data Core CPI'!$A$1:$AX$1,),)-VLOOKUP(EDATE(B94,-12),'Data Core CPI'!$A:$AX,MATCH($S$1,'Data Core CPI'!$A$1:$AX$1,),))/VLOOKUP(EDATE(B94,-12),'Data Core CPI'!$A:$AX,MATCH($S$1,'Data Core CPI'!$A$1:$AX$1,),)</f>
        <v/>
      </c>
      <c r="T94" s="20">
        <f>(VLOOKUP(B94,'Data Core CPI'!$A:$AX,MATCH($T$1,'Data Core CPI'!$A$1:$AX$1,),)-VLOOKUP(EDATE(B94,-12),'Data Core CPI'!$A:$AX,MATCH($T$1,'Data Core CPI'!$A$1:$AX$1,),))/VLOOKUP(EDATE(B94,-12),'Data Core CPI'!$A:$AX,MATCH($T$1,'Data Core CPI'!$A$1:$AX$1,),)</f>
        <v/>
      </c>
      <c r="U94" s="20">
        <f>IF(VLOOKUP(B94,'Data Core CPI'!$A:$AX,MATCH($U$1,'Data Core CPI'!$A$1:$AX$1,),)=0,#N/A,(VLOOKUP(B94,'Data Core CPI'!$A:$AX,MATCH($U$1,'Data Core CPI'!$A$1:$AX$1,),)-VLOOKUP(EDATE(B94,-12),'Data Core CPI'!$A:$AX,MATCH($U$1,'Data Core CPI'!$A$1:$AX$1,),))/VLOOKUP(EDATE(B94,-12),'Data Core CPI'!$A:$AX,MATCH($U$1,'Data Core CPI'!$A$1:$AX$1,),))</f>
        <v/>
      </c>
      <c r="V94" s="20">
        <f>(VLOOKUP(B94,'Data Core CPI'!$A:$AX,MATCH($V$1,'Data Core CPI'!$A$1:$AX$1,),)-VLOOKUP(EDATE(B94,-12),'Data Core CPI'!$A:$AX,MATCH($V$1,'Data Core CPI'!$A$1:$AX$1,),))/VLOOKUP(EDATE(B94,-12),'Data Core CPI'!$A:$AX,MATCH($V$1,'Data Core CPI'!$A$1:$AX$1,),)</f>
        <v/>
      </c>
      <c r="W94" s="20">
        <f>IF(VLOOKUP(B94,'Data Core CPI'!$A:$AX,MATCH($W$1,'Data Core CPI'!$A$1:$AX$1,),)=0,#N/A,(VLOOKUP(B94,'Data Core CPI'!$A:$AX,MATCH($W$1,'Data Core CPI'!$A$1:$AX$1,),)-VLOOKUP(EDATE(B94,-12),'Data Core CPI'!$A:$AX,MATCH($W$1,'Data Core CPI'!$A$1:$AX$1,),))/VLOOKUP(EDATE(B94,-12),'Data Core CPI'!$A:$AX,MATCH($W$1,'Data Core CPI'!$A$1:$AX$1,),))</f>
        <v/>
      </c>
      <c r="X94" s="20">
        <f>IF(VLOOKUP(B94,'Data Core CPI'!$A:$AX,MATCH($X$1,'Data Core CPI'!$A$1:$AX$1,),)=0,#N/A,(VLOOKUP(B94,'Data Core CPI'!$A:$AX,MATCH($X$1,'Data Core CPI'!$A$1:$AX$1,),)-VLOOKUP(EDATE(B94,-12),'Data Core CPI'!$A:$AX,MATCH($X$1,'Data Core CPI'!$A$1:$AX$1,),))/VLOOKUP(EDATE(B94,-12),'Data Core CPI'!$A:$AX,MATCH($X$1,'Data Core CPI'!$A$1:$AX$1,),))</f>
        <v/>
      </c>
      <c r="Y94" s="20">
        <f>IF(VLOOKUP(B94,'Data Core CPI'!$A:$AX,MATCH($Y$1,'Data Core CPI'!$A$1:$AX$1,),)=0,#N/A,(VLOOKUP(B94,'Data Core CPI'!$A:$AX,MATCH($Y$1,'Data Core CPI'!$A$1:$AX$1,),)-VLOOKUP(EDATE(B94,-12),'Data Core CPI'!$A:$AX,MATCH($Y$1,'Data Core CPI'!$A$1:$AX$1,),))/VLOOKUP(EDATE(B94,-12),'Data Core CPI'!$A:$AX,MATCH($Y$1,'Data Core CPI'!$A$1:$AX$1,),))</f>
        <v/>
      </c>
      <c r="Z94" s="20">
        <f>(VLOOKUP(B94,Data!$A:$AX,MATCH($Z$1,Data!$A$1:$AX$1,),)-VLOOKUP(EDATE(B94,-12),Data!$A:$AX,MATCH($Z$1,Data!$A$1:$AX$1,),))/VLOOKUP(EDATE(B94,-12),Data!$A:$AX,MATCH($Z$1,Data!$A$1:$AX$1,),)</f>
        <v/>
      </c>
      <c r="AA94" s="20">
        <f>(VLOOKUP(B94,Data!$A:$AX,MATCH($AA$1,Data!$A$1:$AX$1,),)-VLOOKUP(EDATE(B94,-12),Data!$A:$AX,MATCH($AA$1,Data!$A$1:$AX$1,),))/VLOOKUP(EDATE(B94,-12),Data!$A:$AX,MATCH($AA$1,Data!$A$1:$AX$1,),)</f>
        <v/>
      </c>
      <c r="AB94" s="19" t="n"/>
    </row>
    <row r="95">
      <c r="B95" s="15" t="n">
        <v>43101</v>
      </c>
      <c r="C95" s="20">
        <f>IF(VLOOKUP(B95,'Data Core CPI'!$A:$AX,MATCH($C$1,'Data Core CPI'!$A$1:$AX$1,),)=0,#N/A,(VLOOKUP(B95,'Data Core CPI'!$A:$AX,MATCH($C$1,'Data Core CPI'!$A$1:$AX$1,),)-VLOOKUP(EDATE(B95,-12),'Data Core CPI'!$A:$AX,MATCH($C$1,'Data Core CPI'!$A$1:$AX$1,),))/VLOOKUP(EDATE(B95,-12),'Data Core CPI'!$A:$AX,MATCH($C$1,'Data Core CPI'!$A$1:$AX$1,),))</f>
        <v/>
      </c>
      <c r="D95" s="20">
        <f>(VLOOKUP(B95,'Data Core CPI'!$A:$AX,MATCH($D$1,'Data Core CPI'!$A$1:$AX$1,),)-VLOOKUP(EDATE(B95,-12),'Data Core CPI'!$A:$AX,MATCH($D$1,'Data Core CPI'!$A$1:$AX$1,),))/VLOOKUP(EDATE(B95,-12),'Data Core CPI'!$A:$AX,MATCH($D$1,'Data Core CPI'!$A$1:$AX$1,),)</f>
        <v/>
      </c>
      <c r="E95" s="20">
        <f>IF(VLOOKUP(B95,'Data Core CPI'!$A:$AX,MATCH($E$1,'Data Core CPI'!$A$1:$AX$1,),)=0,#N/A,(VLOOKUP(B95,'Data Core CPI'!$A:$AX,MATCH($E$1,'Data Core CPI'!$A$1:$AX$1,),)-VLOOKUP(EDATE(B95,-12),'Data Core CPI'!$A:$AX,MATCH($E$1,'Data Core CPI'!$A$1:$AX$1,),))/VLOOKUP(EDATE(B95,-12),'Data Core CPI'!$A:$AX,MATCH($E$1,'Data Core CPI'!$A$1:$AX$1,),))</f>
        <v/>
      </c>
      <c r="F95" s="20">
        <f>IF(VLOOKUP(B95,'Data Core CPI'!$A:$AX,MATCH($F$1,'Data Core CPI'!$A$1:$AX$1,),)=0,#N/A,(VLOOKUP(B95,'Data Core CPI'!$A:$AX,MATCH($F$1,'Data Core CPI'!$A$1:$AX$1,),)-VLOOKUP(EDATE(B95,-12),'Data Core CPI'!$A:$AX,MATCH($F$1,'Data Core CPI'!$A$1:$AX$1,),))/VLOOKUP(EDATE(B95,-12),'Data Core CPI'!$A:$AX,MATCH($F$1,'Data Core CPI'!$A$1:$AX$1,),))</f>
        <v/>
      </c>
      <c r="G95" s="20">
        <f>IF(VLOOKUP(B95,'Data Core CPI'!$A:$AX,MATCH($G$1,'Data Core CPI'!$A$1:$AX$1,),)=0,#N/A,(VLOOKUP(B95,'Data Core CPI'!$A:$AX,MATCH($G$1,'Data Core CPI'!$A$1:$AX$1,),)-VLOOKUP(EDATE(B95,-12),'Data Core CPI'!$A:$AX,MATCH($G$1,'Data Core CPI'!$A$1:$AX$1,),))/VLOOKUP(EDATE(B95,-12),'Data Core CPI'!$A:$AX,MATCH($G$1,'Data Core CPI'!$A$1:$AX$1,),))</f>
        <v/>
      </c>
      <c r="H95" s="20">
        <f>IF(VLOOKUP(B95,'Data Core CPI'!$A:$AX,MATCH($H$1,'Data Core CPI'!$A$1:$AX$1,),)=0,#N/A,(VLOOKUP(B95,'Data Core CPI'!$A:$AX,MATCH($H$1,'Data Core CPI'!$A$1:$AX$1,),)-VLOOKUP(EDATE(B95,-12),'Data Core CPI'!$A:$AX,MATCH($H$1,'Data Core CPI'!$A$1:$AX$1,),))/VLOOKUP(EDATE(B95,-12),'Data Core CPI'!$A:$AX,MATCH($H$1,'Data Core CPI'!$A$1:$AX$1,),))</f>
        <v/>
      </c>
      <c r="I95" s="20">
        <f>IF(VLOOKUP(B95,'Data Core CPI'!$A:$AX,MATCH($I$1,'Data Core CPI'!$A$1:$AX$1,),)=0,#N/A,(VLOOKUP(B95,'Data Core CPI'!$A:$AX,MATCH($I$1,'Data Core CPI'!$A$1:$AX$1,),)-VLOOKUP(EDATE(B95,-12),'Data Core CPI'!$A:$AX,MATCH($I$1,'Data Core CPI'!$A$1:$AX$1,),))/VLOOKUP(EDATE(B95,-12),'Data Core CPI'!$A:$AX,MATCH($I$1,'Data Core CPI'!$A$1:$AX$1,),))</f>
        <v/>
      </c>
      <c r="J95" s="20">
        <f>IF(VLOOKUP(B95,'Data Core CPI'!$A:$AX,MATCH($J$1,'Data Core CPI'!$A$1:$AX$1,),)=0,#N/A,(VLOOKUP(B95,'Data Core CPI'!$A:$AX,MATCH($J$1,'Data Core CPI'!$A$1:$AX$1,),)-VLOOKUP(EDATE(B95,-12),'Data Core CPI'!$A:$AX,MATCH($J$1,'Data Core CPI'!$A$1:$AX$1,),))/VLOOKUP(EDATE(B95,-12),'Data Core CPI'!$A:$AX,MATCH($J$1,'Data Core CPI'!$A$1:$AX$1,),))</f>
        <v/>
      </c>
      <c r="K95" s="20">
        <f>IF(VLOOKUP(B95,'Data Core CPI'!$A:$AX,MATCH($K$1,'Data Core CPI'!$A$1:$AX$1,),)=0,#N/A,(VLOOKUP(B95,'Data Core CPI'!$A:$AX,MATCH($K$1,'Data Core CPI'!$A$1:$AX$1,),)-VLOOKUP(EDATE(B95,-12),'Data Core CPI'!$A:$AX,MATCH($K$1,'Data Core CPI'!$A$1:$AX$1,),))/VLOOKUP(EDATE(B95,-12),'Data Core CPI'!$A:$AX,MATCH($K$1,'Data Core CPI'!$A$1:$AX$1,),))</f>
        <v/>
      </c>
      <c r="L95" s="20">
        <f>IF(VLOOKUP(B95,'Data Core CPI'!$A:$AX,MATCH($L$1,'Data Core CPI'!$A$1:$AX$1,),)=0,#N/A,(VLOOKUP(B95,'Data Core CPI'!$A:$AX,MATCH($L$1,'Data Core CPI'!$A$1:$AX$1,),)-VLOOKUP(EDATE(B95,-12),'Data Core CPI'!$A:$AX,MATCH($L$1,'Data Core CPI'!$A$1:$AX$1,),))/VLOOKUP(EDATE(B95,-12),'Data Core CPI'!$A:$AX,MATCH($L$1,'Data Core CPI'!$A$1:$AX$1,),))</f>
        <v/>
      </c>
      <c r="M95" s="20">
        <f>IF(VLOOKUP(B95,'Data Core CPI'!$A:$AX,MATCH($M$1,'Data Core CPI'!$A$1:$AX$1,),)=0,#N/A,(VLOOKUP(B95,'Data Core CPI'!$A:$AX,MATCH($M$1,'Data Core CPI'!$A$1:$AX$1,),)-VLOOKUP(EDATE(B95,-12),'Data Core CPI'!$A:$AX,MATCH($M$1,'Data Core CPI'!$A$1:$AX$1,),))/VLOOKUP(EDATE(B95,-12),'Data Core CPI'!$A:$AX,MATCH($M$1,'Data Core CPI'!$A$1:$AX$1,),))</f>
        <v/>
      </c>
      <c r="N95" s="20">
        <f>(VLOOKUP(B95,'Data Core CPI'!$A:$AX,MATCH($N$1,'Data Core CPI'!$A$1:$AX$1,),)-VLOOKUP(EDATE(B95,-12),'Data Core CPI'!$A:$AX,MATCH($N$1,'Data Core CPI'!$A$1:$AX$1,),))/VLOOKUP(EDATE(B95,-12),'Data Core CPI'!$A:$AX,MATCH($N$1,'Data Core CPI'!$A$1:$AX$1,),)</f>
        <v/>
      </c>
      <c r="O95" s="20">
        <f>(VLOOKUP(B95,'Data Core CPI'!$A:$AX,MATCH($O$1,'Data Core CPI'!$A$1:$AX$1,),)-VLOOKUP(EDATE(B95,-12),'Data Core CPI'!$A:$AX,MATCH($O$1,'Data Core CPI'!$A$1:$AX$1,),))/VLOOKUP(EDATE(B95,-12),'Data Core CPI'!$A:$AX,MATCH($O$1,'Data Core CPI'!$A$1:$AX$1,),)</f>
        <v/>
      </c>
      <c r="P95" s="20">
        <f>IF(VLOOKUP(B95,'Data Core CPI'!$A:$AX,MATCH($P$1,'Data Core CPI'!$A$1:$AX$1,),)=0,#N/A,(VLOOKUP(B95,'Data Core CPI'!$A:$AX,MATCH($P$1,'Data Core CPI'!$A$1:$AX$1,),)-VLOOKUP(EDATE(B95,-12),'Data Core CPI'!$A:$AX,MATCH($P$1,'Data Core CPI'!$A$1:$AX$1,),))/VLOOKUP(EDATE(B95,-12),'Data Core CPI'!$A:$AX,MATCH($P$1,'Data Core CPI'!$A$1:$AX$1,),))</f>
        <v/>
      </c>
      <c r="Q95" s="20">
        <f>(VLOOKUP(B95,'Data Core CPI'!$A:$AX,MATCH($Q$1,'Data Core CPI'!$A$1:$AX$1,),)-VLOOKUP(EDATE(B95,-12),'Data Core CPI'!$A:$AX,MATCH($Q$1,'Data Core CPI'!$A$1:$AX$1,),))/VLOOKUP(EDATE(B95,-12),'Data Core CPI'!$A:$AX,MATCH($Q$1,'Data Core CPI'!$A$1:$AX$1,),)</f>
        <v/>
      </c>
      <c r="R95" s="20">
        <f>IF(VLOOKUP(B95,'Data Core CPI'!$A:$AX,MATCH($R$1,'Data Core CPI'!$A$1:$AX$1,),)=0,#N/A,(VLOOKUP(B95,'Data Core CPI'!$A:$AX,MATCH($R$1,'Data Core CPI'!$A$1:$AX$1,),)-VLOOKUP(EDATE(B95,-12),'Data Core CPI'!$A:$AX,MATCH($R$1,'Data Core CPI'!$A$1:$AX$1,),))/VLOOKUP(EDATE(B95,-12),'Data Core CPI'!$A:$AX,MATCH($R$1,'Data Core CPI'!$A$1:$AX$1,),))</f>
        <v/>
      </c>
      <c r="S95" s="20">
        <f>(VLOOKUP(B95,'Data Core CPI'!$A:$AX,MATCH($S$1,'Data Core CPI'!$A$1:$AX$1,),)-VLOOKUP(EDATE(B95,-12),'Data Core CPI'!$A:$AX,MATCH($S$1,'Data Core CPI'!$A$1:$AX$1,),))/VLOOKUP(EDATE(B95,-12),'Data Core CPI'!$A:$AX,MATCH($S$1,'Data Core CPI'!$A$1:$AX$1,),)</f>
        <v/>
      </c>
      <c r="T95" s="20">
        <f>(VLOOKUP(B95,'Data Core CPI'!$A:$AX,MATCH($T$1,'Data Core CPI'!$A$1:$AX$1,),)-VLOOKUP(EDATE(B95,-12),'Data Core CPI'!$A:$AX,MATCH($T$1,'Data Core CPI'!$A$1:$AX$1,),))/VLOOKUP(EDATE(B95,-12),'Data Core CPI'!$A:$AX,MATCH($T$1,'Data Core CPI'!$A$1:$AX$1,),)</f>
        <v/>
      </c>
      <c r="U95" s="20">
        <f>IF(VLOOKUP(B95,'Data Core CPI'!$A:$AX,MATCH($U$1,'Data Core CPI'!$A$1:$AX$1,),)=0,#N/A,(VLOOKUP(B95,'Data Core CPI'!$A:$AX,MATCH($U$1,'Data Core CPI'!$A$1:$AX$1,),)-VLOOKUP(EDATE(B95,-12),'Data Core CPI'!$A:$AX,MATCH($U$1,'Data Core CPI'!$A$1:$AX$1,),))/VLOOKUP(EDATE(B95,-12),'Data Core CPI'!$A:$AX,MATCH($U$1,'Data Core CPI'!$A$1:$AX$1,),))</f>
        <v/>
      </c>
      <c r="V95" s="20">
        <f>(VLOOKUP(B95,'Data Core CPI'!$A:$AX,MATCH($V$1,'Data Core CPI'!$A$1:$AX$1,),)-VLOOKUP(EDATE(B95,-12),'Data Core CPI'!$A:$AX,MATCH($V$1,'Data Core CPI'!$A$1:$AX$1,),))/VLOOKUP(EDATE(B95,-12),'Data Core CPI'!$A:$AX,MATCH($V$1,'Data Core CPI'!$A$1:$AX$1,),)</f>
        <v/>
      </c>
      <c r="W95" s="20">
        <f>IF(VLOOKUP(B95,'Data Core CPI'!$A:$AX,MATCH($W$1,'Data Core CPI'!$A$1:$AX$1,),)=0,#N/A,(VLOOKUP(B95,'Data Core CPI'!$A:$AX,MATCH($W$1,'Data Core CPI'!$A$1:$AX$1,),)-VLOOKUP(EDATE(B95,-12),'Data Core CPI'!$A:$AX,MATCH($W$1,'Data Core CPI'!$A$1:$AX$1,),))/VLOOKUP(EDATE(B95,-12),'Data Core CPI'!$A:$AX,MATCH($W$1,'Data Core CPI'!$A$1:$AX$1,),))</f>
        <v/>
      </c>
      <c r="X95" s="20">
        <f>IF(VLOOKUP(B95,'Data Core CPI'!$A:$AX,MATCH($X$1,'Data Core CPI'!$A$1:$AX$1,),)=0,#N/A,(VLOOKUP(B95,'Data Core CPI'!$A:$AX,MATCH($X$1,'Data Core CPI'!$A$1:$AX$1,),)-VLOOKUP(EDATE(B95,-12),'Data Core CPI'!$A:$AX,MATCH($X$1,'Data Core CPI'!$A$1:$AX$1,),))/VLOOKUP(EDATE(B95,-12),'Data Core CPI'!$A:$AX,MATCH($X$1,'Data Core CPI'!$A$1:$AX$1,),))</f>
        <v/>
      </c>
      <c r="Y95" s="20">
        <f>IF(VLOOKUP(B95,'Data Core CPI'!$A:$AX,MATCH($Y$1,'Data Core CPI'!$A$1:$AX$1,),)=0,#N/A,(VLOOKUP(B95,'Data Core CPI'!$A:$AX,MATCH($Y$1,'Data Core CPI'!$A$1:$AX$1,),)-VLOOKUP(EDATE(B95,-12),'Data Core CPI'!$A:$AX,MATCH($Y$1,'Data Core CPI'!$A$1:$AX$1,),))/VLOOKUP(EDATE(B95,-12),'Data Core CPI'!$A:$AX,MATCH($Y$1,'Data Core CPI'!$A$1:$AX$1,),))</f>
        <v/>
      </c>
      <c r="Z95" s="20">
        <f>(VLOOKUP(B95,Data!$A:$AX,MATCH($Z$1,Data!$A$1:$AX$1,),)-VLOOKUP(EDATE(B95,-12),Data!$A:$AX,MATCH($Z$1,Data!$A$1:$AX$1,),))/VLOOKUP(EDATE(B95,-12),Data!$A:$AX,MATCH($Z$1,Data!$A$1:$AX$1,),)</f>
        <v/>
      </c>
      <c r="AA95" s="20">
        <f>(VLOOKUP(B95,Data!$A:$AX,MATCH($AA$1,Data!$A$1:$AX$1,),)-VLOOKUP(EDATE(B95,-12),Data!$A:$AX,MATCH($AA$1,Data!$A$1:$AX$1,),))/VLOOKUP(EDATE(B95,-12),Data!$A:$AX,MATCH($AA$1,Data!$A$1:$AX$1,),)</f>
        <v/>
      </c>
      <c r="AB95" s="19" t="n"/>
    </row>
    <row r="96">
      <c r="B96" s="15" t="n">
        <v>43132</v>
      </c>
      <c r="C96" s="20">
        <f>IF(VLOOKUP(B96,'Data Core CPI'!$A:$AX,MATCH($C$1,'Data Core CPI'!$A$1:$AX$1,),)=0,#N/A,(VLOOKUP(B96,'Data Core CPI'!$A:$AX,MATCH($C$1,'Data Core CPI'!$A$1:$AX$1,),)-VLOOKUP(EDATE(B96,-12),'Data Core CPI'!$A:$AX,MATCH($C$1,'Data Core CPI'!$A$1:$AX$1,),))/VLOOKUP(EDATE(B96,-12),'Data Core CPI'!$A:$AX,MATCH($C$1,'Data Core CPI'!$A$1:$AX$1,),))</f>
        <v/>
      </c>
      <c r="D96" s="20">
        <f>(VLOOKUP(B96,'Data Core CPI'!$A:$AX,MATCH($D$1,'Data Core CPI'!$A$1:$AX$1,),)-VLOOKUP(EDATE(B96,-12),'Data Core CPI'!$A:$AX,MATCH($D$1,'Data Core CPI'!$A$1:$AX$1,),))/VLOOKUP(EDATE(B96,-12),'Data Core CPI'!$A:$AX,MATCH($D$1,'Data Core CPI'!$A$1:$AX$1,),)</f>
        <v/>
      </c>
      <c r="E96" s="20">
        <f>IF(VLOOKUP(B96,'Data Core CPI'!$A:$AX,MATCH($E$1,'Data Core CPI'!$A$1:$AX$1,),)=0,#N/A,(VLOOKUP(B96,'Data Core CPI'!$A:$AX,MATCH($E$1,'Data Core CPI'!$A$1:$AX$1,),)-VLOOKUP(EDATE(B96,-12),'Data Core CPI'!$A:$AX,MATCH($E$1,'Data Core CPI'!$A$1:$AX$1,),))/VLOOKUP(EDATE(B96,-12),'Data Core CPI'!$A:$AX,MATCH($E$1,'Data Core CPI'!$A$1:$AX$1,),))</f>
        <v/>
      </c>
      <c r="F96" s="20">
        <f>IF(VLOOKUP(B96,'Data Core CPI'!$A:$AX,MATCH($F$1,'Data Core CPI'!$A$1:$AX$1,),)=0,#N/A,(VLOOKUP(B96,'Data Core CPI'!$A:$AX,MATCH($F$1,'Data Core CPI'!$A$1:$AX$1,),)-VLOOKUP(EDATE(B96,-12),'Data Core CPI'!$A:$AX,MATCH($F$1,'Data Core CPI'!$A$1:$AX$1,),))/VLOOKUP(EDATE(B96,-12),'Data Core CPI'!$A:$AX,MATCH($F$1,'Data Core CPI'!$A$1:$AX$1,),))</f>
        <v/>
      </c>
      <c r="G96" s="20">
        <f>IF(VLOOKUP(B96,'Data Core CPI'!$A:$AX,MATCH($G$1,'Data Core CPI'!$A$1:$AX$1,),)=0,#N/A,(VLOOKUP(B96,'Data Core CPI'!$A:$AX,MATCH($G$1,'Data Core CPI'!$A$1:$AX$1,),)-VLOOKUP(EDATE(B96,-12),'Data Core CPI'!$A:$AX,MATCH($G$1,'Data Core CPI'!$A$1:$AX$1,),))/VLOOKUP(EDATE(B96,-12),'Data Core CPI'!$A:$AX,MATCH($G$1,'Data Core CPI'!$A$1:$AX$1,),))</f>
        <v/>
      </c>
      <c r="H96" s="20">
        <f>IF(VLOOKUP(B96,'Data Core CPI'!$A:$AX,MATCH($H$1,'Data Core CPI'!$A$1:$AX$1,),)=0,#N/A,(VLOOKUP(B96,'Data Core CPI'!$A:$AX,MATCH($H$1,'Data Core CPI'!$A$1:$AX$1,),)-VLOOKUP(EDATE(B96,-12),'Data Core CPI'!$A:$AX,MATCH($H$1,'Data Core CPI'!$A$1:$AX$1,),))/VLOOKUP(EDATE(B96,-12),'Data Core CPI'!$A:$AX,MATCH($H$1,'Data Core CPI'!$A$1:$AX$1,),))</f>
        <v/>
      </c>
      <c r="I96" s="20">
        <f>IF(VLOOKUP(B96,'Data Core CPI'!$A:$AX,MATCH($I$1,'Data Core CPI'!$A$1:$AX$1,),)=0,#N/A,(VLOOKUP(B96,'Data Core CPI'!$A:$AX,MATCH($I$1,'Data Core CPI'!$A$1:$AX$1,),)-VLOOKUP(EDATE(B96,-12),'Data Core CPI'!$A:$AX,MATCH($I$1,'Data Core CPI'!$A$1:$AX$1,),))/VLOOKUP(EDATE(B96,-12),'Data Core CPI'!$A:$AX,MATCH($I$1,'Data Core CPI'!$A$1:$AX$1,),))</f>
        <v/>
      </c>
      <c r="J96" s="20">
        <f>IF(VLOOKUP(B96,'Data Core CPI'!$A:$AX,MATCH($J$1,'Data Core CPI'!$A$1:$AX$1,),)=0,#N/A,(VLOOKUP(B96,'Data Core CPI'!$A:$AX,MATCH($J$1,'Data Core CPI'!$A$1:$AX$1,),)-VLOOKUP(EDATE(B96,-12),'Data Core CPI'!$A:$AX,MATCH($J$1,'Data Core CPI'!$A$1:$AX$1,),))/VLOOKUP(EDATE(B96,-12),'Data Core CPI'!$A:$AX,MATCH($J$1,'Data Core CPI'!$A$1:$AX$1,),))</f>
        <v/>
      </c>
      <c r="K96" s="20">
        <f>IF(VLOOKUP(B96,'Data Core CPI'!$A:$AX,MATCH($K$1,'Data Core CPI'!$A$1:$AX$1,),)=0,#N/A,(VLOOKUP(B96,'Data Core CPI'!$A:$AX,MATCH($K$1,'Data Core CPI'!$A$1:$AX$1,),)-VLOOKUP(EDATE(B96,-12),'Data Core CPI'!$A:$AX,MATCH($K$1,'Data Core CPI'!$A$1:$AX$1,),))/VLOOKUP(EDATE(B96,-12),'Data Core CPI'!$A:$AX,MATCH($K$1,'Data Core CPI'!$A$1:$AX$1,),))</f>
        <v/>
      </c>
      <c r="L96" s="20">
        <f>IF(VLOOKUP(B96,'Data Core CPI'!$A:$AX,MATCH($L$1,'Data Core CPI'!$A$1:$AX$1,),)=0,#N/A,(VLOOKUP(B96,'Data Core CPI'!$A:$AX,MATCH($L$1,'Data Core CPI'!$A$1:$AX$1,),)-VLOOKUP(EDATE(B96,-12),'Data Core CPI'!$A:$AX,MATCH($L$1,'Data Core CPI'!$A$1:$AX$1,),))/VLOOKUP(EDATE(B96,-12),'Data Core CPI'!$A:$AX,MATCH($L$1,'Data Core CPI'!$A$1:$AX$1,),))</f>
        <v/>
      </c>
      <c r="M96" s="20">
        <f>IF(VLOOKUP(B96,'Data Core CPI'!$A:$AX,MATCH($M$1,'Data Core CPI'!$A$1:$AX$1,),)=0,#N/A,(VLOOKUP(B96,'Data Core CPI'!$A:$AX,MATCH($M$1,'Data Core CPI'!$A$1:$AX$1,),)-VLOOKUP(EDATE(B96,-12),'Data Core CPI'!$A:$AX,MATCH($M$1,'Data Core CPI'!$A$1:$AX$1,),))/VLOOKUP(EDATE(B96,-12),'Data Core CPI'!$A:$AX,MATCH($M$1,'Data Core CPI'!$A$1:$AX$1,),))</f>
        <v/>
      </c>
      <c r="N96" s="20">
        <f>(VLOOKUP(B96,'Data Core CPI'!$A:$AX,MATCH($N$1,'Data Core CPI'!$A$1:$AX$1,),)-VLOOKUP(EDATE(B96,-12),'Data Core CPI'!$A:$AX,MATCH($N$1,'Data Core CPI'!$A$1:$AX$1,),))/VLOOKUP(EDATE(B96,-12),'Data Core CPI'!$A:$AX,MATCH($N$1,'Data Core CPI'!$A$1:$AX$1,),)</f>
        <v/>
      </c>
      <c r="O96" s="20">
        <f>(VLOOKUP(B96,'Data Core CPI'!$A:$AX,MATCH($O$1,'Data Core CPI'!$A$1:$AX$1,),)-VLOOKUP(EDATE(B96,-12),'Data Core CPI'!$A:$AX,MATCH($O$1,'Data Core CPI'!$A$1:$AX$1,),))/VLOOKUP(EDATE(B96,-12),'Data Core CPI'!$A:$AX,MATCH($O$1,'Data Core CPI'!$A$1:$AX$1,),)</f>
        <v/>
      </c>
      <c r="P96" s="20">
        <f>IF(VLOOKUP(B96,'Data Core CPI'!$A:$AX,MATCH($P$1,'Data Core CPI'!$A$1:$AX$1,),)=0,#N/A,(VLOOKUP(B96,'Data Core CPI'!$A:$AX,MATCH($P$1,'Data Core CPI'!$A$1:$AX$1,),)-VLOOKUP(EDATE(B96,-12),'Data Core CPI'!$A:$AX,MATCH($P$1,'Data Core CPI'!$A$1:$AX$1,),))/VLOOKUP(EDATE(B96,-12),'Data Core CPI'!$A:$AX,MATCH($P$1,'Data Core CPI'!$A$1:$AX$1,),))</f>
        <v/>
      </c>
      <c r="Q96" s="20">
        <f>(VLOOKUP(B96,'Data Core CPI'!$A:$AX,MATCH($Q$1,'Data Core CPI'!$A$1:$AX$1,),)-VLOOKUP(EDATE(B96,-12),'Data Core CPI'!$A:$AX,MATCH($Q$1,'Data Core CPI'!$A$1:$AX$1,),))/VLOOKUP(EDATE(B96,-12),'Data Core CPI'!$A:$AX,MATCH($Q$1,'Data Core CPI'!$A$1:$AX$1,),)</f>
        <v/>
      </c>
      <c r="R96" s="20">
        <f>IF(VLOOKUP(B96,'Data Core CPI'!$A:$AX,MATCH($R$1,'Data Core CPI'!$A$1:$AX$1,),)=0,#N/A,(VLOOKUP(B96,'Data Core CPI'!$A:$AX,MATCH($R$1,'Data Core CPI'!$A$1:$AX$1,),)-VLOOKUP(EDATE(B96,-12),'Data Core CPI'!$A:$AX,MATCH($R$1,'Data Core CPI'!$A$1:$AX$1,),))/VLOOKUP(EDATE(B96,-12),'Data Core CPI'!$A:$AX,MATCH($R$1,'Data Core CPI'!$A$1:$AX$1,),))</f>
        <v/>
      </c>
      <c r="S96" s="20">
        <f>(VLOOKUP(B96,'Data Core CPI'!$A:$AX,MATCH($S$1,'Data Core CPI'!$A$1:$AX$1,),)-VLOOKUP(EDATE(B96,-12),'Data Core CPI'!$A:$AX,MATCH($S$1,'Data Core CPI'!$A$1:$AX$1,),))/VLOOKUP(EDATE(B96,-12),'Data Core CPI'!$A:$AX,MATCH($S$1,'Data Core CPI'!$A$1:$AX$1,),)</f>
        <v/>
      </c>
      <c r="T96" s="20">
        <f>(VLOOKUP(B96,'Data Core CPI'!$A:$AX,MATCH($T$1,'Data Core CPI'!$A$1:$AX$1,),)-VLOOKUP(EDATE(B96,-12),'Data Core CPI'!$A:$AX,MATCH($T$1,'Data Core CPI'!$A$1:$AX$1,),))/VLOOKUP(EDATE(B96,-12),'Data Core CPI'!$A:$AX,MATCH($T$1,'Data Core CPI'!$A$1:$AX$1,),)</f>
        <v/>
      </c>
      <c r="U96" s="20">
        <f>IF(VLOOKUP(B96,'Data Core CPI'!$A:$AX,MATCH($U$1,'Data Core CPI'!$A$1:$AX$1,),)=0,#N/A,(VLOOKUP(B96,'Data Core CPI'!$A:$AX,MATCH($U$1,'Data Core CPI'!$A$1:$AX$1,),)-VLOOKUP(EDATE(B96,-12),'Data Core CPI'!$A:$AX,MATCH($U$1,'Data Core CPI'!$A$1:$AX$1,),))/VLOOKUP(EDATE(B96,-12),'Data Core CPI'!$A:$AX,MATCH($U$1,'Data Core CPI'!$A$1:$AX$1,),))</f>
        <v/>
      </c>
      <c r="V96" s="20">
        <f>(VLOOKUP(B96,'Data Core CPI'!$A:$AX,MATCH($V$1,'Data Core CPI'!$A$1:$AX$1,),)-VLOOKUP(EDATE(B96,-12),'Data Core CPI'!$A:$AX,MATCH($V$1,'Data Core CPI'!$A$1:$AX$1,),))/VLOOKUP(EDATE(B96,-12),'Data Core CPI'!$A:$AX,MATCH($V$1,'Data Core CPI'!$A$1:$AX$1,),)</f>
        <v/>
      </c>
      <c r="W96" s="20">
        <f>IF(VLOOKUP(B96,'Data Core CPI'!$A:$AX,MATCH($W$1,'Data Core CPI'!$A$1:$AX$1,),)=0,#N/A,(VLOOKUP(B96,'Data Core CPI'!$A:$AX,MATCH($W$1,'Data Core CPI'!$A$1:$AX$1,),)-VLOOKUP(EDATE(B96,-12),'Data Core CPI'!$A:$AX,MATCH($W$1,'Data Core CPI'!$A$1:$AX$1,),))/VLOOKUP(EDATE(B96,-12),'Data Core CPI'!$A:$AX,MATCH($W$1,'Data Core CPI'!$A$1:$AX$1,),))</f>
        <v/>
      </c>
      <c r="X96" s="20">
        <f>IF(VLOOKUP(B96,'Data Core CPI'!$A:$AX,MATCH($X$1,'Data Core CPI'!$A$1:$AX$1,),)=0,#N/A,(VLOOKUP(B96,'Data Core CPI'!$A:$AX,MATCH($X$1,'Data Core CPI'!$A$1:$AX$1,),)-VLOOKUP(EDATE(B96,-12),'Data Core CPI'!$A:$AX,MATCH($X$1,'Data Core CPI'!$A$1:$AX$1,),))/VLOOKUP(EDATE(B96,-12),'Data Core CPI'!$A:$AX,MATCH($X$1,'Data Core CPI'!$A$1:$AX$1,),))</f>
        <v/>
      </c>
      <c r="Y96" s="20">
        <f>IF(VLOOKUP(B96,'Data Core CPI'!$A:$AX,MATCH($Y$1,'Data Core CPI'!$A$1:$AX$1,),)=0,#N/A,(VLOOKUP(B96,'Data Core CPI'!$A:$AX,MATCH($Y$1,'Data Core CPI'!$A$1:$AX$1,),)-VLOOKUP(EDATE(B96,-12),'Data Core CPI'!$A:$AX,MATCH($Y$1,'Data Core CPI'!$A$1:$AX$1,),))/VLOOKUP(EDATE(B96,-12),'Data Core CPI'!$A:$AX,MATCH($Y$1,'Data Core CPI'!$A$1:$AX$1,),))</f>
        <v/>
      </c>
      <c r="Z96" s="20">
        <f>(VLOOKUP(B96,Data!$A:$AX,MATCH($Z$1,Data!$A$1:$AX$1,),)-VLOOKUP(EDATE(B96,-12),Data!$A:$AX,MATCH($Z$1,Data!$A$1:$AX$1,),))/VLOOKUP(EDATE(B96,-12),Data!$A:$AX,MATCH($Z$1,Data!$A$1:$AX$1,),)</f>
        <v/>
      </c>
      <c r="AA96" s="20">
        <f>(VLOOKUP(B96,Data!$A:$AX,MATCH($AA$1,Data!$A$1:$AX$1,),)-VLOOKUP(EDATE(B96,-12),Data!$A:$AX,MATCH($AA$1,Data!$A$1:$AX$1,),))/VLOOKUP(EDATE(B96,-12),Data!$A:$AX,MATCH($AA$1,Data!$A$1:$AX$1,),)</f>
        <v/>
      </c>
      <c r="AB96" s="19" t="n"/>
    </row>
    <row r="97" customFormat="1" s="78">
      <c r="B97" s="15" t="n">
        <v>43160</v>
      </c>
      <c r="C97" s="20">
        <f>IF(VLOOKUP(B97,'Data Core CPI'!$A:$AX,MATCH($C$1,'Data Core CPI'!$A$1:$AX$1,),)=0,#N/A,(VLOOKUP(B97,'Data Core CPI'!$A:$AX,MATCH($C$1,'Data Core CPI'!$A$1:$AX$1,),)-VLOOKUP(EDATE(B97,-12),'Data Core CPI'!$A:$AX,MATCH($C$1,'Data Core CPI'!$A$1:$AX$1,),))/VLOOKUP(EDATE(B97,-12),'Data Core CPI'!$A:$AX,MATCH($C$1,'Data Core CPI'!$A$1:$AX$1,),))</f>
        <v/>
      </c>
      <c r="D97" s="20">
        <f>(VLOOKUP(B97,'Data Core CPI'!$A:$AX,MATCH($D$1,'Data Core CPI'!$A$1:$AX$1,),)-VLOOKUP(EDATE(B97,-12),'Data Core CPI'!$A:$AX,MATCH($D$1,'Data Core CPI'!$A$1:$AX$1,),))/VLOOKUP(EDATE(B97,-12),'Data Core CPI'!$A:$AX,MATCH($D$1,'Data Core CPI'!$A$1:$AX$1,),)</f>
        <v/>
      </c>
      <c r="E97" s="20">
        <f>IF(VLOOKUP(B97,'Data Core CPI'!$A:$AX,MATCH($E$1,'Data Core CPI'!$A$1:$AX$1,),)=0,#N/A,(VLOOKUP(B97,'Data Core CPI'!$A:$AX,MATCH($E$1,'Data Core CPI'!$A$1:$AX$1,),)-VLOOKUP(EDATE(B97,-12),'Data Core CPI'!$A:$AX,MATCH($E$1,'Data Core CPI'!$A$1:$AX$1,),))/VLOOKUP(EDATE(B97,-12),'Data Core CPI'!$A:$AX,MATCH($E$1,'Data Core CPI'!$A$1:$AX$1,),))</f>
        <v/>
      </c>
      <c r="F97" s="20">
        <f>IF(VLOOKUP(B97,'Data Core CPI'!$A:$AX,MATCH($F$1,'Data Core CPI'!$A$1:$AX$1,),)=0,#N/A,(VLOOKUP(B97,'Data Core CPI'!$A:$AX,MATCH($F$1,'Data Core CPI'!$A$1:$AX$1,),)-VLOOKUP(EDATE(B97,-12),'Data Core CPI'!$A:$AX,MATCH($F$1,'Data Core CPI'!$A$1:$AX$1,),))/VLOOKUP(EDATE(B97,-12),'Data Core CPI'!$A:$AX,MATCH($F$1,'Data Core CPI'!$A$1:$AX$1,),))</f>
        <v/>
      </c>
      <c r="G97" s="20">
        <f>IF(VLOOKUP(B97,'Data Core CPI'!$A:$AX,MATCH($G$1,'Data Core CPI'!$A$1:$AX$1,),)=0,#N/A,(VLOOKUP(B97,'Data Core CPI'!$A:$AX,MATCH($G$1,'Data Core CPI'!$A$1:$AX$1,),)-VLOOKUP(EDATE(B97,-12),'Data Core CPI'!$A:$AX,MATCH($G$1,'Data Core CPI'!$A$1:$AX$1,),))/VLOOKUP(EDATE(B97,-12),'Data Core CPI'!$A:$AX,MATCH($G$1,'Data Core CPI'!$A$1:$AX$1,),))</f>
        <v/>
      </c>
      <c r="H97" s="20">
        <f>IF(VLOOKUP(B97,'Data Core CPI'!$A:$AX,MATCH($H$1,'Data Core CPI'!$A$1:$AX$1,),)=0,#N/A,(VLOOKUP(B97,'Data Core CPI'!$A:$AX,MATCH($H$1,'Data Core CPI'!$A$1:$AX$1,),)-VLOOKUP(EDATE(B97,-12),'Data Core CPI'!$A:$AX,MATCH($H$1,'Data Core CPI'!$A$1:$AX$1,),))/VLOOKUP(EDATE(B97,-12),'Data Core CPI'!$A:$AX,MATCH($H$1,'Data Core CPI'!$A$1:$AX$1,),))</f>
        <v/>
      </c>
      <c r="I97" s="20">
        <f>IF(VLOOKUP(B97,'Data Core CPI'!$A:$AX,MATCH($I$1,'Data Core CPI'!$A$1:$AX$1,),)=0,#N/A,(VLOOKUP(B97,'Data Core CPI'!$A:$AX,MATCH($I$1,'Data Core CPI'!$A$1:$AX$1,),)-VLOOKUP(EDATE(B97,-12),'Data Core CPI'!$A:$AX,MATCH($I$1,'Data Core CPI'!$A$1:$AX$1,),))/VLOOKUP(EDATE(B97,-12),'Data Core CPI'!$A:$AX,MATCH($I$1,'Data Core CPI'!$A$1:$AX$1,),))</f>
        <v/>
      </c>
      <c r="J97" s="20">
        <f>IF(VLOOKUP(B97,'Data Core CPI'!$A:$AX,MATCH($J$1,'Data Core CPI'!$A$1:$AX$1,),)=0,#N/A,(VLOOKUP(B97,'Data Core CPI'!$A:$AX,MATCH($J$1,'Data Core CPI'!$A$1:$AX$1,),)-VLOOKUP(EDATE(B97,-12),'Data Core CPI'!$A:$AX,MATCH($J$1,'Data Core CPI'!$A$1:$AX$1,),))/VLOOKUP(EDATE(B97,-12),'Data Core CPI'!$A:$AX,MATCH($J$1,'Data Core CPI'!$A$1:$AX$1,),))</f>
        <v/>
      </c>
      <c r="K97" s="20">
        <f>IF(VLOOKUP(B97,'Data Core CPI'!$A:$AX,MATCH($K$1,'Data Core CPI'!$A$1:$AX$1,),)=0,#N/A,(VLOOKUP(B97,'Data Core CPI'!$A:$AX,MATCH($K$1,'Data Core CPI'!$A$1:$AX$1,),)-VLOOKUP(EDATE(B97,-12),'Data Core CPI'!$A:$AX,MATCH($K$1,'Data Core CPI'!$A$1:$AX$1,),))/VLOOKUP(EDATE(B97,-12),'Data Core CPI'!$A:$AX,MATCH($K$1,'Data Core CPI'!$A$1:$AX$1,),))</f>
        <v/>
      </c>
      <c r="L97" s="20">
        <f>IF(VLOOKUP(B97,'Data Core CPI'!$A:$AX,MATCH($L$1,'Data Core CPI'!$A$1:$AX$1,),)=0,#N/A,(VLOOKUP(B97,'Data Core CPI'!$A:$AX,MATCH($L$1,'Data Core CPI'!$A$1:$AX$1,),)-VLOOKUP(EDATE(B97,-12),'Data Core CPI'!$A:$AX,MATCH($L$1,'Data Core CPI'!$A$1:$AX$1,),))/VLOOKUP(EDATE(B97,-12),'Data Core CPI'!$A:$AX,MATCH($L$1,'Data Core CPI'!$A$1:$AX$1,),))</f>
        <v/>
      </c>
      <c r="M97" s="20">
        <f>IF(VLOOKUP(B97,'Data Core CPI'!$A:$AX,MATCH($M$1,'Data Core CPI'!$A$1:$AX$1,),)=0,#N/A,(VLOOKUP(B97,'Data Core CPI'!$A:$AX,MATCH($M$1,'Data Core CPI'!$A$1:$AX$1,),)-VLOOKUP(EDATE(B97,-12),'Data Core CPI'!$A:$AX,MATCH($M$1,'Data Core CPI'!$A$1:$AX$1,),))/VLOOKUP(EDATE(B97,-12),'Data Core CPI'!$A:$AX,MATCH($M$1,'Data Core CPI'!$A$1:$AX$1,),))</f>
        <v/>
      </c>
      <c r="N97" s="20">
        <f>(VLOOKUP(B97,'Data Core CPI'!$A:$AX,MATCH($N$1,'Data Core CPI'!$A$1:$AX$1,),)-VLOOKUP(EDATE(B97,-12),'Data Core CPI'!$A:$AX,MATCH($N$1,'Data Core CPI'!$A$1:$AX$1,),))/VLOOKUP(EDATE(B97,-12),'Data Core CPI'!$A:$AX,MATCH($N$1,'Data Core CPI'!$A$1:$AX$1,),)</f>
        <v/>
      </c>
      <c r="O97" s="20">
        <f>(VLOOKUP(B97,'Data Core CPI'!$A:$AX,MATCH($O$1,'Data Core CPI'!$A$1:$AX$1,),)-VLOOKUP(EDATE(B97,-12),'Data Core CPI'!$A:$AX,MATCH($O$1,'Data Core CPI'!$A$1:$AX$1,),))/VLOOKUP(EDATE(B97,-12),'Data Core CPI'!$A:$AX,MATCH($O$1,'Data Core CPI'!$A$1:$AX$1,),)</f>
        <v/>
      </c>
      <c r="P97" s="20">
        <f>IF(VLOOKUP(B97,'Data Core CPI'!$A:$AX,MATCH($P$1,'Data Core CPI'!$A$1:$AX$1,),)=0,#N/A,(VLOOKUP(B97,'Data Core CPI'!$A:$AX,MATCH($P$1,'Data Core CPI'!$A$1:$AX$1,),)-VLOOKUP(EDATE(B97,-12),'Data Core CPI'!$A:$AX,MATCH($P$1,'Data Core CPI'!$A$1:$AX$1,),))/VLOOKUP(EDATE(B97,-12),'Data Core CPI'!$A:$AX,MATCH($P$1,'Data Core CPI'!$A$1:$AX$1,),))</f>
        <v/>
      </c>
      <c r="Q97" s="20">
        <f>(VLOOKUP(B97,'Data Core CPI'!$A:$AX,MATCH($Q$1,'Data Core CPI'!$A$1:$AX$1,),)-VLOOKUP(EDATE(B97,-12),'Data Core CPI'!$A:$AX,MATCH($Q$1,'Data Core CPI'!$A$1:$AX$1,),))/VLOOKUP(EDATE(B97,-12),'Data Core CPI'!$A:$AX,MATCH($Q$1,'Data Core CPI'!$A$1:$AX$1,),)</f>
        <v/>
      </c>
      <c r="R97" s="20">
        <f>IF(VLOOKUP(B97,'Data Core CPI'!$A:$AX,MATCH($R$1,'Data Core CPI'!$A$1:$AX$1,),)=0,#N/A,(VLOOKUP(B97,'Data Core CPI'!$A:$AX,MATCH($R$1,'Data Core CPI'!$A$1:$AX$1,),)-VLOOKUP(EDATE(B97,-12),'Data Core CPI'!$A:$AX,MATCH($R$1,'Data Core CPI'!$A$1:$AX$1,),))/VLOOKUP(EDATE(B97,-12),'Data Core CPI'!$A:$AX,MATCH($R$1,'Data Core CPI'!$A$1:$AX$1,),))</f>
        <v/>
      </c>
      <c r="S97" s="20">
        <f>(VLOOKUP(B97,'Data Core CPI'!$A:$AX,MATCH($S$1,'Data Core CPI'!$A$1:$AX$1,),)-VLOOKUP(EDATE(B97,-12),'Data Core CPI'!$A:$AX,MATCH($S$1,'Data Core CPI'!$A$1:$AX$1,),))/VLOOKUP(EDATE(B97,-12),'Data Core CPI'!$A:$AX,MATCH($S$1,'Data Core CPI'!$A$1:$AX$1,),)</f>
        <v/>
      </c>
      <c r="T97" s="20">
        <f>(VLOOKUP(B97,'Data Core CPI'!$A:$AX,MATCH($T$1,'Data Core CPI'!$A$1:$AX$1,),)-VLOOKUP(EDATE(B97,-12),'Data Core CPI'!$A:$AX,MATCH($T$1,'Data Core CPI'!$A$1:$AX$1,),))/VLOOKUP(EDATE(B97,-12),'Data Core CPI'!$A:$AX,MATCH($T$1,'Data Core CPI'!$A$1:$AX$1,),)</f>
        <v/>
      </c>
      <c r="U97" s="20">
        <f>IF(VLOOKUP(B97,'Data Core CPI'!$A:$AX,MATCH($U$1,'Data Core CPI'!$A$1:$AX$1,),)=0,#N/A,(VLOOKUP(B97,'Data Core CPI'!$A:$AX,MATCH($U$1,'Data Core CPI'!$A$1:$AX$1,),)-VLOOKUP(EDATE(B97,-12),'Data Core CPI'!$A:$AX,MATCH($U$1,'Data Core CPI'!$A$1:$AX$1,),))/VLOOKUP(EDATE(B97,-12),'Data Core CPI'!$A:$AX,MATCH($U$1,'Data Core CPI'!$A$1:$AX$1,),))</f>
        <v/>
      </c>
      <c r="V97" s="20">
        <f>(VLOOKUP(B97,'Data Core CPI'!$A:$AX,MATCH($V$1,'Data Core CPI'!$A$1:$AX$1,),)-VLOOKUP(EDATE(B97,-12),'Data Core CPI'!$A:$AX,MATCH($V$1,'Data Core CPI'!$A$1:$AX$1,),))/VLOOKUP(EDATE(B97,-12),'Data Core CPI'!$A:$AX,MATCH($V$1,'Data Core CPI'!$A$1:$AX$1,),)</f>
        <v/>
      </c>
      <c r="W97" s="20">
        <f>IF(VLOOKUP(B97,'Data Core CPI'!$A:$AX,MATCH($W$1,'Data Core CPI'!$A$1:$AX$1,),)=0,#N/A,(VLOOKUP(B97,'Data Core CPI'!$A:$AX,MATCH($W$1,'Data Core CPI'!$A$1:$AX$1,),)-VLOOKUP(EDATE(B97,-12),'Data Core CPI'!$A:$AX,MATCH($W$1,'Data Core CPI'!$A$1:$AX$1,),))/VLOOKUP(EDATE(B97,-12),'Data Core CPI'!$A:$AX,MATCH($W$1,'Data Core CPI'!$A$1:$AX$1,),))</f>
        <v/>
      </c>
      <c r="X97" s="20">
        <f>IF(VLOOKUP(B97,'Data Core CPI'!$A:$AX,MATCH($X$1,'Data Core CPI'!$A$1:$AX$1,),)=0,#N/A,(VLOOKUP(B97,'Data Core CPI'!$A:$AX,MATCH($X$1,'Data Core CPI'!$A$1:$AX$1,),)-VLOOKUP(EDATE(B97,-12),'Data Core CPI'!$A:$AX,MATCH($X$1,'Data Core CPI'!$A$1:$AX$1,),))/VLOOKUP(EDATE(B97,-12),'Data Core CPI'!$A:$AX,MATCH($X$1,'Data Core CPI'!$A$1:$AX$1,),))</f>
        <v/>
      </c>
      <c r="Y97" s="20">
        <f>IF(VLOOKUP(B97,'Data Core CPI'!$A:$AX,MATCH($Y$1,'Data Core CPI'!$A$1:$AX$1,),)=0,#N/A,(VLOOKUP(B97,'Data Core CPI'!$A:$AX,MATCH($Y$1,'Data Core CPI'!$A$1:$AX$1,),)-VLOOKUP(EDATE(B97,-12),'Data Core CPI'!$A:$AX,MATCH($Y$1,'Data Core CPI'!$A$1:$AX$1,),))/VLOOKUP(EDATE(B97,-12),'Data Core CPI'!$A:$AX,MATCH($Y$1,'Data Core CPI'!$A$1:$AX$1,),))</f>
        <v/>
      </c>
      <c r="Z97" s="20">
        <f>(VLOOKUP(B97,Data!$A:$AX,MATCH($Z$1,Data!$A$1:$AX$1,),)-VLOOKUP(EDATE(B97,-12),Data!$A:$AX,MATCH($Z$1,Data!$A$1:$AX$1,),))/VLOOKUP(EDATE(B97,-12),Data!$A:$AX,MATCH($Z$1,Data!$A$1:$AX$1,),)</f>
        <v/>
      </c>
      <c r="AA97" s="20">
        <f>(VLOOKUP(B97,Data!$A:$AX,MATCH($AA$1,Data!$A$1:$AX$1,),)-VLOOKUP(EDATE(B97,-12),Data!$A:$AX,MATCH($AA$1,Data!$A$1:$AX$1,),))/VLOOKUP(EDATE(B97,-12),Data!$A:$AX,MATCH($AA$1,Data!$A$1:$AX$1,),)</f>
        <v/>
      </c>
      <c r="AB97" s="19" t="n"/>
    </row>
    <row r="98" customFormat="1" s="78">
      <c r="B98" s="15" t="n">
        <v>43191</v>
      </c>
      <c r="C98" s="20">
        <f>IF(VLOOKUP(B98,'Data Core CPI'!$A:$AX,MATCH($C$1,'Data Core CPI'!$A$1:$AX$1,),)=0,#N/A,(VLOOKUP(B98,'Data Core CPI'!$A:$AX,MATCH($C$1,'Data Core CPI'!$A$1:$AX$1,),)-VLOOKUP(EDATE(B98,-12),'Data Core CPI'!$A:$AX,MATCH($C$1,'Data Core CPI'!$A$1:$AX$1,),))/VLOOKUP(EDATE(B98,-12),'Data Core CPI'!$A:$AX,MATCH($C$1,'Data Core CPI'!$A$1:$AX$1,),))</f>
        <v/>
      </c>
      <c r="D98" s="20">
        <f>(VLOOKUP(B98,'Data Core CPI'!$A:$AX,MATCH($D$1,'Data Core CPI'!$A$1:$AX$1,),)-VLOOKUP(EDATE(B98,-12),'Data Core CPI'!$A:$AX,MATCH($D$1,'Data Core CPI'!$A$1:$AX$1,),))/VLOOKUP(EDATE(B98,-12),'Data Core CPI'!$A:$AX,MATCH($D$1,'Data Core CPI'!$A$1:$AX$1,),)</f>
        <v/>
      </c>
      <c r="E98" s="20">
        <f>IF(VLOOKUP(B98,'Data Core CPI'!$A:$AX,MATCH($E$1,'Data Core CPI'!$A$1:$AX$1,),)=0,#N/A,(VLOOKUP(B98,'Data Core CPI'!$A:$AX,MATCH($E$1,'Data Core CPI'!$A$1:$AX$1,),)-VLOOKUP(EDATE(B98,-12),'Data Core CPI'!$A:$AX,MATCH($E$1,'Data Core CPI'!$A$1:$AX$1,),))/VLOOKUP(EDATE(B98,-12),'Data Core CPI'!$A:$AX,MATCH($E$1,'Data Core CPI'!$A$1:$AX$1,),))</f>
        <v/>
      </c>
      <c r="F98" s="20">
        <f>IF(VLOOKUP(B98,'Data Core CPI'!$A:$AX,MATCH($F$1,'Data Core CPI'!$A$1:$AX$1,),)=0,#N/A,(VLOOKUP(B98,'Data Core CPI'!$A:$AX,MATCH($F$1,'Data Core CPI'!$A$1:$AX$1,),)-VLOOKUP(EDATE(B98,-12),'Data Core CPI'!$A:$AX,MATCH($F$1,'Data Core CPI'!$A$1:$AX$1,),))/VLOOKUP(EDATE(B98,-12),'Data Core CPI'!$A:$AX,MATCH($F$1,'Data Core CPI'!$A$1:$AX$1,),))</f>
        <v/>
      </c>
      <c r="G98" s="20">
        <f>IF(VLOOKUP(B98,'Data Core CPI'!$A:$AX,MATCH($G$1,'Data Core CPI'!$A$1:$AX$1,),)=0,#N/A,(VLOOKUP(B98,'Data Core CPI'!$A:$AX,MATCH($G$1,'Data Core CPI'!$A$1:$AX$1,),)-VLOOKUP(EDATE(B98,-12),'Data Core CPI'!$A:$AX,MATCH($G$1,'Data Core CPI'!$A$1:$AX$1,),))/VLOOKUP(EDATE(B98,-12),'Data Core CPI'!$A:$AX,MATCH($G$1,'Data Core CPI'!$A$1:$AX$1,),))</f>
        <v/>
      </c>
      <c r="H98" s="20">
        <f>IF(VLOOKUP(B98,'Data Core CPI'!$A:$AX,MATCH($H$1,'Data Core CPI'!$A$1:$AX$1,),)=0,#N/A,(VLOOKUP(B98,'Data Core CPI'!$A:$AX,MATCH($H$1,'Data Core CPI'!$A$1:$AX$1,),)-VLOOKUP(EDATE(B98,-12),'Data Core CPI'!$A:$AX,MATCH($H$1,'Data Core CPI'!$A$1:$AX$1,),))/VLOOKUP(EDATE(B98,-12),'Data Core CPI'!$A:$AX,MATCH($H$1,'Data Core CPI'!$A$1:$AX$1,),))</f>
        <v/>
      </c>
      <c r="I98" s="20">
        <f>IF(VLOOKUP(B98,'Data Core CPI'!$A:$AX,MATCH($I$1,'Data Core CPI'!$A$1:$AX$1,),)=0,#N/A,(VLOOKUP(B98,'Data Core CPI'!$A:$AX,MATCH($I$1,'Data Core CPI'!$A$1:$AX$1,),)-VLOOKUP(EDATE(B98,-12),'Data Core CPI'!$A:$AX,MATCH($I$1,'Data Core CPI'!$A$1:$AX$1,),))/VLOOKUP(EDATE(B98,-12),'Data Core CPI'!$A:$AX,MATCH($I$1,'Data Core CPI'!$A$1:$AX$1,),))</f>
        <v/>
      </c>
      <c r="J98" s="20">
        <f>IF(VLOOKUP(B98,'Data Core CPI'!$A:$AX,MATCH($J$1,'Data Core CPI'!$A$1:$AX$1,),)=0,#N/A,(VLOOKUP(B98,'Data Core CPI'!$A:$AX,MATCH($J$1,'Data Core CPI'!$A$1:$AX$1,),)-VLOOKUP(EDATE(B98,-12),'Data Core CPI'!$A:$AX,MATCH($J$1,'Data Core CPI'!$A$1:$AX$1,),))/VLOOKUP(EDATE(B98,-12),'Data Core CPI'!$A:$AX,MATCH($J$1,'Data Core CPI'!$A$1:$AX$1,),))</f>
        <v/>
      </c>
      <c r="K98" s="20">
        <f>IF(VLOOKUP(B98,'Data Core CPI'!$A:$AX,MATCH($K$1,'Data Core CPI'!$A$1:$AX$1,),)=0,#N/A,(VLOOKUP(B98,'Data Core CPI'!$A:$AX,MATCH($K$1,'Data Core CPI'!$A$1:$AX$1,),)-VLOOKUP(EDATE(B98,-12),'Data Core CPI'!$A:$AX,MATCH($K$1,'Data Core CPI'!$A$1:$AX$1,),))/VLOOKUP(EDATE(B98,-12),'Data Core CPI'!$A:$AX,MATCH($K$1,'Data Core CPI'!$A$1:$AX$1,),))</f>
        <v/>
      </c>
      <c r="L98" s="20">
        <f>IF(VLOOKUP(B98,'Data Core CPI'!$A:$AX,MATCH($L$1,'Data Core CPI'!$A$1:$AX$1,),)=0,#N/A,(VLOOKUP(B98,'Data Core CPI'!$A:$AX,MATCH($L$1,'Data Core CPI'!$A$1:$AX$1,),)-VLOOKUP(EDATE(B98,-12),'Data Core CPI'!$A:$AX,MATCH($L$1,'Data Core CPI'!$A$1:$AX$1,),))/VLOOKUP(EDATE(B98,-12),'Data Core CPI'!$A:$AX,MATCH($L$1,'Data Core CPI'!$A$1:$AX$1,),))</f>
        <v/>
      </c>
      <c r="M98" s="20">
        <f>IF(VLOOKUP(B98,'Data Core CPI'!$A:$AX,MATCH($M$1,'Data Core CPI'!$A$1:$AX$1,),)=0,#N/A,(VLOOKUP(B98,'Data Core CPI'!$A:$AX,MATCH($M$1,'Data Core CPI'!$A$1:$AX$1,),)-VLOOKUP(EDATE(B98,-12),'Data Core CPI'!$A:$AX,MATCH($M$1,'Data Core CPI'!$A$1:$AX$1,),))/VLOOKUP(EDATE(B98,-12),'Data Core CPI'!$A:$AX,MATCH($M$1,'Data Core CPI'!$A$1:$AX$1,),))</f>
        <v/>
      </c>
      <c r="N98" s="20">
        <f>(VLOOKUP(B98,'Data Core CPI'!$A:$AX,MATCH($N$1,'Data Core CPI'!$A$1:$AX$1,),)-VLOOKUP(EDATE(B98,-12),'Data Core CPI'!$A:$AX,MATCH($N$1,'Data Core CPI'!$A$1:$AX$1,),))/VLOOKUP(EDATE(B98,-12),'Data Core CPI'!$A:$AX,MATCH($N$1,'Data Core CPI'!$A$1:$AX$1,),)</f>
        <v/>
      </c>
      <c r="O98" s="20">
        <f>(VLOOKUP(B98,'Data Core CPI'!$A:$AX,MATCH($O$1,'Data Core CPI'!$A$1:$AX$1,),)-VLOOKUP(EDATE(B98,-12),'Data Core CPI'!$A:$AX,MATCH($O$1,'Data Core CPI'!$A$1:$AX$1,),))/VLOOKUP(EDATE(B98,-12),'Data Core CPI'!$A:$AX,MATCH($O$1,'Data Core CPI'!$A$1:$AX$1,),)</f>
        <v/>
      </c>
      <c r="P98" s="20">
        <f>IF(VLOOKUP(B98,'Data Core CPI'!$A:$AX,MATCH($P$1,'Data Core CPI'!$A$1:$AX$1,),)=0,#N/A,(VLOOKUP(B98,'Data Core CPI'!$A:$AX,MATCH($P$1,'Data Core CPI'!$A$1:$AX$1,),)-VLOOKUP(EDATE(B98,-12),'Data Core CPI'!$A:$AX,MATCH($P$1,'Data Core CPI'!$A$1:$AX$1,),))/VLOOKUP(EDATE(B98,-12),'Data Core CPI'!$A:$AX,MATCH($P$1,'Data Core CPI'!$A$1:$AX$1,),))</f>
        <v/>
      </c>
      <c r="Q98" s="20">
        <f>(VLOOKUP(B98,'Data Core CPI'!$A:$AX,MATCH($Q$1,'Data Core CPI'!$A$1:$AX$1,),)-VLOOKUP(EDATE(B98,-12),'Data Core CPI'!$A:$AX,MATCH($Q$1,'Data Core CPI'!$A$1:$AX$1,),))/VLOOKUP(EDATE(B98,-12),'Data Core CPI'!$A:$AX,MATCH($Q$1,'Data Core CPI'!$A$1:$AX$1,),)</f>
        <v/>
      </c>
      <c r="R98" s="20">
        <f>IF(VLOOKUP(B98,'Data Core CPI'!$A:$AX,MATCH($R$1,'Data Core CPI'!$A$1:$AX$1,),)=0,#N/A,(VLOOKUP(B98,'Data Core CPI'!$A:$AX,MATCH($R$1,'Data Core CPI'!$A$1:$AX$1,),)-VLOOKUP(EDATE(B98,-12),'Data Core CPI'!$A:$AX,MATCH($R$1,'Data Core CPI'!$A$1:$AX$1,),))/VLOOKUP(EDATE(B98,-12),'Data Core CPI'!$A:$AX,MATCH($R$1,'Data Core CPI'!$A$1:$AX$1,),))</f>
        <v/>
      </c>
      <c r="S98" s="20">
        <f>(VLOOKUP(B98,'Data Core CPI'!$A:$AX,MATCH($S$1,'Data Core CPI'!$A$1:$AX$1,),)-VLOOKUP(EDATE(B98,-12),'Data Core CPI'!$A:$AX,MATCH($S$1,'Data Core CPI'!$A$1:$AX$1,),))/VLOOKUP(EDATE(B98,-12),'Data Core CPI'!$A:$AX,MATCH($S$1,'Data Core CPI'!$A$1:$AX$1,),)</f>
        <v/>
      </c>
      <c r="T98" s="20">
        <f>(VLOOKUP(B98,'Data Core CPI'!$A:$AX,MATCH($T$1,'Data Core CPI'!$A$1:$AX$1,),)-VLOOKUP(EDATE(B98,-12),'Data Core CPI'!$A:$AX,MATCH($T$1,'Data Core CPI'!$A$1:$AX$1,),))/VLOOKUP(EDATE(B98,-12),'Data Core CPI'!$A:$AX,MATCH($T$1,'Data Core CPI'!$A$1:$AX$1,),)</f>
        <v/>
      </c>
      <c r="U98" s="20">
        <f>IF(VLOOKUP(B98,'Data Core CPI'!$A:$AX,MATCH($U$1,'Data Core CPI'!$A$1:$AX$1,),)=0,#N/A,(VLOOKUP(B98,'Data Core CPI'!$A:$AX,MATCH($U$1,'Data Core CPI'!$A$1:$AX$1,),)-VLOOKUP(EDATE(B98,-12),'Data Core CPI'!$A:$AX,MATCH($U$1,'Data Core CPI'!$A$1:$AX$1,),))/VLOOKUP(EDATE(B98,-12),'Data Core CPI'!$A:$AX,MATCH($U$1,'Data Core CPI'!$A$1:$AX$1,),))</f>
        <v/>
      </c>
      <c r="V98" s="20">
        <f>(VLOOKUP(B98,'Data Core CPI'!$A:$AX,MATCH($V$1,'Data Core CPI'!$A$1:$AX$1,),)-VLOOKUP(EDATE(B98,-12),'Data Core CPI'!$A:$AX,MATCH($V$1,'Data Core CPI'!$A$1:$AX$1,),))/VLOOKUP(EDATE(B98,-12),'Data Core CPI'!$A:$AX,MATCH($V$1,'Data Core CPI'!$A$1:$AX$1,),)</f>
        <v/>
      </c>
      <c r="W98" s="20">
        <f>IF(VLOOKUP(B98,'Data Core CPI'!$A:$AX,MATCH($W$1,'Data Core CPI'!$A$1:$AX$1,),)=0,#N/A,(VLOOKUP(B98,'Data Core CPI'!$A:$AX,MATCH($W$1,'Data Core CPI'!$A$1:$AX$1,),)-VLOOKUP(EDATE(B98,-12),'Data Core CPI'!$A:$AX,MATCH($W$1,'Data Core CPI'!$A$1:$AX$1,),))/VLOOKUP(EDATE(B98,-12),'Data Core CPI'!$A:$AX,MATCH($W$1,'Data Core CPI'!$A$1:$AX$1,),))</f>
        <v/>
      </c>
      <c r="X98" s="20">
        <f>IF(VLOOKUP(B98,'Data Core CPI'!$A:$AX,MATCH($X$1,'Data Core CPI'!$A$1:$AX$1,),)=0,#N/A,(VLOOKUP(B98,'Data Core CPI'!$A:$AX,MATCH($X$1,'Data Core CPI'!$A$1:$AX$1,),)-VLOOKUP(EDATE(B98,-12),'Data Core CPI'!$A:$AX,MATCH($X$1,'Data Core CPI'!$A$1:$AX$1,),))/VLOOKUP(EDATE(B98,-12),'Data Core CPI'!$A:$AX,MATCH($X$1,'Data Core CPI'!$A$1:$AX$1,),))</f>
        <v/>
      </c>
      <c r="Y98" s="20">
        <f>IF(VLOOKUP(B98,'Data Core CPI'!$A:$AX,MATCH($Y$1,'Data Core CPI'!$A$1:$AX$1,),)=0,#N/A,(VLOOKUP(B98,'Data Core CPI'!$A:$AX,MATCH($Y$1,'Data Core CPI'!$A$1:$AX$1,),)-VLOOKUP(EDATE(B98,-12),'Data Core CPI'!$A:$AX,MATCH($Y$1,'Data Core CPI'!$A$1:$AX$1,),))/VLOOKUP(EDATE(B98,-12),'Data Core CPI'!$A:$AX,MATCH($Y$1,'Data Core CPI'!$A$1:$AX$1,),))</f>
        <v/>
      </c>
      <c r="Z98" s="20">
        <f>(VLOOKUP(B98,Data!$A:$AX,MATCH($Z$1,Data!$A$1:$AX$1,),)-VLOOKUP(EDATE(B98,-12),Data!$A:$AX,MATCH($Z$1,Data!$A$1:$AX$1,),))/VLOOKUP(EDATE(B98,-12),Data!$A:$AX,MATCH($Z$1,Data!$A$1:$AX$1,),)</f>
        <v/>
      </c>
      <c r="AA98" s="20">
        <f>(VLOOKUP(B98,Data!$A:$AX,MATCH($AA$1,Data!$A$1:$AX$1,),)-VLOOKUP(EDATE(B98,-12),Data!$A:$AX,MATCH($AA$1,Data!$A$1:$AX$1,),))/VLOOKUP(EDATE(B98,-12),Data!$A:$AX,MATCH($AA$1,Data!$A$1:$AX$1,),)</f>
        <v/>
      </c>
      <c r="AB98" s="19" t="n"/>
    </row>
    <row r="99" customFormat="1" s="78">
      <c r="B99" s="15" t="n">
        <v>43221</v>
      </c>
      <c r="C99" s="20">
        <f>IF(VLOOKUP(B99,'Data Core CPI'!$A:$AX,MATCH($C$1,'Data Core CPI'!$A$1:$AX$1,),)=0,#N/A,(VLOOKUP(B99,'Data Core CPI'!$A:$AX,MATCH($C$1,'Data Core CPI'!$A$1:$AX$1,),)-VLOOKUP(EDATE(B99,-12),'Data Core CPI'!$A:$AX,MATCH($C$1,'Data Core CPI'!$A$1:$AX$1,),))/VLOOKUP(EDATE(B99,-12),'Data Core CPI'!$A:$AX,MATCH($C$1,'Data Core CPI'!$A$1:$AX$1,),))</f>
        <v/>
      </c>
      <c r="D99" s="20">
        <f>(VLOOKUP(B99,'Data Core CPI'!$A:$AX,MATCH($D$1,'Data Core CPI'!$A$1:$AX$1,),)-VLOOKUP(EDATE(B99,-12),'Data Core CPI'!$A:$AX,MATCH($D$1,'Data Core CPI'!$A$1:$AX$1,),))/VLOOKUP(EDATE(B99,-12),'Data Core CPI'!$A:$AX,MATCH($D$1,'Data Core CPI'!$A$1:$AX$1,),)</f>
        <v/>
      </c>
      <c r="E99" s="20">
        <f>IF(VLOOKUP(B99,'Data Core CPI'!$A:$AX,MATCH($E$1,'Data Core CPI'!$A$1:$AX$1,),)=0,#N/A,(VLOOKUP(B99,'Data Core CPI'!$A:$AX,MATCH($E$1,'Data Core CPI'!$A$1:$AX$1,),)-VLOOKUP(EDATE(B99,-12),'Data Core CPI'!$A:$AX,MATCH($E$1,'Data Core CPI'!$A$1:$AX$1,),))/VLOOKUP(EDATE(B99,-12),'Data Core CPI'!$A:$AX,MATCH($E$1,'Data Core CPI'!$A$1:$AX$1,),))</f>
        <v/>
      </c>
      <c r="F99" s="20">
        <f>IF(VLOOKUP(B99,'Data Core CPI'!$A:$AX,MATCH($F$1,'Data Core CPI'!$A$1:$AX$1,),)=0,#N/A,(VLOOKUP(B99,'Data Core CPI'!$A:$AX,MATCH($F$1,'Data Core CPI'!$A$1:$AX$1,),)-VLOOKUP(EDATE(B99,-12),'Data Core CPI'!$A:$AX,MATCH($F$1,'Data Core CPI'!$A$1:$AX$1,),))/VLOOKUP(EDATE(B99,-12),'Data Core CPI'!$A:$AX,MATCH($F$1,'Data Core CPI'!$A$1:$AX$1,),))</f>
        <v/>
      </c>
      <c r="G99" s="20">
        <f>IF(VLOOKUP(B99,'Data Core CPI'!$A:$AX,MATCH($G$1,'Data Core CPI'!$A$1:$AX$1,),)=0,#N/A,(VLOOKUP(B99,'Data Core CPI'!$A:$AX,MATCH($G$1,'Data Core CPI'!$A$1:$AX$1,),)-VLOOKUP(EDATE(B99,-12),'Data Core CPI'!$A:$AX,MATCH($G$1,'Data Core CPI'!$A$1:$AX$1,),))/VLOOKUP(EDATE(B99,-12),'Data Core CPI'!$A:$AX,MATCH($G$1,'Data Core CPI'!$A$1:$AX$1,),))</f>
        <v/>
      </c>
      <c r="H99" s="20">
        <f>IF(VLOOKUP(B99,'Data Core CPI'!$A:$AX,MATCH($H$1,'Data Core CPI'!$A$1:$AX$1,),)=0,#N/A,(VLOOKUP(B99,'Data Core CPI'!$A:$AX,MATCH($H$1,'Data Core CPI'!$A$1:$AX$1,),)-VLOOKUP(EDATE(B99,-12),'Data Core CPI'!$A:$AX,MATCH($H$1,'Data Core CPI'!$A$1:$AX$1,),))/VLOOKUP(EDATE(B99,-12),'Data Core CPI'!$A:$AX,MATCH($H$1,'Data Core CPI'!$A$1:$AX$1,),))</f>
        <v/>
      </c>
      <c r="I99" s="20">
        <f>IF(VLOOKUP(B99,'Data Core CPI'!$A:$AX,MATCH($I$1,'Data Core CPI'!$A$1:$AX$1,),)=0,#N/A,(VLOOKUP(B99,'Data Core CPI'!$A:$AX,MATCH($I$1,'Data Core CPI'!$A$1:$AX$1,),)-VLOOKUP(EDATE(B99,-12),'Data Core CPI'!$A:$AX,MATCH($I$1,'Data Core CPI'!$A$1:$AX$1,),))/VLOOKUP(EDATE(B99,-12),'Data Core CPI'!$A:$AX,MATCH($I$1,'Data Core CPI'!$A$1:$AX$1,),))</f>
        <v/>
      </c>
      <c r="J99" s="20">
        <f>IF(VLOOKUP(B99,'Data Core CPI'!$A:$AX,MATCH($J$1,'Data Core CPI'!$A$1:$AX$1,),)=0,#N/A,(VLOOKUP(B99,'Data Core CPI'!$A:$AX,MATCH($J$1,'Data Core CPI'!$A$1:$AX$1,),)-VLOOKUP(EDATE(B99,-12),'Data Core CPI'!$A:$AX,MATCH($J$1,'Data Core CPI'!$A$1:$AX$1,),))/VLOOKUP(EDATE(B99,-12),'Data Core CPI'!$A:$AX,MATCH($J$1,'Data Core CPI'!$A$1:$AX$1,),))</f>
        <v/>
      </c>
      <c r="K99" s="20">
        <f>IF(VLOOKUP(B99,'Data Core CPI'!$A:$AX,MATCH($K$1,'Data Core CPI'!$A$1:$AX$1,),)=0,#N/A,(VLOOKUP(B99,'Data Core CPI'!$A:$AX,MATCH($K$1,'Data Core CPI'!$A$1:$AX$1,),)-VLOOKUP(EDATE(B99,-12),'Data Core CPI'!$A:$AX,MATCH($K$1,'Data Core CPI'!$A$1:$AX$1,),))/VLOOKUP(EDATE(B99,-12),'Data Core CPI'!$A:$AX,MATCH($K$1,'Data Core CPI'!$A$1:$AX$1,),))</f>
        <v/>
      </c>
      <c r="L99" s="20">
        <f>IF(VLOOKUP(B99,'Data Core CPI'!$A:$AX,MATCH($L$1,'Data Core CPI'!$A$1:$AX$1,),)=0,#N/A,(VLOOKUP(B99,'Data Core CPI'!$A:$AX,MATCH($L$1,'Data Core CPI'!$A$1:$AX$1,),)-VLOOKUP(EDATE(B99,-12),'Data Core CPI'!$A:$AX,MATCH($L$1,'Data Core CPI'!$A$1:$AX$1,),))/VLOOKUP(EDATE(B99,-12),'Data Core CPI'!$A:$AX,MATCH($L$1,'Data Core CPI'!$A$1:$AX$1,),))</f>
        <v/>
      </c>
      <c r="M99" s="20">
        <f>IF(VLOOKUP(B99,'Data Core CPI'!$A:$AX,MATCH($M$1,'Data Core CPI'!$A$1:$AX$1,),)=0,#N/A,(VLOOKUP(B99,'Data Core CPI'!$A:$AX,MATCH($M$1,'Data Core CPI'!$A$1:$AX$1,),)-VLOOKUP(EDATE(B99,-12),'Data Core CPI'!$A:$AX,MATCH($M$1,'Data Core CPI'!$A$1:$AX$1,),))/VLOOKUP(EDATE(B99,-12),'Data Core CPI'!$A:$AX,MATCH($M$1,'Data Core CPI'!$A$1:$AX$1,),))</f>
        <v/>
      </c>
      <c r="N99" s="20">
        <f>(VLOOKUP(B99,'Data Core CPI'!$A:$AX,MATCH($N$1,'Data Core CPI'!$A$1:$AX$1,),)-VLOOKUP(EDATE(B99,-12),'Data Core CPI'!$A:$AX,MATCH($N$1,'Data Core CPI'!$A$1:$AX$1,),))/VLOOKUP(EDATE(B99,-12),'Data Core CPI'!$A:$AX,MATCH($N$1,'Data Core CPI'!$A$1:$AX$1,),)</f>
        <v/>
      </c>
      <c r="O99" s="20">
        <f>(VLOOKUP(B99,'Data Core CPI'!$A:$AX,MATCH($O$1,'Data Core CPI'!$A$1:$AX$1,),)-VLOOKUP(EDATE(B99,-12),'Data Core CPI'!$A:$AX,MATCH($O$1,'Data Core CPI'!$A$1:$AX$1,),))/VLOOKUP(EDATE(B99,-12),'Data Core CPI'!$A:$AX,MATCH($O$1,'Data Core CPI'!$A$1:$AX$1,),)</f>
        <v/>
      </c>
      <c r="P99" s="20">
        <f>IF(VLOOKUP(B99,'Data Core CPI'!$A:$AX,MATCH($P$1,'Data Core CPI'!$A$1:$AX$1,),)=0,#N/A,(VLOOKUP(B99,'Data Core CPI'!$A:$AX,MATCH($P$1,'Data Core CPI'!$A$1:$AX$1,),)-VLOOKUP(EDATE(B99,-12),'Data Core CPI'!$A:$AX,MATCH($P$1,'Data Core CPI'!$A$1:$AX$1,),))/VLOOKUP(EDATE(B99,-12),'Data Core CPI'!$A:$AX,MATCH($P$1,'Data Core CPI'!$A$1:$AX$1,),))</f>
        <v/>
      </c>
      <c r="Q99" s="20">
        <f>(VLOOKUP(B99,'Data Core CPI'!$A:$AX,MATCH($Q$1,'Data Core CPI'!$A$1:$AX$1,),)-VLOOKUP(EDATE(B99,-12),'Data Core CPI'!$A:$AX,MATCH($Q$1,'Data Core CPI'!$A$1:$AX$1,),))/VLOOKUP(EDATE(B99,-12),'Data Core CPI'!$A:$AX,MATCH($Q$1,'Data Core CPI'!$A$1:$AX$1,),)</f>
        <v/>
      </c>
      <c r="R99" s="20">
        <f>IF(VLOOKUP(B99,'Data Core CPI'!$A:$AX,MATCH($R$1,'Data Core CPI'!$A$1:$AX$1,),)=0,#N/A,(VLOOKUP(B99,'Data Core CPI'!$A:$AX,MATCH($R$1,'Data Core CPI'!$A$1:$AX$1,),)-VLOOKUP(EDATE(B99,-12),'Data Core CPI'!$A:$AX,MATCH($R$1,'Data Core CPI'!$A$1:$AX$1,),))/VLOOKUP(EDATE(B99,-12),'Data Core CPI'!$A:$AX,MATCH($R$1,'Data Core CPI'!$A$1:$AX$1,),))</f>
        <v/>
      </c>
      <c r="S99" s="20">
        <f>(VLOOKUP(B99,'Data Core CPI'!$A:$AX,MATCH($S$1,'Data Core CPI'!$A$1:$AX$1,),)-VLOOKUP(EDATE(B99,-12),'Data Core CPI'!$A:$AX,MATCH($S$1,'Data Core CPI'!$A$1:$AX$1,),))/VLOOKUP(EDATE(B99,-12),'Data Core CPI'!$A:$AX,MATCH($S$1,'Data Core CPI'!$A$1:$AX$1,),)</f>
        <v/>
      </c>
      <c r="T99" s="20">
        <f>(VLOOKUP(B99,'Data Core CPI'!$A:$AX,MATCH($T$1,'Data Core CPI'!$A$1:$AX$1,),)-VLOOKUP(EDATE(B99,-12),'Data Core CPI'!$A:$AX,MATCH($T$1,'Data Core CPI'!$A$1:$AX$1,),))/VLOOKUP(EDATE(B99,-12),'Data Core CPI'!$A:$AX,MATCH($T$1,'Data Core CPI'!$A$1:$AX$1,),)</f>
        <v/>
      </c>
      <c r="U99" s="20">
        <f>IF(VLOOKUP(B99,'Data Core CPI'!$A:$AX,MATCH($U$1,'Data Core CPI'!$A$1:$AX$1,),)=0,#N/A,(VLOOKUP(B99,'Data Core CPI'!$A:$AX,MATCH($U$1,'Data Core CPI'!$A$1:$AX$1,),)-VLOOKUP(EDATE(B99,-12),'Data Core CPI'!$A:$AX,MATCH($U$1,'Data Core CPI'!$A$1:$AX$1,),))/VLOOKUP(EDATE(B99,-12),'Data Core CPI'!$A:$AX,MATCH($U$1,'Data Core CPI'!$A$1:$AX$1,),))</f>
        <v/>
      </c>
      <c r="V99" s="20">
        <f>(VLOOKUP(B99,'Data Core CPI'!$A:$AX,MATCH($V$1,'Data Core CPI'!$A$1:$AX$1,),)-VLOOKUP(EDATE(B99,-12),'Data Core CPI'!$A:$AX,MATCH($V$1,'Data Core CPI'!$A$1:$AX$1,),))/VLOOKUP(EDATE(B99,-12),'Data Core CPI'!$A:$AX,MATCH($V$1,'Data Core CPI'!$A$1:$AX$1,),)</f>
        <v/>
      </c>
      <c r="W99" s="20">
        <f>IF(VLOOKUP(B99,'Data Core CPI'!$A:$AX,MATCH($W$1,'Data Core CPI'!$A$1:$AX$1,),)=0,#N/A,(VLOOKUP(B99,'Data Core CPI'!$A:$AX,MATCH($W$1,'Data Core CPI'!$A$1:$AX$1,),)-VLOOKUP(EDATE(B99,-12),'Data Core CPI'!$A:$AX,MATCH($W$1,'Data Core CPI'!$A$1:$AX$1,),))/VLOOKUP(EDATE(B99,-12),'Data Core CPI'!$A:$AX,MATCH($W$1,'Data Core CPI'!$A$1:$AX$1,),))</f>
        <v/>
      </c>
      <c r="X99" s="20">
        <f>IF(VLOOKUP(B99,'Data Core CPI'!$A:$AX,MATCH($X$1,'Data Core CPI'!$A$1:$AX$1,),)=0,#N/A,(VLOOKUP(B99,'Data Core CPI'!$A:$AX,MATCH($X$1,'Data Core CPI'!$A$1:$AX$1,),)-VLOOKUP(EDATE(B99,-12),'Data Core CPI'!$A:$AX,MATCH($X$1,'Data Core CPI'!$A$1:$AX$1,),))/VLOOKUP(EDATE(B99,-12),'Data Core CPI'!$A:$AX,MATCH($X$1,'Data Core CPI'!$A$1:$AX$1,),))</f>
        <v/>
      </c>
      <c r="Y99" s="20">
        <f>IF(VLOOKUP(B99,'Data Core CPI'!$A:$AX,MATCH($Y$1,'Data Core CPI'!$A$1:$AX$1,),)=0,#N/A,(VLOOKUP(B99,'Data Core CPI'!$A:$AX,MATCH($Y$1,'Data Core CPI'!$A$1:$AX$1,),)-VLOOKUP(EDATE(B99,-12),'Data Core CPI'!$A:$AX,MATCH($Y$1,'Data Core CPI'!$A$1:$AX$1,),))/VLOOKUP(EDATE(B99,-12),'Data Core CPI'!$A:$AX,MATCH($Y$1,'Data Core CPI'!$A$1:$AX$1,),))</f>
        <v/>
      </c>
      <c r="Z99" s="20">
        <f>(VLOOKUP(B99,Data!$A:$AX,MATCH($Z$1,Data!$A$1:$AX$1,),)-VLOOKUP(EDATE(B99,-12),Data!$A:$AX,MATCH($Z$1,Data!$A$1:$AX$1,),))/VLOOKUP(EDATE(B99,-12),Data!$A:$AX,MATCH($Z$1,Data!$A$1:$AX$1,),)</f>
        <v/>
      </c>
      <c r="AA99" s="20">
        <f>(VLOOKUP(B99,Data!$A:$AX,MATCH($AA$1,Data!$A$1:$AX$1,),)-VLOOKUP(EDATE(B99,-12),Data!$A:$AX,MATCH($AA$1,Data!$A$1:$AX$1,),))/VLOOKUP(EDATE(B99,-12),Data!$A:$AX,MATCH($AA$1,Data!$A$1:$AX$1,),)</f>
        <v/>
      </c>
    </row>
    <row r="100" customFormat="1" s="78">
      <c r="B100" s="15" t="n">
        <v>43252</v>
      </c>
      <c r="C100" s="20">
        <f>IF(VLOOKUP(B100,'Data Core CPI'!$A:$AX,MATCH($C$1,'Data Core CPI'!$A$1:$AX$1,),)=0,#N/A,(VLOOKUP(B100,'Data Core CPI'!$A:$AX,MATCH($C$1,'Data Core CPI'!$A$1:$AX$1,),)-VLOOKUP(EDATE(B100,-12),'Data Core CPI'!$A:$AX,MATCH($C$1,'Data Core CPI'!$A$1:$AX$1,),))/VLOOKUP(EDATE(B100,-12),'Data Core CPI'!$A:$AX,MATCH($C$1,'Data Core CPI'!$A$1:$AX$1,),))</f>
        <v/>
      </c>
      <c r="D100" s="20">
        <f>(VLOOKUP(B100,'Data Core CPI'!$A:$AX,MATCH($D$1,'Data Core CPI'!$A$1:$AX$1,),)-VLOOKUP(EDATE(B100,-12),'Data Core CPI'!$A:$AX,MATCH($D$1,'Data Core CPI'!$A$1:$AX$1,),))/VLOOKUP(EDATE(B100,-12),'Data Core CPI'!$A:$AX,MATCH($D$1,'Data Core CPI'!$A$1:$AX$1,),)</f>
        <v/>
      </c>
      <c r="E100" s="20">
        <f>IF(VLOOKUP(B100,'Data Core CPI'!$A:$AX,MATCH($E$1,'Data Core CPI'!$A$1:$AX$1,),)=0,#N/A,(VLOOKUP(B100,'Data Core CPI'!$A:$AX,MATCH($E$1,'Data Core CPI'!$A$1:$AX$1,),)-VLOOKUP(EDATE(B100,-12),'Data Core CPI'!$A:$AX,MATCH($E$1,'Data Core CPI'!$A$1:$AX$1,),))/VLOOKUP(EDATE(B100,-12),'Data Core CPI'!$A:$AX,MATCH($E$1,'Data Core CPI'!$A$1:$AX$1,),))</f>
        <v/>
      </c>
      <c r="F100" s="20">
        <f>IF(VLOOKUP(B100,'Data Core CPI'!$A:$AX,MATCH($F$1,'Data Core CPI'!$A$1:$AX$1,),)=0,#N/A,(VLOOKUP(B100,'Data Core CPI'!$A:$AX,MATCH($F$1,'Data Core CPI'!$A$1:$AX$1,),)-VLOOKUP(EDATE(B100,-12),'Data Core CPI'!$A:$AX,MATCH($F$1,'Data Core CPI'!$A$1:$AX$1,),))/VLOOKUP(EDATE(B100,-12),'Data Core CPI'!$A:$AX,MATCH($F$1,'Data Core CPI'!$A$1:$AX$1,),))</f>
        <v/>
      </c>
      <c r="G100" s="20">
        <f>IF(VLOOKUP(B100,'Data Core CPI'!$A:$AX,MATCH($G$1,'Data Core CPI'!$A$1:$AX$1,),)=0,#N/A,(VLOOKUP(B100,'Data Core CPI'!$A:$AX,MATCH($G$1,'Data Core CPI'!$A$1:$AX$1,),)-VLOOKUP(EDATE(B100,-12),'Data Core CPI'!$A:$AX,MATCH($G$1,'Data Core CPI'!$A$1:$AX$1,),))/VLOOKUP(EDATE(B100,-12),'Data Core CPI'!$A:$AX,MATCH($G$1,'Data Core CPI'!$A$1:$AX$1,),))</f>
        <v/>
      </c>
      <c r="H100" s="20">
        <f>IF(VLOOKUP(B100,'Data Core CPI'!$A:$AX,MATCH($H$1,'Data Core CPI'!$A$1:$AX$1,),)=0,#N/A,(VLOOKUP(B100,'Data Core CPI'!$A:$AX,MATCH($H$1,'Data Core CPI'!$A$1:$AX$1,),)-VLOOKUP(EDATE(B100,-12),'Data Core CPI'!$A:$AX,MATCH($H$1,'Data Core CPI'!$A$1:$AX$1,),))/VLOOKUP(EDATE(B100,-12),'Data Core CPI'!$A:$AX,MATCH($H$1,'Data Core CPI'!$A$1:$AX$1,),))</f>
        <v/>
      </c>
      <c r="I100" s="20">
        <f>IF(VLOOKUP(B100,'Data Core CPI'!$A:$AX,MATCH($I$1,'Data Core CPI'!$A$1:$AX$1,),)=0,#N/A,(VLOOKUP(B100,'Data Core CPI'!$A:$AX,MATCH($I$1,'Data Core CPI'!$A$1:$AX$1,),)-VLOOKUP(EDATE(B100,-12),'Data Core CPI'!$A:$AX,MATCH($I$1,'Data Core CPI'!$A$1:$AX$1,),))/VLOOKUP(EDATE(B100,-12),'Data Core CPI'!$A:$AX,MATCH($I$1,'Data Core CPI'!$A$1:$AX$1,),))</f>
        <v/>
      </c>
      <c r="J100" s="20">
        <f>IF(VLOOKUP(B100,'Data Core CPI'!$A:$AX,MATCH($J$1,'Data Core CPI'!$A$1:$AX$1,),)=0,#N/A,(VLOOKUP(B100,'Data Core CPI'!$A:$AX,MATCH($J$1,'Data Core CPI'!$A$1:$AX$1,),)-VLOOKUP(EDATE(B100,-12),'Data Core CPI'!$A:$AX,MATCH($J$1,'Data Core CPI'!$A$1:$AX$1,),))/VLOOKUP(EDATE(B100,-12),'Data Core CPI'!$A:$AX,MATCH($J$1,'Data Core CPI'!$A$1:$AX$1,),))</f>
        <v/>
      </c>
      <c r="K100" s="20">
        <f>IF(VLOOKUP(B100,'Data Core CPI'!$A:$AX,MATCH($K$1,'Data Core CPI'!$A$1:$AX$1,),)=0,#N/A,(VLOOKUP(B100,'Data Core CPI'!$A:$AX,MATCH($K$1,'Data Core CPI'!$A$1:$AX$1,),)-VLOOKUP(EDATE(B100,-12),'Data Core CPI'!$A:$AX,MATCH($K$1,'Data Core CPI'!$A$1:$AX$1,),))/VLOOKUP(EDATE(B100,-12),'Data Core CPI'!$A:$AX,MATCH($K$1,'Data Core CPI'!$A$1:$AX$1,),))</f>
        <v/>
      </c>
      <c r="L100" s="20">
        <f>IF(VLOOKUP(B100,'Data Core CPI'!$A:$AX,MATCH($L$1,'Data Core CPI'!$A$1:$AX$1,),)=0,#N/A,(VLOOKUP(B100,'Data Core CPI'!$A:$AX,MATCH($L$1,'Data Core CPI'!$A$1:$AX$1,),)-VLOOKUP(EDATE(B100,-12),'Data Core CPI'!$A:$AX,MATCH($L$1,'Data Core CPI'!$A$1:$AX$1,),))/VLOOKUP(EDATE(B100,-12),'Data Core CPI'!$A:$AX,MATCH($L$1,'Data Core CPI'!$A$1:$AX$1,),))</f>
        <v/>
      </c>
      <c r="M100" s="20">
        <f>IF(VLOOKUP(B100,'Data Core CPI'!$A:$AX,MATCH($M$1,'Data Core CPI'!$A$1:$AX$1,),)=0,#N/A,(VLOOKUP(B100,'Data Core CPI'!$A:$AX,MATCH($M$1,'Data Core CPI'!$A$1:$AX$1,),)-VLOOKUP(EDATE(B100,-12),'Data Core CPI'!$A:$AX,MATCH($M$1,'Data Core CPI'!$A$1:$AX$1,),))/VLOOKUP(EDATE(B100,-12),'Data Core CPI'!$A:$AX,MATCH($M$1,'Data Core CPI'!$A$1:$AX$1,),))</f>
        <v/>
      </c>
      <c r="N100" s="20">
        <f>(VLOOKUP(B100,'Data Core CPI'!$A:$AX,MATCH($N$1,'Data Core CPI'!$A$1:$AX$1,),)-VLOOKUP(EDATE(B100,-12),'Data Core CPI'!$A:$AX,MATCH($N$1,'Data Core CPI'!$A$1:$AX$1,),))/VLOOKUP(EDATE(B100,-12),'Data Core CPI'!$A:$AX,MATCH($N$1,'Data Core CPI'!$A$1:$AX$1,),)</f>
        <v/>
      </c>
      <c r="O100" s="20">
        <f>(VLOOKUP(B100,'Data Core CPI'!$A:$AX,MATCH($O$1,'Data Core CPI'!$A$1:$AX$1,),)-VLOOKUP(EDATE(B100,-12),'Data Core CPI'!$A:$AX,MATCH($O$1,'Data Core CPI'!$A$1:$AX$1,),))/VLOOKUP(EDATE(B100,-12),'Data Core CPI'!$A:$AX,MATCH($O$1,'Data Core CPI'!$A$1:$AX$1,),)</f>
        <v/>
      </c>
      <c r="P100" s="20">
        <f>IF(VLOOKUP(B100,'Data Core CPI'!$A:$AX,MATCH($P$1,'Data Core CPI'!$A$1:$AX$1,),)=0,#N/A,(VLOOKUP(B100,'Data Core CPI'!$A:$AX,MATCH($P$1,'Data Core CPI'!$A$1:$AX$1,),)-VLOOKUP(EDATE(B100,-12),'Data Core CPI'!$A:$AX,MATCH($P$1,'Data Core CPI'!$A$1:$AX$1,),))/VLOOKUP(EDATE(B100,-12),'Data Core CPI'!$A:$AX,MATCH($P$1,'Data Core CPI'!$A$1:$AX$1,),))</f>
        <v/>
      </c>
      <c r="Q100" s="20">
        <f>(VLOOKUP(B100,'Data Core CPI'!$A:$AX,MATCH($Q$1,'Data Core CPI'!$A$1:$AX$1,),)-VLOOKUP(EDATE(B100,-12),'Data Core CPI'!$A:$AX,MATCH($Q$1,'Data Core CPI'!$A$1:$AX$1,),))/VLOOKUP(EDATE(B100,-12),'Data Core CPI'!$A:$AX,MATCH($Q$1,'Data Core CPI'!$A$1:$AX$1,),)</f>
        <v/>
      </c>
      <c r="R100" s="20">
        <f>IF(VLOOKUP(B100,'Data Core CPI'!$A:$AX,MATCH($R$1,'Data Core CPI'!$A$1:$AX$1,),)=0,#N/A,(VLOOKUP(B100,'Data Core CPI'!$A:$AX,MATCH($R$1,'Data Core CPI'!$A$1:$AX$1,),)-VLOOKUP(EDATE(B100,-12),'Data Core CPI'!$A:$AX,MATCH($R$1,'Data Core CPI'!$A$1:$AX$1,),))/VLOOKUP(EDATE(B100,-12),'Data Core CPI'!$A:$AX,MATCH($R$1,'Data Core CPI'!$A$1:$AX$1,),))</f>
        <v/>
      </c>
      <c r="S100" s="20">
        <f>(VLOOKUP(B100,'Data Core CPI'!$A:$AX,MATCH($S$1,'Data Core CPI'!$A$1:$AX$1,),)-VLOOKUP(EDATE(B100,-12),'Data Core CPI'!$A:$AX,MATCH($S$1,'Data Core CPI'!$A$1:$AX$1,),))/VLOOKUP(EDATE(B100,-12),'Data Core CPI'!$A:$AX,MATCH($S$1,'Data Core CPI'!$A$1:$AX$1,),)</f>
        <v/>
      </c>
      <c r="T100" s="20">
        <f>(VLOOKUP(B100,'Data Core CPI'!$A:$AX,MATCH($T$1,'Data Core CPI'!$A$1:$AX$1,),)-VLOOKUP(EDATE(B100,-12),'Data Core CPI'!$A:$AX,MATCH($T$1,'Data Core CPI'!$A$1:$AX$1,),))/VLOOKUP(EDATE(B100,-12),'Data Core CPI'!$A:$AX,MATCH($T$1,'Data Core CPI'!$A$1:$AX$1,),)</f>
        <v/>
      </c>
      <c r="U100" s="20">
        <f>IF(VLOOKUP(B100,'Data Core CPI'!$A:$AX,MATCH($U$1,'Data Core CPI'!$A$1:$AX$1,),)=0,#N/A,(VLOOKUP(B100,'Data Core CPI'!$A:$AX,MATCH($U$1,'Data Core CPI'!$A$1:$AX$1,),)-VLOOKUP(EDATE(B100,-12),'Data Core CPI'!$A:$AX,MATCH($U$1,'Data Core CPI'!$A$1:$AX$1,),))/VLOOKUP(EDATE(B100,-12),'Data Core CPI'!$A:$AX,MATCH($U$1,'Data Core CPI'!$A$1:$AX$1,),))</f>
        <v/>
      </c>
      <c r="V100" s="20">
        <f>(VLOOKUP(B100,'Data Core CPI'!$A:$AX,MATCH($V$1,'Data Core CPI'!$A$1:$AX$1,),)-VLOOKUP(EDATE(B100,-12),'Data Core CPI'!$A:$AX,MATCH($V$1,'Data Core CPI'!$A$1:$AX$1,),))/VLOOKUP(EDATE(B100,-12),'Data Core CPI'!$A:$AX,MATCH($V$1,'Data Core CPI'!$A$1:$AX$1,),)</f>
        <v/>
      </c>
      <c r="W100" s="20">
        <f>IF(VLOOKUP(B100,'Data Core CPI'!$A:$AX,MATCH($W$1,'Data Core CPI'!$A$1:$AX$1,),)=0,#N/A,(VLOOKUP(B100,'Data Core CPI'!$A:$AX,MATCH($W$1,'Data Core CPI'!$A$1:$AX$1,),)-VLOOKUP(EDATE(B100,-12),'Data Core CPI'!$A:$AX,MATCH($W$1,'Data Core CPI'!$A$1:$AX$1,),))/VLOOKUP(EDATE(B100,-12),'Data Core CPI'!$A:$AX,MATCH($W$1,'Data Core CPI'!$A$1:$AX$1,),))</f>
        <v/>
      </c>
      <c r="X100" s="20">
        <f>IF(VLOOKUP(B100,'Data Core CPI'!$A:$AX,MATCH($X$1,'Data Core CPI'!$A$1:$AX$1,),)=0,#N/A,(VLOOKUP(B100,'Data Core CPI'!$A:$AX,MATCH($X$1,'Data Core CPI'!$A$1:$AX$1,),)-VLOOKUP(EDATE(B100,-12),'Data Core CPI'!$A:$AX,MATCH($X$1,'Data Core CPI'!$A$1:$AX$1,),))/VLOOKUP(EDATE(B100,-12),'Data Core CPI'!$A:$AX,MATCH($X$1,'Data Core CPI'!$A$1:$AX$1,),))</f>
        <v/>
      </c>
      <c r="Y100" s="20">
        <f>IF(VLOOKUP(B100,'Data Core CPI'!$A:$AX,MATCH($Y$1,'Data Core CPI'!$A$1:$AX$1,),)=0,#N/A,(VLOOKUP(B100,'Data Core CPI'!$A:$AX,MATCH($Y$1,'Data Core CPI'!$A$1:$AX$1,),)-VLOOKUP(EDATE(B100,-12),'Data Core CPI'!$A:$AX,MATCH($Y$1,'Data Core CPI'!$A$1:$AX$1,),))/VLOOKUP(EDATE(B100,-12),'Data Core CPI'!$A:$AX,MATCH($Y$1,'Data Core CPI'!$A$1:$AX$1,),))</f>
        <v/>
      </c>
      <c r="Z100" s="20">
        <f>(VLOOKUP(B100,Data!$A:$AX,MATCH($Z$1,Data!$A$1:$AX$1,),)-VLOOKUP(EDATE(B100,-12),Data!$A:$AX,MATCH($Z$1,Data!$A$1:$AX$1,),))/VLOOKUP(EDATE(B100,-12),Data!$A:$AX,MATCH($Z$1,Data!$A$1:$AX$1,),)</f>
        <v/>
      </c>
      <c r="AA100" s="20">
        <f>(VLOOKUP(B100,Data!$A:$AX,MATCH($AA$1,Data!$A$1:$AX$1,),)-VLOOKUP(EDATE(B100,-12),Data!$A:$AX,MATCH($AA$1,Data!$A$1:$AX$1,),))/VLOOKUP(EDATE(B100,-12),Data!$A:$AX,MATCH($AA$1,Data!$A$1:$AX$1,),)</f>
        <v/>
      </c>
    </row>
    <row r="101" customFormat="1" s="78">
      <c r="B101" s="15" t="n">
        <v>43282</v>
      </c>
      <c r="C101" s="20">
        <f>IF(VLOOKUP(B101,'Data Core CPI'!$A:$AX,MATCH($C$1,'Data Core CPI'!$A$1:$AX$1,),)=0,#N/A,(VLOOKUP(B101,'Data Core CPI'!$A:$AX,MATCH($C$1,'Data Core CPI'!$A$1:$AX$1,),)-VLOOKUP(EDATE(B101,-12),'Data Core CPI'!$A:$AX,MATCH($C$1,'Data Core CPI'!$A$1:$AX$1,),))/VLOOKUP(EDATE(B101,-12),'Data Core CPI'!$A:$AX,MATCH($C$1,'Data Core CPI'!$A$1:$AX$1,),))</f>
        <v/>
      </c>
      <c r="D101" s="20">
        <f>(VLOOKUP(B101,'Data Core CPI'!$A:$AX,MATCH($D$1,'Data Core CPI'!$A$1:$AX$1,),)-VLOOKUP(EDATE(B101,-12),'Data Core CPI'!$A:$AX,MATCH($D$1,'Data Core CPI'!$A$1:$AX$1,),))/VLOOKUP(EDATE(B101,-12),'Data Core CPI'!$A:$AX,MATCH($D$1,'Data Core CPI'!$A$1:$AX$1,),)</f>
        <v/>
      </c>
      <c r="E101" s="20">
        <f>IF(VLOOKUP(B101,'Data Core CPI'!$A:$AX,MATCH($E$1,'Data Core CPI'!$A$1:$AX$1,),)=0,#N/A,(VLOOKUP(B101,'Data Core CPI'!$A:$AX,MATCH($E$1,'Data Core CPI'!$A$1:$AX$1,),)-VLOOKUP(EDATE(B101,-12),'Data Core CPI'!$A:$AX,MATCH($E$1,'Data Core CPI'!$A$1:$AX$1,),))/VLOOKUP(EDATE(B101,-12),'Data Core CPI'!$A:$AX,MATCH($E$1,'Data Core CPI'!$A$1:$AX$1,),))</f>
        <v/>
      </c>
      <c r="F101" s="20">
        <f>IF(VLOOKUP(B101,'Data Core CPI'!$A:$AX,MATCH($F$1,'Data Core CPI'!$A$1:$AX$1,),)=0,#N/A,(VLOOKUP(B101,'Data Core CPI'!$A:$AX,MATCH($F$1,'Data Core CPI'!$A$1:$AX$1,),)-VLOOKUP(EDATE(B101,-12),'Data Core CPI'!$A:$AX,MATCH($F$1,'Data Core CPI'!$A$1:$AX$1,),))/VLOOKUP(EDATE(B101,-12),'Data Core CPI'!$A:$AX,MATCH($F$1,'Data Core CPI'!$A$1:$AX$1,),))</f>
        <v/>
      </c>
      <c r="G101" s="20">
        <f>IF(VLOOKUP(B101,'Data Core CPI'!$A:$AX,MATCH($G$1,'Data Core CPI'!$A$1:$AX$1,),)=0,#N/A,(VLOOKUP(B101,'Data Core CPI'!$A:$AX,MATCH($G$1,'Data Core CPI'!$A$1:$AX$1,),)-VLOOKUP(EDATE(B101,-12),'Data Core CPI'!$A:$AX,MATCH($G$1,'Data Core CPI'!$A$1:$AX$1,),))/VLOOKUP(EDATE(B101,-12),'Data Core CPI'!$A:$AX,MATCH($G$1,'Data Core CPI'!$A$1:$AX$1,),))</f>
        <v/>
      </c>
      <c r="H101" s="20">
        <f>IF(VLOOKUP(B101,'Data Core CPI'!$A:$AX,MATCH($H$1,'Data Core CPI'!$A$1:$AX$1,),)=0,#N/A,(VLOOKUP(B101,'Data Core CPI'!$A:$AX,MATCH($H$1,'Data Core CPI'!$A$1:$AX$1,),)-VLOOKUP(EDATE(B101,-12),'Data Core CPI'!$A:$AX,MATCH($H$1,'Data Core CPI'!$A$1:$AX$1,),))/VLOOKUP(EDATE(B101,-12),'Data Core CPI'!$A:$AX,MATCH($H$1,'Data Core CPI'!$A$1:$AX$1,),))</f>
        <v/>
      </c>
      <c r="I101" s="20">
        <f>IF(VLOOKUP(B101,'Data Core CPI'!$A:$AX,MATCH($I$1,'Data Core CPI'!$A$1:$AX$1,),)=0,#N/A,(VLOOKUP(B101,'Data Core CPI'!$A:$AX,MATCH($I$1,'Data Core CPI'!$A$1:$AX$1,),)-VLOOKUP(EDATE(B101,-12),'Data Core CPI'!$A:$AX,MATCH($I$1,'Data Core CPI'!$A$1:$AX$1,),))/VLOOKUP(EDATE(B101,-12),'Data Core CPI'!$A:$AX,MATCH($I$1,'Data Core CPI'!$A$1:$AX$1,),))</f>
        <v/>
      </c>
      <c r="J101" s="20">
        <f>IF(VLOOKUP(B101,'Data Core CPI'!$A:$AX,MATCH($J$1,'Data Core CPI'!$A$1:$AX$1,),)=0,#N/A,(VLOOKUP(B101,'Data Core CPI'!$A:$AX,MATCH($J$1,'Data Core CPI'!$A$1:$AX$1,),)-VLOOKUP(EDATE(B101,-12),'Data Core CPI'!$A:$AX,MATCH($J$1,'Data Core CPI'!$A$1:$AX$1,),))/VLOOKUP(EDATE(B101,-12),'Data Core CPI'!$A:$AX,MATCH($J$1,'Data Core CPI'!$A$1:$AX$1,),))</f>
        <v/>
      </c>
      <c r="K101" s="20">
        <f>IF(VLOOKUP(B101,'Data Core CPI'!$A:$AX,MATCH($K$1,'Data Core CPI'!$A$1:$AX$1,),)=0,#N/A,(VLOOKUP(B101,'Data Core CPI'!$A:$AX,MATCH($K$1,'Data Core CPI'!$A$1:$AX$1,),)-VLOOKUP(EDATE(B101,-12),'Data Core CPI'!$A:$AX,MATCH($K$1,'Data Core CPI'!$A$1:$AX$1,),))/VLOOKUP(EDATE(B101,-12),'Data Core CPI'!$A:$AX,MATCH($K$1,'Data Core CPI'!$A$1:$AX$1,),))</f>
        <v/>
      </c>
      <c r="L101" s="20">
        <f>IF(VLOOKUP(B101,'Data Core CPI'!$A:$AX,MATCH($L$1,'Data Core CPI'!$A$1:$AX$1,),)=0,#N/A,(VLOOKUP(B101,'Data Core CPI'!$A:$AX,MATCH($L$1,'Data Core CPI'!$A$1:$AX$1,),)-VLOOKUP(EDATE(B101,-12),'Data Core CPI'!$A:$AX,MATCH($L$1,'Data Core CPI'!$A$1:$AX$1,),))/VLOOKUP(EDATE(B101,-12),'Data Core CPI'!$A:$AX,MATCH($L$1,'Data Core CPI'!$A$1:$AX$1,),))</f>
        <v/>
      </c>
      <c r="M101" s="20">
        <f>IF(VLOOKUP(B101,'Data Core CPI'!$A:$AX,MATCH($M$1,'Data Core CPI'!$A$1:$AX$1,),)=0,#N/A,(VLOOKUP(B101,'Data Core CPI'!$A:$AX,MATCH($M$1,'Data Core CPI'!$A$1:$AX$1,),)-VLOOKUP(EDATE(B101,-12),'Data Core CPI'!$A:$AX,MATCH($M$1,'Data Core CPI'!$A$1:$AX$1,),))/VLOOKUP(EDATE(B101,-12),'Data Core CPI'!$A:$AX,MATCH($M$1,'Data Core CPI'!$A$1:$AX$1,),))</f>
        <v/>
      </c>
      <c r="N101" s="20">
        <f>(VLOOKUP(B101,'Data Core CPI'!$A:$AX,MATCH($N$1,'Data Core CPI'!$A$1:$AX$1,),)-VLOOKUP(EDATE(B101,-12),'Data Core CPI'!$A:$AX,MATCH($N$1,'Data Core CPI'!$A$1:$AX$1,),))/VLOOKUP(EDATE(B101,-12),'Data Core CPI'!$A:$AX,MATCH($N$1,'Data Core CPI'!$A$1:$AX$1,),)</f>
        <v/>
      </c>
      <c r="O101" s="20">
        <f>(VLOOKUP(B101,'Data Core CPI'!$A:$AX,MATCH($O$1,'Data Core CPI'!$A$1:$AX$1,),)-VLOOKUP(EDATE(B101,-12),'Data Core CPI'!$A:$AX,MATCH($O$1,'Data Core CPI'!$A$1:$AX$1,),))/VLOOKUP(EDATE(B101,-12),'Data Core CPI'!$A:$AX,MATCH($O$1,'Data Core CPI'!$A$1:$AX$1,),)</f>
        <v/>
      </c>
      <c r="P101" s="20">
        <f>IF(VLOOKUP(B101,'Data Core CPI'!$A:$AX,MATCH($P$1,'Data Core CPI'!$A$1:$AX$1,),)=0,#N/A,(VLOOKUP(B101,'Data Core CPI'!$A:$AX,MATCH($P$1,'Data Core CPI'!$A$1:$AX$1,),)-VLOOKUP(EDATE(B101,-12),'Data Core CPI'!$A:$AX,MATCH($P$1,'Data Core CPI'!$A$1:$AX$1,),))/VLOOKUP(EDATE(B101,-12),'Data Core CPI'!$A:$AX,MATCH($P$1,'Data Core CPI'!$A$1:$AX$1,),))</f>
        <v/>
      </c>
      <c r="Q101" s="20">
        <f>(VLOOKUP(B101,'Data Core CPI'!$A:$AX,MATCH($Q$1,'Data Core CPI'!$A$1:$AX$1,),)-VLOOKUP(EDATE(B101,-12),'Data Core CPI'!$A:$AX,MATCH($Q$1,'Data Core CPI'!$A$1:$AX$1,),))/VLOOKUP(EDATE(B101,-12),'Data Core CPI'!$A:$AX,MATCH($Q$1,'Data Core CPI'!$A$1:$AX$1,),)</f>
        <v/>
      </c>
      <c r="R101" s="20">
        <f>IF(VLOOKUP(B101,'Data Core CPI'!$A:$AX,MATCH($R$1,'Data Core CPI'!$A$1:$AX$1,),)=0,#N/A,(VLOOKUP(B101,'Data Core CPI'!$A:$AX,MATCH($R$1,'Data Core CPI'!$A$1:$AX$1,),)-VLOOKUP(EDATE(B101,-12),'Data Core CPI'!$A:$AX,MATCH($R$1,'Data Core CPI'!$A$1:$AX$1,),))/VLOOKUP(EDATE(B101,-12),'Data Core CPI'!$A:$AX,MATCH($R$1,'Data Core CPI'!$A$1:$AX$1,),))</f>
        <v/>
      </c>
      <c r="S101" s="20">
        <f>(VLOOKUP(B101,'Data Core CPI'!$A:$AX,MATCH($S$1,'Data Core CPI'!$A$1:$AX$1,),)-VLOOKUP(EDATE(B101,-12),'Data Core CPI'!$A:$AX,MATCH($S$1,'Data Core CPI'!$A$1:$AX$1,),))/VLOOKUP(EDATE(B101,-12),'Data Core CPI'!$A:$AX,MATCH($S$1,'Data Core CPI'!$A$1:$AX$1,),)</f>
        <v/>
      </c>
      <c r="T101" s="20">
        <f>(VLOOKUP(B101,'Data Core CPI'!$A:$AX,MATCH($T$1,'Data Core CPI'!$A$1:$AX$1,),)-VLOOKUP(EDATE(B101,-12),'Data Core CPI'!$A:$AX,MATCH($T$1,'Data Core CPI'!$A$1:$AX$1,),))/VLOOKUP(EDATE(B101,-12),'Data Core CPI'!$A:$AX,MATCH($T$1,'Data Core CPI'!$A$1:$AX$1,),)</f>
        <v/>
      </c>
      <c r="U101" s="20">
        <f>IF(VLOOKUP(B101,'Data Core CPI'!$A:$AX,MATCH($U$1,'Data Core CPI'!$A$1:$AX$1,),)=0,#N/A,(VLOOKUP(B101,'Data Core CPI'!$A:$AX,MATCH($U$1,'Data Core CPI'!$A$1:$AX$1,),)-VLOOKUP(EDATE(B101,-12),'Data Core CPI'!$A:$AX,MATCH($U$1,'Data Core CPI'!$A$1:$AX$1,),))/VLOOKUP(EDATE(B101,-12),'Data Core CPI'!$A:$AX,MATCH($U$1,'Data Core CPI'!$A$1:$AX$1,),))</f>
        <v/>
      </c>
      <c r="V101" s="20">
        <f>(VLOOKUP(B101,'Data Core CPI'!$A:$AX,MATCH($V$1,'Data Core CPI'!$A$1:$AX$1,),)-VLOOKUP(EDATE(B101,-12),'Data Core CPI'!$A:$AX,MATCH($V$1,'Data Core CPI'!$A$1:$AX$1,),))/VLOOKUP(EDATE(B101,-12),'Data Core CPI'!$A:$AX,MATCH($V$1,'Data Core CPI'!$A$1:$AX$1,),)</f>
        <v/>
      </c>
      <c r="W101" s="20">
        <f>IF(VLOOKUP(B101,'Data Core CPI'!$A:$AX,MATCH($W$1,'Data Core CPI'!$A$1:$AX$1,),)=0,#N/A,(VLOOKUP(B101,'Data Core CPI'!$A:$AX,MATCH($W$1,'Data Core CPI'!$A$1:$AX$1,),)-VLOOKUP(EDATE(B101,-12),'Data Core CPI'!$A:$AX,MATCH($W$1,'Data Core CPI'!$A$1:$AX$1,),))/VLOOKUP(EDATE(B101,-12),'Data Core CPI'!$A:$AX,MATCH($W$1,'Data Core CPI'!$A$1:$AX$1,),))</f>
        <v/>
      </c>
      <c r="X101" s="20">
        <f>IF(VLOOKUP(B101,'Data Core CPI'!$A:$AX,MATCH($X$1,'Data Core CPI'!$A$1:$AX$1,),)=0,#N/A,(VLOOKUP(B101,'Data Core CPI'!$A:$AX,MATCH($X$1,'Data Core CPI'!$A$1:$AX$1,),)-VLOOKUP(EDATE(B101,-12),'Data Core CPI'!$A:$AX,MATCH($X$1,'Data Core CPI'!$A$1:$AX$1,),))/VLOOKUP(EDATE(B101,-12),'Data Core CPI'!$A:$AX,MATCH($X$1,'Data Core CPI'!$A$1:$AX$1,),))</f>
        <v/>
      </c>
      <c r="Y101" s="20">
        <f>IF(VLOOKUP(B101,'Data Core CPI'!$A:$AX,MATCH($Y$1,'Data Core CPI'!$A$1:$AX$1,),)=0,#N/A,(VLOOKUP(B101,'Data Core CPI'!$A:$AX,MATCH($Y$1,'Data Core CPI'!$A$1:$AX$1,),)-VLOOKUP(EDATE(B101,-12),'Data Core CPI'!$A:$AX,MATCH($Y$1,'Data Core CPI'!$A$1:$AX$1,),))/VLOOKUP(EDATE(B101,-12),'Data Core CPI'!$A:$AX,MATCH($Y$1,'Data Core CPI'!$A$1:$AX$1,),))</f>
        <v/>
      </c>
      <c r="Z101" s="20">
        <f>(VLOOKUP(B101,Data!$A:$AX,MATCH($Z$1,Data!$A$1:$AX$1,),)-VLOOKUP(EDATE(B101,-12),Data!$A:$AX,MATCH($Z$1,Data!$A$1:$AX$1,),))/VLOOKUP(EDATE(B101,-12),Data!$A:$AX,MATCH($Z$1,Data!$A$1:$AX$1,),)</f>
        <v/>
      </c>
      <c r="AA101" s="20">
        <f>(VLOOKUP(B101,Data!$A:$AX,MATCH($AA$1,Data!$A$1:$AX$1,),)-VLOOKUP(EDATE(B101,-12),Data!$A:$AX,MATCH($AA$1,Data!$A$1:$AX$1,),))/VLOOKUP(EDATE(B101,-12),Data!$A:$AX,MATCH($AA$1,Data!$A$1:$AX$1,),)</f>
        <v/>
      </c>
    </row>
    <row r="102" customFormat="1" s="78">
      <c r="B102" s="15" t="n">
        <v>43313</v>
      </c>
      <c r="C102" s="20">
        <f>IF(VLOOKUP(B102,'Data Core CPI'!$A:$AX,MATCH($C$1,'Data Core CPI'!$A$1:$AX$1,),)=0,#N/A,(VLOOKUP(B102,'Data Core CPI'!$A:$AX,MATCH($C$1,'Data Core CPI'!$A$1:$AX$1,),)-VLOOKUP(EDATE(B102,-12),'Data Core CPI'!$A:$AX,MATCH($C$1,'Data Core CPI'!$A$1:$AX$1,),))/VLOOKUP(EDATE(B102,-12),'Data Core CPI'!$A:$AX,MATCH($C$1,'Data Core CPI'!$A$1:$AX$1,),))</f>
        <v/>
      </c>
      <c r="D102" s="20">
        <f>(VLOOKUP(B102,'Data Core CPI'!$A:$AX,MATCH($D$1,'Data Core CPI'!$A$1:$AX$1,),)-VLOOKUP(EDATE(B102,-12),'Data Core CPI'!$A:$AX,MATCH($D$1,'Data Core CPI'!$A$1:$AX$1,),))/VLOOKUP(EDATE(B102,-12),'Data Core CPI'!$A:$AX,MATCH($D$1,'Data Core CPI'!$A$1:$AX$1,),)</f>
        <v/>
      </c>
      <c r="E102" s="20">
        <f>IF(VLOOKUP(B102,'Data Core CPI'!$A:$AX,MATCH($E$1,'Data Core CPI'!$A$1:$AX$1,),)=0,#N/A,(VLOOKUP(B102,'Data Core CPI'!$A:$AX,MATCH($E$1,'Data Core CPI'!$A$1:$AX$1,),)-VLOOKUP(EDATE(B102,-12),'Data Core CPI'!$A:$AX,MATCH($E$1,'Data Core CPI'!$A$1:$AX$1,),))/VLOOKUP(EDATE(B102,-12),'Data Core CPI'!$A:$AX,MATCH($E$1,'Data Core CPI'!$A$1:$AX$1,),))</f>
        <v/>
      </c>
      <c r="F102" s="20">
        <f>IF(VLOOKUP(B102,'Data Core CPI'!$A:$AX,MATCH($F$1,'Data Core CPI'!$A$1:$AX$1,),)=0,#N/A,(VLOOKUP(B102,'Data Core CPI'!$A:$AX,MATCH($F$1,'Data Core CPI'!$A$1:$AX$1,),)-VLOOKUP(EDATE(B102,-12),'Data Core CPI'!$A:$AX,MATCH($F$1,'Data Core CPI'!$A$1:$AX$1,),))/VLOOKUP(EDATE(B102,-12),'Data Core CPI'!$A:$AX,MATCH($F$1,'Data Core CPI'!$A$1:$AX$1,),))</f>
        <v/>
      </c>
      <c r="G102" s="20">
        <f>IF(VLOOKUP(B102,'Data Core CPI'!$A:$AX,MATCH($G$1,'Data Core CPI'!$A$1:$AX$1,),)=0,#N/A,(VLOOKUP(B102,'Data Core CPI'!$A:$AX,MATCH($G$1,'Data Core CPI'!$A$1:$AX$1,),)-VLOOKUP(EDATE(B102,-12),'Data Core CPI'!$A:$AX,MATCH($G$1,'Data Core CPI'!$A$1:$AX$1,),))/VLOOKUP(EDATE(B102,-12),'Data Core CPI'!$A:$AX,MATCH($G$1,'Data Core CPI'!$A$1:$AX$1,),))</f>
        <v/>
      </c>
      <c r="H102" s="20">
        <f>IF(VLOOKUP(B102,'Data Core CPI'!$A:$AX,MATCH($H$1,'Data Core CPI'!$A$1:$AX$1,),)=0,#N/A,(VLOOKUP(B102,'Data Core CPI'!$A:$AX,MATCH($H$1,'Data Core CPI'!$A$1:$AX$1,),)-VLOOKUP(EDATE(B102,-12),'Data Core CPI'!$A:$AX,MATCH($H$1,'Data Core CPI'!$A$1:$AX$1,),))/VLOOKUP(EDATE(B102,-12),'Data Core CPI'!$A:$AX,MATCH($H$1,'Data Core CPI'!$A$1:$AX$1,),))</f>
        <v/>
      </c>
      <c r="I102" s="20">
        <f>IF(VLOOKUP(B102,'Data Core CPI'!$A:$AX,MATCH($I$1,'Data Core CPI'!$A$1:$AX$1,),)=0,#N/A,(VLOOKUP(B102,'Data Core CPI'!$A:$AX,MATCH($I$1,'Data Core CPI'!$A$1:$AX$1,),)-VLOOKUP(EDATE(B102,-12),'Data Core CPI'!$A:$AX,MATCH($I$1,'Data Core CPI'!$A$1:$AX$1,),))/VLOOKUP(EDATE(B102,-12),'Data Core CPI'!$A:$AX,MATCH($I$1,'Data Core CPI'!$A$1:$AX$1,),))</f>
        <v/>
      </c>
      <c r="J102" s="20">
        <f>IF(VLOOKUP(B102,'Data Core CPI'!$A:$AX,MATCH($J$1,'Data Core CPI'!$A$1:$AX$1,),)=0,#N/A,(VLOOKUP(B102,'Data Core CPI'!$A:$AX,MATCH($J$1,'Data Core CPI'!$A$1:$AX$1,),)-VLOOKUP(EDATE(B102,-12),'Data Core CPI'!$A:$AX,MATCH($J$1,'Data Core CPI'!$A$1:$AX$1,),))/VLOOKUP(EDATE(B102,-12),'Data Core CPI'!$A:$AX,MATCH($J$1,'Data Core CPI'!$A$1:$AX$1,),))</f>
        <v/>
      </c>
      <c r="K102" s="20">
        <f>IF(VLOOKUP(B102,'Data Core CPI'!$A:$AX,MATCH($K$1,'Data Core CPI'!$A$1:$AX$1,),)=0,#N/A,(VLOOKUP(B102,'Data Core CPI'!$A:$AX,MATCH($K$1,'Data Core CPI'!$A$1:$AX$1,),)-VLOOKUP(EDATE(B102,-12),'Data Core CPI'!$A:$AX,MATCH($K$1,'Data Core CPI'!$A$1:$AX$1,),))/VLOOKUP(EDATE(B102,-12),'Data Core CPI'!$A:$AX,MATCH($K$1,'Data Core CPI'!$A$1:$AX$1,),))</f>
        <v/>
      </c>
      <c r="L102" s="20">
        <f>IF(VLOOKUP(B102,'Data Core CPI'!$A:$AX,MATCH($L$1,'Data Core CPI'!$A$1:$AX$1,),)=0,#N/A,(VLOOKUP(B102,'Data Core CPI'!$A:$AX,MATCH($L$1,'Data Core CPI'!$A$1:$AX$1,),)-VLOOKUP(EDATE(B102,-12),'Data Core CPI'!$A:$AX,MATCH($L$1,'Data Core CPI'!$A$1:$AX$1,),))/VLOOKUP(EDATE(B102,-12),'Data Core CPI'!$A:$AX,MATCH($L$1,'Data Core CPI'!$A$1:$AX$1,),))</f>
        <v/>
      </c>
      <c r="M102" s="20">
        <f>IF(VLOOKUP(B102,'Data Core CPI'!$A:$AX,MATCH($M$1,'Data Core CPI'!$A$1:$AX$1,),)=0,#N/A,(VLOOKUP(B102,'Data Core CPI'!$A:$AX,MATCH($M$1,'Data Core CPI'!$A$1:$AX$1,),)-VLOOKUP(EDATE(B102,-12),'Data Core CPI'!$A:$AX,MATCH($M$1,'Data Core CPI'!$A$1:$AX$1,),))/VLOOKUP(EDATE(B102,-12),'Data Core CPI'!$A:$AX,MATCH($M$1,'Data Core CPI'!$A$1:$AX$1,),))</f>
        <v/>
      </c>
      <c r="N102" s="20">
        <f>(VLOOKUP(B102,'Data Core CPI'!$A:$AX,MATCH($N$1,'Data Core CPI'!$A$1:$AX$1,),)-VLOOKUP(EDATE(B102,-12),'Data Core CPI'!$A:$AX,MATCH($N$1,'Data Core CPI'!$A$1:$AX$1,),))/VLOOKUP(EDATE(B102,-12),'Data Core CPI'!$A:$AX,MATCH($N$1,'Data Core CPI'!$A$1:$AX$1,),)</f>
        <v/>
      </c>
      <c r="O102" s="20">
        <f>(VLOOKUP(B102,'Data Core CPI'!$A:$AX,MATCH($O$1,'Data Core CPI'!$A$1:$AX$1,),)-VLOOKUP(EDATE(B102,-12),'Data Core CPI'!$A:$AX,MATCH($O$1,'Data Core CPI'!$A$1:$AX$1,),))/VLOOKUP(EDATE(B102,-12),'Data Core CPI'!$A:$AX,MATCH($O$1,'Data Core CPI'!$A$1:$AX$1,),)</f>
        <v/>
      </c>
      <c r="P102" s="20">
        <f>IF(VLOOKUP(B102,'Data Core CPI'!$A:$AX,MATCH($P$1,'Data Core CPI'!$A$1:$AX$1,),)=0,#N/A,(VLOOKUP(B102,'Data Core CPI'!$A:$AX,MATCH($P$1,'Data Core CPI'!$A$1:$AX$1,),)-VLOOKUP(EDATE(B102,-12),'Data Core CPI'!$A:$AX,MATCH($P$1,'Data Core CPI'!$A$1:$AX$1,),))/VLOOKUP(EDATE(B102,-12),'Data Core CPI'!$A:$AX,MATCH($P$1,'Data Core CPI'!$A$1:$AX$1,),))</f>
        <v/>
      </c>
      <c r="Q102" s="20">
        <f>(VLOOKUP(B102,'Data Core CPI'!$A:$AX,MATCH($Q$1,'Data Core CPI'!$A$1:$AX$1,),)-VLOOKUP(EDATE(B102,-12),'Data Core CPI'!$A:$AX,MATCH($Q$1,'Data Core CPI'!$A$1:$AX$1,),))/VLOOKUP(EDATE(B102,-12),'Data Core CPI'!$A:$AX,MATCH($Q$1,'Data Core CPI'!$A$1:$AX$1,),)</f>
        <v/>
      </c>
      <c r="R102" s="20">
        <f>IF(VLOOKUP(B102,'Data Core CPI'!$A:$AX,MATCH($R$1,'Data Core CPI'!$A$1:$AX$1,),)=0,#N/A,(VLOOKUP(B102,'Data Core CPI'!$A:$AX,MATCH($R$1,'Data Core CPI'!$A$1:$AX$1,),)-VLOOKUP(EDATE(B102,-12),'Data Core CPI'!$A:$AX,MATCH($R$1,'Data Core CPI'!$A$1:$AX$1,),))/VLOOKUP(EDATE(B102,-12),'Data Core CPI'!$A:$AX,MATCH($R$1,'Data Core CPI'!$A$1:$AX$1,),))</f>
        <v/>
      </c>
      <c r="S102" s="20">
        <f>(VLOOKUP(B102,'Data Core CPI'!$A:$AX,MATCH($S$1,'Data Core CPI'!$A$1:$AX$1,),)-VLOOKUP(EDATE(B102,-12),'Data Core CPI'!$A:$AX,MATCH($S$1,'Data Core CPI'!$A$1:$AX$1,),))/VLOOKUP(EDATE(B102,-12),'Data Core CPI'!$A:$AX,MATCH($S$1,'Data Core CPI'!$A$1:$AX$1,),)</f>
        <v/>
      </c>
      <c r="T102" s="20">
        <f>(VLOOKUP(B102,'Data Core CPI'!$A:$AX,MATCH($T$1,'Data Core CPI'!$A$1:$AX$1,),)-VLOOKUP(EDATE(B102,-12),'Data Core CPI'!$A:$AX,MATCH($T$1,'Data Core CPI'!$A$1:$AX$1,),))/VLOOKUP(EDATE(B102,-12),'Data Core CPI'!$A:$AX,MATCH($T$1,'Data Core CPI'!$A$1:$AX$1,),)</f>
        <v/>
      </c>
      <c r="U102" s="20">
        <f>IF(VLOOKUP(B102,'Data Core CPI'!$A:$AX,MATCH($U$1,'Data Core CPI'!$A$1:$AX$1,),)=0,#N/A,(VLOOKUP(B102,'Data Core CPI'!$A:$AX,MATCH($U$1,'Data Core CPI'!$A$1:$AX$1,),)-VLOOKUP(EDATE(B102,-12),'Data Core CPI'!$A:$AX,MATCH($U$1,'Data Core CPI'!$A$1:$AX$1,),))/VLOOKUP(EDATE(B102,-12),'Data Core CPI'!$A:$AX,MATCH($U$1,'Data Core CPI'!$A$1:$AX$1,),))</f>
        <v/>
      </c>
      <c r="V102" s="20">
        <f>(VLOOKUP(B102,'Data Core CPI'!$A:$AX,MATCH($V$1,'Data Core CPI'!$A$1:$AX$1,),)-VLOOKUP(EDATE(B102,-12),'Data Core CPI'!$A:$AX,MATCH($V$1,'Data Core CPI'!$A$1:$AX$1,),))/VLOOKUP(EDATE(B102,-12),'Data Core CPI'!$A:$AX,MATCH($V$1,'Data Core CPI'!$A$1:$AX$1,),)</f>
        <v/>
      </c>
      <c r="W102" s="20">
        <f>IF(VLOOKUP(B102,'Data Core CPI'!$A:$AX,MATCH($W$1,'Data Core CPI'!$A$1:$AX$1,),)=0,#N/A,(VLOOKUP(B102,'Data Core CPI'!$A:$AX,MATCH($W$1,'Data Core CPI'!$A$1:$AX$1,),)-VLOOKUP(EDATE(B102,-12),'Data Core CPI'!$A:$AX,MATCH($W$1,'Data Core CPI'!$A$1:$AX$1,),))/VLOOKUP(EDATE(B102,-12),'Data Core CPI'!$A:$AX,MATCH($W$1,'Data Core CPI'!$A$1:$AX$1,),))</f>
        <v/>
      </c>
      <c r="X102" s="20">
        <f>IF(VLOOKUP(B102,'Data Core CPI'!$A:$AX,MATCH($X$1,'Data Core CPI'!$A$1:$AX$1,),)=0,#N/A,(VLOOKUP(B102,'Data Core CPI'!$A:$AX,MATCH($X$1,'Data Core CPI'!$A$1:$AX$1,),)-VLOOKUP(EDATE(B102,-12),'Data Core CPI'!$A:$AX,MATCH($X$1,'Data Core CPI'!$A$1:$AX$1,),))/VLOOKUP(EDATE(B102,-12),'Data Core CPI'!$A:$AX,MATCH($X$1,'Data Core CPI'!$A$1:$AX$1,),))</f>
        <v/>
      </c>
      <c r="Y102" s="20">
        <f>IF(VLOOKUP(B102,'Data Core CPI'!$A:$AX,MATCH($Y$1,'Data Core CPI'!$A$1:$AX$1,),)=0,#N/A,(VLOOKUP(B102,'Data Core CPI'!$A:$AX,MATCH($Y$1,'Data Core CPI'!$A$1:$AX$1,),)-VLOOKUP(EDATE(B102,-12),'Data Core CPI'!$A:$AX,MATCH($Y$1,'Data Core CPI'!$A$1:$AX$1,),))/VLOOKUP(EDATE(B102,-12),'Data Core CPI'!$A:$AX,MATCH($Y$1,'Data Core CPI'!$A$1:$AX$1,),))</f>
        <v/>
      </c>
      <c r="Z102" s="20">
        <f>(VLOOKUP(B102,Data!$A:$AX,MATCH($Z$1,Data!$A$1:$AX$1,),)-VLOOKUP(EDATE(B102,-12),Data!$A:$AX,MATCH($Z$1,Data!$A$1:$AX$1,),))/VLOOKUP(EDATE(B102,-12),Data!$A:$AX,MATCH($Z$1,Data!$A$1:$AX$1,),)</f>
        <v/>
      </c>
      <c r="AA102" s="20">
        <f>(VLOOKUP(B102,Data!$A:$AX,MATCH($AA$1,Data!$A$1:$AX$1,),)-VLOOKUP(EDATE(B102,-12),Data!$A:$AX,MATCH($AA$1,Data!$A$1:$AX$1,),))/VLOOKUP(EDATE(B102,-12),Data!$A:$AX,MATCH($AA$1,Data!$A$1:$AX$1,),)</f>
        <v/>
      </c>
    </row>
    <row r="103" customFormat="1" s="78">
      <c r="B103" s="15" t="n">
        <v>43344</v>
      </c>
      <c r="C103" s="20">
        <f>IF(VLOOKUP(B103,'Data Core CPI'!$A:$AX,MATCH($C$1,'Data Core CPI'!$A$1:$AX$1,),)=0,#N/A,(VLOOKUP(B103,'Data Core CPI'!$A:$AX,MATCH($C$1,'Data Core CPI'!$A$1:$AX$1,),)-VLOOKUP(EDATE(B103,-12),'Data Core CPI'!$A:$AX,MATCH($C$1,'Data Core CPI'!$A$1:$AX$1,),))/VLOOKUP(EDATE(B103,-12),'Data Core CPI'!$A:$AX,MATCH($C$1,'Data Core CPI'!$A$1:$AX$1,),))</f>
        <v/>
      </c>
      <c r="D103" s="20">
        <f>(VLOOKUP(B103,'Data Core CPI'!$A:$AX,MATCH($D$1,'Data Core CPI'!$A$1:$AX$1,),)-VLOOKUP(EDATE(B103,-12),'Data Core CPI'!$A:$AX,MATCH($D$1,'Data Core CPI'!$A$1:$AX$1,),))/VLOOKUP(EDATE(B103,-12),'Data Core CPI'!$A:$AX,MATCH($D$1,'Data Core CPI'!$A$1:$AX$1,),)</f>
        <v/>
      </c>
      <c r="E103" s="20">
        <f>IF(VLOOKUP(B103,'Data Core CPI'!$A:$AX,MATCH($E$1,'Data Core CPI'!$A$1:$AX$1,),)=0,#N/A,(VLOOKUP(B103,'Data Core CPI'!$A:$AX,MATCH($E$1,'Data Core CPI'!$A$1:$AX$1,),)-VLOOKUP(EDATE(B103,-12),'Data Core CPI'!$A:$AX,MATCH($E$1,'Data Core CPI'!$A$1:$AX$1,),))/VLOOKUP(EDATE(B103,-12),'Data Core CPI'!$A:$AX,MATCH($E$1,'Data Core CPI'!$A$1:$AX$1,),))</f>
        <v/>
      </c>
      <c r="F103" s="20">
        <f>IF(VLOOKUP(B103,'Data Core CPI'!$A:$AX,MATCH($F$1,'Data Core CPI'!$A$1:$AX$1,),)=0,#N/A,(VLOOKUP(B103,'Data Core CPI'!$A:$AX,MATCH($F$1,'Data Core CPI'!$A$1:$AX$1,),)-VLOOKUP(EDATE(B103,-12),'Data Core CPI'!$A:$AX,MATCH($F$1,'Data Core CPI'!$A$1:$AX$1,),))/VLOOKUP(EDATE(B103,-12),'Data Core CPI'!$A:$AX,MATCH($F$1,'Data Core CPI'!$A$1:$AX$1,),))</f>
        <v/>
      </c>
      <c r="G103" s="20">
        <f>IF(VLOOKUP(B103,'Data Core CPI'!$A:$AX,MATCH($G$1,'Data Core CPI'!$A$1:$AX$1,),)=0,#N/A,(VLOOKUP(B103,'Data Core CPI'!$A:$AX,MATCH($G$1,'Data Core CPI'!$A$1:$AX$1,),)-VLOOKUP(EDATE(B103,-12),'Data Core CPI'!$A:$AX,MATCH($G$1,'Data Core CPI'!$A$1:$AX$1,),))/VLOOKUP(EDATE(B103,-12),'Data Core CPI'!$A:$AX,MATCH($G$1,'Data Core CPI'!$A$1:$AX$1,),))</f>
        <v/>
      </c>
      <c r="H103" s="20">
        <f>IF(VLOOKUP(B103,'Data Core CPI'!$A:$AX,MATCH($H$1,'Data Core CPI'!$A$1:$AX$1,),)=0,#N/A,(VLOOKUP(B103,'Data Core CPI'!$A:$AX,MATCH($H$1,'Data Core CPI'!$A$1:$AX$1,),)-VLOOKUP(EDATE(B103,-12),'Data Core CPI'!$A:$AX,MATCH($H$1,'Data Core CPI'!$A$1:$AX$1,),))/VLOOKUP(EDATE(B103,-12),'Data Core CPI'!$A:$AX,MATCH($H$1,'Data Core CPI'!$A$1:$AX$1,),))</f>
        <v/>
      </c>
      <c r="I103" s="20">
        <f>IF(VLOOKUP(B103,'Data Core CPI'!$A:$AX,MATCH($I$1,'Data Core CPI'!$A$1:$AX$1,),)=0,#N/A,(VLOOKUP(B103,'Data Core CPI'!$A:$AX,MATCH($I$1,'Data Core CPI'!$A$1:$AX$1,),)-VLOOKUP(EDATE(B103,-12),'Data Core CPI'!$A:$AX,MATCH($I$1,'Data Core CPI'!$A$1:$AX$1,),))/VLOOKUP(EDATE(B103,-12),'Data Core CPI'!$A:$AX,MATCH($I$1,'Data Core CPI'!$A$1:$AX$1,),))</f>
        <v/>
      </c>
      <c r="J103" s="20">
        <f>IF(VLOOKUP(B103,'Data Core CPI'!$A:$AX,MATCH($J$1,'Data Core CPI'!$A$1:$AX$1,),)=0,#N/A,(VLOOKUP(B103,'Data Core CPI'!$A:$AX,MATCH($J$1,'Data Core CPI'!$A$1:$AX$1,),)-VLOOKUP(EDATE(B103,-12),'Data Core CPI'!$A:$AX,MATCH($J$1,'Data Core CPI'!$A$1:$AX$1,),))/VLOOKUP(EDATE(B103,-12),'Data Core CPI'!$A:$AX,MATCH($J$1,'Data Core CPI'!$A$1:$AX$1,),))</f>
        <v/>
      </c>
      <c r="K103" s="20">
        <f>IF(VLOOKUP(B103,'Data Core CPI'!$A:$AX,MATCH($K$1,'Data Core CPI'!$A$1:$AX$1,),)=0,#N/A,(VLOOKUP(B103,'Data Core CPI'!$A:$AX,MATCH($K$1,'Data Core CPI'!$A$1:$AX$1,),)-VLOOKUP(EDATE(B103,-12),'Data Core CPI'!$A:$AX,MATCH($K$1,'Data Core CPI'!$A$1:$AX$1,),))/VLOOKUP(EDATE(B103,-12),'Data Core CPI'!$A:$AX,MATCH($K$1,'Data Core CPI'!$A$1:$AX$1,),))</f>
        <v/>
      </c>
      <c r="L103" s="20">
        <f>IF(VLOOKUP(B103,'Data Core CPI'!$A:$AX,MATCH($L$1,'Data Core CPI'!$A$1:$AX$1,),)=0,#N/A,(VLOOKUP(B103,'Data Core CPI'!$A:$AX,MATCH($L$1,'Data Core CPI'!$A$1:$AX$1,),)-VLOOKUP(EDATE(B103,-12),'Data Core CPI'!$A:$AX,MATCH($L$1,'Data Core CPI'!$A$1:$AX$1,),))/VLOOKUP(EDATE(B103,-12),'Data Core CPI'!$A:$AX,MATCH($L$1,'Data Core CPI'!$A$1:$AX$1,),))</f>
        <v/>
      </c>
      <c r="M103" s="20">
        <f>IF(VLOOKUP(B103,'Data Core CPI'!$A:$AX,MATCH($M$1,'Data Core CPI'!$A$1:$AX$1,),)=0,#N/A,(VLOOKUP(B103,'Data Core CPI'!$A:$AX,MATCH($M$1,'Data Core CPI'!$A$1:$AX$1,),)-VLOOKUP(EDATE(B103,-12),'Data Core CPI'!$A:$AX,MATCH($M$1,'Data Core CPI'!$A$1:$AX$1,),))/VLOOKUP(EDATE(B103,-12),'Data Core CPI'!$A:$AX,MATCH($M$1,'Data Core CPI'!$A$1:$AX$1,),))</f>
        <v/>
      </c>
      <c r="N103" s="20">
        <f>(VLOOKUP(B103,'Data Core CPI'!$A:$AX,MATCH($N$1,'Data Core CPI'!$A$1:$AX$1,),)-VLOOKUP(EDATE(B103,-12),'Data Core CPI'!$A:$AX,MATCH($N$1,'Data Core CPI'!$A$1:$AX$1,),))/VLOOKUP(EDATE(B103,-12),'Data Core CPI'!$A:$AX,MATCH($N$1,'Data Core CPI'!$A$1:$AX$1,),)</f>
        <v/>
      </c>
      <c r="O103" s="20">
        <f>(VLOOKUP(B103,'Data Core CPI'!$A:$AX,MATCH($O$1,'Data Core CPI'!$A$1:$AX$1,),)-VLOOKUP(EDATE(B103,-12),'Data Core CPI'!$A:$AX,MATCH($O$1,'Data Core CPI'!$A$1:$AX$1,),))/VLOOKUP(EDATE(B103,-12),'Data Core CPI'!$A:$AX,MATCH($O$1,'Data Core CPI'!$A$1:$AX$1,),)</f>
        <v/>
      </c>
      <c r="P103" s="20">
        <f>IF(VLOOKUP(B103,'Data Core CPI'!$A:$AX,MATCH($P$1,'Data Core CPI'!$A$1:$AX$1,),)=0,#N/A,(VLOOKUP(B103,'Data Core CPI'!$A:$AX,MATCH($P$1,'Data Core CPI'!$A$1:$AX$1,),)-VLOOKUP(EDATE(B103,-12),'Data Core CPI'!$A:$AX,MATCH($P$1,'Data Core CPI'!$A$1:$AX$1,),))/VLOOKUP(EDATE(B103,-12),'Data Core CPI'!$A:$AX,MATCH($P$1,'Data Core CPI'!$A$1:$AX$1,),))</f>
        <v/>
      </c>
      <c r="Q103" s="20">
        <f>(VLOOKUP(B103,'Data Core CPI'!$A:$AX,MATCH($Q$1,'Data Core CPI'!$A$1:$AX$1,),)-VLOOKUP(EDATE(B103,-12),'Data Core CPI'!$A:$AX,MATCH($Q$1,'Data Core CPI'!$A$1:$AX$1,),))/VLOOKUP(EDATE(B103,-12),'Data Core CPI'!$A:$AX,MATCH($Q$1,'Data Core CPI'!$A$1:$AX$1,),)</f>
        <v/>
      </c>
      <c r="R103" s="20">
        <f>IF(VLOOKUP(B103,'Data Core CPI'!$A:$AX,MATCH($R$1,'Data Core CPI'!$A$1:$AX$1,),)=0,#N/A,(VLOOKUP(B103,'Data Core CPI'!$A:$AX,MATCH($R$1,'Data Core CPI'!$A$1:$AX$1,),)-VLOOKUP(EDATE(B103,-12),'Data Core CPI'!$A:$AX,MATCH($R$1,'Data Core CPI'!$A$1:$AX$1,),))/VLOOKUP(EDATE(B103,-12),'Data Core CPI'!$A:$AX,MATCH($R$1,'Data Core CPI'!$A$1:$AX$1,),))</f>
        <v/>
      </c>
      <c r="S103" s="20">
        <f>(VLOOKUP(B103,'Data Core CPI'!$A:$AX,MATCH($S$1,'Data Core CPI'!$A$1:$AX$1,),)-VLOOKUP(EDATE(B103,-12),'Data Core CPI'!$A:$AX,MATCH($S$1,'Data Core CPI'!$A$1:$AX$1,),))/VLOOKUP(EDATE(B103,-12),'Data Core CPI'!$A:$AX,MATCH($S$1,'Data Core CPI'!$A$1:$AX$1,),)</f>
        <v/>
      </c>
      <c r="T103" s="20">
        <f>(VLOOKUP(B103,'Data Core CPI'!$A:$AX,MATCH($T$1,'Data Core CPI'!$A$1:$AX$1,),)-VLOOKUP(EDATE(B103,-12),'Data Core CPI'!$A:$AX,MATCH($T$1,'Data Core CPI'!$A$1:$AX$1,),))/VLOOKUP(EDATE(B103,-12),'Data Core CPI'!$A:$AX,MATCH($T$1,'Data Core CPI'!$A$1:$AX$1,),)</f>
        <v/>
      </c>
      <c r="U103" s="20">
        <f>IF(VLOOKUP(B103,'Data Core CPI'!$A:$AX,MATCH($U$1,'Data Core CPI'!$A$1:$AX$1,),)=0,#N/A,(VLOOKUP(B103,'Data Core CPI'!$A:$AX,MATCH($U$1,'Data Core CPI'!$A$1:$AX$1,),)-VLOOKUP(EDATE(B103,-12),'Data Core CPI'!$A:$AX,MATCH($U$1,'Data Core CPI'!$A$1:$AX$1,),))/VLOOKUP(EDATE(B103,-12),'Data Core CPI'!$A:$AX,MATCH($U$1,'Data Core CPI'!$A$1:$AX$1,),))</f>
        <v/>
      </c>
      <c r="V103" s="20">
        <f>(VLOOKUP(B103,'Data Core CPI'!$A:$AX,MATCH($V$1,'Data Core CPI'!$A$1:$AX$1,),)-VLOOKUP(EDATE(B103,-12),'Data Core CPI'!$A:$AX,MATCH($V$1,'Data Core CPI'!$A$1:$AX$1,),))/VLOOKUP(EDATE(B103,-12),'Data Core CPI'!$A:$AX,MATCH($V$1,'Data Core CPI'!$A$1:$AX$1,),)</f>
        <v/>
      </c>
      <c r="W103" s="20">
        <f>IF(VLOOKUP(B103,'Data Core CPI'!$A:$AX,MATCH($W$1,'Data Core CPI'!$A$1:$AX$1,),)=0,#N/A,(VLOOKUP(B103,'Data Core CPI'!$A:$AX,MATCH($W$1,'Data Core CPI'!$A$1:$AX$1,),)-VLOOKUP(EDATE(B103,-12),'Data Core CPI'!$A:$AX,MATCH($W$1,'Data Core CPI'!$A$1:$AX$1,),))/VLOOKUP(EDATE(B103,-12),'Data Core CPI'!$A:$AX,MATCH($W$1,'Data Core CPI'!$A$1:$AX$1,),))</f>
        <v/>
      </c>
      <c r="X103" s="20">
        <f>IF(VLOOKUP(B103,'Data Core CPI'!$A:$AX,MATCH($X$1,'Data Core CPI'!$A$1:$AX$1,),)=0,#N/A,(VLOOKUP(B103,'Data Core CPI'!$A:$AX,MATCH($X$1,'Data Core CPI'!$A$1:$AX$1,),)-VLOOKUP(EDATE(B103,-12),'Data Core CPI'!$A:$AX,MATCH($X$1,'Data Core CPI'!$A$1:$AX$1,),))/VLOOKUP(EDATE(B103,-12),'Data Core CPI'!$A:$AX,MATCH($X$1,'Data Core CPI'!$A$1:$AX$1,),))</f>
        <v/>
      </c>
      <c r="Y103" s="20">
        <f>IF(VLOOKUP(B103,'Data Core CPI'!$A:$AX,MATCH($Y$1,'Data Core CPI'!$A$1:$AX$1,),)=0,#N/A,(VLOOKUP(B103,'Data Core CPI'!$A:$AX,MATCH($Y$1,'Data Core CPI'!$A$1:$AX$1,),)-VLOOKUP(EDATE(B103,-12),'Data Core CPI'!$A:$AX,MATCH($Y$1,'Data Core CPI'!$A$1:$AX$1,),))/VLOOKUP(EDATE(B103,-12),'Data Core CPI'!$A:$AX,MATCH($Y$1,'Data Core CPI'!$A$1:$AX$1,),))</f>
        <v/>
      </c>
      <c r="Z103" s="20">
        <f>(VLOOKUP(B103,Data!$A:$AX,MATCH($Z$1,Data!$A$1:$AX$1,),)-VLOOKUP(EDATE(B103,-12),Data!$A:$AX,MATCH($Z$1,Data!$A$1:$AX$1,),))/VLOOKUP(EDATE(B103,-12),Data!$A:$AX,MATCH($Z$1,Data!$A$1:$AX$1,),)</f>
        <v/>
      </c>
      <c r="AA103" s="20">
        <f>(VLOOKUP(B103,Data!$A:$AX,MATCH($AA$1,Data!$A$1:$AX$1,),)-VLOOKUP(EDATE(B103,-12),Data!$A:$AX,MATCH($AA$1,Data!$A$1:$AX$1,),))/VLOOKUP(EDATE(B103,-12),Data!$A:$AX,MATCH($AA$1,Data!$A$1:$AX$1,),)</f>
        <v/>
      </c>
    </row>
    <row r="104" customFormat="1" s="78">
      <c r="B104" s="15" t="n">
        <v>43374</v>
      </c>
      <c r="C104" s="20">
        <f>IF(VLOOKUP(B104,'Data Core CPI'!$A:$AX,MATCH($C$1,'Data Core CPI'!$A$1:$AX$1,),)=0,#N/A,(VLOOKUP(B104,'Data Core CPI'!$A:$AX,MATCH($C$1,'Data Core CPI'!$A$1:$AX$1,),)-VLOOKUP(EDATE(B104,-12),'Data Core CPI'!$A:$AX,MATCH($C$1,'Data Core CPI'!$A$1:$AX$1,),))/VLOOKUP(EDATE(B104,-12),'Data Core CPI'!$A:$AX,MATCH($C$1,'Data Core CPI'!$A$1:$AX$1,),))</f>
        <v/>
      </c>
      <c r="D104" s="20">
        <f>(VLOOKUP(B104,'Data Core CPI'!$A:$AX,MATCH($D$1,'Data Core CPI'!$A$1:$AX$1,),)-VLOOKUP(EDATE(B104,-12),'Data Core CPI'!$A:$AX,MATCH($D$1,'Data Core CPI'!$A$1:$AX$1,),))/VLOOKUP(EDATE(B104,-12),'Data Core CPI'!$A:$AX,MATCH($D$1,'Data Core CPI'!$A$1:$AX$1,),)</f>
        <v/>
      </c>
      <c r="E104" s="20">
        <f>IF(VLOOKUP(B104,'Data Core CPI'!$A:$AX,MATCH($E$1,'Data Core CPI'!$A$1:$AX$1,),)=0,#N/A,(VLOOKUP(B104,'Data Core CPI'!$A:$AX,MATCH($E$1,'Data Core CPI'!$A$1:$AX$1,),)-VLOOKUP(EDATE(B104,-12),'Data Core CPI'!$A:$AX,MATCH($E$1,'Data Core CPI'!$A$1:$AX$1,),))/VLOOKUP(EDATE(B104,-12),'Data Core CPI'!$A:$AX,MATCH($E$1,'Data Core CPI'!$A$1:$AX$1,),))</f>
        <v/>
      </c>
      <c r="F104" s="20">
        <f>IF(VLOOKUP(B104,'Data Core CPI'!$A:$AX,MATCH($F$1,'Data Core CPI'!$A$1:$AX$1,),)=0,#N/A,(VLOOKUP(B104,'Data Core CPI'!$A:$AX,MATCH($F$1,'Data Core CPI'!$A$1:$AX$1,),)-VLOOKUP(EDATE(B104,-12),'Data Core CPI'!$A:$AX,MATCH($F$1,'Data Core CPI'!$A$1:$AX$1,),))/VLOOKUP(EDATE(B104,-12),'Data Core CPI'!$A:$AX,MATCH($F$1,'Data Core CPI'!$A$1:$AX$1,),))</f>
        <v/>
      </c>
      <c r="G104" s="20">
        <f>IF(VLOOKUP(B104,'Data Core CPI'!$A:$AX,MATCH($G$1,'Data Core CPI'!$A$1:$AX$1,),)=0,#N/A,(VLOOKUP(B104,'Data Core CPI'!$A:$AX,MATCH($G$1,'Data Core CPI'!$A$1:$AX$1,),)-VLOOKUP(EDATE(B104,-12),'Data Core CPI'!$A:$AX,MATCH($G$1,'Data Core CPI'!$A$1:$AX$1,),))/VLOOKUP(EDATE(B104,-12),'Data Core CPI'!$A:$AX,MATCH($G$1,'Data Core CPI'!$A$1:$AX$1,),))</f>
        <v/>
      </c>
      <c r="H104" s="20">
        <f>IF(VLOOKUP(B104,'Data Core CPI'!$A:$AX,MATCH($H$1,'Data Core CPI'!$A$1:$AX$1,),)=0,#N/A,(VLOOKUP(B104,'Data Core CPI'!$A:$AX,MATCH($H$1,'Data Core CPI'!$A$1:$AX$1,),)-VLOOKUP(EDATE(B104,-12),'Data Core CPI'!$A:$AX,MATCH($H$1,'Data Core CPI'!$A$1:$AX$1,),))/VLOOKUP(EDATE(B104,-12),'Data Core CPI'!$A:$AX,MATCH($H$1,'Data Core CPI'!$A$1:$AX$1,),))</f>
        <v/>
      </c>
      <c r="I104" s="20">
        <f>IF(VLOOKUP(B104,'Data Core CPI'!$A:$AX,MATCH($I$1,'Data Core CPI'!$A$1:$AX$1,),)=0,#N/A,(VLOOKUP(B104,'Data Core CPI'!$A:$AX,MATCH($I$1,'Data Core CPI'!$A$1:$AX$1,),)-VLOOKUP(EDATE(B104,-12),'Data Core CPI'!$A:$AX,MATCH($I$1,'Data Core CPI'!$A$1:$AX$1,),))/VLOOKUP(EDATE(B104,-12),'Data Core CPI'!$A:$AX,MATCH($I$1,'Data Core CPI'!$A$1:$AX$1,),))</f>
        <v/>
      </c>
      <c r="J104" s="20">
        <f>IF(VLOOKUP(B104,'Data Core CPI'!$A:$AX,MATCH($J$1,'Data Core CPI'!$A$1:$AX$1,),)=0,#N/A,(VLOOKUP(B104,'Data Core CPI'!$A:$AX,MATCH($J$1,'Data Core CPI'!$A$1:$AX$1,),)-VLOOKUP(EDATE(B104,-12),'Data Core CPI'!$A:$AX,MATCH($J$1,'Data Core CPI'!$A$1:$AX$1,),))/VLOOKUP(EDATE(B104,-12),'Data Core CPI'!$A:$AX,MATCH($J$1,'Data Core CPI'!$A$1:$AX$1,),))</f>
        <v/>
      </c>
      <c r="K104" s="20">
        <f>IF(VLOOKUP(B104,'Data Core CPI'!$A:$AX,MATCH($K$1,'Data Core CPI'!$A$1:$AX$1,),)=0,#N/A,(VLOOKUP(B104,'Data Core CPI'!$A:$AX,MATCH($K$1,'Data Core CPI'!$A$1:$AX$1,),)-VLOOKUP(EDATE(B104,-12),'Data Core CPI'!$A:$AX,MATCH($K$1,'Data Core CPI'!$A$1:$AX$1,),))/VLOOKUP(EDATE(B104,-12),'Data Core CPI'!$A:$AX,MATCH($K$1,'Data Core CPI'!$A$1:$AX$1,),))</f>
        <v/>
      </c>
      <c r="L104" s="20">
        <f>IF(VLOOKUP(B104,'Data Core CPI'!$A:$AX,MATCH($L$1,'Data Core CPI'!$A$1:$AX$1,),)=0,#N/A,(VLOOKUP(B104,'Data Core CPI'!$A:$AX,MATCH($L$1,'Data Core CPI'!$A$1:$AX$1,),)-VLOOKUP(EDATE(B104,-12),'Data Core CPI'!$A:$AX,MATCH($L$1,'Data Core CPI'!$A$1:$AX$1,),))/VLOOKUP(EDATE(B104,-12),'Data Core CPI'!$A:$AX,MATCH($L$1,'Data Core CPI'!$A$1:$AX$1,),))</f>
        <v/>
      </c>
      <c r="M104" s="20">
        <f>IF(VLOOKUP(B104,'Data Core CPI'!$A:$AX,MATCH($M$1,'Data Core CPI'!$A$1:$AX$1,),)=0,#N/A,(VLOOKUP(B104,'Data Core CPI'!$A:$AX,MATCH($M$1,'Data Core CPI'!$A$1:$AX$1,),)-VLOOKUP(EDATE(B104,-12),'Data Core CPI'!$A:$AX,MATCH($M$1,'Data Core CPI'!$A$1:$AX$1,),))/VLOOKUP(EDATE(B104,-12),'Data Core CPI'!$A:$AX,MATCH($M$1,'Data Core CPI'!$A$1:$AX$1,),))</f>
        <v/>
      </c>
      <c r="N104" s="20">
        <f>(VLOOKUP(B104,'Data Core CPI'!$A:$AX,MATCH($N$1,'Data Core CPI'!$A$1:$AX$1,),)-VLOOKUP(EDATE(B104,-12),'Data Core CPI'!$A:$AX,MATCH($N$1,'Data Core CPI'!$A$1:$AX$1,),))/VLOOKUP(EDATE(B104,-12),'Data Core CPI'!$A:$AX,MATCH($N$1,'Data Core CPI'!$A$1:$AX$1,),)</f>
        <v/>
      </c>
      <c r="O104" s="20">
        <f>(VLOOKUP(B104,'Data Core CPI'!$A:$AX,MATCH($O$1,'Data Core CPI'!$A$1:$AX$1,),)-VLOOKUP(EDATE(B104,-12),'Data Core CPI'!$A:$AX,MATCH($O$1,'Data Core CPI'!$A$1:$AX$1,),))/VLOOKUP(EDATE(B104,-12),'Data Core CPI'!$A:$AX,MATCH($O$1,'Data Core CPI'!$A$1:$AX$1,),)</f>
        <v/>
      </c>
      <c r="P104" s="20">
        <f>IF(VLOOKUP(B104,'Data Core CPI'!$A:$AX,MATCH($P$1,'Data Core CPI'!$A$1:$AX$1,),)=0,#N/A,(VLOOKUP(B104,'Data Core CPI'!$A:$AX,MATCH($P$1,'Data Core CPI'!$A$1:$AX$1,),)-VLOOKUP(EDATE(B104,-12),'Data Core CPI'!$A:$AX,MATCH($P$1,'Data Core CPI'!$A$1:$AX$1,),))/VLOOKUP(EDATE(B104,-12),'Data Core CPI'!$A:$AX,MATCH($P$1,'Data Core CPI'!$A$1:$AX$1,),))</f>
        <v/>
      </c>
      <c r="Q104" s="20">
        <f>(VLOOKUP(B104,'Data Core CPI'!$A:$AX,MATCH($Q$1,'Data Core CPI'!$A$1:$AX$1,),)-VLOOKUP(EDATE(B104,-12),'Data Core CPI'!$A:$AX,MATCH($Q$1,'Data Core CPI'!$A$1:$AX$1,),))/VLOOKUP(EDATE(B104,-12),'Data Core CPI'!$A:$AX,MATCH($Q$1,'Data Core CPI'!$A$1:$AX$1,),)</f>
        <v/>
      </c>
      <c r="R104" s="20">
        <f>IF(VLOOKUP(B104,'Data Core CPI'!$A:$AX,MATCH($R$1,'Data Core CPI'!$A$1:$AX$1,),)=0,#N/A,(VLOOKUP(B104,'Data Core CPI'!$A:$AX,MATCH($R$1,'Data Core CPI'!$A$1:$AX$1,),)-VLOOKUP(EDATE(B104,-12),'Data Core CPI'!$A:$AX,MATCH($R$1,'Data Core CPI'!$A$1:$AX$1,),))/VLOOKUP(EDATE(B104,-12),'Data Core CPI'!$A:$AX,MATCH($R$1,'Data Core CPI'!$A$1:$AX$1,),))</f>
        <v/>
      </c>
      <c r="S104" s="20">
        <f>(VLOOKUP(B104,'Data Core CPI'!$A:$AX,MATCH($S$1,'Data Core CPI'!$A$1:$AX$1,),)-VLOOKUP(EDATE(B104,-12),'Data Core CPI'!$A:$AX,MATCH($S$1,'Data Core CPI'!$A$1:$AX$1,),))/VLOOKUP(EDATE(B104,-12),'Data Core CPI'!$A:$AX,MATCH($S$1,'Data Core CPI'!$A$1:$AX$1,),)</f>
        <v/>
      </c>
      <c r="T104" s="20">
        <f>(VLOOKUP(B104,'Data Core CPI'!$A:$AX,MATCH($T$1,'Data Core CPI'!$A$1:$AX$1,),)-VLOOKUP(EDATE(B104,-12),'Data Core CPI'!$A:$AX,MATCH($T$1,'Data Core CPI'!$A$1:$AX$1,),))/VLOOKUP(EDATE(B104,-12),'Data Core CPI'!$A:$AX,MATCH($T$1,'Data Core CPI'!$A$1:$AX$1,),)</f>
        <v/>
      </c>
      <c r="U104" s="20">
        <f>IF(VLOOKUP(B104,'Data Core CPI'!$A:$AX,MATCH($U$1,'Data Core CPI'!$A$1:$AX$1,),)=0,#N/A,(VLOOKUP(B104,'Data Core CPI'!$A:$AX,MATCH($U$1,'Data Core CPI'!$A$1:$AX$1,),)-VLOOKUP(EDATE(B104,-12),'Data Core CPI'!$A:$AX,MATCH($U$1,'Data Core CPI'!$A$1:$AX$1,),))/VLOOKUP(EDATE(B104,-12),'Data Core CPI'!$A:$AX,MATCH($U$1,'Data Core CPI'!$A$1:$AX$1,),))</f>
        <v/>
      </c>
      <c r="V104" s="20">
        <f>(VLOOKUP(B104,'Data Core CPI'!$A:$AX,MATCH($V$1,'Data Core CPI'!$A$1:$AX$1,),)-VLOOKUP(EDATE(B104,-12),'Data Core CPI'!$A:$AX,MATCH($V$1,'Data Core CPI'!$A$1:$AX$1,),))/VLOOKUP(EDATE(B104,-12),'Data Core CPI'!$A:$AX,MATCH($V$1,'Data Core CPI'!$A$1:$AX$1,),)</f>
        <v/>
      </c>
      <c r="W104" s="20">
        <f>IF(VLOOKUP(B104,'Data Core CPI'!$A:$AX,MATCH($W$1,'Data Core CPI'!$A$1:$AX$1,),)=0,#N/A,(VLOOKUP(B104,'Data Core CPI'!$A:$AX,MATCH($W$1,'Data Core CPI'!$A$1:$AX$1,),)-VLOOKUP(EDATE(B104,-12),'Data Core CPI'!$A:$AX,MATCH($W$1,'Data Core CPI'!$A$1:$AX$1,),))/VLOOKUP(EDATE(B104,-12),'Data Core CPI'!$A:$AX,MATCH($W$1,'Data Core CPI'!$A$1:$AX$1,),))</f>
        <v/>
      </c>
      <c r="X104" s="20">
        <f>IF(VLOOKUP(B104,'Data Core CPI'!$A:$AX,MATCH($X$1,'Data Core CPI'!$A$1:$AX$1,),)=0,#N/A,(VLOOKUP(B104,'Data Core CPI'!$A:$AX,MATCH($X$1,'Data Core CPI'!$A$1:$AX$1,),)-VLOOKUP(EDATE(B104,-12),'Data Core CPI'!$A:$AX,MATCH($X$1,'Data Core CPI'!$A$1:$AX$1,),))/VLOOKUP(EDATE(B104,-12),'Data Core CPI'!$A:$AX,MATCH($X$1,'Data Core CPI'!$A$1:$AX$1,),))</f>
        <v/>
      </c>
      <c r="Y104" s="20">
        <f>IF(VLOOKUP(B104,'Data Core CPI'!$A:$AX,MATCH($Y$1,'Data Core CPI'!$A$1:$AX$1,),)=0,#N/A,(VLOOKUP(B104,'Data Core CPI'!$A:$AX,MATCH($Y$1,'Data Core CPI'!$A$1:$AX$1,),)-VLOOKUP(EDATE(B104,-12),'Data Core CPI'!$A:$AX,MATCH($Y$1,'Data Core CPI'!$A$1:$AX$1,),))/VLOOKUP(EDATE(B104,-12),'Data Core CPI'!$A:$AX,MATCH($Y$1,'Data Core CPI'!$A$1:$AX$1,),))</f>
        <v/>
      </c>
      <c r="Z104" s="20">
        <f>(VLOOKUP(B104,Data!$A:$AX,MATCH($Z$1,Data!$A$1:$AX$1,),)-VLOOKUP(EDATE(B104,-12),Data!$A:$AX,MATCH($Z$1,Data!$A$1:$AX$1,),))/VLOOKUP(EDATE(B104,-12),Data!$A:$AX,MATCH($Z$1,Data!$A$1:$AX$1,),)</f>
        <v/>
      </c>
      <c r="AA104" s="20">
        <f>(VLOOKUP(B104,Data!$A:$AX,MATCH($AA$1,Data!$A$1:$AX$1,),)-VLOOKUP(EDATE(B104,-12),Data!$A:$AX,MATCH($AA$1,Data!$A$1:$AX$1,),))/VLOOKUP(EDATE(B104,-12),Data!$A:$AX,MATCH($AA$1,Data!$A$1:$AX$1,),)</f>
        <v/>
      </c>
    </row>
    <row r="105" customFormat="1" s="78">
      <c r="B105" s="15" t="n">
        <v>43405</v>
      </c>
      <c r="C105" s="20">
        <f>IF(VLOOKUP(B105,'Data Core CPI'!$A:$AX,MATCH($C$1,'Data Core CPI'!$A$1:$AX$1,),)=0,#N/A,(VLOOKUP(B105,'Data Core CPI'!$A:$AX,MATCH($C$1,'Data Core CPI'!$A$1:$AX$1,),)-VLOOKUP(EDATE(B105,-12),'Data Core CPI'!$A:$AX,MATCH($C$1,'Data Core CPI'!$A$1:$AX$1,),))/VLOOKUP(EDATE(B105,-12),'Data Core CPI'!$A:$AX,MATCH($C$1,'Data Core CPI'!$A$1:$AX$1,),))</f>
        <v/>
      </c>
      <c r="D105" s="20">
        <f>(VLOOKUP(B105,'Data Core CPI'!$A:$AX,MATCH($D$1,'Data Core CPI'!$A$1:$AX$1,),)-VLOOKUP(EDATE(B105,-12),'Data Core CPI'!$A:$AX,MATCH($D$1,'Data Core CPI'!$A$1:$AX$1,),))/VLOOKUP(EDATE(B105,-12),'Data Core CPI'!$A:$AX,MATCH($D$1,'Data Core CPI'!$A$1:$AX$1,),)</f>
        <v/>
      </c>
      <c r="E105" s="20">
        <f>IF(VLOOKUP(B105,'Data Core CPI'!$A:$AX,MATCH($E$1,'Data Core CPI'!$A$1:$AX$1,),)=0,#N/A,(VLOOKUP(B105,'Data Core CPI'!$A:$AX,MATCH($E$1,'Data Core CPI'!$A$1:$AX$1,),)-VLOOKUP(EDATE(B105,-12),'Data Core CPI'!$A:$AX,MATCH($E$1,'Data Core CPI'!$A$1:$AX$1,),))/VLOOKUP(EDATE(B105,-12),'Data Core CPI'!$A:$AX,MATCH($E$1,'Data Core CPI'!$A$1:$AX$1,),))</f>
        <v/>
      </c>
      <c r="F105" s="20">
        <f>IF(VLOOKUP(B105,'Data Core CPI'!$A:$AX,MATCH($F$1,'Data Core CPI'!$A$1:$AX$1,),)=0,#N/A,(VLOOKUP(B105,'Data Core CPI'!$A:$AX,MATCH($F$1,'Data Core CPI'!$A$1:$AX$1,),)-VLOOKUP(EDATE(B105,-12),'Data Core CPI'!$A:$AX,MATCH($F$1,'Data Core CPI'!$A$1:$AX$1,),))/VLOOKUP(EDATE(B105,-12),'Data Core CPI'!$A:$AX,MATCH($F$1,'Data Core CPI'!$A$1:$AX$1,),))</f>
        <v/>
      </c>
      <c r="G105" s="20">
        <f>IF(VLOOKUP(B105,'Data Core CPI'!$A:$AX,MATCH($G$1,'Data Core CPI'!$A$1:$AX$1,),)=0,#N/A,(VLOOKUP(B105,'Data Core CPI'!$A:$AX,MATCH($G$1,'Data Core CPI'!$A$1:$AX$1,),)-VLOOKUP(EDATE(B105,-12),'Data Core CPI'!$A:$AX,MATCH($G$1,'Data Core CPI'!$A$1:$AX$1,),))/VLOOKUP(EDATE(B105,-12),'Data Core CPI'!$A:$AX,MATCH($G$1,'Data Core CPI'!$A$1:$AX$1,),))</f>
        <v/>
      </c>
      <c r="H105" s="20">
        <f>IF(VLOOKUP(B105,'Data Core CPI'!$A:$AX,MATCH($H$1,'Data Core CPI'!$A$1:$AX$1,),)=0,#N/A,(VLOOKUP(B105,'Data Core CPI'!$A:$AX,MATCH($H$1,'Data Core CPI'!$A$1:$AX$1,),)-VLOOKUP(EDATE(B105,-12),'Data Core CPI'!$A:$AX,MATCH($H$1,'Data Core CPI'!$A$1:$AX$1,),))/VLOOKUP(EDATE(B105,-12),'Data Core CPI'!$A:$AX,MATCH($H$1,'Data Core CPI'!$A$1:$AX$1,),))</f>
        <v/>
      </c>
      <c r="I105" s="20">
        <f>IF(VLOOKUP(B105,'Data Core CPI'!$A:$AX,MATCH($I$1,'Data Core CPI'!$A$1:$AX$1,),)=0,#N/A,(VLOOKUP(B105,'Data Core CPI'!$A:$AX,MATCH($I$1,'Data Core CPI'!$A$1:$AX$1,),)-VLOOKUP(EDATE(B105,-12),'Data Core CPI'!$A:$AX,MATCH($I$1,'Data Core CPI'!$A$1:$AX$1,),))/VLOOKUP(EDATE(B105,-12),'Data Core CPI'!$A:$AX,MATCH($I$1,'Data Core CPI'!$A$1:$AX$1,),))</f>
        <v/>
      </c>
      <c r="J105" s="20">
        <f>IF(VLOOKUP(B105,'Data Core CPI'!$A:$AX,MATCH($J$1,'Data Core CPI'!$A$1:$AX$1,),)=0,#N/A,(VLOOKUP(B105,'Data Core CPI'!$A:$AX,MATCH($J$1,'Data Core CPI'!$A$1:$AX$1,),)-VLOOKUP(EDATE(B105,-12),'Data Core CPI'!$A:$AX,MATCH($J$1,'Data Core CPI'!$A$1:$AX$1,),))/VLOOKUP(EDATE(B105,-12),'Data Core CPI'!$A:$AX,MATCH($J$1,'Data Core CPI'!$A$1:$AX$1,),))</f>
        <v/>
      </c>
      <c r="K105" s="20">
        <f>IF(VLOOKUP(B105,'Data Core CPI'!$A:$AX,MATCH($K$1,'Data Core CPI'!$A$1:$AX$1,),)=0,#N/A,(VLOOKUP(B105,'Data Core CPI'!$A:$AX,MATCH($K$1,'Data Core CPI'!$A$1:$AX$1,),)-VLOOKUP(EDATE(B105,-12),'Data Core CPI'!$A:$AX,MATCH($K$1,'Data Core CPI'!$A$1:$AX$1,),))/VLOOKUP(EDATE(B105,-12),'Data Core CPI'!$A:$AX,MATCH($K$1,'Data Core CPI'!$A$1:$AX$1,),))</f>
        <v/>
      </c>
      <c r="L105" s="20">
        <f>IF(VLOOKUP(B105,'Data Core CPI'!$A:$AX,MATCH($L$1,'Data Core CPI'!$A$1:$AX$1,),)=0,#N/A,(VLOOKUP(B105,'Data Core CPI'!$A:$AX,MATCH($L$1,'Data Core CPI'!$A$1:$AX$1,),)-VLOOKUP(EDATE(B105,-12),'Data Core CPI'!$A:$AX,MATCH($L$1,'Data Core CPI'!$A$1:$AX$1,),))/VLOOKUP(EDATE(B105,-12),'Data Core CPI'!$A:$AX,MATCH($L$1,'Data Core CPI'!$A$1:$AX$1,),))</f>
        <v/>
      </c>
      <c r="M105" s="20">
        <f>IF(VLOOKUP(B105,'Data Core CPI'!$A:$AX,MATCH($M$1,'Data Core CPI'!$A$1:$AX$1,),)=0,#N/A,(VLOOKUP(B105,'Data Core CPI'!$A:$AX,MATCH($M$1,'Data Core CPI'!$A$1:$AX$1,),)-VLOOKUP(EDATE(B105,-12),'Data Core CPI'!$A:$AX,MATCH($M$1,'Data Core CPI'!$A$1:$AX$1,),))/VLOOKUP(EDATE(B105,-12),'Data Core CPI'!$A:$AX,MATCH($M$1,'Data Core CPI'!$A$1:$AX$1,),))</f>
        <v/>
      </c>
      <c r="N105" s="20">
        <f>(VLOOKUP(B105,'Data Core CPI'!$A:$AX,MATCH($N$1,'Data Core CPI'!$A$1:$AX$1,),)-VLOOKUP(EDATE(B105,-12),'Data Core CPI'!$A:$AX,MATCH($N$1,'Data Core CPI'!$A$1:$AX$1,),))/VLOOKUP(EDATE(B105,-12),'Data Core CPI'!$A:$AX,MATCH($N$1,'Data Core CPI'!$A$1:$AX$1,),)</f>
        <v/>
      </c>
      <c r="O105" s="20">
        <f>(VLOOKUP(B105,'Data Core CPI'!$A:$AX,MATCH($O$1,'Data Core CPI'!$A$1:$AX$1,),)-VLOOKUP(EDATE(B105,-12),'Data Core CPI'!$A:$AX,MATCH($O$1,'Data Core CPI'!$A$1:$AX$1,),))/VLOOKUP(EDATE(B105,-12),'Data Core CPI'!$A:$AX,MATCH($O$1,'Data Core CPI'!$A$1:$AX$1,),)</f>
        <v/>
      </c>
      <c r="P105" s="20">
        <f>IF(VLOOKUP(B105,'Data Core CPI'!$A:$AX,MATCH($P$1,'Data Core CPI'!$A$1:$AX$1,),)=0,#N/A,(VLOOKUP(B105,'Data Core CPI'!$A:$AX,MATCH($P$1,'Data Core CPI'!$A$1:$AX$1,),)-VLOOKUP(EDATE(B105,-12),'Data Core CPI'!$A:$AX,MATCH($P$1,'Data Core CPI'!$A$1:$AX$1,),))/VLOOKUP(EDATE(B105,-12),'Data Core CPI'!$A:$AX,MATCH($P$1,'Data Core CPI'!$A$1:$AX$1,),))</f>
        <v/>
      </c>
      <c r="Q105" s="20">
        <f>(VLOOKUP(B105,'Data Core CPI'!$A:$AX,MATCH($Q$1,'Data Core CPI'!$A$1:$AX$1,),)-VLOOKUP(EDATE(B105,-12),'Data Core CPI'!$A:$AX,MATCH($Q$1,'Data Core CPI'!$A$1:$AX$1,),))/VLOOKUP(EDATE(B105,-12),'Data Core CPI'!$A:$AX,MATCH($Q$1,'Data Core CPI'!$A$1:$AX$1,),)</f>
        <v/>
      </c>
      <c r="R105" s="20">
        <f>IF(VLOOKUP(B105,'Data Core CPI'!$A:$AX,MATCH($R$1,'Data Core CPI'!$A$1:$AX$1,),)=0,#N/A,(VLOOKUP(B105,'Data Core CPI'!$A:$AX,MATCH($R$1,'Data Core CPI'!$A$1:$AX$1,),)-VLOOKUP(EDATE(B105,-12),'Data Core CPI'!$A:$AX,MATCH($R$1,'Data Core CPI'!$A$1:$AX$1,),))/VLOOKUP(EDATE(B105,-12),'Data Core CPI'!$A:$AX,MATCH($R$1,'Data Core CPI'!$A$1:$AX$1,),))</f>
        <v/>
      </c>
      <c r="S105" s="20">
        <f>(VLOOKUP(B105,'Data Core CPI'!$A:$AX,MATCH($S$1,'Data Core CPI'!$A$1:$AX$1,),)-VLOOKUP(EDATE(B105,-12),'Data Core CPI'!$A:$AX,MATCH($S$1,'Data Core CPI'!$A$1:$AX$1,),))/VLOOKUP(EDATE(B105,-12),'Data Core CPI'!$A:$AX,MATCH($S$1,'Data Core CPI'!$A$1:$AX$1,),)</f>
        <v/>
      </c>
      <c r="T105" s="20">
        <f>(VLOOKUP(B105,'Data Core CPI'!$A:$AX,MATCH($T$1,'Data Core CPI'!$A$1:$AX$1,),)-VLOOKUP(EDATE(B105,-12),'Data Core CPI'!$A:$AX,MATCH($T$1,'Data Core CPI'!$A$1:$AX$1,),))/VLOOKUP(EDATE(B105,-12),'Data Core CPI'!$A:$AX,MATCH($T$1,'Data Core CPI'!$A$1:$AX$1,),)</f>
        <v/>
      </c>
      <c r="U105" s="20">
        <f>IF(VLOOKUP(B105,'Data Core CPI'!$A:$AX,MATCH($U$1,'Data Core CPI'!$A$1:$AX$1,),)=0,#N/A,(VLOOKUP(B105,'Data Core CPI'!$A:$AX,MATCH($U$1,'Data Core CPI'!$A$1:$AX$1,),)-VLOOKUP(EDATE(B105,-12),'Data Core CPI'!$A:$AX,MATCH($U$1,'Data Core CPI'!$A$1:$AX$1,),))/VLOOKUP(EDATE(B105,-12),'Data Core CPI'!$A:$AX,MATCH($U$1,'Data Core CPI'!$A$1:$AX$1,),))</f>
        <v/>
      </c>
      <c r="V105" s="20">
        <f>(VLOOKUP(B105,'Data Core CPI'!$A:$AX,MATCH($V$1,'Data Core CPI'!$A$1:$AX$1,),)-VLOOKUP(EDATE(B105,-12),'Data Core CPI'!$A:$AX,MATCH($V$1,'Data Core CPI'!$A$1:$AX$1,),))/VLOOKUP(EDATE(B105,-12),'Data Core CPI'!$A:$AX,MATCH($V$1,'Data Core CPI'!$A$1:$AX$1,),)</f>
        <v/>
      </c>
      <c r="W105" s="20">
        <f>IF(VLOOKUP(B105,'Data Core CPI'!$A:$AX,MATCH($W$1,'Data Core CPI'!$A$1:$AX$1,),)=0,#N/A,(VLOOKUP(B105,'Data Core CPI'!$A:$AX,MATCH($W$1,'Data Core CPI'!$A$1:$AX$1,),)-VLOOKUP(EDATE(B105,-12),'Data Core CPI'!$A:$AX,MATCH($W$1,'Data Core CPI'!$A$1:$AX$1,),))/VLOOKUP(EDATE(B105,-12),'Data Core CPI'!$A:$AX,MATCH($W$1,'Data Core CPI'!$A$1:$AX$1,),))</f>
        <v/>
      </c>
      <c r="X105" s="20">
        <f>IF(VLOOKUP(B105,'Data Core CPI'!$A:$AX,MATCH($X$1,'Data Core CPI'!$A$1:$AX$1,),)=0,#N/A,(VLOOKUP(B105,'Data Core CPI'!$A:$AX,MATCH($X$1,'Data Core CPI'!$A$1:$AX$1,),)-VLOOKUP(EDATE(B105,-12),'Data Core CPI'!$A:$AX,MATCH($X$1,'Data Core CPI'!$A$1:$AX$1,),))/VLOOKUP(EDATE(B105,-12),'Data Core CPI'!$A:$AX,MATCH($X$1,'Data Core CPI'!$A$1:$AX$1,),))</f>
        <v/>
      </c>
      <c r="Y105" s="20">
        <f>IF(VLOOKUP(B105,'Data Core CPI'!$A:$AX,MATCH($Y$1,'Data Core CPI'!$A$1:$AX$1,),)=0,#N/A,(VLOOKUP(B105,'Data Core CPI'!$A:$AX,MATCH($Y$1,'Data Core CPI'!$A$1:$AX$1,),)-VLOOKUP(EDATE(B105,-12),'Data Core CPI'!$A:$AX,MATCH($Y$1,'Data Core CPI'!$A$1:$AX$1,),))/VLOOKUP(EDATE(B105,-12),'Data Core CPI'!$A:$AX,MATCH($Y$1,'Data Core CPI'!$A$1:$AX$1,),))</f>
        <v/>
      </c>
      <c r="Z105" s="20">
        <f>(VLOOKUP(B105,Data!$A:$AX,MATCH($Z$1,Data!$A$1:$AX$1,),)-VLOOKUP(EDATE(B105,-12),Data!$A:$AX,MATCH($Z$1,Data!$A$1:$AX$1,),))/VLOOKUP(EDATE(B105,-12),Data!$A:$AX,MATCH($Z$1,Data!$A$1:$AX$1,),)</f>
        <v/>
      </c>
      <c r="AA105" s="20">
        <f>(VLOOKUP(B105,Data!$A:$AX,MATCH($AA$1,Data!$A$1:$AX$1,),)-VLOOKUP(EDATE(B105,-12),Data!$A:$AX,MATCH($AA$1,Data!$A$1:$AX$1,),))/VLOOKUP(EDATE(B105,-12),Data!$A:$AX,MATCH($AA$1,Data!$A$1:$AX$1,),)</f>
        <v/>
      </c>
    </row>
    <row r="106" customFormat="1" s="78">
      <c r="B106" s="15" t="n">
        <v>43435</v>
      </c>
      <c r="C106" s="20">
        <f>IF(VLOOKUP(B106,'Data Core CPI'!$A:$AX,MATCH($C$1,'Data Core CPI'!$A$1:$AX$1,),)=0,#N/A,(VLOOKUP(B106,'Data Core CPI'!$A:$AX,MATCH($C$1,'Data Core CPI'!$A$1:$AX$1,),)-VLOOKUP(EDATE(B106,-12),'Data Core CPI'!$A:$AX,MATCH($C$1,'Data Core CPI'!$A$1:$AX$1,),))/VLOOKUP(EDATE(B106,-12),'Data Core CPI'!$A:$AX,MATCH($C$1,'Data Core CPI'!$A$1:$AX$1,),))</f>
        <v/>
      </c>
      <c r="D106" s="20">
        <f>(VLOOKUP(B106,'Data Core CPI'!$A:$AX,MATCH($D$1,'Data Core CPI'!$A$1:$AX$1,),)-VLOOKUP(EDATE(B106,-12),'Data Core CPI'!$A:$AX,MATCH($D$1,'Data Core CPI'!$A$1:$AX$1,),))/VLOOKUP(EDATE(B106,-12),'Data Core CPI'!$A:$AX,MATCH($D$1,'Data Core CPI'!$A$1:$AX$1,),)</f>
        <v/>
      </c>
      <c r="E106" s="20">
        <f>IF(VLOOKUP(B106,'Data Core CPI'!$A:$AX,MATCH($E$1,'Data Core CPI'!$A$1:$AX$1,),)=0,#N/A,(VLOOKUP(B106,'Data Core CPI'!$A:$AX,MATCH($E$1,'Data Core CPI'!$A$1:$AX$1,),)-VLOOKUP(EDATE(B106,-12),'Data Core CPI'!$A:$AX,MATCH($E$1,'Data Core CPI'!$A$1:$AX$1,),))/VLOOKUP(EDATE(B106,-12),'Data Core CPI'!$A:$AX,MATCH($E$1,'Data Core CPI'!$A$1:$AX$1,),))</f>
        <v/>
      </c>
      <c r="F106" s="20">
        <f>IF(VLOOKUP(B106,'Data Core CPI'!$A:$AX,MATCH($F$1,'Data Core CPI'!$A$1:$AX$1,),)=0,#N/A,(VLOOKUP(B106,'Data Core CPI'!$A:$AX,MATCH($F$1,'Data Core CPI'!$A$1:$AX$1,),)-VLOOKUP(EDATE(B106,-12),'Data Core CPI'!$A:$AX,MATCH($F$1,'Data Core CPI'!$A$1:$AX$1,),))/VLOOKUP(EDATE(B106,-12),'Data Core CPI'!$A:$AX,MATCH($F$1,'Data Core CPI'!$A$1:$AX$1,),))</f>
        <v/>
      </c>
      <c r="G106" s="20">
        <f>IF(VLOOKUP(B106,'Data Core CPI'!$A:$AX,MATCH($G$1,'Data Core CPI'!$A$1:$AX$1,),)=0,#N/A,(VLOOKUP(B106,'Data Core CPI'!$A:$AX,MATCH($G$1,'Data Core CPI'!$A$1:$AX$1,),)-VLOOKUP(EDATE(B106,-12),'Data Core CPI'!$A:$AX,MATCH($G$1,'Data Core CPI'!$A$1:$AX$1,),))/VLOOKUP(EDATE(B106,-12),'Data Core CPI'!$A:$AX,MATCH($G$1,'Data Core CPI'!$A$1:$AX$1,),))</f>
        <v/>
      </c>
      <c r="H106" s="20">
        <f>IF(VLOOKUP(B106,'Data Core CPI'!$A:$AX,MATCH($H$1,'Data Core CPI'!$A$1:$AX$1,),)=0,#N/A,(VLOOKUP(B106,'Data Core CPI'!$A:$AX,MATCH($H$1,'Data Core CPI'!$A$1:$AX$1,),)-VLOOKUP(EDATE(B106,-12),'Data Core CPI'!$A:$AX,MATCH($H$1,'Data Core CPI'!$A$1:$AX$1,),))/VLOOKUP(EDATE(B106,-12),'Data Core CPI'!$A:$AX,MATCH($H$1,'Data Core CPI'!$A$1:$AX$1,),))</f>
        <v/>
      </c>
      <c r="I106" s="20">
        <f>IF(VLOOKUP(B106,'Data Core CPI'!$A:$AX,MATCH($I$1,'Data Core CPI'!$A$1:$AX$1,),)=0,#N/A,(VLOOKUP(B106,'Data Core CPI'!$A:$AX,MATCH($I$1,'Data Core CPI'!$A$1:$AX$1,),)-VLOOKUP(EDATE(B106,-12),'Data Core CPI'!$A:$AX,MATCH($I$1,'Data Core CPI'!$A$1:$AX$1,),))/VLOOKUP(EDATE(B106,-12),'Data Core CPI'!$A:$AX,MATCH($I$1,'Data Core CPI'!$A$1:$AX$1,),))</f>
        <v/>
      </c>
      <c r="J106" s="20">
        <f>IF(VLOOKUP(B106,'Data Core CPI'!$A:$AX,MATCH($J$1,'Data Core CPI'!$A$1:$AX$1,),)=0,#N/A,(VLOOKUP(B106,'Data Core CPI'!$A:$AX,MATCH($J$1,'Data Core CPI'!$A$1:$AX$1,),)-VLOOKUP(EDATE(B106,-12),'Data Core CPI'!$A:$AX,MATCH($J$1,'Data Core CPI'!$A$1:$AX$1,),))/VLOOKUP(EDATE(B106,-12),'Data Core CPI'!$A:$AX,MATCH($J$1,'Data Core CPI'!$A$1:$AX$1,),))</f>
        <v/>
      </c>
      <c r="K106" s="20">
        <f>IF(VLOOKUP(B106,'Data Core CPI'!$A:$AX,MATCH($K$1,'Data Core CPI'!$A$1:$AX$1,),)=0,#N/A,(VLOOKUP(B106,'Data Core CPI'!$A:$AX,MATCH($K$1,'Data Core CPI'!$A$1:$AX$1,),)-VLOOKUP(EDATE(B106,-12),'Data Core CPI'!$A:$AX,MATCH($K$1,'Data Core CPI'!$A$1:$AX$1,),))/VLOOKUP(EDATE(B106,-12),'Data Core CPI'!$A:$AX,MATCH($K$1,'Data Core CPI'!$A$1:$AX$1,),))</f>
        <v/>
      </c>
      <c r="L106" s="20">
        <f>IF(VLOOKUP(B106,'Data Core CPI'!$A:$AX,MATCH($L$1,'Data Core CPI'!$A$1:$AX$1,),)=0,#N/A,(VLOOKUP(B106,'Data Core CPI'!$A:$AX,MATCH($L$1,'Data Core CPI'!$A$1:$AX$1,),)-VLOOKUP(EDATE(B106,-12),'Data Core CPI'!$A:$AX,MATCH($L$1,'Data Core CPI'!$A$1:$AX$1,),))/VLOOKUP(EDATE(B106,-12),'Data Core CPI'!$A:$AX,MATCH($L$1,'Data Core CPI'!$A$1:$AX$1,),))</f>
        <v/>
      </c>
      <c r="M106" s="20">
        <f>IF(VLOOKUP(B106,'Data Core CPI'!$A:$AX,MATCH($M$1,'Data Core CPI'!$A$1:$AX$1,),)=0,#N/A,(VLOOKUP(B106,'Data Core CPI'!$A:$AX,MATCH($M$1,'Data Core CPI'!$A$1:$AX$1,),)-VLOOKUP(EDATE(B106,-12),'Data Core CPI'!$A:$AX,MATCH($M$1,'Data Core CPI'!$A$1:$AX$1,),))/VLOOKUP(EDATE(B106,-12),'Data Core CPI'!$A:$AX,MATCH($M$1,'Data Core CPI'!$A$1:$AX$1,),))</f>
        <v/>
      </c>
      <c r="N106" s="20">
        <f>(VLOOKUP(B106,'Data Core CPI'!$A:$AX,MATCH($N$1,'Data Core CPI'!$A$1:$AX$1,),)-VLOOKUP(EDATE(B106,-12),'Data Core CPI'!$A:$AX,MATCH($N$1,'Data Core CPI'!$A$1:$AX$1,),))/VLOOKUP(EDATE(B106,-12),'Data Core CPI'!$A:$AX,MATCH($N$1,'Data Core CPI'!$A$1:$AX$1,),)</f>
        <v/>
      </c>
      <c r="O106" s="20">
        <f>(VLOOKUP(B106,'Data Core CPI'!$A:$AX,MATCH($O$1,'Data Core CPI'!$A$1:$AX$1,),)-VLOOKUP(EDATE(B106,-12),'Data Core CPI'!$A:$AX,MATCH($O$1,'Data Core CPI'!$A$1:$AX$1,),))/VLOOKUP(EDATE(B106,-12),'Data Core CPI'!$A:$AX,MATCH($O$1,'Data Core CPI'!$A$1:$AX$1,),)</f>
        <v/>
      </c>
      <c r="P106" s="20">
        <f>IF(VLOOKUP(B106,'Data Core CPI'!$A:$AX,MATCH($P$1,'Data Core CPI'!$A$1:$AX$1,),)=0,#N/A,(VLOOKUP(B106,'Data Core CPI'!$A:$AX,MATCH($P$1,'Data Core CPI'!$A$1:$AX$1,),)-VLOOKUP(EDATE(B106,-12),'Data Core CPI'!$A:$AX,MATCH($P$1,'Data Core CPI'!$A$1:$AX$1,),))/VLOOKUP(EDATE(B106,-12),'Data Core CPI'!$A:$AX,MATCH($P$1,'Data Core CPI'!$A$1:$AX$1,),))</f>
        <v/>
      </c>
      <c r="Q106" s="20">
        <f>(VLOOKUP(B106,'Data Core CPI'!$A:$AX,MATCH($Q$1,'Data Core CPI'!$A$1:$AX$1,),)-VLOOKUP(EDATE(B106,-12),'Data Core CPI'!$A:$AX,MATCH($Q$1,'Data Core CPI'!$A$1:$AX$1,),))/VLOOKUP(EDATE(B106,-12),'Data Core CPI'!$A:$AX,MATCH($Q$1,'Data Core CPI'!$A$1:$AX$1,),)</f>
        <v/>
      </c>
      <c r="R106" s="20">
        <f>IF(VLOOKUP(B106,'Data Core CPI'!$A:$AX,MATCH($R$1,'Data Core CPI'!$A$1:$AX$1,),)=0,#N/A,(VLOOKUP(B106,'Data Core CPI'!$A:$AX,MATCH($R$1,'Data Core CPI'!$A$1:$AX$1,),)-VLOOKUP(EDATE(B106,-12),'Data Core CPI'!$A:$AX,MATCH($R$1,'Data Core CPI'!$A$1:$AX$1,),))/VLOOKUP(EDATE(B106,-12),'Data Core CPI'!$A:$AX,MATCH($R$1,'Data Core CPI'!$A$1:$AX$1,),))</f>
        <v/>
      </c>
      <c r="S106" s="20">
        <f>(VLOOKUP(B106,'Data Core CPI'!$A:$AX,MATCH($S$1,'Data Core CPI'!$A$1:$AX$1,),)-VLOOKUP(EDATE(B106,-12),'Data Core CPI'!$A:$AX,MATCH($S$1,'Data Core CPI'!$A$1:$AX$1,),))/VLOOKUP(EDATE(B106,-12),'Data Core CPI'!$A:$AX,MATCH($S$1,'Data Core CPI'!$A$1:$AX$1,),)</f>
        <v/>
      </c>
      <c r="T106" s="20">
        <f>(VLOOKUP(B106,'Data Core CPI'!$A:$AX,MATCH($T$1,'Data Core CPI'!$A$1:$AX$1,),)-VLOOKUP(EDATE(B106,-12),'Data Core CPI'!$A:$AX,MATCH($T$1,'Data Core CPI'!$A$1:$AX$1,),))/VLOOKUP(EDATE(B106,-12),'Data Core CPI'!$A:$AX,MATCH($T$1,'Data Core CPI'!$A$1:$AX$1,),)</f>
        <v/>
      </c>
      <c r="U106" s="20">
        <f>IF(VLOOKUP(B106,'Data Core CPI'!$A:$AX,MATCH($U$1,'Data Core CPI'!$A$1:$AX$1,),)=0,#N/A,(VLOOKUP(B106,'Data Core CPI'!$A:$AX,MATCH($U$1,'Data Core CPI'!$A$1:$AX$1,),)-VLOOKUP(EDATE(B106,-12),'Data Core CPI'!$A:$AX,MATCH($U$1,'Data Core CPI'!$A$1:$AX$1,),))/VLOOKUP(EDATE(B106,-12),'Data Core CPI'!$A:$AX,MATCH($U$1,'Data Core CPI'!$A$1:$AX$1,),))</f>
        <v/>
      </c>
      <c r="V106" s="20">
        <f>(VLOOKUP(B106,'Data Core CPI'!$A:$AX,MATCH($V$1,'Data Core CPI'!$A$1:$AX$1,),)-VLOOKUP(EDATE(B106,-12),'Data Core CPI'!$A:$AX,MATCH($V$1,'Data Core CPI'!$A$1:$AX$1,),))/VLOOKUP(EDATE(B106,-12),'Data Core CPI'!$A:$AX,MATCH($V$1,'Data Core CPI'!$A$1:$AX$1,),)</f>
        <v/>
      </c>
      <c r="W106" s="20">
        <f>IF(VLOOKUP(B106,'Data Core CPI'!$A:$AX,MATCH($W$1,'Data Core CPI'!$A$1:$AX$1,),)=0,#N/A,(VLOOKUP(B106,'Data Core CPI'!$A:$AX,MATCH($W$1,'Data Core CPI'!$A$1:$AX$1,),)-VLOOKUP(EDATE(B106,-12),'Data Core CPI'!$A:$AX,MATCH($W$1,'Data Core CPI'!$A$1:$AX$1,),))/VLOOKUP(EDATE(B106,-12),'Data Core CPI'!$A:$AX,MATCH($W$1,'Data Core CPI'!$A$1:$AX$1,),))</f>
        <v/>
      </c>
      <c r="X106" s="20">
        <f>IF(VLOOKUP(B106,'Data Core CPI'!$A:$AX,MATCH($X$1,'Data Core CPI'!$A$1:$AX$1,),)=0,#N/A,(VLOOKUP(B106,'Data Core CPI'!$A:$AX,MATCH($X$1,'Data Core CPI'!$A$1:$AX$1,),)-VLOOKUP(EDATE(B106,-12),'Data Core CPI'!$A:$AX,MATCH($X$1,'Data Core CPI'!$A$1:$AX$1,),))/VLOOKUP(EDATE(B106,-12),'Data Core CPI'!$A:$AX,MATCH($X$1,'Data Core CPI'!$A$1:$AX$1,),))</f>
        <v/>
      </c>
      <c r="Y106" s="20">
        <f>IF(VLOOKUP(B106,'Data Core CPI'!$A:$AX,MATCH($Y$1,'Data Core CPI'!$A$1:$AX$1,),)=0,#N/A,(VLOOKUP(B106,'Data Core CPI'!$A:$AX,MATCH($Y$1,'Data Core CPI'!$A$1:$AX$1,),)-VLOOKUP(EDATE(B106,-12),'Data Core CPI'!$A:$AX,MATCH($Y$1,'Data Core CPI'!$A$1:$AX$1,),))/VLOOKUP(EDATE(B106,-12),'Data Core CPI'!$A:$AX,MATCH($Y$1,'Data Core CPI'!$A$1:$AX$1,),))</f>
        <v/>
      </c>
      <c r="Z106" s="20">
        <f>(VLOOKUP(B106,Data!$A:$AX,MATCH($Z$1,Data!$A$1:$AX$1,),)-VLOOKUP(EDATE(B106,-12),Data!$A:$AX,MATCH($Z$1,Data!$A$1:$AX$1,),))/VLOOKUP(EDATE(B106,-12),Data!$A:$AX,MATCH($Z$1,Data!$A$1:$AX$1,),)</f>
        <v/>
      </c>
      <c r="AA106" s="20">
        <f>(VLOOKUP(B106,Data!$A:$AX,MATCH($AA$1,Data!$A$1:$AX$1,),)-VLOOKUP(EDATE(B106,-12),Data!$A:$AX,MATCH($AA$1,Data!$A$1:$AX$1,),))/VLOOKUP(EDATE(B106,-12),Data!$A:$AX,MATCH($AA$1,Data!$A$1:$AX$1,),)</f>
        <v/>
      </c>
    </row>
    <row r="107" customFormat="1" s="78">
      <c r="B107" s="15" t="n">
        <v>43466</v>
      </c>
      <c r="C107" s="20">
        <f>IF(VLOOKUP(B107,'Data Core CPI'!$A:$AX,MATCH($C$1,'Data Core CPI'!$A$1:$AX$1,),)=0,#N/A,(VLOOKUP(B107,'Data Core CPI'!$A:$AX,MATCH($C$1,'Data Core CPI'!$A$1:$AX$1,),)-VLOOKUP(EDATE(B107,-12),'Data Core CPI'!$A:$AX,MATCH($C$1,'Data Core CPI'!$A$1:$AX$1,),))/VLOOKUP(EDATE(B107,-12),'Data Core CPI'!$A:$AX,MATCH($C$1,'Data Core CPI'!$A$1:$AX$1,),))</f>
        <v/>
      </c>
      <c r="D107" s="20">
        <f>(VLOOKUP(B107,'Data Core CPI'!$A:$AX,MATCH($D$1,'Data Core CPI'!$A$1:$AX$1,),)-VLOOKUP(EDATE(B107,-12),'Data Core CPI'!$A:$AX,MATCH($D$1,'Data Core CPI'!$A$1:$AX$1,),))/VLOOKUP(EDATE(B107,-12),'Data Core CPI'!$A:$AX,MATCH($D$1,'Data Core CPI'!$A$1:$AX$1,),)</f>
        <v/>
      </c>
      <c r="E107" s="20">
        <f>IF(VLOOKUP(B107,'Data Core CPI'!$A:$AX,MATCH($E$1,'Data Core CPI'!$A$1:$AX$1,),)=0,#N/A,(VLOOKUP(B107,'Data Core CPI'!$A:$AX,MATCH($E$1,'Data Core CPI'!$A$1:$AX$1,),)-VLOOKUP(EDATE(B107,-12),'Data Core CPI'!$A:$AX,MATCH($E$1,'Data Core CPI'!$A$1:$AX$1,),))/VLOOKUP(EDATE(B107,-12),'Data Core CPI'!$A:$AX,MATCH($E$1,'Data Core CPI'!$A$1:$AX$1,),))</f>
        <v/>
      </c>
      <c r="F107" s="20">
        <f>IF(VLOOKUP(B107,'Data Core CPI'!$A:$AX,MATCH($F$1,'Data Core CPI'!$A$1:$AX$1,),)=0,#N/A,(VLOOKUP(B107,'Data Core CPI'!$A:$AX,MATCH($F$1,'Data Core CPI'!$A$1:$AX$1,),)-VLOOKUP(EDATE(B107,-12),'Data Core CPI'!$A:$AX,MATCH($F$1,'Data Core CPI'!$A$1:$AX$1,),))/VLOOKUP(EDATE(B107,-12),'Data Core CPI'!$A:$AX,MATCH($F$1,'Data Core CPI'!$A$1:$AX$1,),))</f>
        <v/>
      </c>
      <c r="G107" s="20">
        <f>IF(VLOOKUP(B107,'Data Core CPI'!$A:$AX,MATCH($G$1,'Data Core CPI'!$A$1:$AX$1,),)=0,#N/A,(VLOOKUP(B107,'Data Core CPI'!$A:$AX,MATCH($G$1,'Data Core CPI'!$A$1:$AX$1,),)-VLOOKUP(EDATE(B107,-12),'Data Core CPI'!$A:$AX,MATCH($G$1,'Data Core CPI'!$A$1:$AX$1,),))/VLOOKUP(EDATE(B107,-12),'Data Core CPI'!$A:$AX,MATCH($G$1,'Data Core CPI'!$A$1:$AX$1,),))</f>
        <v/>
      </c>
      <c r="H107" s="20">
        <f>IF(VLOOKUP(B107,'Data Core CPI'!$A:$AX,MATCH($H$1,'Data Core CPI'!$A$1:$AX$1,),)=0,#N/A,(VLOOKUP(B107,'Data Core CPI'!$A:$AX,MATCH($H$1,'Data Core CPI'!$A$1:$AX$1,),)-VLOOKUP(EDATE(B107,-12),'Data Core CPI'!$A:$AX,MATCH($H$1,'Data Core CPI'!$A$1:$AX$1,),))/VLOOKUP(EDATE(B107,-12),'Data Core CPI'!$A:$AX,MATCH($H$1,'Data Core CPI'!$A$1:$AX$1,),))</f>
        <v/>
      </c>
      <c r="I107" s="20">
        <f>IF(VLOOKUP(B107,'Data Core CPI'!$A:$AX,MATCH($I$1,'Data Core CPI'!$A$1:$AX$1,),)=0,#N/A,(VLOOKUP(B107,'Data Core CPI'!$A:$AX,MATCH($I$1,'Data Core CPI'!$A$1:$AX$1,),)-VLOOKUP(EDATE(B107,-12),'Data Core CPI'!$A:$AX,MATCH($I$1,'Data Core CPI'!$A$1:$AX$1,),))/VLOOKUP(EDATE(B107,-12),'Data Core CPI'!$A:$AX,MATCH($I$1,'Data Core CPI'!$A$1:$AX$1,),))</f>
        <v/>
      </c>
      <c r="J107" s="20">
        <f>IF(VLOOKUP(B107,'Data Core CPI'!$A:$AX,MATCH($J$1,'Data Core CPI'!$A$1:$AX$1,),)=0,#N/A,(VLOOKUP(B107,'Data Core CPI'!$A:$AX,MATCH($J$1,'Data Core CPI'!$A$1:$AX$1,),)-VLOOKUP(EDATE(B107,-12),'Data Core CPI'!$A:$AX,MATCH($J$1,'Data Core CPI'!$A$1:$AX$1,),))/VLOOKUP(EDATE(B107,-12),'Data Core CPI'!$A:$AX,MATCH($J$1,'Data Core CPI'!$A$1:$AX$1,),))</f>
        <v/>
      </c>
      <c r="K107" s="20">
        <f>IF(VLOOKUP(B107,'Data Core CPI'!$A:$AX,MATCH($K$1,'Data Core CPI'!$A$1:$AX$1,),)=0,#N/A,(VLOOKUP(B107,'Data Core CPI'!$A:$AX,MATCH($K$1,'Data Core CPI'!$A$1:$AX$1,),)-VLOOKUP(EDATE(B107,-12),'Data Core CPI'!$A:$AX,MATCH($K$1,'Data Core CPI'!$A$1:$AX$1,),))/VLOOKUP(EDATE(B107,-12),'Data Core CPI'!$A:$AX,MATCH($K$1,'Data Core CPI'!$A$1:$AX$1,),))</f>
        <v/>
      </c>
      <c r="L107" s="20">
        <f>IF(VLOOKUP(B107,'Data Core CPI'!$A:$AX,MATCH($L$1,'Data Core CPI'!$A$1:$AX$1,),)=0,#N/A,(VLOOKUP(B107,'Data Core CPI'!$A:$AX,MATCH($L$1,'Data Core CPI'!$A$1:$AX$1,),)-VLOOKUP(EDATE(B107,-12),'Data Core CPI'!$A:$AX,MATCH($L$1,'Data Core CPI'!$A$1:$AX$1,),))/VLOOKUP(EDATE(B107,-12),'Data Core CPI'!$A:$AX,MATCH($L$1,'Data Core CPI'!$A$1:$AX$1,),))</f>
        <v/>
      </c>
      <c r="M107" s="20">
        <f>IF(VLOOKUP(B107,'Data Core CPI'!$A:$AX,MATCH($M$1,'Data Core CPI'!$A$1:$AX$1,),)=0,#N/A,(VLOOKUP(B107,'Data Core CPI'!$A:$AX,MATCH($M$1,'Data Core CPI'!$A$1:$AX$1,),)-VLOOKUP(EDATE(B107,-12),'Data Core CPI'!$A:$AX,MATCH($M$1,'Data Core CPI'!$A$1:$AX$1,),))/VLOOKUP(EDATE(B107,-12),'Data Core CPI'!$A:$AX,MATCH($M$1,'Data Core CPI'!$A$1:$AX$1,),))</f>
        <v/>
      </c>
      <c r="N107" s="20">
        <f>(VLOOKUP(B107,'Data Core CPI'!$A:$AX,MATCH($N$1,'Data Core CPI'!$A$1:$AX$1,),)-VLOOKUP(EDATE(B107,-12),'Data Core CPI'!$A:$AX,MATCH($N$1,'Data Core CPI'!$A$1:$AX$1,),))/VLOOKUP(EDATE(B107,-12),'Data Core CPI'!$A:$AX,MATCH($N$1,'Data Core CPI'!$A$1:$AX$1,),)</f>
        <v/>
      </c>
      <c r="O107" s="20">
        <f>(VLOOKUP(B107,'Data Core CPI'!$A:$AX,MATCH($O$1,'Data Core CPI'!$A$1:$AX$1,),)-VLOOKUP(EDATE(B107,-12),'Data Core CPI'!$A:$AX,MATCH($O$1,'Data Core CPI'!$A$1:$AX$1,),))/VLOOKUP(EDATE(B107,-12),'Data Core CPI'!$A:$AX,MATCH($O$1,'Data Core CPI'!$A$1:$AX$1,),)</f>
        <v/>
      </c>
      <c r="P107" s="20">
        <f>IF(VLOOKUP(B107,'Data Core CPI'!$A:$AX,MATCH($P$1,'Data Core CPI'!$A$1:$AX$1,),)=0,#N/A,(VLOOKUP(B107,'Data Core CPI'!$A:$AX,MATCH($P$1,'Data Core CPI'!$A$1:$AX$1,),)-VLOOKUP(EDATE(B107,-12),'Data Core CPI'!$A:$AX,MATCH($P$1,'Data Core CPI'!$A$1:$AX$1,),))/VLOOKUP(EDATE(B107,-12),'Data Core CPI'!$A:$AX,MATCH($P$1,'Data Core CPI'!$A$1:$AX$1,),))</f>
        <v/>
      </c>
      <c r="Q107" s="20">
        <f>(VLOOKUP(B107,'Data Core CPI'!$A:$AX,MATCH($Q$1,'Data Core CPI'!$A$1:$AX$1,),)-VLOOKUP(EDATE(B107,-12),'Data Core CPI'!$A:$AX,MATCH($Q$1,'Data Core CPI'!$A$1:$AX$1,),))/VLOOKUP(EDATE(B107,-12),'Data Core CPI'!$A:$AX,MATCH($Q$1,'Data Core CPI'!$A$1:$AX$1,),)</f>
        <v/>
      </c>
      <c r="R107" s="20">
        <f>IF(VLOOKUP(B107,'Data Core CPI'!$A:$AX,MATCH($R$1,'Data Core CPI'!$A$1:$AX$1,),)=0,#N/A,(VLOOKUP(B107,'Data Core CPI'!$A:$AX,MATCH($R$1,'Data Core CPI'!$A$1:$AX$1,),)-VLOOKUP(EDATE(B107,-12),'Data Core CPI'!$A:$AX,MATCH($R$1,'Data Core CPI'!$A$1:$AX$1,),))/VLOOKUP(EDATE(B107,-12),'Data Core CPI'!$A:$AX,MATCH($R$1,'Data Core CPI'!$A$1:$AX$1,),))</f>
        <v/>
      </c>
      <c r="S107" s="20">
        <f>(VLOOKUP(B107,'Data Core CPI'!$A:$AX,MATCH($S$1,'Data Core CPI'!$A$1:$AX$1,),)-VLOOKUP(EDATE(B107,-12),'Data Core CPI'!$A:$AX,MATCH($S$1,'Data Core CPI'!$A$1:$AX$1,),))/VLOOKUP(EDATE(B107,-12),'Data Core CPI'!$A:$AX,MATCH($S$1,'Data Core CPI'!$A$1:$AX$1,),)</f>
        <v/>
      </c>
      <c r="T107" s="20">
        <f>(VLOOKUP(B107,'Data Core CPI'!$A:$AX,MATCH($T$1,'Data Core CPI'!$A$1:$AX$1,),)-VLOOKUP(EDATE(B107,-12),'Data Core CPI'!$A:$AX,MATCH($T$1,'Data Core CPI'!$A$1:$AX$1,),))/VLOOKUP(EDATE(B107,-12),'Data Core CPI'!$A:$AX,MATCH($T$1,'Data Core CPI'!$A$1:$AX$1,),)</f>
        <v/>
      </c>
      <c r="U107" s="20">
        <f>IF(VLOOKUP(B107,'Data Core CPI'!$A:$AX,MATCH($U$1,'Data Core CPI'!$A$1:$AX$1,),)=0,#N/A,(VLOOKUP(B107,'Data Core CPI'!$A:$AX,MATCH($U$1,'Data Core CPI'!$A$1:$AX$1,),)-VLOOKUP(EDATE(B107,-12),'Data Core CPI'!$A:$AX,MATCH($U$1,'Data Core CPI'!$A$1:$AX$1,),))/VLOOKUP(EDATE(B107,-12),'Data Core CPI'!$A:$AX,MATCH($U$1,'Data Core CPI'!$A$1:$AX$1,),))</f>
        <v/>
      </c>
      <c r="V107" s="20">
        <f>(VLOOKUP(B107,'Data Core CPI'!$A:$AX,MATCH($V$1,'Data Core CPI'!$A$1:$AX$1,),)-VLOOKUP(EDATE(B107,-12),'Data Core CPI'!$A:$AX,MATCH($V$1,'Data Core CPI'!$A$1:$AX$1,),))/VLOOKUP(EDATE(B107,-12),'Data Core CPI'!$A:$AX,MATCH($V$1,'Data Core CPI'!$A$1:$AX$1,),)</f>
        <v/>
      </c>
      <c r="W107" s="20">
        <f>IF(VLOOKUP(B107,'Data Core CPI'!$A:$AX,MATCH($W$1,'Data Core CPI'!$A$1:$AX$1,),)=0,#N/A,(VLOOKUP(B107,'Data Core CPI'!$A:$AX,MATCH($W$1,'Data Core CPI'!$A$1:$AX$1,),)-VLOOKUP(EDATE(B107,-12),'Data Core CPI'!$A:$AX,MATCH($W$1,'Data Core CPI'!$A$1:$AX$1,),))/VLOOKUP(EDATE(B107,-12),'Data Core CPI'!$A:$AX,MATCH($W$1,'Data Core CPI'!$A$1:$AX$1,),))</f>
        <v/>
      </c>
      <c r="X107" s="20">
        <f>IF(VLOOKUP(B107,'Data Core CPI'!$A:$AX,MATCH($X$1,'Data Core CPI'!$A$1:$AX$1,),)=0,#N/A,(VLOOKUP(B107,'Data Core CPI'!$A:$AX,MATCH($X$1,'Data Core CPI'!$A$1:$AX$1,),)-VLOOKUP(EDATE(B107,-12),'Data Core CPI'!$A:$AX,MATCH($X$1,'Data Core CPI'!$A$1:$AX$1,),))/VLOOKUP(EDATE(B107,-12),'Data Core CPI'!$A:$AX,MATCH($X$1,'Data Core CPI'!$A$1:$AX$1,),))</f>
        <v/>
      </c>
      <c r="Y107" s="20">
        <f>IF(VLOOKUP(B107,'Data Core CPI'!$A:$AX,MATCH($Y$1,'Data Core CPI'!$A$1:$AX$1,),)=0,#N/A,(VLOOKUP(B107,'Data Core CPI'!$A:$AX,MATCH($Y$1,'Data Core CPI'!$A$1:$AX$1,),)-VLOOKUP(EDATE(B107,-12),'Data Core CPI'!$A:$AX,MATCH($Y$1,'Data Core CPI'!$A$1:$AX$1,),))/VLOOKUP(EDATE(B107,-12),'Data Core CPI'!$A:$AX,MATCH($Y$1,'Data Core CPI'!$A$1:$AX$1,),))</f>
        <v/>
      </c>
    </row>
    <row r="108" customFormat="1" s="78">
      <c r="B108" s="15" t="n">
        <v>43497</v>
      </c>
      <c r="C108" s="20">
        <f>IF(VLOOKUP(B108,'Data Core CPI'!$A:$AX,MATCH($C$1,'Data Core CPI'!$A$1:$AX$1,),)=0,#N/A,(VLOOKUP(B108,'Data Core CPI'!$A:$AX,MATCH($C$1,'Data Core CPI'!$A$1:$AX$1,),)-VLOOKUP(EDATE(B108,-12),'Data Core CPI'!$A:$AX,MATCH($C$1,'Data Core CPI'!$A$1:$AX$1,),))/VLOOKUP(EDATE(B108,-12),'Data Core CPI'!$A:$AX,MATCH($C$1,'Data Core CPI'!$A$1:$AX$1,),))</f>
        <v/>
      </c>
      <c r="D108" s="20">
        <f>(VLOOKUP(B108,'Data Core CPI'!$A:$AX,MATCH($D$1,'Data Core CPI'!$A$1:$AX$1,),)-VLOOKUP(EDATE(B108,-12),'Data Core CPI'!$A:$AX,MATCH($D$1,'Data Core CPI'!$A$1:$AX$1,),))/VLOOKUP(EDATE(B108,-12),'Data Core CPI'!$A:$AX,MATCH($D$1,'Data Core CPI'!$A$1:$AX$1,),)</f>
        <v/>
      </c>
      <c r="E108" s="20">
        <f>IF(VLOOKUP(B108,'Data Core CPI'!$A:$AX,MATCH($E$1,'Data Core CPI'!$A$1:$AX$1,),)=0,#N/A,(VLOOKUP(B108,'Data Core CPI'!$A:$AX,MATCH($E$1,'Data Core CPI'!$A$1:$AX$1,),)-VLOOKUP(EDATE(B108,-12),'Data Core CPI'!$A:$AX,MATCH($E$1,'Data Core CPI'!$A$1:$AX$1,),))/VLOOKUP(EDATE(B108,-12),'Data Core CPI'!$A:$AX,MATCH($E$1,'Data Core CPI'!$A$1:$AX$1,),))</f>
        <v/>
      </c>
      <c r="F108" s="20">
        <f>IF(VLOOKUP(B108,'Data Core CPI'!$A:$AX,MATCH($F$1,'Data Core CPI'!$A$1:$AX$1,),)=0,#N/A,(VLOOKUP(B108,'Data Core CPI'!$A:$AX,MATCH($F$1,'Data Core CPI'!$A$1:$AX$1,),)-VLOOKUP(EDATE(B108,-12),'Data Core CPI'!$A:$AX,MATCH($F$1,'Data Core CPI'!$A$1:$AX$1,),))/VLOOKUP(EDATE(B108,-12),'Data Core CPI'!$A:$AX,MATCH($F$1,'Data Core CPI'!$A$1:$AX$1,),))</f>
        <v/>
      </c>
      <c r="G108" s="20">
        <f>IF(VLOOKUP(B108,'Data Core CPI'!$A:$AX,MATCH($G$1,'Data Core CPI'!$A$1:$AX$1,),)=0,#N/A,(VLOOKUP(B108,'Data Core CPI'!$A:$AX,MATCH($G$1,'Data Core CPI'!$A$1:$AX$1,),)-VLOOKUP(EDATE(B108,-12),'Data Core CPI'!$A:$AX,MATCH($G$1,'Data Core CPI'!$A$1:$AX$1,),))/VLOOKUP(EDATE(B108,-12),'Data Core CPI'!$A:$AX,MATCH($G$1,'Data Core CPI'!$A$1:$AX$1,),))</f>
        <v/>
      </c>
      <c r="H108" s="20">
        <f>IF(VLOOKUP(B108,'Data Core CPI'!$A:$AX,MATCH($H$1,'Data Core CPI'!$A$1:$AX$1,),)=0,#N/A,(VLOOKUP(B108,'Data Core CPI'!$A:$AX,MATCH($H$1,'Data Core CPI'!$A$1:$AX$1,),)-VLOOKUP(EDATE(B108,-12),'Data Core CPI'!$A:$AX,MATCH($H$1,'Data Core CPI'!$A$1:$AX$1,),))/VLOOKUP(EDATE(B108,-12),'Data Core CPI'!$A:$AX,MATCH($H$1,'Data Core CPI'!$A$1:$AX$1,),))</f>
        <v/>
      </c>
      <c r="I108" s="20">
        <f>IF(VLOOKUP(B108,'Data Core CPI'!$A:$AX,MATCH($I$1,'Data Core CPI'!$A$1:$AX$1,),)=0,#N/A,(VLOOKUP(B108,'Data Core CPI'!$A:$AX,MATCH($I$1,'Data Core CPI'!$A$1:$AX$1,),)-VLOOKUP(EDATE(B108,-12),'Data Core CPI'!$A:$AX,MATCH($I$1,'Data Core CPI'!$A$1:$AX$1,),))/VLOOKUP(EDATE(B108,-12),'Data Core CPI'!$A:$AX,MATCH($I$1,'Data Core CPI'!$A$1:$AX$1,),))</f>
        <v/>
      </c>
      <c r="J108" s="20">
        <f>IF(VLOOKUP(B108,'Data Core CPI'!$A:$AX,MATCH($J$1,'Data Core CPI'!$A$1:$AX$1,),)=0,#N/A,(VLOOKUP(B108,'Data Core CPI'!$A:$AX,MATCH($J$1,'Data Core CPI'!$A$1:$AX$1,),)-VLOOKUP(EDATE(B108,-12),'Data Core CPI'!$A:$AX,MATCH($J$1,'Data Core CPI'!$A$1:$AX$1,),))/VLOOKUP(EDATE(B108,-12),'Data Core CPI'!$A:$AX,MATCH($J$1,'Data Core CPI'!$A$1:$AX$1,),))</f>
        <v/>
      </c>
      <c r="K108" s="20">
        <f>IF(VLOOKUP(B108,'Data Core CPI'!$A:$AX,MATCH($K$1,'Data Core CPI'!$A$1:$AX$1,),)=0,#N/A,(VLOOKUP(B108,'Data Core CPI'!$A:$AX,MATCH($K$1,'Data Core CPI'!$A$1:$AX$1,),)-VLOOKUP(EDATE(B108,-12),'Data Core CPI'!$A:$AX,MATCH($K$1,'Data Core CPI'!$A$1:$AX$1,),))/VLOOKUP(EDATE(B108,-12),'Data Core CPI'!$A:$AX,MATCH($K$1,'Data Core CPI'!$A$1:$AX$1,),))</f>
        <v/>
      </c>
      <c r="L108" s="20">
        <f>IF(VLOOKUP(B108,'Data Core CPI'!$A:$AX,MATCH($L$1,'Data Core CPI'!$A$1:$AX$1,),)=0,#N/A,(VLOOKUP(B108,'Data Core CPI'!$A:$AX,MATCH($L$1,'Data Core CPI'!$A$1:$AX$1,),)-VLOOKUP(EDATE(B108,-12),'Data Core CPI'!$A:$AX,MATCH($L$1,'Data Core CPI'!$A$1:$AX$1,),))/VLOOKUP(EDATE(B108,-12),'Data Core CPI'!$A:$AX,MATCH($L$1,'Data Core CPI'!$A$1:$AX$1,),))</f>
        <v/>
      </c>
      <c r="M108" s="20">
        <f>IF(VLOOKUP(B108,'Data Core CPI'!$A:$AX,MATCH($M$1,'Data Core CPI'!$A$1:$AX$1,),)=0,#N/A,(VLOOKUP(B108,'Data Core CPI'!$A:$AX,MATCH($M$1,'Data Core CPI'!$A$1:$AX$1,),)-VLOOKUP(EDATE(B108,-12),'Data Core CPI'!$A:$AX,MATCH($M$1,'Data Core CPI'!$A$1:$AX$1,),))/VLOOKUP(EDATE(B108,-12),'Data Core CPI'!$A:$AX,MATCH($M$1,'Data Core CPI'!$A$1:$AX$1,),))</f>
        <v/>
      </c>
      <c r="N108" s="20">
        <f>(VLOOKUP(B108,'Data Core CPI'!$A:$AX,MATCH($N$1,'Data Core CPI'!$A$1:$AX$1,),)-VLOOKUP(EDATE(B108,-12),'Data Core CPI'!$A:$AX,MATCH($N$1,'Data Core CPI'!$A$1:$AX$1,),))/VLOOKUP(EDATE(B108,-12),'Data Core CPI'!$A:$AX,MATCH($N$1,'Data Core CPI'!$A$1:$AX$1,),)</f>
        <v/>
      </c>
      <c r="O108" s="20">
        <f>(VLOOKUP(B108,'Data Core CPI'!$A:$AX,MATCH($O$1,'Data Core CPI'!$A$1:$AX$1,),)-VLOOKUP(EDATE(B108,-12),'Data Core CPI'!$A:$AX,MATCH($O$1,'Data Core CPI'!$A$1:$AX$1,),))/VLOOKUP(EDATE(B108,-12),'Data Core CPI'!$A:$AX,MATCH($O$1,'Data Core CPI'!$A$1:$AX$1,),)</f>
        <v/>
      </c>
      <c r="P108" s="20">
        <f>IF(VLOOKUP(B108,'Data Core CPI'!$A:$AX,MATCH($P$1,'Data Core CPI'!$A$1:$AX$1,),)=0,#N/A,(VLOOKUP(B108,'Data Core CPI'!$A:$AX,MATCH($P$1,'Data Core CPI'!$A$1:$AX$1,),)-VLOOKUP(EDATE(B108,-12),'Data Core CPI'!$A:$AX,MATCH($P$1,'Data Core CPI'!$A$1:$AX$1,),))/VLOOKUP(EDATE(B108,-12),'Data Core CPI'!$A:$AX,MATCH($P$1,'Data Core CPI'!$A$1:$AX$1,),))</f>
        <v/>
      </c>
      <c r="Q108" s="20">
        <f>(VLOOKUP(B108,'Data Core CPI'!$A:$AX,MATCH($Q$1,'Data Core CPI'!$A$1:$AX$1,),)-VLOOKUP(EDATE(B108,-12),'Data Core CPI'!$A:$AX,MATCH($Q$1,'Data Core CPI'!$A$1:$AX$1,),))/VLOOKUP(EDATE(B108,-12),'Data Core CPI'!$A:$AX,MATCH($Q$1,'Data Core CPI'!$A$1:$AX$1,),)</f>
        <v/>
      </c>
      <c r="R108" s="20">
        <f>IF(VLOOKUP(B108,'Data Core CPI'!$A:$AX,MATCH($R$1,'Data Core CPI'!$A$1:$AX$1,),)=0,#N/A,(VLOOKUP(B108,'Data Core CPI'!$A:$AX,MATCH($R$1,'Data Core CPI'!$A$1:$AX$1,),)-VLOOKUP(EDATE(B108,-12),'Data Core CPI'!$A:$AX,MATCH($R$1,'Data Core CPI'!$A$1:$AX$1,),))/VLOOKUP(EDATE(B108,-12),'Data Core CPI'!$A:$AX,MATCH($R$1,'Data Core CPI'!$A$1:$AX$1,),))</f>
        <v/>
      </c>
      <c r="S108" s="20">
        <f>(VLOOKUP(B108,'Data Core CPI'!$A:$AX,MATCH($S$1,'Data Core CPI'!$A$1:$AX$1,),)-VLOOKUP(EDATE(B108,-12),'Data Core CPI'!$A:$AX,MATCH($S$1,'Data Core CPI'!$A$1:$AX$1,),))/VLOOKUP(EDATE(B108,-12),'Data Core CPI'!$A:$AX,MATCH($S$1,'Data Core CPI'!$A$1:$AX$1,),)</f>
        <v/>
      </c>
      <c r="T108" s="20">
        <f>(VLOOKUP(B108,'Data Core CPI'!$A:$AX,MATCH($T$1,'Data Core CPI'!$A$1:$AX$1,),)-VLOOKUP(EDATE(B108,-12),'Data Core CPI'!$A:$AX,MATCH($T$1,'Data Core CPI'!$A$1:$AX$1,),))/VLOOKUP(EDATE(B108,-12),'Data Core CPI'!$A:$AX,MATCH($T$1,'Data Core CPI'!$A$1:$AX$1,),)</f>
        <v/>
      </c>
      <c r="U108" s="20">
        <f>IF(VLOOKUP(B108,'Data Core CPI'!$A:$AX,MATCH($U$1,'Data Core CPI'!$A$1:$AX$1,),)=0,#N/A,(VLOOKUP(B108,'Data Core CPI'!$A:$AX,MATCH($U$1,'Data Core CPI'!$A$1:$AX$1,),)-VLOOKUP(EDATE(B108,-12),'Data Core CPI'!$A:$AX,MATCH($U$1,'Data Core CPI'!$A$1:$AX$1,),))/VLOOKUP(EDATE(B108,-12),'Data Core CPI'!$A:$AX,MATCH($U$1,'Data Core CPI'!$A$1:$AX$1,),))</f>
        <v/>
      </c>
      <c r="V108" s="20">
        <f>(VLOOKUP(B108,'Data Core CPI'!$A:$AX,MATCH($V$1,'Data Core CPI'!$A$1:$AX$1,),)-VLOOKUP(EDATE(B108,-12),'Data Core CPI'!$A:$AX,MATCH($V$1,'Data Core CPI'!$A$1:$AX$1,),))/VLOOKUP(EDATE(B108,-12),'Data Core CPI'!$A:$AX,MATCH($V$1,'Data Core CPI'!$A$1:$AX$1,),)</f>
        <v/>
      </c>
      <c r="W108" s="20">
        <f>IF(VLOOKUP(B108,'Data Core CPI'!$A:$AX,MATCH($W$1,'Data Core CPI'!$A$1:$AX$1,),)=0,#N/A,(VLOOKUP(B108,'Data Core CPI'!$A:$AX,MATCH($W$1,'Data Core CPI'!$A$1:$AX$1,),)-VLOOKUP(EDATE(B108,-12),'Data Core CPI'!$A:$AX,MATCH($W$1,'Data Core CPI'!$A$1:$AX$1,),))/VLOOKUP(EDATE(B108,-12),'Data Core CPI'!$A:$AX,MATCH($W$1,'Data Core CPI'!$A$1:$AX$1,),))</f>
        <v/>
      </c>
      <c r="X108" s="20">
        <f>IF(VLOOKUP(B108,'Data Core CPI'!$A:$AX,MATCH($X$1,'Data Core CPI'!$A$1:$AX$1,),)=0,#N/A,(VLOOKUP(B108,'Data Core CPI'!$A:$AX,MATCH($X$1,'Data Core CPI'!$A$1:$AX$1,),)-VLOOKUP(EDATE(B108,-12),'Data Core CPI'!$A:$AX,MATCH($X$1,'Data Core CPI'!$A$1:$AX$1,),))/VLOOKUP(EDATE(B108,-12),'Data Core CPI'!$A:$AX,MATCH($X$1,'Data Core CPI'!$A$1:$AX$1,),))</f>
        <v/>
      </c>
      <c r="Y108" s="20">
        <f>IF(VLOOKUP(B108,'Data Core CPI'!$A:$AX,MATCH($Y$1,'Data Core CPI'!$A$1:$AX$1,),)=0,#N/A,(VLOOKUP(B108,'Data Core CPI'!$A:$AX,MATCH($Y$1,'Data Core CPI'!$A$1:$AX$1,),)-VLOOKUP(EDATE(B108,-12),'Data Core CPI'!$A:$AX,MATCH($Y$1,'Data Core CPI'!$A$1:$AX$1,),))/VLOOKUP(EDATE(B108,-12),'Data Core CPI'!$A:$AX,MATCH($Y$1,'Data Core CPI'!$A$1:$AX$1,),))</f>
        <v/>
      </c>
    </row>
    <row r="109" customFormat="1" s="78">
      <c r="B109" s="15" t="n">
        <v>43525</v>
      </c>
      <c r="C109" s="20">
        <f>IF(VLOOKUP(B109,'Data Core CPI'!$A:$AX,MATCH($C$1,'Data Core CPI'!$A$1:$AX$1,),)=0,#N/A,(VLOOKUP(B109,'Data Core CPI'!$A:$AX,MATCH($C$1,'Data Core CPI'!$A$1:$AX$1,),)-VLOOKUP(EDATE(B109,-12),'Data Core CPI'!$A:$AX,MATCH($C$1,'Data Core CPI'!$A$1:$AX$1,),))/VLOOKUP(EDATE(B109,-12),'Data Core CPI'!$A:$AX,MATCH($C$1,'Data Core CPI'!$A$1:$AX$1,),))</f>
        <v/>
      </c>
      <c r="D109" s="20">
        <f>(VLOOKUP(B109,'Data Core CPI'!$A:$AX,MATCH($D$1,'Data Core CPI'!$A$1:$AX$1,),)-VLOOKUP(EDATE(B109,-12),'Data Core CPI'!$A:$AX,MATCH($D$1,'Data Core CPI'!$A$1:$AX$1,),))/VLOOKUP(EDATE(B109,-12),'Data Core CPI'!$A:$AX,MATCH($D$1,'Data Core CPI'!$A$1:$AX$1,),)</f>
        <v/>
      </c>
      <c r="E109" s="20">
        <f>IF(VLOOKUP(B109,'Data Core CPI'!$A:$AX,MATCH($E$1,'Data Core CPI'!$A$1:$AX$1,),)=0,#N/A,(VLOOKUP(B109,'Data Core CPI'!$A:$AX,MATCH($E$1,'Data Core CPI'!$A$1:$AX$1,),)-VLOOKUP(EDATE(B109,-12),'Data Core CPI'!$A:$AX,MATCH($E$1,'Data Core CPI'!$A$1:$AX$1,),))/VLOOKUP(EDATE(B109,-12),'Data Core CPI'!$A:$AX,MATCH($E$1,'Data Core CPI'!$A$1:$AX$1,),))</f>
        <v/>
      </c>
      <c r="F109" s="20">
        <f>IF(VLOOKUP(B109,'Data Core CPI'!$A:$AX,MATCH($F$1,'Data Core CPI'!$A$1:$AX$1,),)=0,#N/A,(VLOOKUP(B109,'Data Core CPI'!$A:$AX,MATCH($F$1,'Data Core CPI'!$A$1:$AX$1,),)-VLOOKUP(EDATE(B109,-12),'Data Core CPI'!$A:$AX,MATCH($F$1,'Data Core CPI'!$A$1:$AX$1,),))/VLOOKUP(EDATE(B109,-12),'Data Core CPI'!$A:$AX,MATCH($F$1,'Data Core CPI'!$A$1:$AX$1,),))</f>
        <v/>
      </c>
      <c r="G109" s="20">
        <f>IF(VLOOKUP(B109,'Data Core CPI'!$A:$AX,MATCH($G$1,'Data Core CPI'!$A$1:$AX$1,),)=0,#N/A,(VLOOKUP(B109,'Data Core CPI'!$A:$AX,MATCH($G$1,'Data Core CPI'!$A$1:$AX$1,),)-VLOOKUP(EDATE(B109,-12),'Data Core CPI'!$A:$AX,MATCH($G$1,'Data Core CPI'!$A$1:$AX$1,),))/VLOOKUP(EDATE(B109,-12),'Data Core CPI'!$A:$AX,MATCH($G$1,'Data Core CPI'!$A$1:$AX$1,),))</f>
        <v/>
      </c>
      <c r="H109" s="20">
        <f>IF(VLOOKUP(B109,'Data Core CPI'!$A:$AX,MATCH($H$1,'Data Core CPI'!$A$1:$AX$1,),)=0,#N/A,(VLOOKUP(B109,'Data Core CPI'!$A:$AX,MATCH($H$1,'Data Core CPI'!$A$1:$AX$1,),)-VLOOKUP(EDATE(B109,-12),'Data Core CPI'!$A:$AX,MATCH($H$1,'Data Core CPI'!$A$1:$AX$1,),))/VLOOKUP(EDATE(B109,-12),'Data Core CPI'!$A:$AX,MATCH($H$1,'Data Core CPI'!$A$1:$AX$1,),))</f>
        <v/>
      </c>
      <c r="I109" s="20">
        <f>IF(VLOOKUP(B109,'Data Core CPI'!$A:$AX,MATCH($I$1,'Data Core CPI'!$A$1:$AX$1,),)=0,#N/A,(VLOOKUP(B109,'Data Core CPI'!$A:$AX,MATCH($I$1,'Data Core CPI'!$A$1:$AX$1,),)-VLOOKUP(EDATE(B109,-12),'Data Core CPI'!$A:$AX,MATCH($I$1,'Data Core CPI'!$A$1:$AX$1,),))/VLOOKUP(EDATE(B109,-12),'Data Core CPI'!$A:$AX,MATCH($I$1,'Data Core CPI'!$A$1:$AX$1,),))</f>
        <v/>
      </c>
      <c r="J109" s="20">
        <f>IF(VLOOKUP(B109,'Data Core CPI'!$A:$AX,MATCH($J$1,'Data Core CPI'!$A$1:$AX$1,),)=0,#N/A,(VLOOKUP(B109,'Data Core CPI'!$A:$AX,MATCH($J$1,'Data Core CPI'!$A$1:$AX$1,),)-VLOOKUP(EDATE(B109,-12),'Data Core CPI'!$A:$AX,MATCH($J$1,'Data Core CPI'!$A$1:$AX$1,),))/VLOOKUP(EDATE(B109,-12),'Data Core CPI'!$A:$AX,MATCH($J$1,'Data Core CPI'!$A$1:$AX$1,),))</f>
        <v/>
      </c>
      <c r="K109" s="20">
        <f>IF(VLOOKUP(B109,'Data Core CPI'!$A:$AX,MATCH($K$1,'Data Core CPI'!$A$1:$AX$1,),)=0,#N/A,(VLOOKUP(B109,'Data Core CPI'!$A:$AX,MATCH($K$1,'Data Core CPI'!$A$1:$AX$1,),)-VLOOKUP(EDATE(B109,-12),'Data Core CPI'!$A:$AX,MATCH($K$1,'Data Core CPI'!$A$1:$AX$1,),))/VLOOKUP(EDATE(B109,-12),'Data Core CPI'!$A:$AX,MATCH($K$1,'Data Core CPI'!$A$1:$AX$1,),))</f>
        <v/>
      </c>
      <c r="L109" s="20">
        <f>IF(VLOOKUP(B109,'Data Core CPI'!$A:$AX,MATCH($L$1,'Data Core CPI'!$A$1:$AX$1,),)=0,#N/A,(VLOOKUP(B109,'Data Core CPI'!$A:$AX,MATCH($L$1,'Data Core CPI'!$A$1:$AX$1,),)-VLOOKUP(EDATE(B109,-12),'Data Core CPI'!$A:$AX,MATCH($L$1,'Data Core CPI'!$A$1:$AX$1,),))/VLOOKUP(EDATE(B109,-12),'Data Core CPI'!$A:$AX,MATCH($L$1,'Data Core CPI'!$A$1:$AX$1,),))</f>
        <v/>
      </c>
      <c r="M109" s="20">
        <f>IF(VLOOKUP(B109,'Data Core CPI'!$A:$AX,MATCH($M$1,'Data Core CPI'!$A$1:$AX$1,),)=0,#N/A,(VLOOKUP(B109,'Data Core CPI'!$A:$AX,MATCH($M$1,'Data Core CPI'!$A$1:$AX$1,),)-VLOOKUP(EDATE(B109,-12),'Data Core CPI'!$A:$AX,MATCH($M$1,'Data Core CPI'!$A$1:$AX$1,),))/VLOOKUP(EDATE(B109,-12),'Data Core CPI'!$A:$AX,MATCH($M$1,'Data Core CPI'!$A$1:$AX$1,),))</f>
        <v/>
      </c>
      <c r="N109" s="20">
        <f>(VLOOKUP(B109,'Data Core CPI'!$A:$AX,MATCH($N$1,'Data Core CPI'!$A$1:$AX$1,),)-VLOOKUP(EDATE(B109,-12),'Data Core CPI'!$A:$AX,MATCH($N$1,'Data Core CPI'!$A$1:$AX$1,),))/VLOOKUP(EDATE(B109,-12),'Data Core CPI'!$A:$AX,MATCH($N$1,'Data Core CPI'!$A$1:$AX$1,),)</f>
        <v/>
      </c>
      <c r="O109" s="20">
        <f>(VLOOKUP(B109,'Data Core CPI'!$A:$AX,MATCH($O$1,'Data Core CPI'!$A$1:$AX$1,),)-VLOOKUP(EDATE(B109,-12),'Data Core CPI'!$A:$AX,MATCH($O$1,'Data Core CPI'!$A$1:$AX$1,),))/VLOOKUP(EDATE(B109,-12),'Data Core CPI'!$A:$AX,MATCH($O$1,'Data Core CPI'!$A$1:$AX$1,),)</f>
        <v/>
      </c>
      <c r="P109" s="20">
        <f>IF(VLOOKUP(B109,'Data Core CPI'!$A:$AX,MATCH($P$1,'Data Core CPI'!$A$1:$AX$1,),)=0,#N/A,(VLOOKUP(B109,'Data Core CPI'!$A:$AX,MATCH($P$1,'Data Core CPI'!$A$1:$AX$1,),)-VLOOKUP(EDATE(B109,-12),'Data Core CPI'!$A:$AX,MATCH($P$1,'Data Core CPI'!$A$1:$AX$1,),))/VLOOKUP(EDATE(B109,-12),'Data Core CPI'!$A:$AX,MATCH($P$1,'Data Core CPI'!$A$1:$AX$1,),))</f>
        <v/>
      </c>
      <c r="Q109" s="20">
        <f>(VLOOKUP(B109,'Data Core CPI'!$A:$AX,MATCH($Q$1,'Data Core CPI'!$A$1:$AX$1,),)-VLOOKUP(EDATE(B109,-12),'Data Core CPI'!$A:$AX,MATCH($Q$1,'Data Core CPI'!$A$1:$AX$1,),))/VLOOKUP(EDATE(B109,-12),'Data Core CPI'!$A:$AX,MATCH($Q$1,'Data Core CPI'!$A$1:$AX$1,),)</f>
        <v/>
      </c>
      <c r="R109" s="20">
        <f>IF(VLOOKUP(B109,'Data Core CPI'!$A:$AX,MATCH($R$1,'Data Core CPI'!$A$1:$AX$1,),)=0,#N/A,(VLOOKUP(B109,'Data Core CPI'!$A:$AX,MATCH($R$1,'Data Core CPI'!$A$1:$AX$1,),)-VLOOKUP(EDATE(B109,-12),'Data Core CPI'!$A:$AX,MATCH($R$1,'Data Core CPI'!$A$1:$AX$1,),))/VLOOKUP(EDATE(B109,-12),'Data Core CPI'!$A:$AX,MATCH($R$1,'Data Core CPI'!$A$1:$AX$1,),))</f>
        <v/>
      </c>
      <c r="S109" s="20">
        <f>(VLOOKUP(B109,'Data Core CPI'!$A:$AX,MATCH($S$1,'Data Core CPI'!$A$1:$AX$1,),)-VLOOKUP(EDATE(B109,-12),'Data Core CPI'!$A:$AX,MATCH($S$1,'Data Core CPI'!$A$1:$AX$1,),))/VLOOKUP(EDATE(B109,-12),'Data Core CPI'!$A:$AX,MATCH($S$1,'Data Core CPI'!$A$1:$AX$1,),)</f>
        <v/>
      </c>
      <c r="T109" s="20">
        <f>(VLOOKUP(B109,'Data Core CPI'!$A:$AX,MATCH($T$1,'Data Core CPI'!$A$1:$AX$1,),)-VLOOKUP(EDATE(B109,-12),'Data Core CPI'!$A:$AX,MATCH($T$1,'Data Core CPI'!$A$1:$AX$1,),))/VLOOKUP(EDATE(B109,-12),'Data Core CPI'!$A:$AX,MATCH($T$1,'Data Core CPI'!$A$1:$AX$1,),)</f>
        <v/>
      </c>
      <c r="U109" s="20">
        <f>IF(VLOOKUP(B109,'Data Core CPI'!$A:$AX,MATCH($U$1,'Data Core CPI'!$A$1:$AX$1,),)=0,#N/A,(VLOOKUP(B109,'Data Core CPI'!$A:$AX,MATCH($U$1,'Data Core CPI'!$A$1:$AX$1,),)-VLOOKUP(EDATE(B109,-12),'Data Core CPI'!$A:$AX,MATCH($U$1,'Data Core CPI'!$A$1:$AX$1,),))/VLOOKUP(EDATE(B109,-12),'Data Core CPI'!$A:$AX,MATCH($U$1,'Data Core CPI'!$A$1:$AX$1,),))</f>
        <v/>
      </c>
      <c r="V109" s="20">
        <f>(VLOOKUP(B109,'Data Core CPI'!$A:$AX,MATCH($V$1,'Data Core CPI'!$A$1:$AX$1,),)-VLOOKUP(EDATE(B109,-12),'Data Core CPI'!$A:$AX,MATCH($V$1,'Data Core CPI'!$A$1:$AX$1,),))/VLOOKUP(EDATE(B109,-12),'Data Core CPI'!$A:$AX,MATCH($V$1,'Data Core CPI'!$A$1:$AX$1,),)</f>
        <v/>
      </c>
      <c r="W109" s="20">
        <f>IF(VLOOKUP(B109,'Data Core CPI'!$A:$AX,MATCH($W$1,'Data Core CPI'!$A$1:$AX$1,),)=0,#N/A,(VLOOKUP(B109,'Data Core CPI'!$A:$AX,MATCH($W$1,'Data Core CPI'!$A$1:$AX$1,),)-VLOOKUP(EDATE(B109,-12),'Data Core CPI'!$A:$AX,MATCH($W$1,'Data Core CPI'!$A$1:$AX$1,),))/VLOOKUP(EDATE(B109,-12),'Data Core CPI'!$A:$AX,MATCH($W$1,'Data Core CPI'!$A$1:$AX$1,),))</f>
        <v/>
      </c>
      <c r="X109" s="20">
        <f>IF(VLOOKUP(B109,'Data Core CPI'!$A:$AX,MATCH($X$1,'Data Core CPI'!$A$1:$AX$1,),)=0,#N/A,(VLOOKUP(B109,'Data Core CPI'!$A:$AX,MATCH($X$1,'Data Core CPI'!$A$1:$AX$1,),)-VLOOKUP(EDATE(B109,-12),'Data Core CPI'!$A:$AX,MATCH($X$1,'Data Core CPI'!$A$1:$AX$1,),))/VLOOKUP(EDATE(B109,-12),'Data Core CPI'!$A:$AX,MATCH($X$1,'Data Core CPI'!$A$1:$AX$1,),))</f>
        <v/>
      </c>
      <c r="Y109" s="20">
        <f>IF(VLOOKUP(B109,'Data Core CPI'!$A:$AX,MATCH($Y$1,'Data Core CPI'!$A$1:$AX$1,),)=0,#N/A,(VLOOKUP(B109,'Data Core CPI'!$A:$AX,MATCH($Y$1,'Data Core CPI'!$A$1:$AX$1,),)-VLOOKUP(EDATE(B109,-12),'Data Core CPI'!$A:$AX,MATCH($Y$1,'Data Core CPI'!$A$1:$AX$1,),))/VLOOKUP(EDATE(B109,-12),'Data Core CPI'!$A:$AX,MATCH($Y$1,'Data Core CPI'!$A$1:$AX$1,),))</f>
        <v/>
      </c>
    </row>
    <row r="110" customFormat="1" s="78">
      <c r="B110" s="15" t="n">
        <v>43556</v>
      </c>
      <c r="C110" s="20">
        <f>IF(VLOOKUP(B110,'Data Core CPI'!$A:$AX,MATCH($C$1,'Data Core CPI'!$A$1:$AX$1,),)=0,#N/A,(VLOOKUP(B110,'Data Core CPI'!$A:$AX,MATCH($C$1,'Data Core CPI'!$A$1:$AX$1,),)-VLOOKUP(EDATE(B110,-12),'Data Core CPI'!$A:$AX,MATCH($C$1,'Data Core CPI'!$A$1:$AX$1,),))/VLOOKUP(EDATE(B110,-12),'Data Core CPI'!$A:$AX,MATCH($C$1,'Data Core CPI'!$A$1:$AX$1,),))</f>
        <v/>
      </c>
      <c r="D110" s="20">
        <f>(VLOOKUP(B110,'Data Core CPI'!$A:$AX,MATCH($D$1,'Data Core CPI'!$A$1:$AX$1,),)-VLOOKUP(EDATE(B110,-12),'Data Core CPI'!$A:$AX,MATCH($D$1,'Data Core CPI'!$A$1:$AX$1,),))/VLOOKUP(EDATE(B110,-12),'Data Core CPI'!$A:$AX,MATCH($D$1,'Data Core CPI'!$A$1:$AX$1,),)</f>
        <v/>
      </c>
      <c r="E110" s="20">
        <f>IF(VLOOKUP(B110,'Data Core CPI'!$A:$AX,MATCH($E$1,'Data Core CPI'!$A$1:$AX$1,),)=0,#N/A,(VLOOKUP(B110,'Data Core CPI'!$A:$AX,MATCH($E$1,'Data Core CPI'!$A$1:$AX$1,),)-VLOOKUP(EDATE(B110,-12),'Data Core CPI'!$A:$AX,MATCH($E$1,'Data Core CPI'!$A$1:$AX$1,),))/VLOOKUP(EDATE(B110,-12),'Data Core CPI'!$A:$AX,MATCH($E$1,'Data Core CPI'!$A$1:$AX$1,),))</f>
        <v/>
      </c>
      <c r="F110" s="20">
        <f>IF(VLOOKUP(B110,'Data Core CPI'!$A:$AX,MATCH($F$1,'Data Core CPI'!$A$1:$AX$1,),)=0,#N/A,(VLOOKUP(B110,'Data Core CPI'!$A:$AX,MATCH($F$1,'Data Core CPI'!$A$1:$AX$1,),)-VLOOKUP(EDATE(B110,-12),'Data Core CPI'!$A:$AX,MATCH($F$1,'Data Core CPI'!$A$1:$AX$1,),))/VLOOKUP(EDATE(B110,-12),'Data Core CPI'!$A:$AX,MATCH($F$1,'Data Core CPI'!$A$1:$AX$1,),))</f>
        <v/>
      </c>
      <c r="G110" s="20">
        <f>IF(VLOOKUP(B110,'Data Core CPI'!$A:$AX,MATCH($G$1,'Data Core CPI'!$A$1:$AX$1,),)=0,#N/A,(VLOOKUP(B110,'Data Core CPI'!$A:$AX,MATCH($G$1,'Data Core CPI'!$A$1:$AX$1,),)-VLOOKUP(EDATE(B110,-12),'Data Core CPI'!$A:$AX,MATCH($G$1,'Data Core CPI'!$A$1:$AX$1,),))/VLOOKUP(EDATE(B110,-12),'Data Core CPI'!$A:$AX,MATCH($G$1,'Data Core CPI'!$A$1:$AX$1,),))</f>
        <v/>
      </c>
      <c r="H110" s="20">
        <f>IF(VLOOKUP(B110,'Data Core CPI'!$A:$AX,MATCH($H$1,'Data Core CPI'!$A$1:$AX$1,),)=0,#N/A,(VLOOKUP(B110,'Data Core CPI'!$A:$AX,MATCH($H$1,'Data Core CPI'!$A$1:$AX$1,),)-VLOOKUP(EDATE(B110,-12),'Data Core CPI'!$A:$AX,MATCH($H$1,'Data Core CPI'!$A$1:$AX$1,),))/VLOOKUP(EDATE(B110,-12),'Data Core CPI'!$A:$AX,MATCH($H$1,'Data Core CPI'!$A$1:$AX$1,),))</f>
        <v/>
      </c>
      <c r="I110" s="20">
        <f>IF(VLOOKUP(B110,'Data Core CPI'!$A:$AX,MATCH($I$1,'Data Core CPI'!$A$1:$AX$1,),)=0,#N/A,(VLOOKUP(B110,'Data Core CPI'!$A:$AX,MATCH($I$1,'Data Core CPI'!$A$1:$AX$1,),)-VLOOKUP(EDATE(B110,-12),'Data Core CPI'!$A:$AX,MATCH($I$1,'Data Core CPI'!$A$1:$AX$1,),))/VLOOKUP(EDATE(B110,-12),'Data Core CPI'!$A:$AX,MATCH($I$1,'Data Core CPI'!$A$1:$AX$1,),))</f>
        <v/>
      </c>
      <c r="J110" s="20">
        <f>IF(VLOOKUP(B110,'Data Core CPI'!$A:$AX,MATCH($J$1,'Data Core CPI'!$A$1:$AX$1,),)=0,#N/A,(VLOOKUP(B110,'Data Core CPI'!$A:$AX,MATCH($J$1,'Data Core CPI'!$A$1:$AX$1,),)-VLOOKUP(EDATE(B110,-12),'Data Core CPI'!$A:$AX,MATCH($J$1,'Data Core CPI'!$A$1:$AX$1,),))/VLOOKUP(EDATE(B110,-12),'Data Core CPI'!$A:$AX,MATCH($J$1,'Data Core CPI'!$A$1:$AX$1,),))</f>
        <v/>
      </c>
      <c r="K110" s="20">
        <f>IF(VLOOKUP(B110,'Data Core CPI'!$A:$AX,MATCH($K$1,'Data Core CPI'!$A$1:$AX$1,),)=0,#N/A,(VLOOKUP(B110,'Data Core CPI'!$A:$AX,MATCH($K$1,'Data Core CPI'!$A$1:$AX$1,),)-VLOOKUP(EDATE(B110,-12),'Data Core CPI'!$A:$AX,MATCH($K$1,'Data Core CPI'!$A$1:$AX$1,),))/VLOOKUP(EDATE(B110,-12),'Data Core CPI'!$A:$AX,MATCH($K$1,'Data Core CPI'!$A$1:$AX$1,),))</f>
        <v/>
      </c>
      <c r="L110" s="20">
        <f>IF(VLOOKUP(B110,'Data Core CPI'!$A:$AX,MATCH($L$1,'Data Core CPI'!$A$1:$AX$1,),)=0,#N/A,(VLOOKUP(B110,'Data Core CPI'!$A:$AX,MATCH($L$1,'Data Core CPI'!$A$1:$AX$1,),)-VLOOKUP(EDATE(B110,-12),'Data Core CPI'!$A:$AX,MATCH($L$1,'Data Core CPI'!$A$1:$AX$1,),))/VLOOKUP(EDATE(B110,-12),'Data Core CPI'!$A:$AX,MATCH($L$1,'Data Core CPI'!$A$1:$AX$1,),))</f>
        <v/>
      </c>
      <c r="M110" s="20">
        <f>IF(VLOOKUP(B110,'Data Core CPI'!$A:$AX,MATCH($M$1,'Data Core CPI'!$A$1:$AX$1,),)=0,#N/A,(VLOOKUP(B110,'Data Core CPI'!$A:$AX,MATCH($M$1,'Data Core CPI'!$A$1:$AX$1,),)-VLOOKUP(EDATE(B110,-12),'Data Core CPI'!$A:$AX,MATCH($M$1,'Data Core CPI'!$A$1:$AX$1,),))/VLOOKUP(EDATE(B110,-12),'Data Core CPI'!$A:$AX,MATCH($M$1,'Data Core CPI'!$A$1:$AX$1,),))</f>
        <v/>
      </c>
      <c r="N110" s="20">
        <f>(VLOOKUP(B110,'Data Core CPI'!$A:$AX,MATCH($N$1,'Data Core CPI'!$A$1:$AX$1,),)-VLOOKUP(EDATE(B110,-12),'Data Core CPI'!$A:$AX,MATCH($N$1,'Data Core CPI'!$A$1:$AX$1,),))/VLOOKUP(EDATE(B110,-12),'Data Core CPI'!$A:$AX,MATCH($N$1,'Data Core CPI'!$A$1:$AX$1,),)</f>
        <v/>
      </c>
      <c r="O110" s="20">
        <f>(VLOOKUP(B110,'Data Core CPI'!$A:$AX,MATCH($O$1,'Data Core CPI'!$A$1:$AX$1,),)-VLOOKUP(EDATE(B110,-12),'Data Core CPI'!$A:$AX,MATCH($O$1,'Data Core CPI'!$A$1:$AX$1,),))/VLOOKUP(EDATE(B110,-12),'Data Core CPI'!$A:$AX,MATCH($O$1,'Data Core CPI'!$A$1:$AX$1,),)</f>
        <v/>
      </c>
      <c r="P110" s="20">
        <f>IF(VLOOKUP(B110,'Data Core CPI'!$A:$AX,MATCH($P$1,'Data Core CPI'!$A$1:$AX$1,),)=0,#N/A,(VLOOKUP(B110,'Data Core CPI'!$A:$AX,MATCH($P$1,'Data Core CPI'!$A$1:$AX$1,),)-VLOOKUP(EDATE(B110,-12),'Data Core CPI'!$A:$AX,MATCH($P$1,'Data Core CPI'!$A$1:$AX$1,),))/VLOOKUP(EDATE(B110,-12),'Data Core CPI'!$A:$AX,MATCH($P$1,'Data Core CPI'!$A$1:$AX$1,),))</f>
        <v/>
      </c>
      <c r="Q110" s="20">
        <f>(VLOOKUP(B110,'Data Core CPI'!$A:$AX,MATCH($Q$1,'Data Core CPI'!$A$1:$AX$1,),)-VLOOKUP(EDATE(B110,-12),'Data Core CPI'!$A:$AX,MATCH($Q$1,'Data Core CPI'!$A$1:$AX$1,),))/VLOOKUP(EDATE(B110,-12),'Data Core CPI'!$A:$AX,MATCH($Q$1,'Data Core CPI'!$A$1:$AX$1,),)</f>
        <v/>
      </c>
      <c r="R110" s="20">
        <f>IF(VLOOKUP(B110,'Data Core CPI'!$A:$AX,MATCH($R$1,'Data Core CPI'!$A$1:$AX$1,),)=0,#N/A,(VLOOKUP(B110,'Data Core CPI'!$A:$AX,MATCH($R$1,'Data Core CPI'!$A$1:$AX$1,),)-VLOOKUP(EDATE(B110,-12),'Data Core CPI'!$A:$AX,MATCH($R$1,'Data Core CPI'!$A$1:$AX$1,),))/VLOOKUP(EDATE(B110,-12),'Data Core CPI'!$A:$AX,MATCH($R$1,'Data Core CPI'!$A$1:$AX$1,),))</f>
        <v/>
      </c>
      <c r="S110" s="20">
        <f>(VLOOKUP(B110,'Data Core CPI'!$A:$AX,MATCH($S$1,'Data Core CPI'!$A$1:$AX$1,),)-VLOOKUP(EDATE(B110,-12),'Data Core CPI'!$A:$AX,MATCH($S$1,'Data Core CPI'!$A$1:$AX$1,),))/VLOOKUP(EDATE(B110,-12),'Data Core CPI'!$A:$AX,MATCH($S$1,'Data Core CPI'!$A$1:$AX$1,),)</f>
        <v/>
      </c>
      <c r="T110" s="20">
        <f>(VLOOKUP(B110,'Data Core CPI'!$A:$AX,MATCH($T$1,'Data Core CPI'!$A$1:$AX$1,),)-VLOOKUP(EDATE(B110,-12),'Data Core CPI'!$A:$AX,MATCH($T$1,'Data Core CPI'!$A$1:$AX$1,),))/VLOOKUP(EDATE(B110,-12),'Data Core CPI'!$A:$AX,MATCH($T$1,'Data Core CPI'!$A$1:$AX$1,),)</f>
        <v/>
      </c>
      <c r="U110" s="20">
        <f>IF(VLOOKUP(B110,'Data Core CPI'!$A:$AX,MATCH($U$1,'Data Core CPI'!$A$1:$AX$1,),)=0,#N/A,(VLOOKUP(B110,'Data Core CPI'!$A:$AX,MATCH($U$1,'Data Core CPI'!$A$1:$AX$1,),)-VLOOKUP(EDATE(B110,-12),'Data Core CPI'!$A:$AX,MATCH($U$1,'Data Core CPI'!$A$1:$AX$1,),))/VLOOKUP(EDATE(B110,-12),'Data Core CPI'!$A:$AX,MATCH($U$1,'Data Core CPI'!$A$1:$AX$1,),))</f>
        <v/>
      </c>
      <c r="V110" s="20">
        <f>(VLOOKUP(B110,'Data Core CPI'!$A:$AX,MATCH($V$1,'Data Core CPI'!$A$1:$AX$1,),)-VLOOKUP(EDATE(B110,-12),'Data Core CPI'!$A:$AX,MATCH($V$1,'Data Core CPI'!$A$1:$AX$1,),))/VLOOKUP(EDATE(B110,-12),'Data Core CPI'!$A:$AX,MATCH($V$1,'Data Core CPI'!$A$1:$AX$1,),)</f>
        <v/>
      </c>
      <c r="W110" s="20">
        <f>IF(VLOOKUP(B110,'Data Core CPI'!$A:$AX,MATCH($W$1,'Data Core CPI'!$A$1:$AX$1,),)=0,#N/A,(VLOOKUP(B110,'Data Core CPI'!$A:$AX,MATCH($W$1,'Data Core CPI'!$A$1:$AX$1,),)-VLOOKUP(EDATE(B110,-12),'Data Core CPI'!$A:$AX,MATCH($W$1,'Data Core CPI'!$A$1:$AX$1,),))/VLOOKUP(EDATE(B110,-12),'Data Core CPI'!$A:$AX,MATCH($W$1,'Data Core CPI'!$A$1:$AX$1,),))</f>
        <v/>
      </c>
      <c r="X110" s="20">
        <f>IF(VLOOKUP(B110,'Data Core CPI'!$A:$AX,MATCH($X$1,'Data Core CPI'!$A$1:$AX$1,),)=0,#N/A,(VLOOKUP(B110,'Data Core CPI'!$A:$AX,MATCH($X$1,'Data Core CPI'!$A$1:$AX$1,),)-VLOOKUP(EDATE(B110,-12),'Data Core CPI'!$A:$AX,MATCH($X$1,'Data Core CPI'!$A$1:$AX$1,),))/VLOOKUP(EDATE(B110,-12),'Data Core CPI'!$A:$AX,MATCH($X$1,'Data Core CPI'!$A$1:$AX$1,),))</f>
        <v/>
      </c>
      <c r="Y110" s="20">
        <f>IF(VLOOKUP(B110,'Data Core CPI'!$A:$AX,MATCH($Y$1,'Data Core CPI'!$A$1:$AX$1,),)=0,#N/A,(VLOOKUP(B110,'Data Core CPI'!$A:$AX,MATCH($Y$1,'Data Core CPI'!$A$1:$AX$1,),)-VLOOKUP(EDATE(B110,-12),'Data Core CPI'!$A:$AX,MATCH($Y$1,'Data Core CPI'!$A$1:$AX$1,),))/VLOOKUP(EDATE(B110,-12),'Data Core CPI'!$A:$AX,MATCH($Y$1,'Data Core CPI'!$A$1:$AX$1,),))</f>
        <v/>
      </c>
    </row>
    <row r="111" customFormat="1" s="78">
      <c r="B111" s="15" t="n">
        <v>43586</v>
      </c>
      <c r="C111" s="20">
        <f>IF(VLOOKUP(B111,'Data Core CPI'!$A:$AX,MATCH($C$1,'Data Core CPI'!$A$1:$AX$1,),)=0,#N/A,(VLOOKUP(B111,'Data Core CPI'!$A:$AX,MATCH($C$1,'Data Core CPI'!$A$1:$AX$1,),)-VLOOKUP(EDATE(B111,-12),'Data Core CPI'!$A:$AX,MATCH($C$1,'Data Core CPI'!$A$1:$AX$1,),))/VLOOKUP(EDATE(B111,-12),'Data Core CPI'!$A:$AX,MATCH($C$1,'Data Core CPI'!$A$1:$AX$1,),))</f>
        <v/>
      </c>
      <c r="D111" s="20">
        <f>(VLOOKUP(B111,'Data Core CPI'!$A:$AX,MATCH($D$1,'Data Core CPI'!$A$1:$AX$1,),)-VLOOKUP(EDATE(B111,-12),'Data Core CPI'!$A:$AX,MATCH($D$1,'Data Core CPI'!$A$1:$AX$1,),))/VLOOKUP(EDATE(B111,-12),'Data Core CPI'!$A:$AX,MATCH($D$1,'Data Core CPI'!$A$1:$AX$1,),)</f>
        <v/>
      </c>
      <c r="E111" s="20">
        <f>IF(VLOOKUP(B111,'Data Core CPI'!$A:$AX,MATCH($E$1,'Data Core CPI'!$A$1:$AX$1,),)=0,#N/A,(VLOOKUP(B111,'Data Core CPI'!$A:$AX,MATCH($E$1,'Data Core CPI'!$A$1:$AX$1,),)-VLOOKUP(EDATE(B111,-12),'Data Core CPI'!$A:$AX,MATCH($E$1,'Data Core CPI'!$A$1:$AX$1,),))/VLOOKUP(EDATE(B111,-12),'Data Core CPI'!$A:$AX,MATCH($E$1,'Data Core CPI'!$A$1:$AX$1,),))</f>
        <v/>
      </c>
      <c r="F111" s="20">
        <f>IF(VLOOKUP(B111,'Data Core CPI'!$A:$AX,MATCH($F$1,'Data Core CPI'!$A$1:$AX$1,),)=0,#N/A,(VLOOKUP(B111,'Data Core CPI'!$A:$AX,MATCH($F$1,'Data Core CPI'!$A$1:$AX$1,),)-VLOOKUP(EDATE(B111,-12),'Data Core CPI'!$A:$AX,MATCH($F$1,'Data Core CPI'!$A$1:$AX$1,),))/VLOOKUP(EDATE(B111,-12),'Data Core CPI'!$A:$AX,MATCH($F$1,'Data Core CPI'!$A$1:$AX$1,),))</f>
        <v/>
      </c>
      <c r="G111" s="20">
        <f>IF(VLOOKUP(B111,'Data Core CPI'!$A:$AX,MATCH($G$1,'Data Core CPI'!$A$1:$AX$1,),)=0,#N/A,(VLOOKUP(B111,'Data Core CPI'!$A:$AX,MATCH($G$1,'Data Core CPI'!$A$1:$AX$1,),)-VLOOKUP(EDATE(B111,-12),'Data Core CPI'!$A:$AX,MATCH($G$1,'Data Core CPI'!$A$1:$AX$1,),))/VLOOKUP(EDATE(B111,-12),'Data Core CPI'!$A:$AX,MATCH($G$1,'Data Core CPI'!$A$1:$AX$1,),))</f>
        <v/>
      </c>
      <c r="H111" s="20">
        <f>IF(VLOOKUP(B111,'Data Core CPI'!$A:$AX,MATCH($H$1,'Data Core CPI'!$A$1:$AX$1,),)=0,#N/A,(VLOOKUP(B111,'Data Core CPI'!$A:$AX,MATCH($H$1,'Data Core CPI'!$A$1:$AX$1,),)-VLOOKUP(EDATE(B111,-12),'Data Core CPI'!$A:$AX,MATCH($H$1,'Data Core CPI'!$A$1:$AX$1,),))/VLOOKUP(EDATE(B111,-12),'Data Core CPI'!$A:$AX,MATCH($H$1,'Data Core CPI'!$A$1:$AX$1,),))</f>
        <v/>
      </c>
      <c r="I111" s="20">
        <f>IF(VLOOKUP(B111,'Data Core CPI'!$A:$AX,MATCH($I$1,'Data Core CPI'!$A$1:$AX$1,),)=0,#N/A,(VLOOKUP(B111,'Data Core CPI'!$A:$AX,MATCH($I$1,'Data Core CPI'!$A$1:$AX$1,),)-VLOOKUP(EDATE(B111,-12),'Data Core CPI'!$A:$AX,MATCH($I$1,'Data Core CPI'!$A$1:$AX$1,),))/VLOOKUP(EDATE(B111,-12),'Data Core CPI'!$A:$AX,MATCH($I$1,'Data Core CPI'!$A$1:$AX$1,),))</f>
        <v/>
      </c>
      <c r="J111" s="20">
        <f>IF(VLOOKUP(B111,'Data Core CPI'!$A:$AX,MATCH($J$1,'Data Core CPI'!$A$1:$AX$1,),)=0,#N/A,(VLOOKUP(B111,'Data Core CPI'!$A:$AX,MATCH($J$1,'Data Core CPI'!$A$1:$AX$1,),)-VLOOKUP(EDATE(B111,-12),'Data Core CPI'!$A:$AX,MATCH($J$1,'Data Core CPI'!$A$1:$AX$1,),))/VLOOKUP(EDATE(B111,-12),'Data Core CPI'!$A:$AX,MATCH($J$1,'Data Core CPI'!$A$1:$AX$1,),))</f>
        <v/>
      </c>
      <c r="K111" s="20">
        <f>IF(VLOOKUP(B111,'Data Core CPI'!$A:$AX,MATCH($K$1,'Data Core CPI'!$A$1:$AX$1,),)=0,#N/A,(VLOOKUP(B111,'Data Core CPI'!$A:$AX,MATCH($K$1,'Data Core CPI'!$A$1:$AX$1,),)-VLOOKUP(EDATE(B111,-12),'Data Core CPI'!$A:$AX,MATCH($K$1,'Data Core CPI'!$A$1:$AX$1,),))/VLOOKUP(EDATE(B111,-12),'Data Core CPI'!$A:$AX,MATCH($K$1,'Data Core CPI'!$A$1:$AX$1,),))</f>
        <v/>
      </c>
      <c r="L111" s="20">
        <f>IF(VLOOKUP(B111,'Data Core CPI'!$A:$AX,MATCH($L$1,'Data Core CPI'!$A$1:$AX$1,),)=0,#N/A,(VLOOKUP(B111,'Data Core CPI'!$A:$AX,MATCH($L$1,'Data Core CPI'!$A$1:$AX$1,),)-VLOOKUP(EDATE(B111,-12),'Data Core CPI'!$A:$AX,MATCH($L$1,'Data Core CPI'!$A$1:$AX$1,),))/VLOOKUP(EDATE(B111,-12),'Data Core CPI'!$A:$AX,MATCH($L$1,'Data Core CPI'!$A$1:$AX$1,),))</f>
        <v/>
      </c>
      <c r="M111" s="20">
        <f>IF(VLOOKUP(B111,'Data Core CPI'!$A:$AX,MATCH($M$1,'Data Core CPI'!$A$1:$AX$1,),)=0,#N/A,(VLOOKUP(B111,'Data Core CPI'!$A:$AX,MATCH($M$1,'Data Core CPI'!$A$1:$AX$1,),)-VLOOKUP(EDATE(B111,-12),'Data Core CPI'!$A:$AX,MATCH($M$1,'Data Core CPI'!$A$1:$AX$1,),))/VLOOKUP(EDATE(B111,-12),'Data Core CPI'!$A:$AX,MATCH($M$1,'Data Core CPI'!$A$1:$AX$1,),))</f>
        <v/>
      </c>
      <c r="N111" s="20">
        <f>(VLOOKUP(B111,'Data Core CPI'!$A:$AX,MATCH($N$1,'Data Core CPI'!$A$1:$AX$1,),)-VLOOKUP(EDATE(B111,-12),'Data Core CPI'!$A:$AX,MATCH($N$1,'Data Core CPI'!$A$1:$AX$1,),))/VLOOKUP(EDATE(B111,-12),'Data Core CPI'!$A:$AX,MATCH($N$1,'Data Core CPI'!$A$1:$AX$1,),)</f>
        <v/>
      </c>
      <c r="O111" s="20">
        <f>(VLOOKUP(B111,'Data Core CPI'!$A:$AX,MATCH($O$1,'Data Core CPI'!$A$1:$AX$1,),)-VLOOKUP(EDATE(B111,-12),'Data Core CPI'!$A:$AX,MATCH($O$1,'Data Core CPI'!$A$1:$AX$1,),))/VLOOKUP(EDATE(B111,-12),'Data Core CPI'!$A:$AX,MATCH($O$1,'Data Core CPI'!$A$1:$AX$1,),)</f>
        <v/>
      </c>
      <c r="P111" s="20">
        <f>IF(VLOOKUP(B111,'Data Core CPI'!$A:$AX,MATCH($P$1,'Data Core CPI'!$A$1:$AX$1,),)=0,#N/A,(VLOOKUP(B111,'Data Core CPI'!$A:$AX,MATCH($P$1,'Data Core CPI'!$A$1:$AX$1,),)-VLOOKUP(EDATE(B111,-12),'Data Core CPI'!$A:$AX,MATCH($P$1,'Data Core CPI'!$A$1:$AX$1,),))/VLOOKUP(EDATE(B111,-12),'Data Core CPI'!$A:$AX,MATCH($P$1,'Data Core CPI'!$A$1:$AX$1,),))</f>
        <v/>
      </c>
      <c r="Q111" s="20">
        <f>(VLOOKUP(B111,'Data Core CPI'!$A:$AX,MATCH($Q$1,'Data Core CPI'!$A$1:$AX$1,),)-VLOOKUP(EDATE(B111,-12),'Data Core CPI'!$A:$AX,MATCH($Q$1,'Data Core CPI'!$A$1:$AX$1,),))/VLOOKUP(EDATE(B111,-12),'Data Core CPI'!$A:$AX,MATCH($Q$1,'Data Core CPI'!$A$1:$AX$1,),)</f>
        <v/>
      </c>
      <c r="R111" s="20">
        <f>IF(VLOOKUP(B111,'Data Core CPI'!$A:$AX,MATCH($R$1,'Data Core CPI'!$A$1:$AX$1,),)=0,#N/A,(VLOOKUP(B111,'Data Core CPI'!$A:$AX,MATCH($R$1,'Data Core CPI'!$A$1:$AX$1,),)-VLOOKUP(EDATE(B111,-12),'Data Core CPI'!$A:$AX,MATCH($R$1,'Data Core CPI'!$A$1:$AX$1,),))/VLOOKUP(EDATE(B111,-12),'Data Core CPI'!$A:$AX,MATCH($R$1,'Data Core CPI'!$A$1:$AX$1,),))</f>
        <v/>
      </c>
      <c r="S111" s="20">
        <f>(VLOOKUP(B111,'Data Core CPI'!$A:$AX,MATCH($S$1,'Data Core CPI'!$A$1:$AX$1,),)-VLOOKUP(EDATE(B111,-12),'Data Core CPI'!$A:$AX,MATCH($S$1,'Data Core CPI'!$A$1:$AX$1,),))/VLOOKUP(EDATE(B111,-12),'Data Core CPI'!$A:$AX,MATCH($S$1,'Data Core CPI'!$A$1:$AX$1,),)</f>
        <v/>
      </c>
      <c r="T111" s="20">
        <f>(VLOOKUP(B111,'Data Core CPI'!$A:$AX,MATCH($T$1,'Data Core CPI'!$A$1:$AX$1,),)-VLOOKUP(EDATE(B111,-12),'Data Core CPI'!$A:$AX,MATCH($T$1,'Data Core CPI'!$A$1:$AX$1,),))/VLOOKUP(EDATE(B111,-12),'Data Core CPI'!$A:$AX,MATCH($T$1,'Data Core CPI'!$A$1:$AX$1,),)</f>
        <v/>
      </c>
      <c r="U111" s="20">
        <f>IF(VLOOKUP(B111,'Data Core CPI'!$A:$AX,MATCH($U$1,'Data Core CPI'!$A$1:$AX$1,),)=0,#N/A,(VLOOKUP(B111,'Data Core CPI'!$A:$AX,MATCH($U$1,'Data Core CPI'!$A$1:$AX$1,),)-VLOOKUP(EDATE(B111,-12),'Data Core CPI'!$A:$AX,MATCH($U$1,'Data Core CPI'!$A$1:$AX$1,),))/VLOOKUP(EDATE(B111,-12),'Data Core CPI'!$A:$AX,MATCH($U$1,'Data Core CPI'!$A$1:$AX$1,),))</f>
        <v/>
      </c>
      <c r="V111" s="20">
        <f>(VLOOKUP(B111,'Data Core CPI'!$A:$AX,MATCH($V$1,'Data Core CPI'!$A$1:$AX$1,),)-VLOOKUP(EDATE(B111,-12),'Data Core CPI'!$A:$AX,MATCH($V$1,'Data Core CPI'!$A$1:$AX$1,),))/VLOOKUP(EDATE(B111,-12),'Data Core CPI'!$A:$AX,MATCH($V$1,'Data Core CPI'!$A$1:$AX$1,),)</f>
        <v/>
      </c>
      <c r="W111" s="20">
        <f>IF(VLOOKUP(B111,'Data Core CPI'!$A:$AX,MATCH($W$1,'Data Core CPI'!$A$1:$AX$1,),)=0,#N/A,(VLOOKUP(B111,'Data Core CPI'!$A:$AX,MATCH($W$1,'Data Core CPI'!$A$1:$AX$1,),)-VLOOKUP(EDATE(B111,-12),'Data Core CPI'!$A:$AX,MATCH($W$1,'Data Core CPI'!$A$1:$AX$1,),))/VLOOKUP(EDATE(B111,-12),'Data Core CPI'!$A:$AX,MATCH($W$1,'Data Core CPI'!$A$1:$AX$1,),))</f>
        <v/>
      </c>
      <c r="X111" s="20">
        <f>IF(VLOOKUP(B111,'Data Core CPI'!$A:$AX,MATCH($X$1,'Data Core CPI'!$A$1:$AX$1,),)=0,#N/A,(VLOOKUP(B111,'Data Core CPI'!$A:$AX,MATCH($X$1,'Data Core CPI'!$A$1:$AX$1,),)-VLOOKUP(EDATE(B111,-12),'Data Core CPI'!$A:$AX,MATCH($X$1,'Data Core CPI'!$A$1:$AX$1,),))/VLOOKUP(EDATE(B111,-12),'Data Core CPI'!$A:$AX,MATCH($X$1,'Data Core CPI'!$A$1:$AX$1,),))</f>
        <v/>
      </c>
      <c r="Y111" s="20">
        <f>IF(VLOOKUP(B111,'Data Core CPI'!$A:$AX,MATCH($Y$1,'Data Core CPI'!$A$1:$AX$1,),)=0,#N/A,(VLOOKUP(B111,'Data Core CPI'!$A:$AX,MATCH($Y$1,'Data Core CPI'!$A$1:$AX$1,),)-VLOOKUP(EDATE(B111,-12),'Data Core CPI'!$A:$AX,MATCH($Y$1,'Data Core CPI'!$A$1:$AX$1,),))/VLOOKUP(EDATE(B111,-12),'Data Core CPI'!$A:$AX,MATCH($Y$1,'Data Core CPI'!$A$1:$AX$1,),))</f>
        <v/>
      </c>
    </row>
    <row r="112" customFormat="1" s="78">
      <c r="B112" s="15" t="n">
        <v>43617</v>
      </c>
      <c r="C112" s="20">
        <f>IF(VLOOKUP(B112,'Data Core CPI'!$A:$AX,MATCH($C$1,'Data Core CPI'!$A$1:$AX$1,),)=0,#N/A,(VLOOKUP(B112,'Data Core CPI'!$A:$AX,MATCH($C$1,'Data Core CPI'!$A$1:$AX$1,),)-VLOOKUP(EDATE(B112,-12),'Data Core CPI'!$A:$AX,MATCH($C$1,'Data Core CPI'!$A$1:$AX$1,),))/VLOOKUP(EDATE(B112,-12),'Data Core CPI'!$A:$AX,MATCH($C$1,'Data Core CPI'!$A$1:$AX$1,),))</f>
        <v/>
      </c>
      <c r="D112" s="20">
        <f>(VLOOKUP(B112,'Data Core CPI'!$A:$AX,MATCH($D$1,'Data Core CPI'!$A$1:$AX$1,),)-VLOOKUP(EDATE(B112,-12),'Data Core CPI'!$A:$AX,MATCH($D$1,'Data Core CPI'!$A$1:$AX$1,),))/VLOOKUP(EDATE(B112,-12),'Data Core CPI'!$A:$AX,MATCH($D$1,'Data Core CPI'!$A$1:$AX$1,),)</f>
        <v/>
      </c>
      <c r="E112" s="20">
        <f>IF(VLOOKUP(B112,'Data Core CPI'!$A:$AX,MATCH($E$1,'Data Core CPI'!$A$1:$AX$1,),)=0,#N/A,(VLOOKUP(B112,'Data Core CPI'!$A:$AX,MATCH($E$1,'Data Core CPI'!$A$1:$AX$1,),)-VLOOKUP(EDATE(B112,-12),'Data Core CPI'!$A:$AX,MATCH($E$1,'Data Core CPI'!$A$1:$AX$1,),))/VLOOKUP(EDATE(B112,-12),'Data Core CPI'!$A:$AX,MATCH($E$1,'Data Core CPI'!$A$1:$AX$1,),))</f>
        <v/>
      </c>
      <c r="F112" s="20">
        <f>IF(VLOOKUP(B112,'Data Core CPI'!$A:$AX,MATCH($F$1,'Data Core CPI'!$A$1:$AX$1,),)=0,#N/A,(VLOOKUP(B112,'Data Core CPI'!$A:$AX,MATCH($F$1,'Data Core CPI'!$A$1:$AX$1,),)-VLOOKUP(EDATE(B112,-12),'Data Core CPI'!$A:$AX,MATCH($F$1,'Data Core CPI'!$A$1:$AX$1,),))/VLOOKUP(EDATE(B112,-12),'Data Core CPI'!$A:$AX,MATCH($F$1,'Data Core CPI'!$A$1:$AX$1,),))</f>
        <v/>
      </c>
      <c r="G112" s="20">
        <f>IF(VLOOKUP(B112,'Data Core CPI'!$A:$AX,MATCH($G$1,'Data Core CPI'!$A$1:$AX$1,),)=0,#N/A,(VLOOKUP(B112,'Data Core CPI'!$A:$AX,MATCH($G$1,'Data Core CPI'!$A$1:$AX$1,),)-VLOOKUP(EDATE(B112,-12),'Data Core CPI'!$A:$AX,MATCH($G$1,'Data Core CPI'!$A$1:$AX$1,),))/VLOOKUP(EDATE(B112,-12),'Data Core CPI'!$A:$AX,MATCH($G$1,'Data Core CPI'!$A$1:$AX$1,),))</f>
        <v/>
      </c>
      <c r="H112" s="20">
        <f>IF(VLOOKUP(B112,'Data Core CPI'!$A:$AX,MATCH($H$1,'Data Core CPI'!$A$1:$AX$1,),)=0,#N/A,(VLOOKUP(B112,'Data Core CPI'!$A:$AX,MATCH($H$1,'Data Core CPI'!$A$1:$AX$1,),)-VLOOKUP(EDATE(B112,-12),'Data Core CPI'!$A:$AX,MATCH($H$1,'Data Core CPI'!$A$1:$AX$1,),))/VLOOKUP(EDATE(B112,-12),'Data Core CPI'!$A:$AX,MATCH($H$1,'Data Core CPI'!$A$1:$AX$1,),))</f>
        <v/>
      </c>
      <c r="I112" s="20">
        <f>IF(VLOOKUP(B112,'Data Core CPI'!$A:$AX,MATCH($I$1,'Data Core CPI'!$A$1:$AX$1,),)=0,#N/A,(VLOOKUP(B112,'Data Core CPI'!$A:$AX,MATCH($I$1,'Data Core CPI'!$A$1:$AX$1,),)-VLOOKUP(EDATE(B112,-12),'Data Core CPI'!$A:$AX,MATCH($I$1,'Data Core CPI'!$A$1:$AX$1,),))/VLOOKUP(EDATE(B112,-12),'Data Core CPI'!$A:$AX,MATCH($I$1,'Data Core CPI'!$A$1:$AX$1,),))</f>
        <v/>
      </c>
      <c r="J112" s="20">
        <f>IF(VLOOKUP(B112,'Data Core CPI'!$A:$AX,MATCH($J$1,'Data Core CPI'!$A$1:$AX$1,),)=0,#N/A,(VLOOKUP(B112,'Data Core CPI'!$A:$AX,MATCH($J$1,'Data Core CPI'!$A$1:$AX$1,),)-VLOOKUP(EDATE(B112,-12),'Data Core CPI'!$A:$AX,MATCH($J$1,'Data Core CPI'!$A$1:$AX$1,),))/VLOOKUP(EDATE(B112,-12),'Data Core CPI'!$A:$AX,MATCH($J$1,'Data Core CPI'!$A$1:$AX$1,),))</f>
        <v/>
      </c>
      <c r="K112" s="20">
        <f>IF(VLOOKUP(B112,'Data Core CPI'!$A:$AX,MATCH($K$1,'Data Core CPI'!$A$1:$AX$1,),)=0,#N/A,(VLOOKUP(B112,'Data Core CPI'!$A:$AX,MATCH($K$1,'Data Core CPI'!$A$1:$AX$1,),)-VLOOKUP(EDATE(B112,-12),'Data Core CPI'!$A:$AX,MATCH($K$1,'Data Core CPI'!$A$1:$AX$1,),))/VLOOKUP(EDATE(B112,-12),'Data Core CPI'!$A:$AX,MATCH($K$1,'Data Core CPI'!$A$1:$AX$1,),))</f>
        <v/>
      </c>
      <c r="L112" s="20">
        <f>IF(VLOOKUP(B112,'Data Core CPI'!$A:$AX,MATCH($L$1,'Data Core CPI'!$A$1:$AX$1,),)=0,#N/A,(VLOOKUP(B112,'Data Core CPI'!$A:$AX,MATCH($L$1,'Data Core CPI'!$A$1:$AX$1,),)-VLOOKUP(EDATE(B112,-12),'Data Core CPI'!$A:$AX,MATCH($L$1,'Data Core CPI'!$A$1:$AX$1,),))/VLOOKUP(EDATE(B112,-12),'Data Core CPI'!$A:$AX,MATCH($L$1,'Data Core CPI'!$A$1:$AX$1,),))</f>
        <v/>
      </c>
      <c r="M112" s="20">
        <f>IF(VLOOKUP(B112,'Data Core CPI'!$A:$AX,MATCH($M$1,'Data Core CPI'!$A$1:$AX$1,),)=0,#N/A,(VLOOKUP(B112,'Data Core CPI'!$A:$AX,MATCH($M$1,'Data Core CPI'!$A$1:$AX$1,),)-VLOOKUP(EDATE(B112,-12),'Data Core CPI'!$A:$AX,MATCH($M$1,'Data Core CPI'!$A$1:$AX$1,),))/VLOOKUP(EDATE(B112,-12),'Data Core CPI'!$A:$AX,MATCH($M$1,'Data Core CPI'!$A$1:$AX$1,),))</f>
        <v/>
      </c>
      <c r="N112" s="20">
        <f>(VLOOKUP(B112,'Data Core CPI'!$A:$AX,MATCH($N$1,'Data Core CPI'!$A$1:$AX$1,),)-VLOOKUP(EDATE(B112,-12),'Data Core CPI'!$A:$AX,MATCH($N$1,'Data Core CPI'!$A$1:$AX$1,),))/VLOOKUP(EDATE(B112,-12),'Data Core CPI'!$A:$AX,MATCH($N$1,'Data Core CPI'!$A$1:$AX$1,),)</f>
        <v/>
      </c>
      <c r="O112" s="20">
        <f>(VLOOKUP(B112,'Data Core CPI'!$A:$AX,MATCH($O$1,'Data Core CPI'!$A$1:$AX$1,),)-VLOOKUP(EDATE(B112,-12),'Data Core CPI'!$A:$AX,MATCH($O$1,'Data Core CPI'!$A$1:$AX$1,),))/VLOOKUP(EDATE(B112,-12),'Data Core CPI'!$A:$AX,MATCH($O$1,'Data Core CPI'!$A$1:$AX$1,),)</f>
        <v/>
      </c>
      <c r="P112" s="20">
        <f>IF(VLOOKUP(B112,'Data Core CPI'!$A:$AX,MATCH($P$1,'Data Core CPI'!$A$1:$AX$1,),)=0,#N/A,(VLOOKUP(B112,'Data Core CPI'!$A:$AX,MATCH($P$1,'Data Core CPI'!$A$1:$AX$1,),)-VLOOKUP(EDATE(B112,-12),'Data Core CPI'!$A:$AX,MATCH($P$1,'Data Core CPI'!$A$1:$AX$1,),))/VLOOKUP(EDATE(B112,-12),'Data Core CPI'!$A:$AX,MATCH($P$1,'Data Core CPI'!$A$1:$AX$1,),))</f>
        <v/>
      </c>
      <c r="Q112" s="20">
        <f>(VLOOKUP(B112,'Data Core CPI'!$A:$AX,MATCH($Q$1,'Data Core CPI'!$A$1:$AX$1,),)-VLOOKUP(EDATE(B112,-12),'Data Core CPI'!$A:$AX,MATCH($Q$1,'Data Core CPI'!$A$1:$AX$1,),))/VLOOKUP(EDATE(B112,-12),'Data Core CPI'!$A:$AX,MATCH($Q$1,'Data Core CPI'!$A$1:$AX$1,),)</f>
        <v/>
      </c>
      <c r="R112" s="20">
        <f>IF(VLOOKUP(B112,'Data Core CPI'!$A:$AX,MATCH($R$1,'Data Core CPI'!$A$1:$AX$1,),)=0,#N/A,(VLOOKUP(B112,'Data Core CPI'!$A:$AX,MATCH($R$1,'Data Core CPI'!$A$1:$AX$1,),)-VLOOKUP(EDATE(B112,-12),'Data Core CPI'!$A:$AX,MATCH($R$1,'Data Core CPI'!$A$1:$AX$1,),))/VLOOKUP(EDATE(B112,-12),'Data Core CPI'!$A:$AX,MATCH($R$1,'Data Core CPI'!$A$1:$AX$1,),))</f>
        <v/>
      </c>
      <c r="S112" s="20">
        <f>(VLOOKUP(B112,'Data Core CPI'!$A:$AX,MATCH($S$1,'Data Core CPI'!$A$1:$AX$1,),)-VLOOKUP(EDATE(B112,-12),'Data Core CPI'!$A:$AX,MATCH($S$1,'Data Core CPI'!$A$1:$AX$1,),))/VLOOKUP(EDATE(B112,-12),'Data Core CPI'!$A:$AX,MATCH($S$1,'Data Core CPI'!$A$1:$AX$1,),)</f>
        <v/>
      </c>
      <c r="T112" s="20">
        <f>(VLOOKUP(B112,'Data Core CPI'!$A:$AX,MATCH($T$1,'Data Core CPI'!$A$1:$AX$1,),)-VLOOKUP(EDATE(B112,-12),'Data Core CPI'!$A:$AX,MATCH($T$1,'Data Core CPI'!$A$1:$AX$1,),))/VLOOKUP(EDATE(B112,-12),'Data Core CPI'!$A:$AX,MATCH($T$1,'Data Core CPI'!$A$1:$AX$1,),)</f>
        <v/>
      </c>
      <c r="U112" s="20">
        <f>IF(VLOOKUP(B112,'Data Core CPI'!$A:$AX,MATCH($U$1,'Data Core CPI'!$A$1:$AX$1,),)=0,#N/A,(VLOOKUP(B112,'Data Core CPI'!$A:$AX,MATCH($U$1,'Data Core CPI'!$A$1:$AX$1,),)-VLOOKUP(EDATE(B112,-12),'Data Core CPI'!$A:$AX,MATCH($U$1,'Data Core CPI'!$A$1:$AX$1,),))/VLOOKUP(EDATE(B112,-12),'Data Core CPI'!$A:$AX,MATCH($U$1,'Data Core CPI'!$A$1:$AX$1,),))</f>
        <v/>
      </c>
      <c r="V112" s="20">
        <f>(VLOOKUP(B112,'Data Core CPI'!$A:$AX,MATCH($V$1,'Data Core CPI'!$A$1:$AX$1,),)-VLOOKUP(EDATE(B112,-12),'Data Core CPI'!$A:$AX,MATCH($V$1,'Data Core CPI'!$A$1:$AX$1,),))/VLOOKUP(EDATE(B112,-12),'Data Core CPI'!$A:$AX,MATCH($V$1,'Data Core CPI'!$A$1:$AX$1,),)</f>
        <v/>
      </c>
      <c r="W112" s="20">
        <f>IF(VLOOKUP(B112,'Data Core CPI'!$A:$AX,MATCH($W$1,'Data Core CPI'!$A$1:$AX$1,),)=0,#N/A,(VLOOKUP(B112,'Data Core CPI'!$A:$AX,MATCH($W$1,'Data Core CPI'!$A$1:$AX$1,),)-VLOOKUP(EDATE(B112,-12),'Data Core CPI'!$A:$AX,MATCH($W$1,'Data Core CPI'!$A$1:$AX$1,),))/VLOOKUP(EDATE(B112,-12),'Data Core CPI'!$A:$AX,MATCH($W$1,'Data Core CPI'!$A$1:$AX$1,),))</f>
        <v/>
      </c>
      <c r="X112" s="20">
        <f>IF(VLOOKUP(B112,'Data Core CPI'!$A:$AX,MATCH($X$1,'Data Core CPI'!$A$1:$AX$1,),)=0,#N/A,(VLOOKUP(B112,'Data Core CPI'!$A:$AX,MATCH($X$1,'Data Core CPI'!$A$1:$AX$1,),)-VLOOKUP(EDATE(B112,-12),'Data Core CPI'!$A:$AX,MATCH($X$1,'Data Core CPI'!$A$1:$AX$1,),))/VLOOKUP(EDATE(B112,-12),'Data Core CPI'!$A:$AX,MATCH($X$1,'Data Core CPI'!$A$1:$AX$1,),))</f>
        <v/>
      </c>
      <c r="Y112" s="20">
        <f>IF(VLOOKUP(B112,'Data Core CPI'!$A:$AX,MATCH($Y$1,'Data Core CPI'!$A$1:$AX$1,),)=0,#N/A,(VLOOKUP(B112,'Data Core CPI'!$A:$AX,MATCH($Y$1,'Data Core CPI'!$A$1:$AX$1,),)-VLOOKUP(EDATE(B112,-12),'Data Core CPI'!$A:$AX,MATCH($Y$1,'Data Core CPI'!$A$1:$AX$1,),))/VLOOKUP(EDATE(B112,-12),'Data Core CPI'!$A:$AX,MATCH($Y$1,'Data Core CPI'!$A$1:$AX$1,),))</f>
        <v/>
      </c>
    </row>
    <row r="113" customFormat="1" s="78">
      <c r="B113" s="15" t="n">
        <v>43647</v>
      </c>
      <c r="C113" s="20">
        <f>IF(VLOOKUP(B113,'Data Core CPI'!$A:$AX,MATCH($C$1,'Data Core CPI'!$A$1:$AX$1,),)=0,#N/A,(VLOOKUP(B113,'Data Core CPI'!$A:$AX,MATCH($C$1,'Data Core CPI'!$A$1:$AX$1,),)-VLOOKUP(EDATE(B113,-12),'Data Core CPI'!$A:$AX,MATCH($C$1,'Data Core CPI'!$A$1:$AX$1,),))/VLOOKUP(EDATE(B113,-12),'Data Core CPI'!$A:$AX,MATCH($C$1,'Data Core CPI'!$A$1:$AX$1,),))</f>
        <v/>
      </c>
      <c r="D113" s="20">
        <f>(VLOOKUP(B113,'Data Core CPI'!$A:$AX,MATCH($D$1,'Data Core CPI'!$A$1:$AX$1,),)-VLOOKUP(EDATE(B113,-12),'Data Core CPI'!$A:$AX,MATCH($D$1,'Data Core CPI'!$A$1:$AX$1,),))/VLOOKUP(EDATE(B113,-12),'Data Core CPI'!$A:$AX,MATCH($D$1,'Data Core CPI'!$A$1:$AX$1,),)</f>
        <v/>
      </c>
      <c r="E113" s="20">
        <f>IF(VLOOKUP(B113,'Data Core CPI'!$A:$AX,MATCH($E$1,'Data Core CPI'!$A$1:$AX$1,),)=0,#N/A,(VLOOKUP(B113,'Data Core CPI'!$A:$AX,MATCH($E$1,'Data Core CPI'!$A$1:$AX$1,),)-VLOOKUP(EDATE(B113,-12),'Data Core CPI'!$A:$AX,MATCH($E$1,'Data Core CPI'!$A$1:$AX$1,),))/VLOOKUP(EDATE(B113,-12),'Data Core CPI'!$A:$AX,MATCH($E$1,'Data Core CPI'!$A$1:$AX$1,),))</f>
        <v/>
      </c>
      <c r="F113" s="20">
        <f>IF(VLOOKUP(B113,'Data Core CPI'!$A:$AX,MATCH($F$1,'Data Core CPI'!$A$1:$AX$1,),)=0,#N/A,(VLOOKUP(B113,'Data Core CPI'!$A:$AX,MATCH($F$1,'Data Core CPI'!$A$1:$AX$1,),)-VLOOKUP(EDATE(B113,-12),'Data Core CPI'!$A:$AX,MATCH($F$1,'Data Core CPI'!$A$1:$AX$1,),))/VLOOKUP(EDATE(B113,-12),'Data Core CPI'!$A:$AX,MATCH($F$1,'Data Core CPI'!$A$1:$AX$1,),))</f>
        <v/>
      </c>
      <c r="G113" s="20">
        <f>IF(VLOOKUP(B113,'Data Core CPI'!$A:$AX,MATCH($G$1,'Data Core CPI'!$A$1:$AX$1,),)=0,#N/A,(VLOOKUP(B113,'Data Core CPI'!$A:$AX,MATCH($G$1,'Data Core CPI'!$A$1:$AX$1,),)-VLOOKUP(EDATE(B113,-12),'Data Core CPI'!$A:$AX,MATCH($G$1,'Data Core CPI'!$A$1:$AX$1,),))/VLOOKUP(EDATE(B113,-12),'Data Core CPI'!$A:$AX,MATCH($G$1,'Data Core CPI'!$A$1:$AX$1,),))</f>
        <v/>
      </c>
      <c r="H113" s="20">
        <f>IF(VLOOKUP(B113,'Data Core CPI'!$A:$AX,MATCH($H$1,'Data Core CPI'!$A$1:$AX$1,),)=0,#N/A,(VLOOKUP(B113,'Data Core CPI'!$A:$AX,MATCH($H$1,'Data Core CPI'!$A$1:$AX$1,),)-VLOOKUP(EDATE(B113,-12),'Data Core CPI'!$A:$AX,MATCH($H$1,'Data Core CPI'!$A$1:$AX$1,),))/VLOOKUP(EDATE(B113,-12),'Data Core CPI'!$A:$AX,MATCH($H$1,'Data Core CPI'!$A$1:$AX$1,),))</f>
        <v/>
      </c>
      <c r="I113" s="20">
        <f>IF(VLOOKUP(B113,'Data Core CPI'!$A:$AX,MATCH($I$1,'Data Core CPI'!$A$1:$AX$1,),)=0,#N/A,(VLOOKUP(B113,'Data Core CPI'!$A:$AX,MATCH($I$1,'Data Core CPI'!$A$1:$AX$1,),)-VLOOKUP(EDATE(B113,-12),'Data Core CPI'!$A:$AX,MATCH($I$1,'Data Core CPI'!$A$1:$AX$1,),))/VLOOKUP(EDATE(B113,-12),'Data Core CPI'!$A:$AX,MATCH($I$1,'Data Core CPI'!$A$1:$AX$1,),))</f>
        <v/>
      </c>
      <c r="J113" s="20">
        <f>IF(VLOOKUP(B113,'Data Core CPI'!$A:$AX,MATCH($J$1,'Data Core CPI'!$A$1:$AX$1,),)=0,#N/A,(VLOOKUP(B113,'Data Core CPI'!$A:$AX,MATCH($J$1,'Data Core CPI'!$A$1:$AX$1,),)-VLOOKUP(EDATE(B113,-12),'Data Core CPI'!$A:$AX,MATCH($J$1,'Data Core CPI'!$A$1:$AX$1,),))/VLOOKUP(EDATE(B113,-12),'Data Core CPI'!$A:$AX,MATCH($J$1,'Data Core CPI'!$A$1:$AX$1,),))</f>
        <v/>
      </c>
      <c r="K113" s="20">
        <f>IF(VLOOKUP(B113,'Data Core CPI'!$A:$AX,MATCH($K$1,'Data Core CPI'!$A$1:$AX$1,),)=0,#N/A,(VLOOKUP(B113,'Data Core CPI'!$A:$AX,MATCH($K$1,'Data Core CPI'!$A$1:$AX$1,),)-VLOOKUP(EDATE(B113,-12),'Data Core CPI'!$A:$AX,MATCH($K$1,'Data Core CPI'!$A$1:$AX$1,),))/VLOOKUP(EDATE(B113,-12),'Data Core CPI'!$A:$AX,MATCH($K$1,'Data Core CPI'!$A$1:$AX$1,),))</f>
        <v/>
      </c>
      <c r="L113" s="20">
        <f>IF(VLOOKUP(B113,'Data Core CPI'!$A:$AX,MATCH($L$1,'Data Core CPI'!$A$1:$AX$1,),)=0,#N/A,(VLOOKUP(B113,'Data Core CPI'!$A:$AX,MATCH($L$1,'Data Core CPI'!$A$1:$AX$1,),)-VLOOKUP(EDATE(B113,-12),'Data Core CPI'!$A:$AX,MATCH($L$1,'Data Core CPI'!$A$1:$AX$1,),))/VLOOKUP(EDATE(B113,-12),'Data Core CPI'!$A:$AX,MATCH($L$1,'Data Core CPI'!$A$1:$AX$1,),))</f>
        <v/>
      </c>
      <c r="M113" s="20">
        <f>IF(VLOOKUP(B113,'Data Core CPI'!$A:$AX,MATCH($M$1,'Data Core CPI'!$A$1:$AX$1,),)=0,#N/A,(VLOOKUP(B113,'Data Core CPI'!$A:$AX,MATCH($M$1,'Data Core CPI'!$A$1:$AX$1,),)-VLOOKUP(EDATE(B113,-12),'Data Core CPI'!$A:$AX,MATCH($M$1,'Data Core CPI'!$A$1:$AX$1,),))/VLOOKUP(EDATE(B113,-12),'Data Core CPI'!$A:$AX,MATCH($M$1,'Data Core CPI'!$A$1:$AX$1,),))</f>
        <v/>
      </c>
      <c r="N113" s="20">
        <f>(VLOOKUP(B113,'Data Core CPI'!$A:$AX,MATCH($N$1,'Data Core CPI'!$A$1:$AX$1,),)-VLOOKUP(EDATE(B113,-12),'Data Core CPI'!$A:$AX,MATCH($N$1,'Data Core CPI'!$A$1:$AX$1,),))/VLOOKUP(EDATE(B113,-12),'Data Core CPI'!$A:$AX,MATCH($N$1,'Data Core CPI'!$A$1:$AX$1,),)</f>
        <v/>
      </c>
      <c r="O113" s="20">
        <f>(VLOOKUP(B113,'Data Core CPI'!$A:$AX,MATCH($O$1,'Data Core CPI'!$A$1:$AX$1,),)-VLOOKUP(EDATE(B113,-12),'Data Core CPI'!$A:$AX,MATCH($O$1,'Data Core CPI'!$A$1:$AX$1,),))/VLOOKUP(EDATE(B113,-12),'Data Core CPI'!$A:$AX,MATCH($O$1,'Data Core CPI'!$A$1:$AX$1,),)</f>
        <v/>
      </c>
      <c r="P113" s="20">
        <f>IF(VLOOKUP(B113,'Data Core CPI'!$A:$AX,MATCH($P$1,'Data Core CPI'!$A$1:$AX$1,),)=0,#N/A,(VLOOKUP(B113,'Data Core CPI'!$A:$AX,MATCH($P$1,'Data Core CPI'!$A$1:$AX$1,),)-VLOOKUP(EDATE(B113,-12),'Data Core CPI'!$A:$AX,MATCH($P$1,'Data Core CPI'!$A$1:$AX$1,),))/VLOOKUP(EDATE(B113,-12),'Data Core CPI'!$A:$AX,MATCH($P$1,'Data Core CPI'!$A$1:$AX$1,),))</f>
        <v/>
      </c>
      <c r="Q113" s="20">
        <f>(VLOOKUP(B113,'Data Core CPI'!$A:$AX,MATCH($Q$1,'Data Core CPI'!$A$1:$AX$1,),)-VLOOKUP(EDATE(B113,-12),'Data Core CPI'!$A:$AX,MATCH($Q$1,'Data Core CPI'!$A$1:$AX$1,),))/VLOOKUP(EDATE(B113,-12),'Data Core CPI'!$A:$AX,MATCH($Q$1,'Data Core CPI'!$A$1:$AX$1,),)</f>
        <v/>
      </c>
      <c r="R113" s="20">
        <f>IF(VLOOKUP(B113,'Data Core CPI'!$A:$AX,MATCH($R$1,'Data Core CPI'!$A$1:$AX$1,),)=0,#N/A,(VLOOKUP(B113,'Data Core CPI'!$A:$AX,MATCH($R$1,'Data Core CPI'!$A$1:$AX$1,),)-VLOOKUP(EDATE(B113,-12),'Data Core CPI'!$A:$AX,MATCH($R$1,'Data Core CPI'!$A$1:$AX$1,),))/VLOOKUP(EDATE(B113,-12),'Data Core CPI'!$A:$AX,MATCH($R$1,'Data Core CPI'!$A$1:$AX$1,),))</f>
        <v/>
      </c>
      <c r="S113" s="20">
        <f>(VLOOKUP(B113,'Data Core CPI'!$A:$AX,MATCH($S$1,'Data Core CPI'!$A$1:$AX$1,),)-VLOOKUP(EDATE(B113,-12),'Data Core CPI'!$A:$AX,MATCH($S$1,'Data Core CPI'!$A$1:$AX$1,),))/VLOOKUP(EDATE(B113,-12),'Data Core CPI'!$A:$AX,MATCH($S$1,'Data Core CPI'!$A$1:$AX$1,),)</f>
        <v/>
      </c>
      <c r="T113" s="20">
        <f>(VLOOKUP(B113,'Data Core CPI'!$A:$AX,MATCH($T$1,'Data Core CPI'!$A$1:$AX$1,),)-VLOOKUP(EDATE(B113,-12),'Data Core CPI'!$A:$AX,MATCH($T$1,'Data Core CPI'!$A$1:$AX$1,),))/VLOOKUP(EDATE(B113,-12),'Data Core CPI'!$A:$AX,MATCH($T$1,'Data Core CPI'!$A$1:$AX$1,),)</f>
        <v/>
      </c>
      <c r="U113" s="20">
        <f>IF(VLOOKUP(B113,'Data Core CPI'!$A:$AX,MATCH($U$1,'Data Core CPI'!$A$1:$AX$1,),)=0,#N/A,(VLOOKUP(B113,'Data Core CPI'!$A:$AX,MATCH($U$1,'Data Core CPI'!$A$1:$AX$1,),)-VLOOKUP(EDATE(B113,-12),'Data Core CPI'!$A:$AX,MATCH($U$1,'Data Core CPI'!$A$1:$AX$1,),))/VLOOKUP(EDATE(B113,-12),'Data Core CPI'!$A:$AX,MATCH($U$1,'Data Core CPI'!$A$1:$AX$1,),))</f>
        <v/>
      </c>
      <c r="V113" s="20">
        <f>(VLOOKUP(B113,'Data Core CPI'!$A:$AX,MATCH($V$1,'Data Core CPI'!$A$1:$AX$1,),)-VLOOKUP(EDATE(B113,-12),'Data Core CPI'!$A:$AX,MATCH($V$1,'Data Core CPI'!$A$1:$AX$1,),))/VLOOKUP(EDATE(B113,-12),'Data Core CPI'!$A:$AX,MATCH($V$1,'Data Core CPI'!$A$1:$AX$1,),)</f>
        <v/>
      </c>
      <c r="W113" s="20">
        <f>IF(VLOOKUP(B113,'Data Core CPI'!$A:$AX,MATCH($W$1,'Data Core CPI'!$A$1:$AX$1,),)=0,#N/A,(VLOOKUP(B113,'Data Core CPI'!$A:$AX,MATCH($W$1,'Data Core CPI'!$A$1:$AX$1,),)-VLOOKUP(EDATE(B113,-12),'Data Core CPI'!$A:$AX,MATCH($W$1,'Data Core CPI'!$A$1:$AX$1,),))/VLOOKUP(EDATE(B113,-12),'Data Core CPI'!$A:$AX,MATCH($W$1,'Data Core CPI'!$A$1:$AX$1,),))</f>
        <v/>
      </c>
      <c r="X113" s="20">
        <f>IF(VLOOKUP(B113,'Data Core CPI'!$A:$AX,MATCH($X$1,'Data Core CPI'!$A$1:$AX$1,),)=0,#N/A,(VLOOKUP(B113,'Data Core CPI'!$A:$AX,MATCH($X$1,'Data Core CPI'!$A$1:$AX$1,),)-VLOOKUP(EDATE(B113,-12),'Data Core CPI'!$A:$AX,MATCH($X$1,'Data Core CPI'!$A$1:$AX$1,),))/VLOOKUP(EDATE(B113,-12),'Data Core CPI'!$A:$AX,MATCH($X$1,'Data Core CPI'!$A$1:$AX$1,),))</f>
        <v/>
      </c>
      <c r="Y113" s="20">
        <f>IF(VLOOKUP(B113,'Data Core CPI'!$A:$AX,MATCH($Y$1,'Data Core CPI'!$A$1:$AX$1,),)=0,#N/A,(VLOOKUP(B113,'Data Core CPI'!$A:$AX,MATCH($Y$1,'Data Core CPI'!$A$1:$AX$1,),)-VLOOKUP(EDATE(B113,-12),'Data Core CPI'!$A:$AX,MATCH($Y$1,'Data Core CPI'!$A$1:$AX$1,),))/VLOOKUP(EDATE(B113,-12),'Data Core CPI'!$A:$AX,MATCH($Y$1,'Data Core CPI'!$A$1:$AX$1,),))</f>
        <v/>
      </c>
    </row>
    <row r="114" customFormat="1" s="78">
      <c r="B114" s="15" t="n">
        <v>43678</v>
      </c>
      <c r="C114" s="20">
        <f>IF(VLOOKUP(B114,'Data Core CPI'!$A:$AX,MATCH($C$1,'Data Core CPI'!$A$1:$AX$1,),)=0,#N/A,(VLOOKUP(B114,'Data Core CPI'!$A:$AX,MATCH($C$1,'Data Core CPI'!$A$1:$AX$1,),)-VLOOKUP(EDATE(B114,-12),'Data Core CPI'!$A:$AX,MATCH($C$1,'Data Core CPI'!$A$1:$AX$1,),))/VLOOKUP(EDATE(B114,-12),'Data Core CPI'!$A:$AX,MATCH($C$1,'Data Core CPI'!$A$1:$AX$1,),))</f>
        <v/>
      </c>
      <c r="D114" s="20">
        <f>(VLOOKUP(B114,'Data Core CPI'!$A:$AX,MATCH($D$1,'Data Core CPI'!$A$1:$AX$1,),)-VLOOKUP(EDATE(B114,-12),'Data Core CPI'!$A:$AX,MATCH($D$1,'Data Core CPI'!$A$1:$AX$1,),))/VLOOKUP(EDATE(B114,-12),'Data Core CPI'!$A:$AX,MATCH($D$1,'Data Core CPI'!$A$1:$AX$1,),)</f>
        <v/>
      </c>
      <c r="E114" s="20">
        <f>IF(VLOOKUP(B114,'Data Core CPI'!$A:$AX,MATCH($E$1,'Data Core CPI'!$A$1:$AX$1,),)=0,#N/A,(VLOOKUP(B114,'Data Core CPI'!$A:$AX,MATCH($E$1,'Data Core CPI'!$A$1:$AX$1,),)-VLOOKUP(EDATE(B114,-12),'Data Core CPI'!$A:$AX,MATCH($E$1,'Data Core CPI'!$A$1:$AX$1,),))/VLOOKUP(EDATE(B114,-12),'Data Core CPI'!$A:$AX,MATCH($E$1,'Data Core CPI'!$A$1:$AX$1,),))</f>
        <v/>
      </c>
      <c r="F114" s="20">
        <f>IF(VLOOKUP(B114,'Data Core CPI'!$A:$AX,MATCH($F$1,'Data Core CPI'!$A$1:$AX$1,),)=0,#N/A,(VLOOKUP(B114,'Data Core CPI'!$A:$AX,MATCH($F$1,'Data Core CPI'!$A$1:$AX$1,),)-VLOOKUP(EDATE(B114,-12),'Data Core CPI'!$A:$AX,MATCH($F$1,'Data Core CPI'!$A$1:$AX$1,),))/VLOOKUP(EDATE(B114,-12),'Data Core CPI'!$A:$AX,MATCH($F$1,'Data Core CPI'!$A$1:$AX$1,),))</f>
        <v/>
      </c>
      <c r="G114" s="20">
        <f>IF(VLOOKUP(B114,'Data Core CPI'!$A:$AX,MATCH($G$1,'Data Core CPI'!$A$1:$AX$1,),)=0,#N/A,(VLOOKUP(B114,'Data Core CPI'!$A:$AX,MATCH($G$1,'Data Core CPI'!$A$1:$AX$1,),)-VLOOKUP(EDATE(B114,-12),'Data Core CPI'!$A:$AX,MATCH($G$1,'Data Core CPI'!$A$1:$AX$1,),))/VLOOKUP(EDATE(B114,-12),'Data Core CPI'!$A:$AX,MATCH($G$1,'Data Core CPI'!$A$1:$AX$1,),))</f>
        <v/>
      </c>
      <c r="H114" s="20">
        <f>IF(VLOOKUP(B114,'Data Core CPI'!$A:$AX,MATCH($H$1,'Data Core CPI'!$A$1:$AX$1,),)=0,#N/A,(VLOOKUP(B114,'Data Core CPI'!$A:$AX,MATCH($H$1,'Data Core CPI'!$A$1:$AX$1,),)-VLOOKUP(EDATE(B114,-12),'Data Core CPI'!$A:$AX,MATCH($H$1,'Data Core CPI'!$A$1:$AX$1,),))/VLOOKUP(EDATE(B114,-12),'Data Core CPI'!$A:$AX,MATCH($H$1,'Data Core CPI'!$A$1:$AX$1,),))</f>
        <v/>
      </c>
      <c r="I114" s="20">
        <f>IF(VLOOKUP(B114,'Data Core CPI'!$A:$AX,MATCH($I$1,'Data Core CPI'!$A$1:$AX$1,),)=0,#N/A,(VLOOKUP(B114,'Data Core CPI'!$A:$AX,MATCH($I$1,'Data Core CPI'!$A$1:$AX$1,),)-VLOOKUP(EDATE(B114,-12),'Data Core CPI'!$A:$AX,MATCH($I$1,'Data Core CPI'!$A$1:$AX$1,),))/VLOOKUP(EDATE(B114,-12),'Data Core CPI'!$A:$AX,MATCH($I$1,'Data Core CPI'!$A$1:$AX$1,),))</f>
        <v/>
      </c>
      <c r="J114" s="20">
        <f>IF(VLOOKUP(B114,'Data Core CPI'!$A:$AX,MATCH($J$1,'Data Core CPI'!$A$1:$AX$1,),)=0,#N/A,(VLOOKUP(B114,'Data Core CPI'!$A:$AX,MATCH($J$1,'Data Core CPI'!$A$1:$AX$1,),)-VLOOKUP(EDATE(B114,-12),'Data Core CPI'!$A:$AX,MATCH($J$1,'Data Core CPI'!$A$1:$AX$1,),))/VLOOKUP(EDATE(B114,-12),'Data Core CPI'!$A:$AX,MATCH($J$1,'Data Core CPI'!$A$1:$AX$1,),))</f>
        <v/>
      </c>
      <c r="K114" s="20">
        <f>IF(VLOOKUP(B114,'Data Core CPI'!$A:$AX,MATCH($K$1,'Data Core CPI'!$A$1:$AX$1,),)=0,#N/A,(VLOOKUP(B114,'Data Core CPI'!$A:$AX,MATCH($K$1,'Data Core CPI'!$A$1:$AX$1,),)-VLOOKUP(EDATE(B114,-12),'Data Core CPI'!$A:$AX,MATCH($K$1,'Data Core CPI'!$A$1:$AX$1,),))/VLOOKUP(EDATE(B114,-12),'Data Core CPI'!$A:$AX,MATCH($K$1,'Data Core CPI'!$A$1:$AX$1,),))</f>
        <v/>
      </c>
      <c r="L114" s="20">
        <f>IF(VLOOKUP(B114,'Data Core CPI'!$A:$AX,MATCH($L$1,'Data Core CPI'!$A$1:$AX$1,),)=0,#N/A,(VLOOKUP(B114,'Data Core CPI'!$A:$AX,MATCH($L$1,'Data Core CPI'!$A$1:$AX$1,),)-VLOOKUP(EDATE(B114,-12),'Data Core CPI'!$A:$AX,MATCH($L$1,'Data Core CPI'!$A$1:$AX$1,),))/VLOOKUP(EDATE(B114,-12),'Data Core CPI'!$A:$AX,MATCH($L$1,'Data Core CPI'!$A$1:$AX$1,),))</f>
        <v/>
      </c>
      <c r="M114" s="20">
        <f>IF(VLOOKUP(B114,'Data Core CPI'!$A:$AX,MATCH($M$1,'Data Core CPI'!$A$1:$AX$1,),)=0,#N/A,(VLOOKUP(B114,'Data Core CPI'!$A:$AX,MATCH($M$1,'Data Core CPI'!$A$1:$AX$1,),)-VLOOKUP(EDATE(B114,-12),'Data Core CPI'!$A:$AX,MATCH($M$1,'Data Core CPI'!$A$1:$AX$1,),))/VLOOKUP(EDATE(B114,-12),'Data Core CPI'!$A:$AX,MATCH($M$1,'Data Core CPI'!$A$1:$AX$1,),))</f>
        <v/>
      </c>
      <c r="N114" s="20">
        <f>(VLOOKUP(B114,'Data Core CPI'!$A:$AX,MATCH($N$1,'Data Core CPI'!$A$1:$AX$1,),)-VLOOKUP(EDATE(B114,-12),'Data Core CPI'!$A:$AX,MATCH($N$1,'Data Core CPI'!$A$1:$AX$1,),))/VLOOKUP(EDATE(B114,-12),'Data Core CPI'!$A:$AX,MATCH($N$1,'Data Core CPI'!$A$1:$AX$1,),)</f>
        <v/>
      </c>
      <c r="O114" s="20">
        <f>(VLOOKUP(B114,'Data Core CPI'!$A:$AX,MATCH($O$1,'Data Core CPI'!$A$1:$AX$1,),)-VLOOKUP(EDATE(B114,-12),'Data Core CPI'!$A:$AX,MATCH($O$1,'Data Core CPI'!$A$1:$AX$1,),))/VLOOKUP(EDATE(B114,-12),'Data Core CPI'!$A:$AX,MATCH($O$1,'Data Core CPI'!$A$1:$AX$1,),)</f>
        <v/>
      </c>
      <c r="P114" s="20">
        <f>IF(VLOOKUP(B114,'Data Core CPI'!$A:$AX,MATCH($P$1,'Data Core CPI'!$A$1:$AX$1,),)=0,#N/A,(VLOOKUP(B114,'Data Core CPI'!$A:$AX,MATCH($P$1,'Data Core CPI'!$A$1:$AX$1,),)-VLOOKUP(EDATE(B114,-12),'Data Core CPI'!$A:$AX,MATCH($P$1,'Data Core CPI'!$A$1:$AX$1,),))/VLOOKUP(EDATE(B114,-12),'Data Core CPI'!$A:$AX,MATCH($P$1,'Data Core CPI'!$A$1:$AX$1,),))</f>
        <v/>
      </c>
      <c r="Q114" s="20">
        <f>(VLOOKUP(B114,'Data Core CPI'!$A:$AX,MATCH($Q$1,'Data Core CPI'!$A$1:$AX$1,),)-VLOOKUP(EDATE(B114,-12),'Data Core CPI'!$A:$AX,MATCH($Q$1,'Data Core CPI'!$A$1:$AX$1,),))/VLOOKUP(EDATE(B114,-12),'Data Core CPI'!$A:$AX,MATCH($Q$1,'Data Core CPI'!$A$1:$AX$1,),)</f>
        <v/>
      </c>
      <c r="R114" s="20">
        <f>IF(VLOOKUP(B114,'Data Core CPI'!$A:$AX,MATCH($R$1,'Data Core CPI'!$A$1:$AX$1,),)=0,#N/A,(VLOOKUP(B114,'Data Core CPI'!$A:$AX,MATCH($R$1,'Data Core CPI'!$A$1:$AX$1,),)-VLOOKUP(EDATE(B114,-12),'Data Core CPI'!$A:$AX,MATCH($R$1,'Data Core CPI'!$A$1:$AX$1,),))/VLOOKUP(EDATE(B114,-12),'Data Core CPI'!$A:$AX,MATCH($R$1,'Data Core CPI'!$A$1:$AX$1,),))</f>
        <v/>
      </c>
      <c r="S114" s="20">
        <f>(VLOOKUP(B114,'Data Core CPI'!$A:$AX,MATCH($S$1,'Data Core CPI'!$A$1:$AX$1,),)-VLOOKUP(EDATE(B114,-12),'Data Core CPI'!$A:$AX,MATCH($S$1,'Data Core CPI'!$A$1:$AX$1,),))/VLOOKUP(EDATE(B114,-12),'Data Core CPI'!$A:$AX,MATCH($S$1,'Data Core CPI'!$A$1:$AX$1,),)</f>
        <v/>
      </c>
      <c r="T114" s="20">
        <f>(VLOOKUP(B114,'Data Core CPI'!$A:$AX,MATCH($T$1,'Data Core CPI'!$A$1:$AX$1,),)-VLOOKUP(EDATE(B114,-12),'Data Core CPI'!$A:$AX,MATCH($T$1,'Data Core CPI'!$A$1:$AX$1,),))/VLOOKUP(EDATE(B114,-12),'Data Core CPI'!$A:$AX,MATCH($T$1,'Data Core CPI'!$A$1:$AX$1,),)</f>
        <v/>
      </c>
      <c r="U114" s="20">
        <f>IF(VLOOKUP(B114,'Data Core CPI'!$A:$AX,MATCH($U$1,'Data Core CPI'!$A$1:$AX$1,),)=0,#N/A,(VLOOKUP(B114,'Data Core CPI'!$A:$AX,MATCH($U$1,'Data Core CPI'!$A$1:$AX$1,),)-VLOOKUP(EDATE(B114,-12),'Data Core CPI'!$A:$AX,MATCH($U$1,'Data Core CPI'!$A$1:$AX$1,),))/VLOOKUP(EDATE(B114,-12),'Data Core CPI'!$A:$AX,MATCH($U$1,'Data Core CPI'!$A$1:$AX$1,),))</f>
        <v/>
      </c>
      <c r="V114" s="20">
        <f>(VLOOKUP(B114,'Data Core CPI'!$A:$AX,MATCH($V$1,'Data Core CPI'!$A$1:$AX$1,),)-VLOOKUP(EDATE(B114,-12),'Data Core CPI'!$A:$AX,MATCH($V$1,'Data Core CPI'!$A$1:$AX$1,),))/VLOOKUP(EDATE(B114,-12),'Data Core CPI'!$A:$AX,MATCH($V$1,'Data Core CPI'!$A$1:$AX$1,),)</f>
        <v/>
      </c>
      <c r="W114" s="20">
        <f>IF(VLOOKUP(B114,'Data Core CPI'!$A:$AX,MATCH($W$1,'Data Core CPI'!$A$1:$AX$1,),)=0,#N/A,(VLOOKUP(B114,'Data Core CPI'!$A:$AX,MATCH($W$1,'Data Core CPI'!$A$1:$AX$1,),)-VLOOKUP(EDATE(B114,-12),'Data Core CPI'!$A:$AX,MATCH($W$1,'Data Core CPI'!$A$1:$AX$1,),))/VLOOKUP(EDATE(B114,-12),'Data Core CPI'!$A:$AX,MATCH($W$1,'Data Core CPI'!$A$1:$AX$1,),))</f>
        <v/>
      </c>
      <c r="X114" s="20">
        <f>IF(VLOOKUP(B114,'Data Core CPI'!$A:$AX,MATCH($X$1,'Data Core CPI'!$A$1:$AX$1,),)=0,#N/A,(VLOOKUP(B114,'Data Core CPI'!$A:$AX,MATCH($X$1,'Data Core CPI'!$A$1:$AX$1,),)-VLOOKUP(EDATE(B114,-12),'Data Core CPI'!$A:$AX,MATCH($X$1,'Data Core CPI'!$A$1:$AX$1,),))/VLOOKUP(EDATE(B114,-12),'Data Core CPI'!$A:$AX,MATCH($X$1,'Data Core CPI'!$A$1:$AX$1,),))</f>
        <v/>
      </c>
      <c r="Y114" s="20">
        <f>IF(VLOOKUP(B114,'Data Core CPI'!$A:$AX,MATCH($Y$1,'Data Core CPI'!$A$1:$AX$1,),)=0,#N/A,(VLOOKUP(B114,'Data Core CPI'!$A:$AX,MATCH($Y$1,'Data Core CPI'!$A$1:$AX$1,),)-VLOOKUP(EDATE(B114,-12),'Data Core CPI'!$A:$AX,MATCH($Y$1,'Data Core CPI'!$A$1:$AX$1,),))/VLOOKUP(EDATE(B114,-12),'Data Core CPI'!$A:$AX,MATCH($Y$1,'Data Core CPI'!$A$1:$AX$1,),))</f>
        <v/>
      </c>
    </row>
    <row r="115" customFormat="1" s="78">
      <c r="B115" s="15" t="n">
        <v>43709</v>
      </c>
      <c r="C115" s="20">
        <f>IF(VLOOKUP(B115,'Data Core CPI'!$A:$AX,MATCH($C$1,'Data Core CPI'!$A$1:$AX$1,),)=0,#N/A,(VLOOKUP(B115,'Data Core CPI'!$A:$AX,MATCH($C$1,'Data Core CPI'!$A$1:$AX$1,),)-VLOOKUP(EDATE(B115,-12),'Data Core CPI'!$A:$AX,MATCH($C$1,'Data Core CPI'!$A$1:$AX$1,),))/VLOOKUP(EDATE(B115,-12),'Data Core CPI'!$A:$AX,MATCH($C$1,'Data Core CPI'!$A$1:$AX$1,),))</f>
        <v/>
      </c>
      <c r="D115" s="20">
        <f>(VLOOKUP(B115,'Data Core CPI'!$A:$AX,MATCH($D$1,'Data Core CPI'!$A$1:$AX$1,),)-VLOOKUP(EDATE(B115,-12),'Data Core CPI'!$A:$AX,MATCH($D$1,'Data Core CPI'!$A$1:$AX$1,),))/VLOOKUP(EDATE(B115,-12),'Data Core CPI'!$A:$AX,MATCH($D$1,'Data Core CPI'!$A$1:$AX$1,),)</f>
        <v/>
      </c>
      <c r="E115" s="20">
        <f>IF(VLOOKUP(B115,'Data Core CPI'!$A:$AX,MATCH($E$1,'Data Core CPI'!$A$1:$AX$1,),)=0,#N/A,(VLOOKUP(B115,'Data Core CPI'!$A:$AX,MATCH($E$1,'Data Core CPI'!$A$1:$AX$1,),)-VLOOKUP(EDATE(B115,-12),'Data Core CPI'!$A:$AX,MATCH($E$1,'Data Core CPI'!$A$1:$AX$1,),))/VLOOKUP(EDATE(B115,-12),'Data Core CPI'!$A:$AX,MATCH($E$1,'Data Core CPI'!$A$1:$AX$1,),))</f>
        <v/>
      </c>
      <c r="F115" s="20">
        <f>IF(VLOOKUP(B115,'Data Core CPI'!$A:$AX,MATCH($F$1,'Data Core CPI'!$A$1:$AX$1,),)=0,#N/A,(VLOOKUP(B115,'Data Core CPI'!$A:$AX,MATCH($F$1,'Data Core CPI'!$A$1:$AX$1,),)-VLOOKUP(EDATE(B115,-12),'Data Core CPI'!$A:$AX,MATCH($F$1,'Data Core CPI'!$A$1:$AX$1,),))/VLOOKUP(EDATE(B115,-12),'Data Core CPI'!$A:$AX,MATCH($F$1,'Data Core CPI'!$A$1:$AX$1,),))</f>
        <v/>
      </c>
      <c r="G115" s="20">
        <f>IF(VLOOKUP(B115,'Data Core CPI'!$A:$AX,MATCH($G$1,'Data Core CPI'!$A$1:$AX$1,),)=0,#N/A,(VLOOKUP(B115,'Data Core CPI'!$A:$AX,MATCH($G$1,'Data Core CPI'!$A$1:$AX$1,),)-VLOOKUP(EDATE(B115,-12),'Data Core CPI'!$A:$AX,MATCH($G$1,'Data Core CPI'!$A$1:$AX$1,),))/VLOOKUP(EDATE(B115,-12),'Data Core CPI'!$A:$AX,MATCH($G$1,'Data Core CPI'!$A$1:$AX$1,),))</f>
        <v/>
      </c>
      <c r="H115" s="20">
        <f>IF(VLOOKUP(B115,'Data Core CPI'!$A:$AX,MATCH($H$1,'Data Core CPI'!$A$1:$AX$1,),)=0,#N/A,(VLOOKUP(B115,'Data Core CPI'!$A:$AX,MATCH($H$1,'Data Core CPI'!$A$1:$AX$1,),)-VLOOKUP(EDATE(B115,-12),'Data Core CPI'!$A:$AX,MATCH($H$1,'Data Core CPI'!$A$1:$AX$1,),))/VLOOKUP(EDATE(B115,-12),'Data Core CPI'!$A:$AX,MATCH($H$1,'Data Core CPI'!$A$1:$AX$1,),))</f>
        <v/>
      </c>
      <c r="I115" s="20">
        <f>IF(VLOOKUP(B115,'Data Core CPI'!$A:$AX,MATCH($I$1,'Data Core CPI'!$A$1:$AX$1,),)=0,#N/A,(VLOOKUP(B115,'Data Core CPI'!$A:$AX,MATCH($I$1,'Data Core CPI'!$A$1:$AX$1,),)-VLOOKUP(EDATE(B115,-12),'Data Core CPI'!$A:$AX,MATCH($I$1,'Data Core CPI'!$A$1:$AX$1,),))/VLOOKUP(EDATE(B115,-12),'Data Core CPI'!$A:$AX,MATCH($I$1,'Data Core CPI'!$A$1:$AX$1,),))</f>
        <v/>
      </c>
      <c r="J115" s="20">
        <f>IF(VLOOKUP(B115,'Data Core CPI'!$A:$AX,MATCH($J$1,'Data Core CPI'!$A$1:$AX$1,),)=0,#N/A,(VLOOKUP(B115,'Data Core CPI'!$A:$AX,MATCH($J$1,'Data Core CPI'!$A$1:$AX$1,),)-VLOOKUP(EDATE(B115,-12),'Data Core CPI'!$A:$AX,MATCH($J$1,'Data Core CPI'!$A$1:$AX$1,),))/VLOOKUP(EDATE(B115,-12),'Data Core CPI'!$A:$AX,MATCH($J$1,'Data Core CPI'!$A$1:$AX$1,),))</f>
        <v/>
      </c>
      <c r="K115" s="20">
        <f>IF(VLOOKUP(B115,'Data Core CPI'!$A:$AX,MATCH($K$1,'Data Core CPI'!$A$1:$AX$1,),)=0,#N/A,(VLOOKUP(B115,'Data Core CPI'!$A:$AX,MATCH($K$1,'Data Core CPI'!$A$1:$AX$1,),)-VLOOKUP(EDATE(B115,-12),'Data Core CPI'!$A:$AX,MATCH($K$1,'Data Core CPI'!$A$1:$AX$1,),))/VLOOKUP(EDATE(B115,-12),'Data Core CPI'!$A:$AX,MATCH($K$1,'Data Core CPI'!$A$1:$AX$1,),))</f>
        <v/>
      </c>
      <c r="L115" s="20">
        <f>IF(VLOOKUP(B115,'Data Core CPI'!$A:$AX,MATCH($L$1,'Data Core CPI'!$A$1:$AX$1,),)=0,#N/A,(VLOOKUP(B115,'Data Core CPI'!$A:$AX,MATCH($L$1,'Data Core CPI'!$A$1:$AX$1,),)-VLOOKUP(EDATE(B115,-12),'Data Core CPI'!$A:$AX,MATCH($L$1,'Data Core CPI'!$A$1:$AX$1,),))/VLOOKUP(EDATE(B115,-12),'Data Core CPI'!$A:$AX,MATCH($L$1,'Data Core CPI'!$A$1:$AX$1,),))</f>
        <v/>
      </c>
      <c r="M115" s="20">
        <f>IF(VLOOKUP(B115,'Data Core CPI'!$A:$AX,MATCH($M$1,'Data Core CPI'!$A$1:$AX$1,),)=0,#N/A,(VLOOKUP(B115,'Data Core CPI'!$A:$AX,MATCH($M$1,'Data Core CPI'!$A$1:$AX$1,),)-VLOOKUP(EDATE(B115,-12),'Data Core CPI'!$A:$AX,MATCH($M$1,'Data Core CPI'!$A$1:$AX$1,),))/VLOOKUP(EDATE(B115,-12),'Data Core CPI'!$A:$AX,MATCH($M$1,'Data Core CPI'!$A$1:$AX$1,),))</f>
        <v/>
      </c>
      <c r="N115" s="20">
        <f>(VLOOKUP(B115,'Data Core CPI'!$A:$AX,MATCH($N$1,'Data Core CPI'!$A$1:$AX$1,),)-VLOOKUP(EDATE(B115,-12),'Data Core CPI'!$A:$AX,MATCH($N$1,'Data Core CPI'!$A$1:$AX$1,),))/VLOOKUP(EDATE(B115,-12),'Data Core CPI'!$A:$AX,MATCH($N$1,'Data Core CPI'!$A$1:$AX$1,),)</f>
        <v/>
      </c>
      <c r="O115" s="20">
        <f>(VLOOKUP(B115,'Data Core CPI'!$A:$AX,MATCH($O$1,'Data Core CPI'!$A$1:$AX$1,),)-VLOOKUP(EDATE(B115,-12),'Data Core CPI'!$A:$AX,MATCH($O$1,'Data Core CPI'!$A$1:$AX$1,),))/VLOOKUP(EDATE(B115,-12),'Data Core CPI'!$A:$AX,MATCH($O$1,'Data Core CPI'!$A$1:$AX$1,),)</f>
        <v/>
      </c>
      <c r="P115" s="20">
        <f>IF(VLOOKUP(B115,'Data Core CPI'!$A:$AX,MATCH($P$1,'Data Core CPI'!$A$1:$AX$1,),)=0,#N/A,(VLOOKUP(B115,'Data Core CPI'!$A:$AX,MATCH($P$1,'Data Core CPI'!$A$1:$AX$1,),)-VLOOKUP(EDATE(B115,-12),'Data Core CPI'!$A:$AX,MATCH($P$1,'Data Core CPI'!$A$1:$AX$1,),))/VLOOKUP(EDATE(B115,-12),'Data Core CPI'!$A:$AX,MATCH($P$1,'Data Core CPI'!$A$1:$AX$1,),))</f>
        <v/>
      </c>
      <c r="Q115" s="20">
        <f>(VLOOKUP(B115,'Data Core CPI'!$A:$AX,MATCH($Q$1,'Data Core CPI'!$A$1:$AX$1,),)-VLOOKUP(EDATE(B115,-12),'Data Core CPI'!$A:$AX,MATCH($Q$1,'Data Core CPI'!$A$1:$AX$1,),))/VLOOKUP(EDATE(B115,-12),'Data Core CPI'!$A:$AX,MATCH($Q$1,'Data Core CPI'!$A$1:$AX$1,),)</f>
        <v/>
      </c>
      <c r="R115" s="20">
        <f>IF(VLOOKUP(B115,'Data Core CPI'!$A:$AX,MATCH($R$1,'Data Core CPI'!$A$1:$AX$1,),)=0,#N/A,(VLOOKUP(B115,'Data Core CPI'!$A:$AX,MATCH($R$1,'Data Core CPI'!$A$1:$AX$1,),)-VLOOKUP(EDATE(B115,-12),'Data Core CPI'!$A:$AX,MATCH($R$1,'Data Core CPI'!$A$1:$AX$1,),))/VLOOKUP(EDATE(B115,-12),'Data Core CPI'!$A:$AX,MATCH($R$1,'Data Core CPI'!$A$1:$AX$1,),))</f>
        <v/>
      </c>
      <c r="S115" s="20">
        <f>(VLOOKUP(B115,'Data Core CPI'!$A:$AX,MATCH($S$1,'Data Core CPI'!$A$1:$AX$1,),)-VLOOKUP(EDATE(B115,-12),'Data Core CPI'!$A:$AX,MATCH($S$1,'Data Core CPI'!$A$1:$AX$1,),))/VLOOKUP(EDATE(B115,-12),'Data Core CPI'!$A:$AX,MATCH($S$1,'Data Core CPI'!$A$1:$AX$1,),)</f>
        <v/>
      </c>
      <c r="T115" s="20">
        <f>(VLOOKUP(B115,'Data Core CPI'!$A:$AX,MATCH($T$1,'Data Core CPI'!$A$1:$AX$1,),)-VLOOKUP(EDATE(B115,-12),'Data Core CPI'!$A:$AX,MATCH($T$1,'Data Core CPI'!$A$1:$AX$1,),))/VLOOKUP(EDATE(B115,-12),'Data Core CPI'!$A:$AX,MATCH($T$1,'Data Core CPI'!$A$1:$AX$1,),)</f>
        <v/>
      </c>
      <c r="U115" s="20">
        <f>IF(VLOOKUP(B115,'Data Core CPI'!$A:$AX,MATCH($U$1,'Data Core CPI'!$A$1:$AX$1,),)=0,#N/A,(VLOOKUP(B115,'Data Core CPI'!$A:$AX,MATCH($U$1,'Data Core CPI'!$A$1:$AX$1,),)-VLOOKUP(EDATE(B115,-12),'Data Core CPI'!$A:$AX,MATCH($U$1,'Data Core CPI'!$A$1:$AX$1,),))/VLOOKUP(EDATE(B115,-12),'Data Core CPI'!$A:$AX,MATCH($U$1,'Data Core CPI'!$A$1:$AX$1,),))</f>
        <v/>
      </c>
      <c r="V115" s="20">
        <f>(VLOOKUP(B115,'Data Core CPI'!$A:$AX,MATCH($V$1,'Data Core CPI'!$A$1:$AX$1,),)-VLOOKUP(EDATE(B115,-12),'Data Core CPI'!$A:$AX,MATCH($V$1,'Data Core CPI'!$A$1:$AX$1,),))/VLOOKUP(EDATE(B115,-12),'Data Core CPI'!$A:$AX,MATCH($V$1,'Data Core CPI'!$A$1:$AX$1,),)</f>
        <v/>
      </c>
      <c r="W115" s="20">
        <f>IF(VLOOKUP(B115,'Data Core CPI'!$A:$AX,MATCH($W$1,'Data Core CPI'!$A$1:$AX$1,),)=0,#N/A,(VLOOKUP(B115,'Data Core CPI'!$A:$AX,MATCH($W$1,'Data Core CPI'!$A$1:$AX$1,),)-VLOOKUP(EDATE(B115,-12),'Data Core CPI'!$A:$AX,MATCH($W$1,'Data Core CPI'!$A$1:$AX$1,),))/VLOOKUP(EDATE(B115,-12),'Data Core CPI'!$A:$AX,MATCH($W$1,'Data Core CPI'!$A$1:$AX$1,),))</f>
        <v/>
      </c>
      <c r="X115" s="20">
        <f>IF(VLOOKUP(B115,'Data Core CPI'!$A:$AX,MATCH($X$1,'Data Core CPI'!$A$1:$AX$1,),)=0,#N/A,(VLOOKUP(B115,'Data Core CPI'!$A:$AX,MATCH($X$1,'Data Core CPI'!$A$1:$AX$1,),)-VLOOKUP(EDATE(B115,-12),'Data Core CPI'!$A:$AX,MATCH($X$1,'Data Core CPI'!$A$1:$AX$1,),))/VLOOKUP(EDATE(B115,-12),'Data Core CPI'!$A:$AX,MATCH($X$1,'Data Core CPI'!$A$1:$AX$1,),))</f>
        <v/>
      </c>
      <c r="Y115" s="20">
        <f>IF(VLOOKUP(B115,'Data Core CPI'!$A:$AX,MATCH($Y$1,'Data Core CPI'!$A$1:$AX$1,),)=0,#N/A,(VLOOKUP(B115,'Data Core CPI'!$A:$AX,MATCH($Y$1,'Data Core CPI'!$A$1:$AX$1,),)-VLOOKUP(EDATE(B115,-12),'Data Core CPI'!$A:$AX,MATCH($Y$1,'Data Core CPI'!$A$1:$AX$1,),))/VLOOKUP(EDATE(B115,-12),'Data Core CPI'!$A:$AX,MATCH($Y$1,'Data Core CPI'!$A$1:$AX$1,),))</f>
        <v/>
      </c>
    </row>
    <row r="116" customFormat="1" s="78">
      <c r="B116" s="15" t="n">
        <v>43739</v>
      </c>
      <c r="C116" s="20">
        <f>IF(VLOOKUP(B116,'Data Core CPI'!$A:$AX,MATCH($C$1,'Data Core CPI'!$A$1:$AX$1,),)=0,#N/A,(VLOOKUP(B116,'Data Core CPI'!$A:$AX,MATCH($C$1,'Data Core CPI'!$A$1:$AX$1,),)-VLOOKUP(EDATE(B116,-12),'Data Core CPI'!$A:$AX,MATCH($C$1,'Data Core CPI'!$A$1:$AX$1,),))/VLOOKUP(EDATE(B116,-12),'Data Core CPI'!$A:$AX,MATCH($C$1,'Data Core CPI'!$A$1:$AX$1,),))</f>
        <v/>
      </c>
      <c r="D116" s="20">
        <f>(VLOOKUP(B116,'Data Core CPI'!$A:$AX,MATCH($D$1,'Data Core CPI'!$A$1:$AX$1,),)-VLOOKUP(EDATE(B116,-12),'Data Core CPI'!$A:$AX,MATCH($D$1,'Data Core CPI'!$A$1:$AX$1,),))/VLOOKUP(EDATE(B116,-12),'Data Core CPI'!$A:$AX,MATCH($D$1,'Data Core CPI'!$A$1:$AX$1,),)</f>
        <v/>
      </c>
      <c r="E116" s="20">
        <f>IF(VLOOKUP(B116,'Data Core CPI'!$A:$AX,MATCH($E$1,'Data Core CPI'!$A$1:$AX$1,),)=0,#N/A,(VLOOKUP(B116,'Data Core CPI'!$A:$AX,MATCH($E$1,'Data Core CPI'!$A$1:$AX$1,),)-VLOOKUP(EDATE(B116,-12),'Data Core CPI'!$A:$AX,MATCH($E$1,'Data Core CPI'!$A$1:$AX$1,),))/VLOOKUP(EDATE(B116,-12),'Data Core CPI'!$A:$AX,MATCH($E$1,'Data Core CPI'!$A$1:$AX$1,),))</f>
        <v/>
      </c>
      <c r="F116" s="20">
        <f>IF(VLOOKUP(B116,'Data Core CPI'!$A:$AX,MATCH($F$1,'Data Core CPI'!$A$1:$AX$1,),)=0,#N/A,(VLOOKUP(B116,'Data Core CPI'!$A:$AX,MATCH($F$1,'Data Core CPI'!$A$1:$AX$1,),)-VLOOKUP(EDATE(B116,-12),'Data Core CPI'!$A:$AX,MATCH($F$1,'Data Core CPI'!$A$1:$AX$1,),))/VLOOKUP(EDATE(B116,-12),'Data Core CPI'!$A:$AX,MATCH($F$1,'Data Core CPI'!$A$1:$AX$1,),))</f>
        <v/>
      </c>
      <c r="G116" s="20">
        <f>IF(VLOOKUP(B116,'Data Core CPI'!$A:$AX,MATCH($G$1,'Data Core CPI'!$A$1:$AX$1,),)=0,#N/A,(VLOOKUP(B116,'Data Core CPI'!$A:$AX,MATCH($G$1,'Data Core CPI'!$A$1:$AX$1,),)-VLOOKUP(EDATE(B116,-12),'Data Core CPI'!$A:$AX,MATCH($G$1,'Data Core CPI'!$A$1:$AX$1,),))/VLOOKUP(EDATE(B116,-12),'Data Core CPI'!$A:$AX,MATCH($G$1,'Data Core CPI'!$A$1:$AX$1,),))</f>
        <v/>
      </c>
      <c r="H116" s="20">
        <f>IF(VLOOKUP(B116,'Data Core CPI'!$A:$AX,MATCH($H$1,'Data Core CPI'!$A$1:$AX$1,),)=0,#N/A,(VLOOKUP(B116,'Data Core CPI'!$A:$AX,MATCH($H$1,'Data Core CPI'!$A$1:$AX$1,),)-VLOOKUP(EDATE(B116,-12),'Data Core CPI'!$A:$AX,MATCH($H$1,'Data Core CPI'!$A$1:$AX$1,),))/VLOOKUP(EDATE(B116,-12),'Data Core CPI'!$A:$AX,MATCH($H$1,'Data Core CPI'!$A$1:$AX$1,),))</f>
        <v/>
      </c>
      <c r="I116" s="20">
        <f>IF(VLOOKUP(B116,'Data Core CPI'!$A:$AX,MATCH($I$1,'Data Core CPI'!$A$1:$AX$1,),)=0,#N/A,(VLOOKUP(B116,'Data Core CPI'!$A:$AX,MATCH($I$1,'Data Core CPI'!$A$1:$AX$1,),)-VLOOKUP(EDATE(B116,-12),'Data Core CPI'!$A:$AX,MATCH($I$1,'Data Core CPI'!$A$1:$AX$1,),))/VLOOKUP(EDATE(B116,-12),'Data Core CPI'!$A:$AX,MATCH($I$1,'Data Core CPI'!$A$1:$AX$1,),))</f>
        <v/>
      </c>
      <c r="J116" s="20">
        <f>IF(VLOOKUP(B116,'Data Core CPI'!$A:$AX,MATCH($J$1,'Data Core CPI'!$A$1:$AX$1,),)=0,#N/A,(VLOOKUP(B116,'Data Core CPI'!$A:$AX,MATCH($J$1,'Data Core CPI'!$A$1:$AX$1,),)-VLOOKUP(EDATE(B116,-12),'Data Core CPI'!$A:$AX,MATCH($J$1,'Data Core CPI'!$A$1:$AX$1,),))/VLOOKUP(EDATE(B116,-12),'Data Core CPI'!$A:$AX,MATCH($J$1,'Data Core CPI'!$A$1:$AX$1,),))</f>
        <v/>
      </c>
      <c r="K116" s="20">
        <f>IF(VLOOKUP(B116,'Data Core CPI'!$A:$AX,MATCH($K$1,'Data Core CPI'!$A$1:$AX$1,),)=0,#N/A,(VLOOKUP(B116,'Data Core CPI'!$A:$AX,MATCH($K$1,'Data Core CPI'!$A$1:$AX$1,),)-VLOOKUP(EDATE(B116,-12),'Data Core CPI'!$A:$AX,MATCH($K$1,'Data Core CPI'!$A$1:$AX$1,),))/VLOOKUP(EDATE(B116,-12),'Data Core CPI'!$A:$AX,MATCH($K$1,'Data Core CPI'!$A$1:$AX$1,),))</f>
        <v/>
      </c>
      <c r="L116" s="20">
        <f>IF(VLOOKUP(B116,'Data Core CPI'!$A:$AX,MATCH($L$1,'Data Core CPI'!$A$1:$AX$1,),)=0,#N/A,(VLOOKUP(B116,'Data Core CPI'!$A:$AX,MATCH($L$1,'Data Core CPI'!$A$1:$AX$1,),)-VLOOKUP(EDATE(B116,-12),'Data Core CPI'!$A:$AX,MATCH($L$1,'Data Core CPI'!$A$1:$AX$1,),))/VLOOKUP(EDATE(B116,-12),'Data Core CPI'!$A:$AX,MATCH($L$1,'Data Core CPI'!$A$1:$AX$1,),))</f>
        <v/>
      </c>
      <c r="M116" s="20">
        <f>IF(VLOOKUP(B116,'Data Core CPI'!$A:$AX,MATCH($M$1,'Data Core CPI'!$A$1:$AX$1,),)=0,#N/A,(VLOOKUP(B116,'Data Core CPI'!$A:$AX,MATCH($M$1,'Data Core CPI'!$A$1:$AX$1,),)-VLOOKUP(EDATE(B116,-12),'Data Core CPI'!$A:$AX,MATCH($M$1,'Data Core CPI'!$A$1:$AX$1,),))/VLOOKUP(EDATE(B116,-12),'Data Core CPI'!$A:$AX,MATCH($M$1,'Data Core CPI'!$A$1:$AX$1,),))</f>
        <v/>
      </c>
      <c r="N116" s="20">
        <f>(VLOOKUP(B116,'Data Core CPI'!$A:$AX,MATCH($N$1,'Data Core CPI'!$A$1:$AX$1,),)-VLOOKUP(EDATE(B116,-12),'Data Core CPI'!$A:$AX,MATCH($N$1,'Data Core CPI'!$A$1:$AX$1,),))/VLOOKUP(EDATE(B116,-12),'Data Core CPI'!$A:$AX,MATCH($N$1,'Data Core CPI'!$A$1:$AX$1,),)</f>
        <v/>
      </c>
      <c r="O116" s="20">
        <f>(VLOOKUP(B116,'Data Core CPI'!$A:$AX,MATCH($O$1,'Data Core CPI'!$A$1:$AX$1,),)-VLOOKUP(EDATE(B116,-12),'Data Core CPI'!$A:$AX,MATCH($O$1,'Data Core CPI'!$A$1:$AX$1,),))/VLOOKUP(EDATE(B116,-12),'Data Core CPI'!$A:$AX,MATCH($O$1,'Data Core CPI'!$A$1:$AX$1,),)</f>
        <v/>
      </c>
      <c r="P116" s="20">
        <f>IF(VLOOKUP(B116,'Data Core CPI'!$A:$AX,MATCH($P$1,'Data Core CPI'!$A$1:$AX$1,),)=0,#N/A,(VLOOKUP(B116,'Data Core CPI'!$A:$AX,MATCH($P$1,'Data Core CPI'!$A$1:$AX$1,),)-VLOOKUP(EDATE(B116,-12),'Data Core CPI'!$A:$AX,MATCH($P$1,'Data Core CPI'!$A$1:$AX$1,),))/VLOOKUP(EDATE(B116,-12),'Data Core CPI'!$A:$AX,MATCH($P$1,'Data Core CPI'!$A$1:$AX$1,),))</f>
        <v/>
      </c>
      <c r="Q116" s="20">
        <f>(VLOOKUP(B116,'Data Core CPI'!$A:$AX,MATCH($Q$1,'Data Core CPI'!$A$1:$AX$1,),)-VLOOKUP(EDATE(B116,-12),'Data Core CPI'!$A:$AX,MATCH($Q$1,'Data Core CPI'!$A$1:$AX$1,),))/VLOOKUP(EDATE(B116,-12),'Data Core CPI'!$A:$AX,MATCH($Q$1,'Data Core CPI'!$A$1:$AX$1,),)</f>
        <v/>
      </c>
      <c r="R116" s="20">
        <f>IF(VLOOKUP(B116,'Data Core CPI'!$A:$AX,MATCH($R$1,'Data Core CPI'!$A$1:$AX$1,),)=0,#N/A,(VLOOKUP(B116,'Data Core CPI'!$A:$AX,MATCH($R$1,'Data Core CPI'!$A$1:$AX$1,),)-VLOOKUP(EDATE(B116,-12),'Data Core CPI'!$A:$AX,MATCH($R$1,'Data Core CPI'!$A$1:$AX$1,),))/VLOOKUP(EDATE(B116,-12),'Data Core CPI'!$A:$AX,MATCH($R$1,'Data Core CPI'!$A$1:$AX$1,),))</f>
        <v/>
      </c>
      <c r="S116" s="20">
        <f>(VLOOKUP(B116,'Data Core CPI'!$A:$AX,MATCH($S$1,'Data Core CPI'!$A$1:$AX$1,),)-VLOOKUP(EDATE(B116,-12),'Data Core CPI'!$A:$AX,MATCH($S$1,'Data Core CPI'!$A$1:$AX$1,),))/VLOOKUP(EDATE(B116,-12),'Data Core CPI'!$A:$AX,MATCH($S$1,'Data Core CPI'!$A$1:$AX$1,),)</f>
        <v/>
      </c>
      <c r="T116" s="20">
        <f>(VLOOKUP(B116,'Data Core CPI'!$A:$AX,MATCH($T$1,'Data Core CPI'!$A$1:$AX$1,),)-VLOOKUP(EDATE(B116,-12),'Data Core CPI'!$A:$AX,MATCH($T$1,'Data Core CPI'!$A$1:$AX$1,),))/VLOOKUP(EDATE(B116,-12),'Data Core CPI'!$A:$AX,MATCH($T$1,'Data Core CPI'!$A$1:$AX$1,),)</f>
        <v/>
      </c>
      <c r="U116" s="20">
        <f>IF(VLOOKUP(B116,'Data Core CPI'!$A:$AX,MATCH($U$1,'Data Core CPI'!$A$1:$AX$1,),)=0,#N/A,(VLOOKUP(B116,'Data Core CPI'!$A:$AX,MATCH($U$1,'Data Core CPI'!$A$1:$AX$1,),)-VLOOKUP(EDATE(B116,-12),'Data Core CPI'!$A:$AX,MATCH($U$1,'Data Core CPI'!$A$1:$AX$1,),))/VLOOKUP(EDATE(B116,-12),'Data Core CPI'!$A:$AX,MATCH($U$1,'Data Core CPI'!$A$1:$AX$1,),))</f>
        <v/>
      </c>
      <c r="V116" s="20">
        <f>(VLOOKUP(B116,'Data Core CPI'!$A:$AX,MATCH($V$1,'Data Core CPI'!$A$1:$AX$1,),)-VLOOKUP(EDATE(B116,-12),'Data Core CPI'!$A:$AX,MATCH($V$1,'Data Core CPI'!$A$1:$AX$1,),))/VLOOKUP(EDATE(B116,-12),'Data Core CPI'!$A:$AX,MATCH($V$1,'Data Core CPI'!$A$1:$AX$1,),)</f>
        <v/>
      </c>
      <c r="W116" s="20">
        <f>IF(VLOOKUP(B116,'Data Core CPI'!$A:$AX,MATCH($W$1,'Data Core CPI'!$A$1:$AX$1,),)=0,#N/A,(VLOOKUP(B116,'Data Core CPI'!$A:$AX,MATCH($W$1,'Data Core CPI'!$A$1:$AX$1,),)-VLOOKUP(EDATE(B116,-12),'Data Core CPI'!$A:$AX,MATCH($W$1,'Data Core CPI'!$A$1:$AX$1,),))/VLOOKUP(EDATE(B116,-12),'Data Core CPI'!$A:$AX,MATCH($W$1,'Data Core CPI'!$A$1:$AX$1,),))</f>
        <v/>
      </c>
      <c r="X116" s="20">
        <f>IF(VLOOKUP(B116,'Data Core CPI'!$A:$AX,MATCH($X$1,'Data Core CPI'!$A$1:$AX$1,),)=0,#N/A,(VLOOKUP(B116,'Data Core CPI'!$A:$AX,MATCH($X$1,'Data Core CPI'!$A$1:$AX$1,),)-VLOOKUP(EDATE(B116,-12),'Data Core CPI'!$A:$AX,MATCH($X$1,'Data Core CPI'!$A$1:$AX$1,),))/VLOOKUP(EDATE(B116,-12),'Data Core CPI'!$A:$AX,MATCH($X$1,'Data Core CPI'!$A$1:$AX$1,),))</f>
        <v/>
      </c>
      <c r="Y116" s="20">
        <f>IF(VLOOKUP(B116,'Data Core CPI'!$A:$AX,MATCH($Y$1,'Data Core CPI'!$A$1:$AX$1,),)=0,#N/A,(VLOOKUP(B116,'Data Core CPI'!$A:$AX,MATCH($Y$1,'Data Core CPI'!$A$1:$AX$1,),)-VLOOKUP(EDATE(B116,-12),'Data Core CPI'!$A:$AX,MATCH($Y$1,'Data Core CPI'!$A$1:$AX$1,),))/VLOOKUP(EDATE(B116,-12),'Data Core CPI'!$A:$AX,MATCH($Y$1,'Data Core CPI'!$A$1:$AX$1,),))</f>
        <v/>
      </c>
    </row>
    <row r="117" customFormat="1" s="78">
      <c r="B117" s="15" t="n">
        <v>43770</v>
      </c>
      <c r="C117" s="20">
        <f>IF(VLOOKUP(B117,'Data Core CPI'!$A:$AX,MATCH($C$1,'Data Core CPI'!$A$1:$AX$1,),)=0,#N/A,(VLOOKUP(B117,'Data Core CPI'!$A:$AX,MATCH($C$1,'Data Core CPI'!$A$1:$AX$1,),)-VLOOKUP(EDATE(B117,-12),'Data Core CPI'!$A:$AX,MATCH($C$1,'Data Core CPI'!$A$1:$AX$1,),))/VLOOKUP(EDATE(B117,-12),'Data Core CPI'!$A:$AX,MATCH($C$1,'Data Core CPI'!$A$1:$AX$1,),))</f>
        <v/>
      </c>
      <c r="D117" s="20">
        <f>(VLOOKUP(B117,'Data Core CPI'!$A:$AX,MATCH($D$1,'Data Core CPI'!$A$1:$AX$1,),)-VLOOKUP(EDATE(B117,-12),'Data Core CPI'!$A:$AX,MATCH($D$1,'Data Core CPI'!$A$1:$AX$1,),))/VLOOKUP(EDATE(B117,-12),'Data Core CPI'!$A:$AX,MATCH($D$1,'Data Core CPI'!$A$1:$AX$1,),)</f>
        <v/>
      </c>
      <c r="E117" s="20">
        <f>IF(VLOOKUP(B117,'Data Core CPI'!$A:$AX,MATCH($E$1,'Data Core CPI'!$A$1:$AX$1,),)=0,#N/A,(VLOOKUP(B117,'Data Core CPI'!$A:$AX,MATCH($E$1,'Data Core CPI'!$A$1:$AX$1,),)-VLOOKUP(EDATE(B117,-12),'Data Core CPI'!$A:$AX,MATCH($E$1,'Data Core CPI'!$A$1:$AX$1,),))/VLOOKUP(EDATE(B117,-12),'Data Core CPI'!$A:$AX,MATCH($E$1,'Data Core CPI'!$A$1:$AX$1,),))</f>
        <v/>
      </c>
      <c r="F117" s="20">
        <f>IF(VLOOKUP(B117,'Data Core CPI'!$A:$AX,MATCH($F$1,'Data Core CPI'!$A$1:$AX$1,),)=0,#N/A,(VLOOKUP(B117,'Data Core CPI'!$A:$AX,MATCH($F$1,'Data Core CPI'!$A$1:$AX$1,),)-VLOOKUP(EDATE(B117,-12),'Data Core CPI'!$A:$AX,MATCH($F$1,'Data Core CPI'!$A$1:$AX$1,),))/VLOOKUP(EDATE(B117,-12),'Data Core CPI'!$A:$AX,MATCH($F$1,'Data Core CPI'!$A$1:$AX$1,),))</f>
        <v/>
      </c>
      <c r="G117" s="20">
        <f>IF(VLOOKUP(B117,'Data Core CPI'!$A:$AX,MATCH($G$1,'Data Core CPI'!$A$1:$AX$1,),)=0,#N/A,(VLOOKUP(B117,'Data Core CPI'!$A:$AX,MATCH($G$1,'Data Core CPI'!$A$1:$AX$1,),)-VLOOKUP(EDATE(B117,-12),'Data Core CPI'!$A:$AX,MATCH($G$1,'Data Core CPI'!$A$1:$AX$1,),))/VLOOKUP(EDATE(B117,-12),'Data Core CPI'!$A:$AX,MATCH($G$1,'Data Core CPI'!$A$1:$AX$1,),))</f>
        <v/>
      </c>
      <c r="H117" s="20">
        <f>IF(VLOOKUP(B117,'Data Core CPI'!$A:$AX,MATCH($H$1,'Data Core CPI'!$A$1:$AX$1,),)=0,#N/A,(VLOOKUP(B117,'Data Core CPI'!$A:$AX,MATCH($H$1,'Data Core CPI'!$A$1:$AX$1,),)-VLOOKUP(EDATE(B117,-12),'Data Core CPI'!$A:$AX,MATCH($H$1,'Data Core CPI'!$A$1:$AX$1,),))/VLOOKUP(EDATE(B117,-12),'Data Core CPI'!$A:$AX,MATCH($H$1,'Data Core CPI'!$A$1:$AX$1,),))</f>
        <v/>
      </c>
      <c r="I117" s="20">
        <f>IF(VLOOKUP(B117,'Data Core CPI'!$A:$AX,MATCH($I$1,'Data Core CPI'!$A$1:$AX$1,),)=0,#N/A,(VLOOKUP(B117,'Data Core CPI'!$A:$AX,MATCH($I$1,'Data Core CPI'!$A$1:$AX$1,),)-VLOOKUP(EDATE(B117,-12),'Data Core CPI'!$A:$AX,MATCH($I$1,'Data Core CPI'!$A$1:$AX$1,),))/VLOOKUP(EDATE(B117,-12),'Data Core CPI'!$A:$AX,MATCH($I$1,'Data Core CPI'!$A$1:$AX$1,),))</f>
        <v/>
      </c>
      <c r="J117" s="20">
        <f>IF(VLOOKUP(B117,'Data Core CPI'!$A:$AX,MATCH($J$1,'Data Core CPI'!$A$1:$AX$1,),)=0,#N/A,(VLOOKUP(B117,'Data Core CPI'!$A:$AX,MATCH($J$1,'Data Core CPI'!$A$1:$AX$1,),)-VLOOKUP(EDATE(B117,-12),'Data Core CPI'!$A:$AX,MATCH($J$1,'Data Core CPI'!$A$1:$AX$1,),))/VLOOKUP(EDATE(B117,-12),'Data Core CPI'!$A:$AX,MATCH($J$1,'Data Core CPI'!$A$1:$AX$1,),))</f>
        <v/>
      </c>
      <c r="K117" s="20">
        <f>IF(VLOOKUP(B117,'Data Core CPI'!$A:$AX,MATCH($K$1,'Data Core CPI'!$A$1:$AX$1,),)=0,#N/A,(VLOOKUP(B117,'Data Core CPI'!$A:$AX,MATCH($K$1,'Data Core CPI'!$A$1:$AX$1,),)-VLOOKUP(EDATE(B117,-12),'Data Core CPI'!$A:$AX,MATCH($K$1,'Data Core CPI'!$A$1:$AX$1,),))/VLOOKUP(EDATE(B117,-12),'Data Core CPI'!$A:$AX,MATCH($K$1,'Data Core CPI'!$A$1:$AX$1,),))</f>
        <v/>
      </c>
      <c r="L117" s="20">
        <f>IF(VLOOKUP(B117,'Data Core CPI'!$A:$AX,MATCH($L$1,'Data Core CPI'!$A$1:$AX$1,),)=0,#N/A,(VLOOKUP(B117,'Data Core CPI'!$A:$AX,MATCH($L$1,'Data Core CPI'!$A$1:$AX$1,),)-VLOOKUP(EDATE(B117,-12),'Data Core CPI'!$A:$AX,MATCH($L$1,'Data Core CPI'!$A$1:$AX$1,),))/VLOOKUP(EDATE(B117,-12),'Data Core CPI'!$A:$AX,MATCH($L$1,'Data Core CPI'!$A$1:$AX$1,),))</f>
        <v/>
      </c>
      <c r="M117" s="20">
        <f>IF(VLOOKUP(B117,'Data Core CPI'!$A:$AX,MATCH($M$1,'Data Core CPI'!$A$1:$AX$1,),)=0,#N/A,(VLOOKUP(B117,'Data Core CPI'!$A:$AX,MATCH($M$1,'Data Core CPI'!$A$1:$AX$1,),)-VLOOKUP(EDATE(B117,-12),'Data Core CPI'!$A:$AX,MATCH($M$1,'Data Core CPI'!$A$1:$AX$1,),))/VLOOKUP(EDATE(B117,-12),'Data Core CPI'!$A:$AX,MATCH($M$1,'Data Core CPI'!$A$1:$AX$1,),))</f>
        <v/>
      </c>
      <c r="N117" s="20">
        <f>(VLOOKUP(B117,'Data Core CPI'!$A:$AX,MATCH($N$1,'Data Core CPI'!$A$1:$AX$1,),)-VLOOKUP(EDATE(B117,-12),'Data Core CPI'!$A:$AX,MATCH($N$1,'Data Core CPI'!$A$1:$AX$1,),))/VLOOKUP(EDATE(B117,-12),'Data Core CPI'!$A:$AX,MATCH($N$1,'Data Core CPI'!$A$1:$AX$1,),)</f>
        <v/>
      </c>
      <c r="O117" s="20">
        <f>(VLOOKUP(B117,'Data Core CPI'!$A:$AX,MATCH($O$1,'Data Core CPI'!$A$1:$AX$1,),)-VLOOKUP(EDATE(B117,-12),'Data Core CPI'!$A:$AX,MATCH($O$1,'Data Core CPI'!$A$1:$AX$1,),))/VLOOKUP(EDATE(B117,-12),'Data Core CPI'!$A:$AX,MATCH($O$1,'Data Core CPI'!$A$1:$AX$1,),)</f>
        <v/>
      </c>
      <c r="P117" s="20">
        <f>IF(VLOOKUP(B117,'Data Core CPI'!$A:$AX,MATCH($P$1,'Data Core CPI'!$A$1:$AX$1,),)=0,#N/A,(VLOOKUP(B117,'Data Core CPI'!$A:$AX,MATCH($P$1,'Data Core CPI'!$A$1:$AX$1,),)-VLOOKUP(EDATE(B117,-12),'Data Core CPI'!$A:$AX,MATCH($P$1,'Data Core CPI'!$A$1:$AX$1,),))/VLOOKUP(EDATE(B117,-12),'Data Core CPI'!$A:$AX,MATCH($P$1,'Data Core CPI'!$A$1:$AX$1,),))</f>
        <v/>
      </c>
      <c r="Q117" s="20">
        <f>(VLOOKUP(B117,'Data Core CPI'!$A:$AX,MATCH($Q$1,'Data Core CPI'!$A$1:$AX$1,),)-VLOOKUP(EDATE(B117,-12),'Data Core CPI'!$A:$AX,MATCH($Q$1,'Data Core CPI'!$A$1:$AX$1,),))/VLOOKUP(EDATE(B117,-12),'Data Core CPI'!$A:$AX,MATCH($Q$1,'Data Core CPI'!$A$1:$AX$1,),)</f>
        <v/>
      </c>
      <c r="R117" s="20">
        <f>IF(VLOOKUP(B117,'Data Core CPI'!$A:$AX,MATCH($R$1,'Data Core CPI'!$A$1:$AX$1,),)=0,#N/A,(VLOOKUP(B117,'Data Core CPI'!$A:$AX,MATCH($R$1,'Data Core CPI'!$A$1:$AX$1,),)-VLOOKUP(EDATE(B117,-12),'Data Core CPI'!$A:$AX,MATCH($R$1,'Data Core CPI'!$A$1:$AX$1,),))/VLOOKUP(EDATE(B117,-12),'Data Core CPI'!$A:$AX,MATCH($R$1,'Data Core CPI'!$A$1:$AX$1,),))</f>
        <v/>
      </c>
      <c r="S117" s="20">
        <f>(VLOOKUP(B117,'Data Core CPI'!$A:$AX,MATCH($S$1,'Data Core CPI'!$A$1:$AX$1,),)-VLOOKUP(EDATE(B117,-12),'Data Core CPI'!$A:$AX,MATCH($S$1,'Data Core CPI'!$A$1:$AX$1,),))/VLOOKUP(EDATE(B117,-12),'Data Core CPI'!$A:$AX,MATCH($S$1,'Data Core CPI'!$A$1:$AX$1,),)</f>
        <v/>
      </c>
      <c r="T117" s="20">
        <f>(VLOOKUP(B117,'Data Core CPI'!$A:$AX,MATCH($T$1,'Data Core CPI'!$A$1:$AX$1,),)-VLOOKUP(EDATE(B117,-12),'Data Core CPI'!$A:$AX,MATCH($T$1,'Data Core CPI'!$A$1:$AX$1,),))/VLOOKUP(EDATE(B117,-12),'Data Core CPI'!$A:$AX,MATCH($T$1,'Data Core CPI'!$A$1:$AX$1,),)</f>
        <v/>
      </c>
      <c r="U117" s="20">
        <f>IF(VLOOKUP(B117,'Data Core CPI'!$A:$AX,MATCH($U$1,'Data Core CPI'!$A$1:$AX$1,),)=0,#N/A,(VLOOKUP(B117,'Data Core CPI'!$A:$AX,MATCH($U$1,'Data Core CPI'!$A$1:$AX$1,),)-VLOOKUP(EDATE(B117,-12),'Data Core CPI'!$A:$AX,MATCH($U$1,'Data Core CPI'!$A$1:$AX$1,),))/VLOOKUP(EDATE(B117,-12),'Data Core CPI'!$A:$AX,MATCH($U$1,'Data Core CPI'!$A$1:$AX$1,),))</f>
        <v/>
      </c>
      <c r="V117" s="20">
        <f>(VLOOKUP(B117,'Data Core CPI'!$A:$AX,MATCH($V$1,'Data Core CPI'!$A$1:$AX$1,),)-VLOOKUP(EDATE(B117,-12),'Data Core CPI'!$A:$AX,MATCH($V$1,'Data Core CPI'!$A$1:$AX$1,),))/VLOOKUP(EDATE(B117,-12),'Data Core CPI'!$A:$AX,MATCH($V$1,'Data Core CPI'!$A$1:$AX$1,),)</f>
        <v/>
      </c>
      <c r="W117" s="20">
        <f>IF(VLOOKUP(B117,'Data Core CPI'!$A:$AX,MATCH($W$1,'Data Core CPI'!$A$1:$AX$1,),)=0,#N/A,(VLOOKUP(B117,'Data Core CPI'!$A:$AX,MATCH($W$1,'Data Core CPI'!$A$1:$AX$1,),)-VLOOKUP(EDATE(B117,-12),'Data Core CPI'!$A:$AX,MATCH($W$1,'Data Core CPI'!$A$1:$AX$1,),))/VLOOKUP(EDATE(B117,-12),'Data Core CPI'!$A:$AX,MATCH($W$1,'Data Core CPI'!$A$1:$AX$1,),))</f>
        <v/>
      </c>
      <c r="X117" s="20">
        <f>IF(VLOOKUP(B117,'Data Core CPI'!$A:$AX,MATCH($X$1,'Data Core CPI'!$A$1:$AX$1,),)=0,#N/A,(VLOOKUP(B117,'Data Core CPI'!$A:$AX,MATCH($X$1,'Data Core CPI'!$A$1:$AX$1,),)-VLOOKUP(EDATE(B117,-12),'Data Core CPI'!$A:$AX,MATCH($X$1,'Data Core CPI'!$A$1:$AX$1,),))/VLOOKUP(EDATE(B117,-12),'Data Core CPI'!$A:$AX,MATCH($X$1,'Data Core CPI'!$A$1:$AX$1,),))</f>
        <v/>
      </c>
      <c r="Y117" s="20">
        <f>IF(VLOOKUP(B117,'Data Core CPI'!$A:$AX,MATCH($Y$1,'Data Core CPI'!$A$1:$AX$1,),)=0,#N/A,(VLOOKUP(B117,'Data Core CPI'!$A:$AX,MATCH($Y$1,'Data Core CPI'!$A$1:$AX$1,),)-VLOOKUP(EDATE(B117,-12),'Data Core CPI'!$A:$AX,MATCH($Y$1,'Data Core CPI'!$A$1:$AX$1,),))/VLOOKUP(EDATE(B117,-12),'Data Core CPI'!$A:$AX,MATCH($Y$1,'Data Core CPI'!$A$1:$AX$1,),))</f>
        <v/>
      </c>
    </row>
    <row r="118" customFormat="1" s="78">
      <c r="B118" s="15" t="n">
        <v>43800</v>
      </c>
      <c r="C118" s="20">
        <f>IF(VLOOKUP(B118,'Data Core CPI'!$A:$AX,MATCH($C$1,'Data Core CPI'!$A$1:$AX$1,),)=0,#N/A,(VLOOKUP(B118,'Data Core CPI'!$A:$AX,MATCH($C$1,'Data Core CPI'!$A$1:$AX$1,),)-VLOOKUP(EDATE(B118,-12),'Data Core CPI'!$A:$AX,MATCH($C$1,'Data Core CPI'!$A$1:$AX$1,),))/VLOOKUP(EDATE(B118,-12),'Data Core CPI'!$A:$AX,MATCH($C$1,'Data Core CPI'!$A$1:$AX$1,),))</f>
        <v/>
      </c>
      <c r="D118" s="20">
        <f>(VLOOKUP(B118,'Data Core CPI'!$A:$AX,MATCH($D$1,'Data Core CPI'!$A$1:$AX$1,),)-VLOOKUP(EDATE(B118,-12),'Data Core CPI'!$A:$AX,MATCH($D$1,'Data Core CPI'!$A$1:$AX$1,),))/VLOOKUP(EDATE(B118,-12),'Data Core CPI'!$A:$AX,MATCH($D$1,'Data Core CPI'!$A$1:$AX$1,),)</f>
        <v/>
      </c>
      <c r="E118" s="20">
        <f>IF(VLOOKUP(B118,'Data Core CPI'!$A:$AX,MATCH($E$1,'Data Core CPI'!$A$1:$AX$1,),)=0,#N/A,(VLOOKUP(B118,'Data Core CPI'!$A:$AX,MATCH($E$1,'Data Core CPI'!$A$1:$AX$1,),)-VLOOKUP(EDATE(B118,-12),'Data Core CPI'!$A:$AX,MATCH($E$1,'Data Core CPI'!$A$1:$AX$1,),))/VLOOKUP(EDATE(B118,-12),'Data Core CPI'!$A:$AX,MATCH($E$1,'Data Core CPI'!$A$1:$AX$1,),))</f>
        <v/>
      </c>
      <c r="F118" s="20">
        <f>IF(VLOOKUP(B118,'Data Core CPI'!$A:$AX,MATCH($F$1,'Data Core CPI'!$A$1:$AX$1,),)=0,#N/A,(VLOOKUP(B118,'Data Core CPI'!$A:$AX,MATCH($F$1,'Data Core CPI'!$A$1:$AX$1,),)-VLOOKUP(EDATE(B118,-12),'Data Core CPI'!$A:$AX,MATCH($F$1,'Data Core CPI'!$A$1:$AX$1,),))/VLOOKUP(EDATE(B118,-12),'Data Core CPI'!$A:$AX,MATCH($F$1,'Data Core CPI'!$A$1:$AX$1,),))</f>
        <v/>
      </c>
      <c r="G118" s="20">
        <f>IF(VLOOKUP(B118,'Data Core CPI'!$A:$AX,MATCH($G$1,'Data Core CPI'!$A$1:$AX$1,),)=0,#N/A,(VLOOKUP(B118,'Data Core CPI'!$A:$AX,MATCH($G$1,'Data Core CPI'!$A$1:$AX$1,),)-VLOOKUP(EDATE(B118,-12),'Data Core CPI'!$A:$AX,MATCH($G$1,'Data Core CPI'!$A$1:$AX$1,),))/VLOOKUP(EDATE(B118,-12),'Data Core CPI'!$A:$AX,MATCH($G$1,'Data Core CPI'!$A$1:$AX$1,),))</f>
        <v/>
      </c>
      <c r="H118" s="20">
        <f>IF(VLOOKUP(B118,'Data Core CPI'!$A:$AX,MATCH($H$1,'Data Core CPI'!$A$1:$AX$1,),)=0,#N/A,(VLOOKUP(B118,'Data Core CPI'!$A:$AX,MATCH($H$1,'Data Core CPI'!$A$1:$AX$1,),)-VLOOKUP(EDATE(B118,-12),'Data Core CPI'!$A:$AX,MATCH($H$1,'Data Core CPI'!$A$1:$AX$1,),))/VLOOKUP(EDATE(B118,-12),'Data Core CPI'!$A:$AX,MATCH($H$1,'Data Core CPI'!$A$1:$AX$1,),))</f>
        <v/>
      </c>
      <c r="I118" s="20">
        <f>IF(VLOOKUP(B118,'Data Core CPI'!$A:$AX,MATCH($I$1,'Data Core CPI'!$A$1:$AX$1,),)=0,#N/A,(VLOOKUP(B118,'Data Core CPI'!$A:$AX,MATCH($I$1,'Data Core CPI'!$A$1:$AX$1,),)-VLOOKUP(EDATE(B118,-12),'Data Core CPI'!$A:$AX,MATCH($I$1,'Data Core CPI'!$A$1:$AX$1,),))/VLOOKUP(EDATE(B118,-12),'Data Core CPI'!$A:$AX,MATCH($I$1,'Data Core CPI'!$A$1:$AX$1,),))</f>
        <v/>
      </c>
      <c r="J118" s="20">
        <f>IF(VLOOKUP(B118,'Data Core CPI'!$A:$AX,MATCH($J$1,'Data Core CPI'!$A$1:$AX$1,),)=0,#N/A,(VLOOKUP(B118,'Data Core CPI'!$A:$AX,MATCH($J$1,'Data Core CPI'!$A$1:$AX$1,),)-VLOOKUP(EDATE(B118,-12),'Data Core CPI'!$A:$AX,MATCH($J$1,'Data Core CPI'!$A$1:$AX$1,),))/VLOOKUP(EDATE(B118,-12),'Data Core CPI'!$A:$AX,MATCH($J$1,'Data Core CPI'!$A$1:$AX$1,),))</f>
        <v/>
      </c>
      <c r="K118" s="20">
        <f>IF(VLOOKUP(B118,'Data Core CPI'!$A:$AX,MATCH($K$1,'Data Core CPI'!$A$1:$AX$1,),)=0,#N/A,(VLOOKUP(B118,'Data Core CPI'!$A:$AX,MATCH($K$1,'Data Core CPI'!$A$1:$AX$1,),)-VLOOKUP(EDATE(B118,-12),'Data Core CPI'!$A:$AX,MATCH($K$1,'Data Core CPI'!$A$1:$AX$1,),))/VLOOKUP(EDATE(B118,-12),'Data Core CPI'!$A:$AX,MATCH($K$1,'Data Core CPI'!$A$1:$AX$1,),))</f>
        <v/>
      </c>
      <c r="L118" s="20">
        <f>IF(VLOOKUP(B118,'Data Core CPI'!$A:$AX,MATCH($L$1,'Data Core CPI'!$A$1:$AX$1,),)=0,#N/A,(VLOOKUP(B118,'Data Core CPI'!$A:$AX,MATCH($L$1,'Data Core CPI'!$A$1:$AX$1,),)-VLOOKUP(EDATE(B118,-12),'Data Core CPI'!$A:$AX,MATCH($L$1,'Data Core CPI'!$A$1:$AX$1,),))/VLOOKUP(EDATE(B118,-12),'Data Core CPI'!$A:$AX,MATCH($L$1,'Data Core CPI'!$A$1:$AX$1,),))</f>
        <v/>
      </c>
      <c r="M118" s="20">
        <f>IF(VLOOKUP(B118,'Data Core CPI'!$A:$AX,MATCH($M$1,'Data Core CPI'!$A$1:$AX$1,),)=0,#N/A,(VLOOKUP(B118,'Data Core CPI'!$A:$AX,MATCH($M$1,'Data Core CPI'!$A$1:$AX$1,),)-VLOOKUP(EDATE(B118,-12),'Data Core CPI'!$A:$AX,MATCH($M$1,'Data Core CPI'!$A$1:$AX$1,),))/VLOOKUP(EDATE(B118,-12),'Data Core CPI'!$A:$AX,MATCH($M$1,'Data Core CPI'!$A$1:$AX$1,),))</f>
        <v/>
      </c>
      <c r="N118" s="20">
        <f>(VLOOKUP(B118,'Data Core CPI'!$A:$AX,MATCH($N$1,'Data Core CPI'!$A$1:$AX$1,),)-VLOOKUP(EDATE(B118,-12),'Data Core CPI'!$A:$AX,MATCH($N$1,'Data Core CPI'!$A$1:$AX$1,),))/VLOOKUP(EDATE(B118,-12),'Data Core CPI'!$A:$AX,MATCH($N$1,'Data Core CPI'!$A$1:$AX$1,),)</f>
        <v/>
      </c>
      <c r="O118" s="20">
        <f>(VLOOKUP(B118,'Data Core CPI'!$A:$AX,MATCH($O$1,'Data Core CPI'!$A$1:$AX$1,),)-VLOOKUP(EDATE(B118,-12),'Data Core CPI'!$A:$AX,MATCH($O$1,'Data Core CPI'!$A$1:$AX$1,),))/VLOOKUP(EDATE(B118,-12),'Data Core CPI'!$A:$AX,MATCH($O$1,'Data Core CPI'!$A$1:$AX$1,),)</f>
        <v/>
      </c>
      <c r="P118" s="20">
        <f>IF(VLOOKUP(B118,'Data Core CPI'!$A:$AX,MATCH($P$1,'Data Core CPI'!$A$1:$AX$1,),)=0,#N/A,(VLOOKUP(B118,'Data Core CPI'!$A:$AX,MATCH($P$1,'Data Core CPI'!$A$1:$AX$1,),)-VLOOKUP(EDATE(B118,-12),'Data Core CPI'!$A:$AX,MATCH($P$1,'Data Core CPI'!$A$1:$AX$1,),))/VLOOKUP(EDATE(B118,-12),'Data Core CPI'!$A:$AX,MATCH($P$1,'Data Core CPI'!$A$1:$AX$1,),))</f>
        <v/>
      </c>
      <c r="Q118" s="20">
        <f>(VLOOKUP(B118,'Data Core CPI'!$A:$AX,MATCH($Q$1,'Data Core CPI'!$A$1:$AX$1,),)-VLOOKUP(EDATE(B118,-12),'Data Core CPI'!$A:$AX,MATCH($Q$1,'Data Core CPI'!$A$1:$AX$1,),))/VLOOKUP(EDATE(B118,-12),'Data Core CPI'!$A:$AX,MATCH($Q$1,'Data Core CPI'!$A$1:$AX$1,),)</f>
        <v/>
      </c>
      <c r="R118" s="20">
        <f>IF(VLOOKUP(B118,'Data Core CPI'!$A:$AX,MATCH($R$1,'Data Core CPI'!$A$1:$AX$1,),)=0,#N/A,(VLOOKUP(B118,'Data Core CPI'!$A:$AX,MATCH($R$1,'Data Core CPI'!$A$1:$AX$1,),)-VLOOKUP(EDATE(B118,-12),'Data Core CPI'!$A:$AX,MATCH($R$1,'Data Core CPI'!$A$1:$AX$1,),))/VLOOKUP(EDATE(B118,-12),'Data Core CPI'!$A:$AX,MATCH($R$1,'Data Core CPI'!$A$1:$AX$1,),))</f>
        <v/>
      </c>
      <c r="S118" s="20">
        <f>(VLOOKUP(B118,'Data Core CPI'!$A:$AX,MATCH($S$1,'Data Core CPI'!$A$1:$AX$1,),)-VLOOKUP(EDATE(B118,-12),'Data Core CPI'!$A:$AX,MATCH($S$1,'Data Core CPI'!$A$1:$AX$1,),))/VLOOKUP(EDATE(B118,-12),'Data Core CPI'!$A:$AX,MATCH($S$1,'Data Core CPI'!$A$1:$AX$1,),)</f>
        <v/>
      </c>
      <c r="T118" s="20">
        <f>(VLOOKUP(B118,'Data Core CPI'!$A:$AX,MATCH($T$1,'Data Core CPI'!$A$1:$AX$1,),)-VLOOKUP(EDATE(B118,-12),'Data Core CPI'!$A:$AX,MATCH($T$1,'Data Core CPI'!$A$1:$AX$1,),))/VLOOKUP(EDATE(B118,-12),'Data Core CPI'!$A:$AX,MATCH($T$1,'Data Core CPI'!$A$1:$AX$1,),)</f>
        <v/>
      </c>
      <c r="U118" s="20">
        <f>IF(VLOOKUP(B118,'Data Core CPI'!$A:$AX,MATCH($U$1,'Data Core CPI'!$A$1:$AX$1,),)=0,#N/A,(VLOOKUP(B118,'Data Core CPI'!$A:$AX,MATCH($U$1,'Data Core CPI'!$A$1:$AX$1,),)-VLOOKUP(EDATE(B118,-12),'Data Core CPI'!$A:$AX,MATCH($U$1,'Data Core CPI'!$A$1:$AX$1,),))/VLOOKUP(EDATE(B118,-12),'Data Core CPI'!$A:$AX,MATCH($U$1,'Data Core CPI'!$A$1:$AX$1,),))</f>
        <v/>
      </c>
      <c r="V118" s="20">
        <f>(VLOOKUP(B118,'Data Core CPI'!$A:$AX,MATCH($V$1,'Data Core CPI'!$A$1:$AX$1,),)-VLOOKUP(EDATE(B118,-12),'Data Core CPI'!$A:$AX,MATCH($V$1,'Data Core CPI'!$A$1:$AX$1,),))/VLOOKUP(EDATE(B118,-12),'Data Core CPI'!$A:$AX,MATCH($V$1,'Data Core CPI'!$A$1:$AX$1,),)</f>
        <v/>
      </c>
      <c r="W118" s="20">
        <f>IF(VLOOKUP(B118,'Data Core CPI'!$A:$AX,MATCH($W$1,'Data Core CPI'!$A$1:$AX$1,),)=0,#N/A,(VLOOKUP(B118,'Data Core CPI'!$A:$AX,MATCH($W$1,'Data Core CPI'!$A$1:$AX$1,),)-VLOOKUP(EDATE(B118,-12),'Data Core CPI'!$A:$AX,MATCH($W$1,'Data Core CPI'!$A$1:$AX$1,),))/VLOOKUP(EDATE(B118,-12),'Data Core CPI'!$A:$AX,MATCH($W$1,'Data Core CPI'!$A$1:$AX$1,),))</f>
        <v/>
      </c>
      <c r="X118" s="20">
        <f>IF(VLOOKUP(B118,'Data Core CPI'!$A:$AX,MATCH($X$1,'Data Core CPI'!$A$1:$AX$1,),)=0,#N/A,(VLOOKUP(B118,'Data Core CPI'!$A:$AX,MATCH($X$1,'Data Core CPI'!$A$1:$AX$1,),)-VLOOKUP(EDATE(B118,-12),'Data Core CPI'!$A:$AX,MATCH($X$1,'Data Core CPI'!$A$1:$AX$1,),))/VLOOKUP(EDATE(B118,-12),'Data Core CPI'!$A:$AX,MATCH($X$1,'Data Core CPI'!$A$1:$AX$1,),))</f>
        <v/>
      </c>
      <c r="Y118" s="20">
        <f>IF(VLOOKUP(B118,'Data Core CPI'!$A:$AX,MATCH($Y$1,'Data Core CPI'!$A$1:$AX$1,),)=0,#N/A,(VLOOKUP(B118,'Data Core CPI'!$A:$AX,MATCH($Y$1,'Data Core CPI'!$A$1:$AX$1,),)-VLOOKUP(EDATE(B118,-12),'Data Core CPI'!$A:$AX,MATCH($Y$1,'Data Core CPI'!$A$1:$AX$1,),))/VLOOKUP(EDATE(B118,-12),'Data Core CPI'!$A:$AX,MATCH($Y$1,'Data Core CPI'!$A$1:$AX$1,),))</f>
        <v/>
      </c>
    </row>
    <row r="119" customFormat="1" s="78">
      <c r="B119" s="15" t="n">
        <v>43831</v>
      </c>
      <c r="C119" s="20">
        <f>IF(VLOOKUP(B119,'Data Core CPI'!$A:$AX,MATCH($C$1,'Data Core CPI'!$A$1:$AX$1,),)=0,#N/A,(VLOOKUP(B119,'Data Core CPI'!$A:$AX,MATCH($C$1,'Data Core CPI'!$A$1:$AX$1,),)-VLOOKUP(EDATE(B119,-12),'Data Core CPI'!$A:$AX,MATCH($C$1,'Data Core CPI'!$A$1:$AX$1,),))/VLOOKUP(EDATE(B119,-12),'Data Core CPI'!$A:$AX,MATCH($C$1,'Data Core CPI'!$A$1:$AX$1,),))</f>
        <v/>
      </c>
      <c r="D119" s="20">
        <f>(VLOOKUP(B119,'Data Core CPI'!$A:$AX,MATCH($D$1,'Data Core CPI'!$A$1:$AX$1,),)-VLOOKUP(EDATE(B119,-12),'Data Core CPI'!$A:$AX,MATCH($D$1,'Data Core CPI'!$A$1:$AX$1,),))/VLOOKUP(EDATE(B119,-12),'Data Core CPI'!$A:$AX,MATCH($D$1,'Data Core CPI'!$A$1:$AX$1,),)</f>
        <v/>
      </c>
      <c r="E119" s="20">
        <f>IF(VLOOKUP(B119,'Data Core CPI'!$A:$AX,MATCH($E$1,'Data Core CPI'!$A$1:$AX$1,),)=0,#N/A,(VLOOKUP(B119,'Data Core CPI'!$A:$AX,MATCH($E$1,'Data Core CPI'!$A$1:$AX$1,),)-VLOOKUP(EDATE(B119,-12),'Data Core CPI'!$A:$AX,MATCH($E$1,'Data Core CPI'!$A$1:$AX$1,),))/VLOOKUP(EDATE(B119,-12),'Data Core CPI'!$A:$AX,MATCH($E$1,'Data Core CPI'!$A$1:$AX$1,),))</f>
        <v/>
      </c>
      <c r="F119" s="20">
        <f>IF(VLOOKUP(B119,'Data Core CPI'!$A:$AX,MATCH($F$1,'Data Core CPI'!$A$1:$AX$1,),)=0,#N/A,(VLOOKUP(B119,'Data Core CPI'!$A:$AX,MATCH($F$1,'Data Core CPI'!$A$1:$AX$1,),)-VLOOKUP(EDATE(B119,-12),'Data Core CPI'!$A:$AX,MATCH($F$1,'Data Core CPI'!$A$1:$AX$1,),))/VLOOKUP(EDATE(B119,-12),'Data Core CPI'!$A:$AX,MATCH($F$1,'Data Core CPI'!$A$1:$AX$1,),))</f>
        <v/>
      </c>
      <c r="G119" s="20">
        <f>IF(VLOOKUP(B119,'Data Core CPI'!$A:$AX,MATCH($G$1,'Data Core CPI'!$A$1:$AX$1,),)=0,#N/A,(VLOOKUP(B119,'Data Core CPI'!$A:$AX,MATCH($G$1,'Data Core CPI'!$A$1:$AX$1,),)-VLOOKUP(EDATE(B119,-12),'Data Core CPI'!$A:$AX,MATCH($G$1,'Data Core CPI'!$A$1:$AX$1,),))/VLOOKUP(EDATE(B119,-12),'Data Core CPI'!$A:$AX,MATCH($G$1,'Data Core CPI'!$A$1:$AX$1,),))</f>
        <v/>
      </c>
      <c r="H119" s="20">
        <f>IF(VLOOKUP(B119,'Data Core CPI'!$A:$AX,MATCH($H$1,'Data Core CPI'!$A$1:$AX$1,),)=0,#N/A,(VLOOKUP(B119,'Data Core CPI'!$A:$AX,MATCH($H$1,'Data Core CPI'!$A$1:$AX$1,),)-VLOOKUP(EDATE(B119,-12),'Data Core CPI'!$A:$AX,MATCH($H$1,'Data Core CPI'!$A$1:$AX$1,),))/VLOOKUP(EDATE(B119,-12),'Data Core CPI'!$A:$AX,MATCH($H$1,'Data Core CPI'!$A$1:$AX$1,),))</f>
        <v/>
      </c>
      <c r="I119" s="20">
        <f>IF(VLOOKUP(B119,'Data Core CPI'!$A:$AX,MATCH($I$1,'Data Core CPI'!$A$1:$AX$1,),)=0,#N/A,(VLOOKUP(B119,'Data Core CPI'!$A:$AX,MATCH($I$1,'Data Core CPI'!$A$1:$AX$1,),)-VLOOKUP(EDATE(B119,-12),'Data Core CPI'!$A:$AX,MATCH($I$1,'Data Core CPI'!$A$1:$AX$1,),))/VLOOKUP(EDATE(B119,-12),'Data Core CPI'!$A:$AX,MATCH($I$1,'Data Core CPI'!$A$1:$AX$1,),))</f>
        <v/>
      </c>
      <c r="J119" s="20">
        <f>IF(VLOOKUP(B119,'Data Core CPI'!$A:$AX,MATCH($J$1,'Data Core CPI'!$A$1:$AX$1,),)=0,#N/A,(VLOOKUP(B119,'Data Core CPI'!$A:$AX,MATCH($J$1,'Data Core CPI'!$A$1:$AX$1,),)-VLOOKUP(EDATE(B119,-12),'Data Core CPI'!$A:$AX,MATCH($J$1,'Data Core CPI'!$A$1:$AX$1,),))/VLOOKUP(EDATE(B119,-12),'Data Core CPI'!$A:$AX,MATCH($J$1,'Data Core CPI'!$A$1:$AX$1,),))</f>
        <v/>
      </c>
      <c r="K119" s="20">
        <f>IF(VLOOKUP(B119,'Data Core CPI'!$A:$AX,MATCH($K$1,'Data Core CPI'!$A$1:$AX$1,),)=0,#N/A,(VLOOKUP(B119,'Data Core CPI'!$A:$AX,MATCH($K$1,'Data Core CPI'!$A$1:$AX$1,),)-VLOOKUP(EDATE(B119,-12),'Data Core CPI'!$A:$AX,MATCH($K$1,'Data Core CPI'!$A$1:$AX$1,),))/VLOOKUP(EDATE(B119,-12),'Data Core CPI'!$A:$AX,MATCH($K$1,'Data Core CPI'!$A$1:$AX$1,),))</f>
        <v/>
      </c>
      <c r="L119" s="20">
        <f>IF(VLOOKUP(B119,'Data Core CPI'!$A:$AX,MATCH($L$1,'Data Core CPI'!$A$1:$AX$1,),)=0,#N/A,(VLOOKUP(B119,'Data Core CPI'!$A:$AX,MATCH($L$1,'Data Core CPI'!$A$1:$AX$1,),)-VLOOKUP(EDATE(B119,-12),'Data Core CPI'!$A:$AX,MATCH($L$1,'Data Core CPI'!$A$1:$AX$1,),))/VLOOKUP(EDATE(B119,-12),'Data Core CPI'!$A:$AX,MATCH($L$1,'Data Core CPI'!$A$1:$AX$1,),))</f>
        <v/>
      </c>
      <c r="M119" s="20">
        <f>IF(VLOOKUP(B119,'Data Core CPI'!$A:$AX,MATCH($M$1,'Data Core CPI'!$A$1:$AX$1,),)=0,#N/A,(VLOOKUP(B119,'Data Core CPI'!$A:$AX,MATCH($M$1,'Data Core CPI'!$A$1:$AX$1,),)-VLOOKUP(EDATE(B119,-12),'Data Core CPI'!$A:$AX,MATCH($M$1,'Data Core CPI'!$A$1:$AX$1,),))/VLOOKUP(EDATE(B119,-12),'Data Core CPI'!$A:$AX,MATCH($M$1,'Data Core CPI'!$A$1:$AX$1,),))</f>
        <v/>
      </c>
      <c r="N119" s="20">
        <f>(VLOOKUP(B119,'Data Core CPI'!$A:$AX,MATCH($N$1,'Data Core CPI'!$A$1:$AX$1,),)-VLOOKUP(EDATE(B119,-12),'Data Core CPI'!$A:$AX,MATCH($N$1,'Data Core CPI'!$A$1:$AX$1,),))/VLOOKUP(EDATE(B119,-12),'Data Core CPI'!$A:$AX,MATCH($N$1,'Data Core CPI'!$A$1:$AX$1,),)</f>
        <v/>
      </c>
      <c r="O119" s="20">
        <f>(VLOOKUP(B119,'Data Core CPI'!$A:$AX,MATCH($O$1,'Data Core CPI'!$A$1:$AX$1,),)-VLOOKUP(EDATE(B119,-12),'Data Core CPI'!$A:$AX,MATCH($O$1,'Data Core CPI'!$A$1:$AX$1,),))/VLOOKUP(EDATE(B119,-12),'Data Core CPI'!$A:$AX,MATCH($O$1,'Data Core CPI'!$A$1:$AX$1,),)</f>
        <v/>
      </c>
      <c r="P119" s="20">
        <f>IF(VLOOKUP(B119,'Data Core CPI'!$A:$AX,MATCH($P$1,'Data Core CPI'!$A$1:$AX$1,),)=0,#N/A,(VLOOKUP(B119,'Data Core CPI'!$A:$AX,MATCH($P$1,'Data Core CPI'!$A$1:$AX$1,),)-VLOOKUP(EDATE(B119,-12),'Data Core CPI'!$A:$AX,MATCH($P$1,'Data Core CPI'!$A$1:$AX$1,),))/VLOOKUP(EDATE(B119,-12),'Data Core CPI'!$A:$AX,MATCH($P$1,'Data Core CPI'!$A$1:$AX$1,),))</f>
        <v/>
      </c>
      <c r="Q119" s="20">
        <f>(VLOOKUP(B119,'Data Core CPI'!$A:$AX,MATCH($Q$1,'Data Core CPI'!$A$1:$AX$1,),)-VLOOKUP(EDATE(B119,-12),'Data Core CPI'!$A:$AX,MATCH($Q$1,'Data Core CPI'!$A$1:$AX$1,),))/VLOOKUP(EDATE(B119,-12),'Data Core CPI'!$A:$AX,MATCH($Q$1,'Data Core CPI'!$A$1:$AX$1,),)</f>
        <v/>
      </c>
      <c r="R119" s="20">
        <f>IF(VLOOKUP(B119,'Data Core CPI'!$A:$AX,MATCH($R$1,'Data Core CPI'!$A$1:$AX$1,),)=0,#N/A,(VLOOKUP(B119,'Data Core CPI'!$A:$AX,MATCH($R$1,'Data Core CPI'!$A$1:$AX$1,),)-VLOOKUP(EDATE(B119,-12),'Data Core CPI'!$A:$AX,MATCH($R$1,'Data Core CPI'!$A$1:$AX$1,),))/VLOOKUP(EDATE(B119,-12),'Data Core CPI'!$A:$AX,MATCH($R$1,'Data Core CPI'!$A$1:$AX$1,),))</f>
        <v/>
      </c>
      <c r="S119" s="20">
        <f>(VLOOKUP(B119,'Data Core CPI'!$A:$AX,MATCH($S$1,'Data Core CPI'!$A$1:$AX$1,),)-VLOOKUP(EDATE(B119,-12),'Data Core CPI'!$A:$AX,MATCH($S$1,'Data Core CPI'!$A$1:$AX$1,),))/VLOOKUP(EDATE(B119,-12),'Data Core CPI'!$A:$AX,MATCH($S$1,'Data Core CPI'!$A$1:$AX$1,),)</f>
        <v/>
      </c>
      <c r="T119" s="20">
        <f>(VLOOKUP(B119,'Data Core CPI'!$A:$AX,MATCH($T$1,'Data Core CPI'!$A$1:$AX$1,),)-VLOOKUP(EDATE(B119,-12),'Data Core CPI'!$A:$AX,MATCH($T$1,'Data Core CPI'!$A$1:$AX$1,),))/VLOOKUP(EDATE(B119,-12),'Data Core CPI'!$A:$AX,MATCH($T$1,'Data Core CPI'!$A$1:$AX$1,),)</f>
        <v/>
      </c>
      <c r="U119" s="20">
        <f>IF(VLOOKUP(B119,'Data Core CPI'!$A:$AX,MATCH($U$1,'Data Core CPI'!$A$1:$AX$1,),)=0,#N/A,(VLOOKUP(B119,'Data Core CPI'!$A:$AX,MATCH($U$1,'Data Core CPI'!$A$1:$AX$1,),)-VLOOKUP(EDATE(B119,-12),'Data Core CPI'!$A:$AX,MATCH($U$1,'Data Core CPI'!$A$1:$AX$1,),))/VLOOKUP(EDATE(B119,-12),'Data Core CPI'!$A:$AX,MATCH($U$1,'Data Core CPI'!$A$1:$AX$1,),))</f>
        <v/>
      </c>
      <c r="V119" s="20">
        <f>(VLOOKUP(B119,'Data Core CPI'!$A:$AX,MATCH($V$1,'Data Core CPI'!$A$1:$AX$1,),)-VLOOKUP(EDATE(B119,-12),'Data Core CPI'!$A:$AX,MATCH($V$1,'Data Core CPI'!$A$1:$AX$1,),))/VLOOKUP(EDATE(B119,-12),'Data Core CPI'!$A:$AX,MATCH($V$1,'Data Core CPI'!$A$1:$AX$1,),)</f>
        <v/>
      </c>
      <c r="W119" s="20">
        <f>IF(VLOOKUP(B119,'Data Core CPI'!$A:$AX,MATCH($W$1,'Data Core CPI'!$A$1:$AX$1,),)=0,#N/A,(VLOOKUP(B119,'Data Core CPI'!$A:$AX,MATCH($W$1,'Data Core CPI'!$A$1:$AX$1,),)-VLOOKUP(EDATE(B119,-12),'Data Core CPI'!$A:$AX,MATCH($W$1,'Data Core CPI'!$A$1:$AX$1,),))/VLOOKUP(EDATE(B119,-12),'Data Core CPI'!$A:$AX,MATCH($W$1,'Data Core CPI'!$A$1:$AX$1,),))</f>
        <v/>
      </c>
      <c r="X119" s="20">
        <f>IF(VLOOKUP(B119,'Data Core CPI'!$A:$AX,MATCH($X$1,'Data Core CPI'!$A$1:$AX$1,),)=0,#N/A,(VLOOKUP(B119,'Data Core CPI'!$A:$AX,MATCH($X$1,'Data Core CPI'!$A$1:$AX$1,),)-VLOOKUP(EDATE(B119,-12),'Data Core CPI'!$A:$AX,MATCH($X$1,'Data Core CPI'!$A$1:$AX$1,),))/VLOOKUP(EDATE(B119,-12),'Data Core CPI'!$A:$AX,MATCH($X$1,'Data Core CPI'!$A$1:$AX$1,),))</f>
        <v/>
      </c>
      <c r="Y119" s="20">
        <f>IF(VLOOKUP(B119,'Data Core CPI'!$A:$AX,MATCH($Y$1,'Data Core CPI'!$A$1:$AX$1,),)=0,#N/A,(VLOOKUP(B119,'Data Core CPI'!$A:$AX,MATCH($Y$1,'Data Core CPI'!$A$1:$AX$1,),)-VLOOKUP(EDATE(B119,-12),'Data Core CPI'!$A:$AX,MATCH($Y$1,'Data Core CPI'!$A$1:$AX$1,),))/VLOOKUP(EDATE(B119,-12),'Data Core CPI'!$A:$AX,MATCH($Y$1,'Data Core CPI'!$A$1:$AX$1,),))</f>
        <v/>
      </c>
    </row>
    <row r="120" customFormat="1" s="78">
      <c r="B120" s="15" t="n">
        <v>43862</v>
      </c>
      <c r="C120" s="20">
        <f>IF(VLOOKUP(B120,'Data Core CPI'!$A:$AX,MATCH($C$1,'Data Core CPI'!$A$1:$AX$1,),)=0,#N/A,(VLOOKUP(B120,'Data Core CPI'!$A:$AX,MATCH($C$1,'Data Core CPI'!$A$1:$AX$1,),)-VLOOKUP(EDATE(B120,-12),'Data Core CPI'!$A:$AX,MATCH($C$1,'Data Core CPI'!$A$1:$AX$1,),))/VLOOKUP(EDATE(B120,-12),'Data Core CPI'!$A:$AX,MATCH($C$1,'Data Core CPI'!$A$1:$AX$1,),))</f>
        <v/>
      </c>
      <c r="D120" s="20">
        <f>(VLOOKUP(B120,'Data Core CPI'!$A:$AX,MATCH($D$1,'Data Core CPI'!$A$1:$AX$1,),)-VLOOKUP(EDATE(B120,-12),'Data Core CPI'!$A:$AX,MATCH($D$1,'Data Core CPI'!$A$1:$AX$1,),))/VLOOKUP(EDATE(B120,-12),'Data Core CPI'!$A:$AX,MATCH($D$1,'Data Core CPI'!$A$1:$AX$1,),)</f>
        <v/>
      </c>
      <c r="E120" s="20">
        <f>IF(VLOOKUP(B120,'Data Core CPI'!$A:$AX,MATCH($E$1,'Data Core CPI'!$A$1:$AX$1,),)=0,#N/A,(VLOOKUP(B120,'Data Core CPI'!$A:$AX,MATCH($E$1,'Data Core CPI'!$A$1:$AX$1,),)-VLOOKUP(EDATE(B120,-12),'Data Core CPI'!$A:$AX,MATCH($E$1,'Data Core CPI'!$A$1:$AX$1,),))/VLOOKUP(EDATE(B120,-12),'Data Core CPI'!$A:$AX,MATCH($E$1,'Data Core CPI'!$A$1:$AX$1,),))</f>
        <v/>
      </c>
      <c r="F120" s="20">
        <f>IF(VLOOKUP(B120,'Data Core CPI'!$A:$AX,MATCH($F$1,'Data Core CPI'!$A$1:$AX$1,),)=0,#N/A,(VLOOKUP(B120,'Data Core CPI'!$A:$AX,MATCH($F$1,'Data Core CPI'!$A$1:$AX$1,),)-VLOOKUP(EDATE(B120,-12),'Data Core CPI'!$A:$AX,MATCH($F$1,'Data Core CPI'!$A$1:$AX$1,),))/VLOOKUP(EDATE(B120,-12),'Data Core CPI'!$A:$AX,MATCH($F$1,'Data Core CPI'!$A$1:$AX$1,),))</f>
        <v/>
      </c>
      <c r="G120" s="20">
        <f>IF(VLOOKUP(B120,'Data Core CPI'!$A:$AX,MATCH($G$1,'Data Core CPI'!$A$1:$AX$1,),)=0,#N/A,(VLOOKUP(B120,'Data Core CPI'!$A:$AX,MATCH($G$1,'Data Core CPI'!$A$1:$AX$1,),)-VLOOKUP(EDATE(B120,-12),'Data Core CPI'!$A:$AX,MATCH($G$1,'Data Core CPI'!$A$1:$AX$1,),))/VLOOKUP(EDATE(B120,-12),'Data Core CPI'!$A:$AX,MATCH($G$1,'Data Core CPI'!$A$1:$AX$1,),))</f>
        <v/>
      </c>
      <c r="H120" s="20">
        <f>IF(VLOOKUP(B120,'Data Core CPI'!$A:$AX,MATCH($H$1,'Data Core CPI'!$A$1:$AX$1,),)=0,#N/A,(VLOOKUP(B120,'Data Core CPI'!$A:$AX,MATCH($H$1,'Data Core CPI'!$A$1:$AX$1,),)-VLOOKUP(EDATE(B120,-12),'Data Core CPI'!$A:$AX,MATCH($H$1,'Data Core CPI'!$A$1:$AX$1,),))/VLOOKUP(EDATE(B120,-12),'Data Core CPI'!$A:$AX,MATCH($H$1,'Data Core CPI'!$A$1:$AX$1,),))</f>
        <v/>
      </c>
      <c r="I120" s="20">
        <f>IF(VLOOKUP(B120,'Data Core CPI'!$A:$AX,MATCH($I$1,'Data Core CPI'!$A$1:$AX$1,),)=0,#N/A,(VLOOKUP(B120,'Data Core CPI'!$A:$AX,MATCH($I$1,'Data Core CPI'!$A$1:$AX$1,),)-VLOOKUP(EDATE(B120,-12),'Data Core CPI'!$A:$AX,MATCH($I$1,'Data Core CPI'!$A$1:$AX$1,),))/VLOOKUP(EDATE(B120,-12),'Data Core CPI'!$A:$AX,MATCH($I$1,'Data Core CPI'!$A$1:$AX$1,),))</f>
        <v/>
      </c>
      <c r="J120" s="20">
        <f>IF(VLOOKUP(B120,'Data Core CPI'!$A:$AX,MATCH($J$1,'Data Core CPI'!$A$1:$AX$1,),)=0,#N/A,(VLOOKUP(B120,'Data Core CPI'!$A:$AX,MATCH($J$1,'Data Core CPI'!$A$1:$AX$1,),)-VLOOKUP(EDATE(B120,-12),'Data Core CPI'!$A:$AX,MATCH($J$1,'Data Core CPI'!$A$1:$AX$1,),))/VLOOKUP(EDATE(B120,-12),'Data Core CPI'!$A:$AX,MATCH($J$1,'Data Core CPI'!$A$1:$AX$1,),))</f>
        <v/>
      </c>
      <c r="K120" s="20">
        <f>IF(VLOOKUP(B120,'Data Core CPI'!$A:$AX,MATCH($K$1,'Data Core CPI'!$A$1:$AX$1,),)=0,#N/A,(VLOOKUP(B120,'Data Core CPI'!$A:$AX,MATCH($K$1,'Data Core CPI'!$A$1:$AX$1,),)-VLOOKUP(EDATE(B120,-12),'Data Core CPI'!$A:$AX,MATCH($K$1,'Data Core CPI'!$A$1:$AX$1,),))/VLOOKUP(EDATE(B120,-12),'Data Core CPI'!$A:$AX,MATCH($K$1,'Data Core CPI'!$A$1:$AX$1,),))</f>
        <v/>
      </c>
      <c r="L120" s="20">
        <f>IF(VLOOKUP(B120,'Data Core CPI'!$A:$AX,MATCH($L$1,'Data Core CPI'!$A$1:$AX$1,),)=0,#N/A,(VLOOKUP(B120,'Data Core CPI'!$A:$AX,MATCH($L$1,'Data Core CPI'!$A$1:$AX$1,),)-VLOOKUP(EDATE(B120,-12),'Data Core CPI'!$A:$AX,MATCH($L$1,'Data Core CPI'!$A$1:$AX$1,),))/VLOOKUP(EDATE(B120,-12),'Data Core CPI'!$A:$AX,MATCH($L$1,'Data Core CPI'!$A$1:$AX$1,),))</f>
        <v/>
      </c>
      <c r="M120" s="20">
        <f>IF(VLOOKUP(B120,'Data Core CPI'!$A:$AX,MATCH($M$1,'Data Core CPI'!$A$1:$AX$1,),)=0,#N/A,(VLOOKUP(B120,'Data Core CPI'!$A:$AX,MATCH($M$1,'Data Core CPI'!$A$1:$AX$1,),)-VLOOKUP(EDATE(B120,-12),'Data Core CPI'!$A:$AX,MATCH($M$1,'Data Core CPI'!$A$1:$AX$1,),))/VLOOKUP(EDATE(B120,-12),'Data Core CPI'!$A:$AX,MATCH($M$1,'Data Core CPI'!$A$1:$AX$1,),))</f>
        <v/>
      </c>
      <c r="N120" s="20">
        <f>(VLOOKUP(B120,'Data Core CPI'!$A:$AX,MATCH($N$1,'Data Core CPI'!$A$1:$AX$1,),)-VLOOKUP(EDATE(B120,-12),'Data Core CPI'!$A:$AX,MATCH($N$1,'Data Core CPI'!$A$1:$AX$1,),))/VLOOKUP(EDATE(B120,-12),'Data Core CPI'!$A:$AX,MATCH($N$1,'Data Core CPI'!$A$1:$AX$1,),)</f>
        <v/>
      </c>
      <c r="O120" s="20">
        <f>(VLOOKUP(B120,'Data Core CPI'!$A:$AX,MATCH($O$1,'Data Core CPI'!$A$1:$AX$1,),)-VLOOKUP(EDATE(B120,-12),'Data Core CPI'!$A:$AX,MATCH($O$1,'Data Core CPI'!$A$1:$AX$1,),))/VLOOKUP(EDATE(B120,-12),'Data Core CPI'!$A:$AX,MATCH($O$1,'Data Core CPI'!$A$1:$AX$1,),)</f>
        <v/>
      </c>
      <c r="P120" s="20">
        <f>IF(VLOOKUP(B120,'Data Core CPI'!$A:$AX,MATCH($P$1,'Data Core CPI'!$A$1:$AX$1,),)=0,#N/A,(VLOOKUP(B120,'Data Core CPI'!$A:$AX,MATCH($P$1,'Data Core CPI'!$A$1:$AX$1,),)-VLOOKUP(EDATE(B120,-12),'Data Core CPI'!$A:$AX,MATCH($P$1,'Data Core CPI'!$A$1:$AX$1,),))/VLOOKUP(EDATE(B120,-12),'Data Core CPI'!$A:$AX,MATCH($P$1,'Data Core CPI'!$A$1:$AX$1,),))</f>
        <v/>
      </c>
      <c r="Q120" s="20">
        <f>(VLOOKUP(B120,'Data Core CPI'!$A:$AX,MATCH($Q$1,'Data Core CPI'!$A$1:$AX$1,),)-VLOOKUP(EDATE(B120,-12),'Data Core CPI'!$A:$AX,MATCH($Q$1,'Data Core CPI'!$A$1:$AX$1,),))/VLOOKUP(EDATE(B120,-12),'Data Core CPI'!$A:$AX,MATCH($Q$1,'Data Core CPI'!$A$1:$AX$1,),)</f>
        <v/>
      </c>
      <c r="R120" s="20">
        <f>IF(VLOOKUP(B120,'Data Core CPI'!$A:$AX,MATCH($R$1,'Data Core CPI'!$A$1:$AX$1,),)=0,#N/A,(VLOOKUP(B120,'Data Core CPI'!$A:$AX,MATCH($R$1,'Data Core CPI'!$A$1:$AX$1,),)-VLOOKUP(EDATE(B120,-12),'Data Core CPI'!$A:$AX,MATCH($R$1,'Data Core CPI'!$A$1:$AX$1,),))/VLOOKUP(EDATE(B120,-12),'Data Core CPI'!$A:$AX,MATCH($R$1,'Data Core CPI'!$A$1:$AX$1,),))</f>
        <v/>
      </c>
      <c r="S120" s="20">
        <f>(VLOOKUP(B120,'Data Core CPI'!$A:$AX,MATCH($S$1,'Data Core CPI'!$A$1:$AX$1,),)-VLOOKUP(EDATE(B120,-12),'Data Core CPI'!$A:$AX,MATCH($S$1,'Data Core CPI'!$A$1:$AX$1,),))/VLOOKUP(EDATE(B120,-12),'Data Core CPI'!$A:$AX,MATCH($S$1,'Data Core CPI'!$A$1:$AX$1,),)</f>
        <v/>
      </c>
      <c r="T120" s="20">
        <f>(VLOOKUP(B120,'Data Core CPI'!$A:$AX,MATCH($T$1,'Data Core CPI'!$A$1:$AX$1,),)-VLOOKUP(EDATE(B120,-12),'Data Core CPI'!$A:$AX,MATCH($T$1,'Data Core CPI'!$A$1:$AX$1,),))/VLOOKUP(EDATE(B120,-12),'Data Core CPI'!$A:$AX,MATCH($T$1,'Data Core CPI'!$A$1:$AX$1,),)</f>
        <v/>
      </c>
      <c r="U120" s="20">
        <f>IF(VLOOKUP(B120,'Data Core CPI'!$A:$AX,MATCH($U$1,'Data Core CPI'!$A$1:$AX$1,),)=0,#N/A,(VLOOKUP(B120,'Data Core CPI'!$A:$AX,MATCH($U$1,'Data Core CPI'!$A$1:$AX$1,),)-VLOOKUP(EDATE(B120,-12),'Data Core CPI'!$A:$AX,MATCH($U$1,'Data Core CPI'!$A$1:$AX$1,),))/VLOOKUP(EDATE(B120,-12),'Data Core CPI'!$A:$AX,MATCH($U$1,'Data Core CPI'!$A$1:$AX$1,),))</f>
        <v/>
      </c>
      <c r="V120" s="20">
        <f>(VLOOKUP(B120,'Data Core CPI'!$A:$AX,MATCH($V$1,'Data Core CPI'!$A$1:$AX$1,),)-VLOOKUP(EDATE(B120,-12),'Data Core CPI'!$A:$AX,MATCH($V$1,'Data Core CPI'!$A$1:$AX$1,),))/VLOOKUP(EDATE(B120,-12),'Data Core CPI'!$A:$AX,MATCH($V$1,'Data Core CPI'!$A$1:$AX$1,),)</f>
        <v/>
      </c>
      <c r="W120" s="20">
        <f>IF(VLOOKUP(B120,'Data Core CPI'!$A:$AX,MATCH($W$1,'Data Core CPI'!$A$1:$AX$1,),)=0,#N/A,(VLOOKUP(B120,'Data Core CPI'!$A:$AX,MATCH($W$1,'Data Core CPI'!$A$1:$AX$1,),)-VLOOKUP(EDATE(B120,-12),'Data Core CPI'!$A:$AX,MATCH($W$1,'Data Core CPI'!$A$1:$AX$1,),))/VLOOKUP(EDATE(B120,-12),'Data Core CPI'!$A:$AX,MATCH($W$1,'Data Core CPI'!$A$1:$AX$1,),))</f>
        <v/>
      </c>
      <c r="X120" s="20">
        <f>IF(VLOOKUP(B120,'Data Core CPI'!$A:$AX,MATCH($X$1,'Data Core CPI'!$A$1:$AX$1,),)=0,#N/A,(VLOOKUP(B120,'Data Core CPI'!$A:$AX,MATCH($X$1,'Data Core CPI'!$A$1:$AX$1,),)-VLOOKUP(EDATE(B120,-12),'Data Core CPI'!$A:$AX,MATCH($X$1,'Data Core CPI'!$A$1:$AX$1,),))/VLOOKUP(EDATE(B120,-12),'Data Core CPI'!$A:$AX,MATCH($X$1,'Data Core CPI'!$A$1:$AX$1,),))</f>
        <v/>
      </c>
      <c r="Y120" s="20">
        <f>IF(VLOOKUP(B120,'Data Core CPI'!$A:$AX,MATCH($Y$1,'Data Core CPI'!$A$1:$AX$1,),)=0,#N/A,(VLOOKUP(B120,'Data Core CPI'!$A:$AX,MATCH($Y$1,'Data Core CPI'!$A$1:$AX$1,),)-VLOOKUP(EDATE(B120,-12),'Data Core CPI'!$A:$AX,MATCH($Y$1,'Data Core CPI'!$A$1:$AX$1,),))/VLOOKUP(EDATE(B120,-12),'Data Core CPI'!$A:$AX,MATCH($Y$1,'Data Core CPI'!$A$1:$AX$1,),))</f>
        <v/>
      </c>
    </row>
    <row r="121" customFormat="1" s="78">
      <c r="B121" s="15" t="n">
        <v>43891</v>
      </c>
      <c r="C121" s="20">
        <f>IF(VLOOKUP(B121,'Data Core CPI'!$A:$AX,MATCH($C$1,'Data Core CPI'!$A$1:$AX$1,),)=0,#N/A,(VLOOKUP(B121,'Data Core CPI'!$A:$AX,MATCH($C$1,'Data Core CPI'!$A$1:$AX$1,),)-VLOOKUP(EDATE(B121,-12),'Data Core CPI'!$A:$AX,MATCH($C$1,'Data Core CPI'!$A$1:$AX$1,),))/VLOOKUP(EDATE(B121,-12),'Data Core CPI'!$A:$AX,MATCH($C$1,'Data Core CPI'!$A$1:$AX$1,),))</f>
        <v/>
      </c>
      <c r="D121" s="20">
        <f>(VLOOKUP(B121,'Data Core CPI'!$A:$AX,MATCH($D$1,'Data Core CPI'!$A$1:$AX$1,),)-VLOOKUP(EDATE(B121,-12),'Data Core CPI'!$A:$AX,MATCH($D$1,'Data Core CPI'!$A$1:$AX$1,),))/VLOOKUP(EDATE(B121,-12),'Data Core CPI'!$A:$AX,MATCH($D$1,'Data Core CPI'!$A$1:$AX$1,),)</f>
        <v/>
      </c>
      <c r="E121" s="20">
        <f>IF(VLOOKUP(B121,'Data Core CPI'!$A:$AX,MATCH($E$1,'Data Core CPI'!$A$1:$AX$1,),)=0,#N/A,(VLOOKUP(B121,'Data Core CPI'!$A:$AX,MATCH($E$1,'Data Core CPI'!$A$1:$AX$1,),)-VLOOKUP(EDATE(B121,-12),'Data Core CPI'!$A:$AX,MATCH($E$1,'Data Core CPI'!$A$1:$AX$1,),))/VLOOKUP(EDATE(B121,-12),'Data Core CPI'!$A:$AX,MATCH($E$1,'Data Core CPI'!$A$1:$AX$1,),))</f>
        <v/>
      </c>
      <c r="F121" s="20">
        <f>IF(VLOOKUP(B121,'Data Core CPI'!$A:$AX,MATCH($F$1,'Data Core CPI'!$A$1:$AX$1,),)=0,#N/A,(VLOOKUP(B121,'Data Core CPI'!$A:$AX,MATCH($F$1,'Data Core CPI'!$A$1:$AX$1,),)-VLOOKUP(EDATE(B121,-12),'Data Core CPI'!$A:$AX,MATCH($F$1,'Data Core CPI'!$A$1:$AX$1,),))/VLOOKUP(EDATE(B121,-12),'Data Core CPI'!$A:$AX,MATCH($F$1,'Data Core CPI'!$A$1:$AX$1,),))</f>
        <v/>
      </c>
      <c r="G121" s="20">
        <f>IF(VLOOKUP(B121,'Data Core CPI'!$A:$AX,MATCH($G$1,'Data Core CPI'!$A$1:$AX$1,),)=0,#N/A,(VLOOKUP(B121,'Data Core CPI'!$A:$AX,MATCH($G$1,'Data Core CPI'!$A$1:$AX$1,),)-VLOOKUP(EDATE(B121,-12),'Data Core CPI'!$A:$AX,MATCH($G$1,'Data Core CPI'!$A$1:$AX$1,),))/VLOOKUP(EDATE(B121,-12),'Data Core CPI'!$A:$AX,MATCH($G$1,'Data Core CPI'!$A$1:$AX$1,),))</f>
        <v/>
      </c>
      <c r="H121" s="20">
        <f>IF(VLOOKUP(B121,'Data Core CPI'!$A:$AX,MATCH($H$1,'Data Core CPI'!$A$1:$AX$1,),)=0,#N/A,(VLOOKUP(B121,'Data Core CPI'!$A:$AX,MATCH($H$1,'Data Core CPI'!$A$1:$AX$1,),)-VLOOKUP(EDATE(B121,-12),'Data Core CPI'!$A:$AX,MATCH($H$1,'Data Core CPI'!$A$1:$AX$1,),))/VLOOKUP(EDATE(B121,-12),'Data Core CPI'!$A:$AX,MATCH($H$1,'Data Core CPI'!$A$1:$AX$1,),))</f>
        <v/>
      </c>
      <c r="I121" s="20">
        <f>IF(VLOOKUP(B121,'Data Core CPI'!$A:$AX,MATCH($I$1,'Data Core CPI'!$A$1:$AX$1,),)=0,#N/A,(VLOOKUP(B121,'Data Core CPI'!$A:$AX,MATCH($I$1,'Data Core CPI'!$A$1:$AX$1,),)-VLOOKUP(EDATE(B121,-12),'Data Core CPI'!$A:$AX,MATCH($I$1,'Data Core CPI'!$A$1:$AX$1,),))/VLOOKUP(EDATE(B121,-12),'Data Core CPI'!$A:$AX,MATCH($I$1,'Data Core CPI'!$A$1:$AX$1,),))</f>
        <v/>
      </c>
      <c r="J121" s="20">
        <f>IF(VLOOKUP(B121,'Data Core CPI'!$A:$AX,MATCH($J$1,'Data Core CPI'!$A$1:$AX$1,),)=0,#N/A,(VLOOKUP(B121,'Data Core CPI'!$A:$AX,MATCH($J$1,'Data Core CPI'!$A$1:$AX$1,),)-VLOOKUP(EDATE(B121,-12),'Data Core CPI'!$A:$AX,MATCH($J$1,'Data Core CPI'!$A$1:$AX$1,),))/VLOOKUP(EDATE(B121,-12),'Data Core CPI'!$A:$AX,MATCH($J$1,'Data Core CPI'!$A$1:$AX$1,),))</f>
        <v/>
      </c>
      <c r="K121" s="20">
        <f>IF(VLOOKUP(B121,'Data Core CPI'!$A:$AX,MATCH($K$1,'Data Core CPI'!$A$1:$AX$1,),)=0,#N/A,(VLOOKUP(B121,'Data Core CPI'!$A:$AX,MATCH($K$1,'Data Core CPI'!$A$1:$AX$1,),)-VLOOKUP(EDATE(B121,-12),'Data Core CPI'!$A:$AX,MATCH($K$1,'Data Core CPI'!$A$1:$AX$1,),))/VLOOKUP(EDATE(B121,-12),'Data Core CPI'!$A:$AX,MATCH($K$1,'Data Core CPI'!$A$1:$AX$1,),))</f>
        <v/>
      </c>
      <c r="L121" s="20">
        <f>IF(VLOOKUP(B121,'Data Core CPI'!$A:$AX,MATCH($L$1,'Data Core CPI'!$A$1:$AX$1,),)=0,#N/A,(VLOOKUP(B121,'Data Core CPI'!$A:$AX,MATCH($L$1,'Data Core CPI'!$A$1:$AX$1,),)-VLOOKUP(EDATE(B121,-12),'Data Core CPI'!$A:$AX,MATCH($L$1,'Data Core CPI'!$A$1:$AX$1,),))/VLOOKUP(EDATE(B121,-12),'Data Core CPI'!$A:$AX,MATCH($L$1,'Data Core CPI'!$A$1:$AX$1,),))</f>
        <v/>
      </c>
      <c r="M121" s="20">
        <f>IF(VLOOKUP(B121,'Data Core CPI'!$A:$AX,MATCH($M$1,'Data Core CPI'!$A$1:$AX$1,),)=0,#N/A,(VLOOKUP(B121,'Data Core CPI'!$A:$AX,MATCH($M$1,'Data Core CPI'!$A$1:$AX$1,),)-VLOOKUP(EDATE(B121,-12),'Data Core CPI'!$A:$AX,MATCH($M$1,'Data Core CPI'!$A$1:$AX$1,),))/VLOOKUP(EDATE(B121,-12),'Data Core CPI'!$A:$AX,MATCH($M$1,'Data Core CPI'!$A$1:$AX$1,),))</f>
        <v/>
      </c>
      <c r="N121" s="20">
        <f>(VLOOKUP(B121,'Data Core CPI'!$A:$AX,MATCH($N$1,'Data Core CPI'!$A$1:$AX$1,),)-VLOOKUP(EDATE(B121,-12),'Data Core CPI'!$A:$AX,MATCH($N$1,'Data Core CPI'!$A$1:$AX$1,),))/VLOOKUP(EDATE(B121,-12),'Data Core CPI'!$A:$AX,MATCH($N$1,'Data Core CPI'!$A$1:$AX$1,),)</f>
        <v/>
      </c>
      <c r="O121" s="20">
        <f>(VLOOKUP(B121,'Data Core CPI'!$A:$AX,MATCH($O$1,'Data Core CPI'!$A$1:$AX$1,),)-VLOOKUP(EDATE(B121,-12),'Data Core CPI'!$A:$AX,MATCH($O$1,'Data Core CPI'!$A$1:$AX$1,),))/VLOOKUP(EDATE(B121,-12),'Data Core CPI'!$A:$AX,MATCH($O$1,'Data Core CPI'!$A$1:$AX$1,),)</f>
        <v/>
      </c>
      <c r="P121" s="20">
        <f>IF(VLOOKUP(B121,'Data Core CPI'!$A:$AX,MATCH($P$1,'Data Core CPI'!$A$1:$AX$1,),)=0,#N/A,(VLOOKUP(B121,'Data Core CPI'!$A:$AX,MATCH($P$1,'Data Core CPI'!$A$1:$AX$1,),)-VLOOKUP(EDATE(B121,-12),'Data Core CPI'!$A:$AX,MATCH($P$1,'Data Core CPI'!$A$1:$AX$1,),))/VLOOKUP(EDATE(B121,-12),'Data Core CPI'!$A:$AX,MATCH($P$1,'Data Core CPI'!$A$1:$AX$1,),))</f>
        <v/>
      </c>
      <c r="Q121" s="20">
        <f>(VLOOKUP(B121,'Data Core CPI'!$A:$AX,MATCH($Q$1,'Data Core CPI'!$A$1:$AX$1,),)-VLOOKUP(EDATE(B121,-12),'Data Core CPI'!$A:$AX,MATCH($Q$1,'Data Core CPI'!$A$1:$AX$1,),))/VLOOKUP(EDATE(B121,-12),'Data Core CPI'!$A:$AX,MATCH($Q$1,'Data Core CPI'!$A$1:$AX$1,),)</f>
        <v/>
      </c>
      <c r="R121" s="20">
        <f>IF(VLOOKUP(B121,'Data Core CPI'!$A:$AX,MATCH($R$1,'Data Core CPI'!$A$1:$AX$1,),)=0,#N/A,(VLOOKUP(B121,'Data Core CPI'!$A:$AX,MATCH($R$1,'Data Core CPI'!$A$1:$AX$1,),)-VLOOKUP(EDATE(B121,-12),'Data Core CPI'!$A:$AX,MATCH($R$1,'Data Core CPI'!$A$1:$AX$1,),))/VLOOKUP(EDATE(B121,-12),'Data Core CPI'!$A:$AX,MATCH($R$1,'Data Core CPI'!$A$1:$AX$1,),))</f>
        <v/>
      </c>
      <c r="S121" s="20">
        <f>(VLOOKUP(B121,'Data Core CPI'!$A:$AX,MATCH($S$1,'Data Core CPI'!$A$1:$AX$1,),)-VLOOKUP(EDATE(B121,-12),'Data Core CPI'!$A:$AX,MATCH($S$1,'Data Core CPI'!$A$1:$AX$1,),))/VLOOKUP(EDATE(B121,-12),'Data Core CPI'!$A:$AX,MATCH($S$1,'Data Core CPI'!$A$1:$AX$1,),)</f>
        <v/>
      </c>
      <c r="T121" s="20">
        <f>(VLOOKUP(B121,'Data Core CPI'!$A:$AX,MATCH($T$1,'Data Core CPI'!$A$1:$AX$1,),)-VLOOKUP(EDATE(B121,-12),'Data Core CPI'!$A:$AX,MATCH($T$1,'Data Core CPI'!$A$1:$AX$1,),))/VLOOKUP(EDATE(B121,-12),'Data Core CPI'!$A:$AX,MATCH($T$1,'Data Core CPI'!$A$1:$AX$1,),)</f>
        <v/>
      </c>
      <c r="U121" s="20">
        <f>IF(VLOOKUP(B121,'Data Core CPI'!$A:$AX,MATCH($U$1,'Data Core CPI'!$A$1:$AX$1,),)=0,#N/A,(VLOOKUP(B121,'Data Core CPI'!$A:$AX,MATCH($U$1,'Data Core CPI'!$A$1:$AX$1,),)-VLOOKUP(EDATE(B121,-12),'Data Core CPI'!$A:$AX,MATCH($U$1,'Data Core CPI'!$A$1:$AX$1,),))/VLOOKUP(EDATE(B121,-12),'Data Core CPI'!$A:$AX,MATCH($U$1,'Data Core CPI'!$A$1:$AX$1,),))</f>
        <v/>
      </c>
      <c r="V121" s="20">
        <f>(VLOOKUP(B121,'Data Core CPI'!$A:$AX,MATCH($V$1,'Data Core CPI'!$A$1:$AX$1,),)-VLOOKUP(EDATE(B121,-12),'Data Core CPI'!$A:$AX,MATCH($V$1,'Data Core CPI'!$A$1:$AX$1,),))/VLOOKUP(EDATE(B121,-12),'Data Core CPI'!$A:$AX,MATCH($V$1,'Data Core CPI'!$A$1:$AX$1,),)</f>
        <v/>
      </c>
      <c r="W121" s="20">
        <f>IF(VLOOKUP(B121,'Data Core CPI'!$A:$AX,MATCH($W$1,'Data Core CPI'!$A$1:$AX$1,),)=0,#N/A,(VLOOKUP(B121,'Data Core CPI'!$A:$AX,MATCH($W$1,'Data Core CPI'!$A$1:$AX$1,),)-VLOOKUP(EDATE(B121,-12),'Data Core CPI'!$A:$AX,MATCH($W$1,'Data Core CPI'!$A$1:$AX$1,),))/VLOOKUP(EDATE(B121,-12),'Data Core CPI'!$A:$AX,MATCH($W$1,'Data Core CPI'!$A$1:$AX$1,),))</f>
        <v/>
      </c>
      <c r="X121" s="20">
        <f>IF(VLOOKUP(B121,'Data Core CPI'!$A:$AX,MATCH($X$1,'Data Core CPI'!$A$1:$AX$1,),)=0,#N/A,(VLOOKUP(B121,'Data Core CPI'!$A:$AX,MATCH($X$1,'Data Core CPI'!$A$1:$AX$1,),)-VLOOKUP(EDATE(B121,-12),'Data Core CPI'!$A:$AX,MATCH($X$1,'Data Core CPI'!$A$1:$AX$1,),))/VLOOKUP(EDATE(B121,-12),'Data Core CPI'!$A:$AX,MATCH($X$1,'Data Core CPI'!$A$1:$AX$1,),))</f>
        <v/>
      </c>
      <c r="Y121" s="20">
        <f>IF(VLOOKUP(B121,'Data Core CPI'!$A:$AX,MATCH($Y$1,'Data Core CPI'!$A$1:$AX$1,),)=0,#N/A,(VLOOKUP(B121,'Data Core CPI'!$A:$AX,MATCH($Y$1,'Data Core CPI'!$A$1:$AX$1,),)-VLOOKUP(EDATE(B121,-12),'Data Core CPI'!$A:$AX,MATCH($Y$1,'Data Core CPI'!$A$1:$AX$1,),))/VLOOKUP(EDATE(B121,-12),'Data Core CPI'!$A:$AX,MATCH($Y$1,'Data Core CPI'!$A$1:$AX$1,),))</f>
        <v/>
      </c>
    </row>
    <row r="122" customFormat="1" s="78">
      <c r="B122" s="15" t="n">
        <v>43922</v>
      </c>
      <c r="C122" s="20">
        <f>IF(VLOOKUP(B122,'Data Core CPI'!$A:$AX,MATCH($C$1,'Data Core CPI'!$A$1:$AX$1,),)=0,#N/A,(VLOOKUP(B122,'Data Core CPI'!$A:$AX,MATCH($C$1,'Data Core CPI'!$A$1:$AX$1,),)-VLOOKUP(EDATE(B122,-12),'Data Core CPI'!$A:$AX,MATCH($C$1,'Data Core CPI'!$A$1:$AX$1,),))/VLOOKUP(EDATE(B122,-12),'Data Core CPI'!$A:$AX,MATCH($C$1,'Data Core CPI'!$A$1:$AX$1,),))</f>
        <v/>
      </c>
      <c r="D122" s="20">
        <f>(VLOOKUP(B122,'Data Core CPI'!$A:$AX,MATCH($D$1,'Data Core CPI'!$A$1:$AX$1,),)-VLOOKUP(EDATE(B122,-12),'Data Core CPI'!$A:$AX,MATCH($D$1,'Data Core CPI'!$A$1:$AX$1,),))/VLOOKUP(EDATE(B122,-12),'Data Core CPI'!$A:$AX,MATCH($D$1,'Data Core CPI'!$A$1:$AX$1,),)</f>
        <v/>
      </c>
      <c r="E122" s="20">
        <f>IF(VLOOKUP(B122,'Data Core CPI'!$A:$AX,MATCH($E$1,'Data Core CPI'!$A$1:$AX$1,),)=0,#N/A,(VLOOKUP(B122,'Data Core CPI'!$A:$AX,MATCH($E$1,'Data Core CPI'!$A$1:$AX$1,),)-VLOOKUP(EDATE(B122,-12),'Data Core CPI'!$A:$AX,MATCH($E$1,'Data Core CPI'!$A$1:$AX$1,),))/VLOOKUP(EDATE(B122,-12),'Data Core CPI'!$A:$AX,MATCH($E$1,'Data Core CPI'!$A$1:$AX$1,),))</f>
        <v/>
      </c>
      <c r="F122" s="20">
        <f>IF(VLOOKUP(B122,'Data Core CPI'!$A:$AX,MATCH($F$1,'Data Core CPI'!$A$1:$AX$1,),)=0,#N/A,(VLOOKUP(B122,'Data Core CPI'!$A:$AX,MATCH($F$1,'Data Core CPI'!$A$1:$AX$1,),)-VLOOKUP(EDATE(B122,-12),'Data Core CPI'!$A:$AX,MATCH($F$1,'Data Core CPI'!$A$1:$AX$1,),))/VLOOKUP(EDATE(B122,-12),'Data Core CPI'!$A:$AX,MATCH($F$1,'Data Core CPI'!$A$1:$AX$1,),))</f>
        <v/>
      </c>
      <c r="G122" s="20">
        <f>IF(VLOOKUP(B122,'Data Core CPI'!$A:$AX,MATCH($G$1,'Data Core CPI'!$A$1:$AX$1,),)=0,#N/A,(VLOOKUP(B122,'Data Core CPI'!$A:$AX,MATCH($G$1,'Data Core CPI'!$A$1:$AX$1,),)-VLOOKUP(EDATE(B122,-12),'Data Core CPI'!$A:$AX,MATCH($G$1,'Data Core CPI'!$A$1:$AX$1,),))/VLOOKUP(EDATE(B122,-12),'Data Core CPI'!$A:$AX,MATCH($G$1,'Data Core CPI'!$A$1:$AX$1,),))</f>
        <v/>
      </c>
      <c r="H122" s="20">
        <f>IF(VLOOKUP(B122,'Data Core CPI'!$A:$AX,MATCH($H$1,'Data Core CPI'!$A$1:$AX$1,),)=0,#N/A,(VLOOKUP(B122,'Data Core CPI'!$A:$AX,MATCH($H$1,'Data Core CPI'!$A$1:$AX$1,),)-VLOOKUP(EDATE(B122,-12),'Data Core CPI'!$A:$AX,MATCH($H$1,'Data Core CPI'!$A$1:$AX$1,),))/VLOOKUP(EDATE(B122,-12),'Data Core CPI'!$A:$AX,MATCH($H$1,'Data Core CPI'!$A$1:$AX$1,),))</f>
        <v/>
      </c>
      <c r="I122" s="20">
        <f>IF(VLOOKUP(B122,'Data Core CPI'!$A:$AX,MATCH($I$1,'Data Core CPI'!$A$1:$AX$1,),)=0,#N/A,(VLOOKUP(B122,'Data Core CPI'!$A:$AX,MATCH($I$1,'Data Core CPI'!$A$1:$AX$1,),)-VLOOKUP(EDATE(B122,-12),'Data Core CPI'!$A:$AX,MATCH($I$1,'Data Core CPI'!$A$1:$AX$1,),))/VLOOKUP(EDATE(B122,-12),'Data Core CPI'!$A:$AX,MATCH($I$1,'Data Core CPI'!$A$1:$AX$1,),))</f>
        <v/>
      </c>
      <c r="J122" s="20">
        <f>IF(VLOOKUP(B122,'Data Core CPI'!$A:$AX,MATCH($J$1,'Data Core CPI'!$A$1:$AX$1,),)=0,#N/A,(VLOOKUP(B122,'Data Core CPI'!$A:$AX,MATCH($J$1,'Data Core CPI'!$A$1:$AX$1,),)-VLOOKUP(EDATE(B122,-12),'Data Core CPI'!$A:$AX,MATCH($J$1,'Data Core CPI'!$A$1:$AX$1,),))/VLOOKUP(EDATE(B122,-12),'Data Core CPI'!$A:$AX,MATCH($J$1,'Data Core CPI'!$A$1:$AX$1,),))</f>
        <v/>
      </c>
      <c r="K122" s="20">
        <f>IF(VLOOKUP(B122,'Data Core CPI'!$A:$AX,MATCH($K$1,'Data Core CPI'!$A$1:$AX$1,),)=0,#N/A,(VLOOKUP(B122,'Data Core CPI'!$A:$AX,MATCH($K$1,'Data Core CPI'!$A$1:$AX$1,),)-VLOOKUP(EDATE(B122,-12),'Data Core CPI'!$A:$AX,MATCH($K$1,'Data Core CPI'!$A$1:$AX$1,),))/VLOOKUP(EDATE(B122,-12),'Data Core CPI'!$A:$AX,MATCH($K$1,'Data Core CPI'!$A$1:$AX$1,),))</f>
        <v/>
      </c>
      <c r="L122" s="20">
        <f>IF(VLOOKUP(B122,'Data Core CPI'!$A:$AX,MATCH($L$1,'Data Core CPI'!$A$1:$AX$1,),)=0,#N/A,(VLOOKUP(B122,'Data Core CPI'!$A:$AX,MATCH($L$1,'Data Core CPI'!$A$1:$AX$1,),)-VLOOKUP(EDATE(B122,-12),'Data Core CPI'!$A:$AX,MATCH($L$1,'Data Core CPI'!$A$1:$AX$1,),))/VLOOKUP(EDATE(B122,-12),'Data Core CPI'!$A:$AX,MATCH($L$1,'Data Core CPI'!$A$1:$AX$1,),))</f>
        <v/>
      </c>
      <c r="M122" s="20">
        <f>IF(VLOOKUP(B122,'Data Core CPI'!$A:$AX,MATCH($M$1,'Data Core CPI'!$A$1:$AX$1,),)=0,#N/A,(VLOOKUP(B122,'Data Core CPI'!$A:$AX,MATCH($M$1,'Data Core CPI'!$A$1:$AX$1,),)-VLOOKUP(EDATE(B122,-12),'Data Core CPI'!$A:$AX,MATCH($M$1,'Data Core CPI'!$A$1:$AX$1,),))/VLOOKUP(EDATE(B122,-12),'Data Core CPI'!$A:$AX,MATCH($M$1,'Data Core CPI'!$A$1:$AX$1,),))</f>
        <v/>
      </c>
      <c r="N122" s="20">
        <f>(VLOOKUP(B122,'Data Core CPI'!$A:$AX,MATCH($N$1,'Data Core CPI'!$A$1:$AX$1,),)-VLOOKUP(EDATE(B122,-12),'Data Core CPI'!$A:$AX,MATCH($N$1,'Data Core CPI'!$A$1:$AX$1,),))/VLOOKUP(EDATE(B122,-12),'Data Core CPI'!$A:$AX,MATCH($N$1,'Data Core CPI'!$A$1:$AX$1,),)</f>
        <v/>
      </c>
      <c r="O122" s="20">
        <f>(VLOOKUP(B122,'Data Core CPI'!$A:$AX,MATCH($O$1,'Data Core CPI'!$A$1:$AX$1,),)-VLOOKUP(EDATE(B122,-12),'Data Core CPI'!$A:$AX,MATCH($O$1,'Data Core CPI'!$A$1:$AX$1,),))/VLOOKUP(EDATE(B122,-12),'Data Core CPI'!$A:$AX,MATCH($O$1,'Data Core CPI'!$A$1:$AX$1,),)</f>
        <v/>
      </c>
      <c r="P122" s="20">
        <f>IF(VLOOKUP(B122,'Data Core CPI'!$A:$AX,MATCH($P$1,'Data Core CPI'!$A$1:$AX$1,),)=0,#N/A,(VLOOKUP(B122,'Data Core CPI'!$A:$AX,MATCH($P$1,'Data Core CPI'!$A$1:$AX$1,),)-VLOOKUP(EDATE(B122,-12),'Data Core CPI'!$A:$AX,MATCH($P$1,'Data Core CPI'!$A$1:$AX$1,),))/VLOOKUP(EDATE(B122,-12),'Data Core CPI'!$A:$AX,MATCH($P$1,'Data Core CPI'!$A$1:$AX$1,),))</f>
        <v/>
      </c>
      <c r="Q122" s="20">
        <f>(VLOOKUP(B122,'Data Core CPI'!$A:$AX,MATCH($Q$1,'Data Core CPI'!$A$1:$AX$1,),)-VLOOKUP(EDATE(B122,-12),'Data Core CPI'!$A:$AX,MATCH($Q$1,'Data Core CPI'!$A$1:$AX$1,),))/VLOOKUP(EDATE(B122,-12),'Data Core CPI'!$A:$AX,MATCH($Q$1,'Data Core CPI'!$A$1:$AX$1,),)</f>
        <v/>
      </c>
      <c r="R122" s="20">
        <f>IF(VLOOKUP(B122,'Data Core CPI'!$A:$AX,MATCH($R$1,'Data Core CPI'!$A$1:$AX$1,),)=0,#N/A,(VLOOKUP(B122,'Data Core CPI'!$A:$AX,MATCH($R$1,'Data Core CPI'!$A$1:$AX$1,),)-VLOOKUP(EDATE(B122,-12),'Data Core CPI'!$A:$AX,MATCH($R$1,'Data Core CPI'!$A$1:$AX$1,),))/VLOOKUP(EDATE(B122,-12),'Data Core CPI'!$A:$AX,MATCH($R$1,'Data Core CPI'!$A$1:$AX$1,),))</f>
        <v/>
      </c>
      <c r="S122" s="20">
        <f>(VLOOKUP(B122,'Data Core CPI'!$A:$AX,MATCH($S$1,'Data Core CPI'!$A$1:$AX$1,),)-VLOOKUP(EDATE(B122,-12),'Data Core CPI'!$A:$AX,MATCH($S$1,'Data Core CPI'!$A$1:$AX$1,),))/VLOOKUP(EDATE(B122,-12),'Data Core CPI'!$A:$AX,MATCH($S$1,'Data Core CPI'!$A$1:$AX$1,),)</f>
        <v/>
      </c>
      <c r="T122" s="20">
        <f>(VLOOKUP(B122,'Data Core CPI'!$A:$AX,MATCH($T$1,'Data Core CPI'!$A$1:$AX$1,),)-VLOOKUP(EDATE(B122,-12),'Data Core CPI'!$A:$AX,MATCH($T$1,'Data Core CPI'!$A$1:$AX$1,),))/VLOOKUP(EDATE(B122,-12),'Data Core CPI'!$A:$AX,MATCH($T$1,'Data Core CPI'!$A$1:$AX$1,),)</f>
        <v/>
      </c>
      <c r="U122" s="20">
        <f>IF(VLOOKUP(B122,'Data Core CPI'!$A:$AX,MATCH($U$1,'Data Core CPI'!$A$1:$AX$1,),)=0,#N/A,(VLOOKUP(B122,'Data Core CPI'!$A:$AX,MATCH($U$1,'Data Core CPI'!$A$1:$AX$1,),)-VLOOKUP(EDATE(B122,-12),'Data Core CPI'!$A:$AX,MATCH($U$1,'Data Core CPI'!$A$1:$AX$1,),))/VLOOKUP(EDATE(B122,-12),'Data Core CPI'!$A:$AX,MATCH($U$1,'Data Core CPI'!$A$1:$AX$1,),))</f>
        <v/>
      </c>
      <c r="V122" s="20">
        <f>(VLOOKUP(B122,'Data Core CPI'!$A:$AX,MATCH($V$1,'Data Core CPI'!$A$1:$AX$1,),)-VLOOKUP(EDATE(B122,-12),'Data Core CPI'!$A:$AX,MATCH($V$1,'Data Core CPI'!$A$1:$AX$1,),))/VLOOKUP(EDATE(B122,-12),'Data Core CPI'!$A:$AX,MATCH($V$1,'Data Core CPI'!$A$1:$AX$1,),)</f>
        <v/>
      </c>
      <c r="W122" s="20">
        <f>IF(VLOOKUP(B122,'Data Core CPI'!$A:$AX,MATCH($W$1,'Data Core CPI'!$A$1:$AX$1,),)=0,#N/A,(VLOOKUP(B122,'Data Core CPI'!$A:$AX,MATCH($W$1,'Data Core CPI'!$A$1:$AX$1,),)-VLOOKUP(EDATE(B122,-12),'Data Core CPI'!$A:$AX,MATCH($W$1,'Data Core CPI'!$A$1:$AX$1,),))/VLOOKUP(EDATE(B122,-12),'Data Core CPI'!$A:$AX,MATCH($W$1,'Data Core CPI'!$A$1:$AX$1,),))</f>
        <v/>
      </c>
      <c r="X122" s="20">
        <f>IF(VLOOKUP(B122,'Data Core CPI'!$A:$AX,MATCH($X$1,'Data Core CPI'!$A$1:$AX$1,),)=0,#N/A,(VLOOKUP(B122,'Data Core CPI'!$A:$AX,MATCH($X$1,'Data Core CPI'!$A$1:$AX$1,),)-VLOOKUP(EDATE(B122,-12),'Data Core CPI'!$A:$AX,MATCH($X$1,'Data Core CPI'!$A$1:$AX$1,),))/VLOOKUP(EDATE(B122,-12),'Data Core CPI'!$A:$AX,MATCH($X$1,'Data Core CPI'!$A$1:$AX$1,),))</f>
        <v/>
      </c>
      <c r="Y122" s="20">
        <f>IF(VLOOKUP(B122,'Data Core CPI'!$A:$AX,MATCH($Y$1,'Data Core CPI'!$A$1:$AX$1,),)=0,#N/A,(VLOOKUP(B122,'Data Core CPI'!$A:$AX,MATCH($Y$1,'Data Core CPI'!$A$1:$AX$1,),)-VLOOKUP(EDATE(B122,-12),'Data Core CPI'!$A:$AX,MATCH($Y$1,'Data Core CPI'!$A$1:$AX$1,),))/VLOOKUP(EDATE(B122,-12),'Data Core CPI'!$A:$AX,MATCH($Y$1,'Data Core CPI'!$A$1:$AX$1,),))</f>
        <v/>
      </c>
    </row>
    <row r="123" customFormat="1" s="78">
      <c r="B123" s="15" t="n">
        <v>43952</v>
      </c>
      <c r="C123" s="20">
        <f>IF(VLOOKUP(B123,'Data Core CPI'!$A:$AX,MATCH($C$1,'Data Core CPI'!$A$1:$AX$1,),)=0,#N/A,(VLOOKUP(B123,'Data Core CPI'!$A:$AX,MATCH($C$1,'Data Core CPI'!$A$1:$AX$1,),)-VLOOKUP(EDATE(B123,-12),'Data Core CPI'!$A:$AX,MATCH($C$1,'Data Core CPI'!$A$1:$AX$1,),))/VLOOKUP(EDATE(B123,-12),'Data Core CPI'!$A:$AX,MATCH($C$1,'Data Core CPI'!$A$1:$AX$1,),))</f>
        <v/>
      </c>
      <c r="D123" s="20">
        <f>(VLOOKUP(B123,'Data Core CPI'!$A:$AX,MATCH($D$1,'Data Core CPI'!$A$1:$AX$1,),)-VLOOKUP(EDATE(B123,-12),'Data Core CPI'!$A:$AX,MATCH($D$1,'Data Core CPI'!$A$1:$AX$1,),))/VLOOKUP(EDATE(B123,-12),'Data Core CPI'!$A:$AX,MATCH($D$1,'Data Core CPI'!$A$1:$AX$1,),)</f>
        <v/>
      </c>
      <c r="E123" s="20">
        <f>IF(VLOOKUP(B123,'Data Core CPI'!$A:$AX,MATCH($E$1,'Data Core CPI'!$A$1:$AX$1,),)=0,#N/A,(VLOOKUP(B123,'Data Core CPI'!$A:$AX,MATCH($E$1,'Data Core CPI'!$A$1:$AX$1,),)-VLOOKUP(EDATE(B123,-12),'Data Core CPI'!$A:$AX,MATCH($E$1,'Data Core CPI'!$A$1:$AX$1,),))/VLOOKUP(EDATE(B123,-12),'Data Core CPI'!$A:$AX,MATCH($E$1,'Data Core CPI'!$A$1:$AX$1,),))</f>
        <v/>
      </c>
      <c r="F123" s="20">
        <f>IF(VLOOKUP(B123,'Data Core CPI'!$A:$AX,MATCH($F$1,'Data Core CPI'!$A$1:$AX$1,),)=0,#N/A,(VLOOKUP(B123,'Data Core CPI'!$A:$AX,MATCH($F$1,'Data Core CPI'!$A$1:$AX$1,),)-VLOOKUP(EDATE(B123,-12),'Data Core CPI'!$A:$AX,MATCH($F$1,'Data Core CPI'!$A$1:$AX$1,),))/VLOOKUP(EDATE(B123,-12),'Data Core CPI'!$A:$AX,MATCH($F$1,'Data Core CPI'!$A$1:$AX$1,),))</f>
        <v/>
      </c>
      <c r="G123" s="20">
        <f>IF(VLOOKUP(B123,'Data Core CPI'!$A:$AX,MATCH($G$1,'Data Core CPI'!$A$1:$AX$1,),)=0,#N/A,(VLOOKUP(B123,'Data Core CPI'!$A:$AX,MATCH($G$1,'Data Core CPI'!$A$1:$AX$1,),)-VLOOKUP(EDATE(B123,-12),'Data Core CPI'!$A:$AX,MATCH($G$1,'Data Core CPI'!$A$1:$AX$1,),))/VLOOKUP(EDATE(B123,-12),'Data Core CPI'!$A:$AX,MATCH($G$1,'Data Core CPI'!$A$1:$AX$1,),))</f>
        <v/>
      </c>
      <c r="H123" s="20">
        <f>IF(VLOOKUP(B123,'Data Core CPI'!$A:$AX,MATCH($H$1,'Data Core CPI'!$A$1:$AX$1,),)=0,#N/A,(VLOOKUP(B123,'Data Core CPI'!$A:$AX,MATCH($H$1,'Data Core CPI'!$A$1:$AX$1,),)-VLOOKUP(EDATE(B123,-12),'Data Core CPI'!$A:$AX,MATCH($H$1,'Data Core CPI'!$A$1:$AX$1,),))/VLOOKUP(EDATE(B123,-12),'Data Core CPI'!$A:$AX,MATCH($H$1,'Data Core CPI'!$A$1:$AX$1,),))</f>
        <v/>
      </c>
      <c r="I123" s="20">
        <f>IF(VLOOKUP(B123,'Data Core CPI'!$A:$AX,MATCH($I$1,'Data Core CPI'!$A$1:$AX$1,),)=0,#N/A,(VLOOKUP(B123,'Data Core CPI'!$A:$AX,MATCH($I$1,'Data Core CPI'!$A$1:$AX$1,),)-VLOOKUP(EDATE(B123,-12),'Data Core CPI'!$A:$AX,MATCH($I$1,'Data Core CPI'!$A$1:$AX$1,),))/VLOOKUP(EDATE(B123,-12),'Data Core CPI'!$A:$AX,MATCH($I$1,'Data Core CPI'!$A$1:$AX$1,),))</f>
        <v/>
      </c>
      <c r="J123" s="20">
        <f>IF(VLOOKUP(B123,'Data Core CPI'!$A:$AX,MATCH($J$1,'Data Core CPI'!$A$1:$AX$1,),)=0,#N/A,(VLOOKUP(B123,'Data Core CPI'!$A:$AX,MATCH($J$1,'Data Core CPI'!$A$1:$AX$1,),)-VLOOKUP(EDATE(B123,-12),'Data Core CPI'!$A:$AX,MATCH($J$1,'Data Core CPI'!$A$1:$AX$1,),))/VLOOKUP(EDATE(B123,-12),'Data Core CPI'!$A:$AX,MATCH($J$1,'Data Core CPI'!$A$1:$AX$1,),))</f>
        <v/>
      </c>
      <c r="K123" s="20">
        <f>IF(VLOOKUP(B123,'Data Core CPI'!$A:$AX,MATCH($K$1,'Data Core CPI'!$A$1:$AX$1,),)=0,#N/A,(VLOOKUP(B123,'Data Core CPI'!$A:$AX,MATCH($K$1,'Data Core CPI'!$A$1:$AX$1,),)-VLOOKUP(EDATE(B123,-12),'Data Core CPI'!$A:$AX,MATCH($K$1,'Data Core CPI'!$A$1:$AX$1,),))/VLOOKUP(EDATE(B123,-12),'Data Core CPI'!$A:$AX,MATCH($K$1,'Data Core CPI'!$A$1:$AX$1,),))</f>
        <v/>
      </c>
      <c r="L123" s="20">
        <f>IF(VLOOKUP(B123,'Data Core CPI'!$A:$AX,MATCH($L$1,'Data Core CPI'!$A$1:$AX$1,),)=0,#N/A,(VLOOKUP(B123,'Data Core CPI'!$A:$AX,MATCH($L$1,'Data Core CPI'!$A$1:$AX$1,),)-VLOOKUP(EDATE(B123,-12),'Data Core CPI'!$A:$AX,MATCH($L$1,'Data Core CPI'!$A$1:$AX$1,),))/VLOOKUP(EDATE(B123,-12),'Data Core CPI'!$A:$AX,MATCH($L$1,'Data Core CPI'!$A$1:$AX$1,),))</f>
        <v/>
      </c>
      <c r="M123" s="20">
        <f>IF(VLOOKUP(B123,'Data Core CPI'!$A:$AX,MATCH($M$1,'Data Core CPI'!$A$1:$AX$1,),)=0,#N/A,(VLOOKUP(B123,'Data Core CPI'!$A:$AX,MATCH($M$1,'Data Core CPI'!$A$1:$AX$1,),)-VLOOKUP(EDATE(B123,-12),'Data Core CPI'!$A:$AX,MATCH($M$1,'Data Core CPI'!$A$1:$AX$1,),))/VLOOKUP(EDATE(B123,-12),'Data Core CPI'!$A:$AX,MATCH($M$1,'Data Core CPI'!$A$1:$AX$1,),))</f>
        <v/>
      </c>
      <c r="N123" s="20">
        <f>(VLOOKUP(B123,'Data Core CPI'!$A:$AX,MATCH($N$1,'Data Core CPI'!$A$1:$AX$1,),)-VLOOKUP(EDATE(B123,-12),'Data Core CPI'!$A:$AX,MATCH($N$1,'Data Core CPI'!$A$1:$AX$1,),))/VLOOKUP(EDATE(B123,-12),'Data Core CPI'!$A:$AX,MATCH($N$1,'Data Core CPI'!$A$1:$AX$1,),)</f>
        <v/>
      </c>
      <c r="O123" s="20">
        <f>(VLOOKUP(B123,'Data Core CPI'!$A:$AX,MATCH($O$1,'Data Core CPI'!$A$1:$AX$1,),)-VLOOKUP(EDATE(B123,-12),'Data Core CPI'!$A:$AX,MATCH($O$1,'Data Core CPI'!$A$1:$AX$1,),))/VLOOKUP(EDATE(B123,-12),'Data Core CPI'!$A:$AX,MATCH($O$1,'Data Core CPI'!$A$1:$AX$1,),)</f>
        <v/>
      </c>
      <c r="P123" s="20">
        <f>IF(VLOOKUP(B123,'Data Core CPI'!$A:$AX,MATCH($P$1,'Data Core CPI'!$A$1:$AX$1,),)=0,#N/A,(VLOOKUP(B123,'Data Core CPI'!$A:$AX,MATCH($P$1,'Data Core CPI'!$A$1:$AX$1,),)-VLOOKUP(EDATE(B123,-12),'Data Core CPI'!$A:$AX,MATCH($P$1,'Data Core CPI'!$A$1:$AX$1,),))/VLOOKUP(EDATE(B123,-12),'Data Core CPI'!$A:$AX,MATCH($P$1,'Data Core CPI'!$A$1:$AX$1,),))</f>
        <v/>
      </c>
      <c r="Q123" s="20">
        <f>(VLOOKUP(B123,'Data Core CPI'!$A:$AX,MATCH($Q$1,'Data Core CPI'!$A$1:$AX$1,),)-VLOOKUP(EDATE(B123,-12),'Data Core CPI'!$A:$AX,MATCH($Q$1,'Data Core CPI'!$A$1:$AX$1,),))/VLOOKUP(EDATE(B123,-12),'Data Core CPI'!$A:$AX,MATCH($Q$1,'Data Core CPI'!$A$1:$AX$1,),)</f>
        <v/>
      </c>
      <c r="R123" s="20">
        <f>IF(VLOOKUP(B123,'Data Core CPI'!$A:$AX,MATCH($R$1,'Data Core CPI'!$A$1:$AX$1,),)=0,#N/A,(VLOOKUP(B123,'Data Core CPI'!$A:$AX,MATCH($R$1,'Data Core CPI'!$A$1:$AX$1,),)-VLOOKUP(EDATE(B123,-12),'Data Core CPI'!$A:$AX,MATCH($R$1,'Data Core CPI'!$A$1:$AX$1,),))/VLOOKUP(EDATE(B123,-12),'Data Core CPI'!$A:$AX,MATCH($R$1,'Data Core CPI'!$A$1:$AX$1,),))</f>
        <v/>
      </c>
      <c r="S123" s="20">
        <f>(VLOOKUP(B123,'Data Core CPI'!$A:$AX,MATCH($S$1,'Data Core CPI'!$A$1:$AX$1,),)-VLOOKUP(EDATE(B123,-12),'Data Core CPI'!$A:$AX,MATCH($S$1,'Data Core CPI'!$A$1:$AX$1,),))/VLOOKUP(EDATE(B123,-12),'Data Core CPI'!$A:$AX,MATCH($S$1,'Data Core CPI'!$A$1:$AX$1,),)</f>
        <v/>
      </c>
      <c r="T123" s="20">
        <f>(VLOOKUP(B123,'Data Core CPI'!$A:$AX,MATCH($T$1,'Data Core CPI'!$A$1:$AX$1,),)-VLOOKUP(EDATE(B123,-12),'Data Core CPI'!$A:$AX,MATCH($T$1,'Data Core CPI'!$A$1:$AX$1,),))/VLOOKUP(EDATE(B123,-12),'Data Core CPI'!$A:$AX,MATCH($T$1,'Data Core CPI'!$A$1:$AX$1,),)</f>
        <v/>
      </c>
      <c r="U123" s="20">
        <f>IF(VLOOKUP(B123,'Data Core CPI'!$A:$AX,MATCH($U$1,'Data Core CPI'!$A$1:$AX$1,),)=0,#N/A,(VLOOKUP(B123,'Data Core CPI'!$A:$AX,MATCH($U$1,'Data Core CPI'!$A$1:$AX$1,),)-VLOOKUP(EDATE(B123,-12),'Data Core CPI'!$A:$AX,MATCH($U$1,'Data Core CPI'!$A$1:$AX$1,),))/VLOOKUP(EDATE(B123,-12),'Data Core CPI'!$A:$AX,MATCH($U$1,'Data Core CPI'!$A$1:$AX$1,),))</f>
        <v/>
      </c>
      <c r="V123" s="20">
        <f>(VLOOKUP(B123,'Data Core CPI'!$A:$AX,MATCH($V$1,'Data Core CPI'!$A$1:$AX$1,),)-VLOOKUP(EDATE(B123,-12),'Data Core CPI'!$A:$AX,MATCH($V$1,'Data Core CPI'!$A$1:$AX$1,),))/VLOOKUP(EDATE(B123,-12),'Data Core CPI'!$A:$AX,MATCH($V$1,'Data Core CPI'!$A$1:$AX$1,),)</f>
        <v/>
      </c>
      <c r="W123" s="20">
        <f>IF(VLOOKUP(B123,'Data Core CPI'!$A:$AX,MATCH($W$1,'Data Core CPI'!$A$1:$AX$1,),)=0,#N/A,(VLOOKUP(B123,'Data Core CPI'!$A:$AX,MATCH($W$1,'Data Core CPI'!$A$1:$AX$1,),)-VLOOKUP(EDATE(B123,-12),'Data Core CPI'!$A:$AX,MATCH($W$1,'Data Core CPI'!$A$1:$AX$1,),))/VLOOKUP(EDATE(B123,-12),'Data Core CPI'!$A:$AX,MATCH($W$1,'Data Core CPI'!$A$1:$AX$1,),))</f>
        <v/>
      </c>
      <c r="X123" s="20">
        <f>IF(VLOOKUP(B123,'Data Core CPI'!$A:$AX,MATCH($X$1,'Data Core CPI'!$A$1:$AX$1,),)=0,#N/A,(VLOOKUP(B123,'Data Core CPI'!$A:$AX,MATCH($X$1,'Data Core CPI'!$A$1:$AX$1,),)-VLOOKUP(EDATE(B123,-12),'Data Core CPI'!$A:$AX,MATCH($X$1,'Data Core CPI'!$A$1:$AX$1,),))/VLOOKUP(EDATE(B123,-12),'Data Core CPI'!$A:$AX,MATCH($X$1,'Data Core CPI'!$A$1:$AX$1,),))</f>
        <v/>
      </c>
      <c r="Y123" s="20">
        <f>IF(VLOOKUP(B123,'Data Core CPI'!$A:$AX,MATCH($Y$1,'Data Core CPI'!$A$1:$AX$1,),)=0,#N/A,(VLOOKUP(B123,'Data Core CPI'!$A:$AX,MATCH($Y$1,'Data Core CPI'!$A$1:$AX$1,),)-VLOOKUP(EDATE(B123,-12),'Data Core CPI'!$A:$AX,MATCH($Y$1,'Data Core CPI'!$A$1:$AX$1,),))/VLOOKUP(EDATE(B123,-12),'Data Core CPI'!$A:$AX,MATCH($Y$1,'Data Core CPI'!$A$1:$AX$1,),))</f>
        <v/>
      </c>
    </row>
    <row r="124" customFormat="1" s="78">
      <c r="B124" s="15" t="n">
        <v>43983</v>
      </c>
      <c r="C124" s="20">
        <f>IF(VLOOKUP(B124,'Data Core CPI'!$A:$AX,MATCH($C$1,'Data Core CPI'!$A$1:$AX$1,),)=0,#N/A,(VLOOKUP(B124,'Data Core CPI'!$A:$AX,MATCH($C$1,'Data Core CPI'!$A$1:$AX$1,),)-VLOOKUP(EDATE(B124,-12),'Data Core CPI'!$A:$AX,MATCH($C$1,'Data Core CPI'!$A$1:$AX$1,),))/VLOOKUP(EDATE(B124,-12),'Data Core CPI'!$A:$AX,MATCH($C$1,'Data Core CPI'!$A$1:$AX$1,),))</f>
        <v/>
      </c>
      <c r="D124" s="20">
        <f>(VLOOKUP(B124,'Data Core CPI'!$A:$AX,MATCH($D$1,'Data Core CPI'!$A$1:$AX$1,),)-VLOOKUP(EDATE(B124,-12),'Data Core CPI'!$A:$AX,MATCH($D$1,'Data Core CPI'!$A$1:$AX$1,),))/VLOOKUP(EDATE(B124,-12),'Data Core CPI'!$A:$AX,MATCH($D$1,'Data Core CPI'!$A$1:$AX$1,),)</f>
        <v/>
      </c>
      <c r="E124" s="20">
        <f>IF(VLOOKUP(B124,'Data Core CPI'!$A:$AX,MATCH($E$1,'Data Core CPI'!$A$1:$AX$1,),)=0,#N/A,(VLOOKUP(B124,'Data Core CPI'!$A:$AX,MATCH($E$1,'Data Core CPI'!$A$1:$AX$1,),)-VLOOKUP(EDATE(B124,-12),'Data Core CPI'!$A:$AX,MATCH($E$1,'Data Core CPI'!$A$1:$AX$1,),))/VLOOKUP(EDATE(B124,-12),'Data Core CPI'!$A:$AX,MATCH($E$1,'Data Core CPI'!$A$1:$AX$1,),))</f>
        <v/>
      </c>
      <c r="F124" s="20">
        <f>IF(VLOOKUP(B124,'Data Core CPI'!$A:$AX,MATCH($F$1,'Data Core CPI'!$A$1:$AX$1,),)=0,#N/A,(VLOOKUP(B124,'Data Core CPI'!$A:$AX,MATCH($F$1,'Data Core CPI'!$A$1:$AX$1,),)-VLOOKUP(EDATE(B124,-12),'Data Core CPI'!$A:$AX,MATCH($F$1,'Data Core CPI'!$A$1:$AX$1,),))/VLOOKUP(EDATE(B124,-12),'Data Core CPI'!$A:$AX,MATCH($F$1,'Data Core CPI'!$A$1:$AX$1,),))</f>
        <v/>
      </c>
      <c r="G124" s="20">
        <f>IF(VLOOKUP(B124,'Data Core CPI'!$A:$AX,MATCH($G$1,'Data Core CPI'!$A$1:$AX$1,),)=0,#N/A,(VLOOKUP(B124,'Data Core CPI'!$A:$AX,MATCH($G$1,'Data Core CPI'!$A$1:$AX$1,),)-VLOOKUP(EDATE(B124,-12),'Data Core CPI'!$A:$AX,MATCH($G$1,'Data Core CPI'!$A$1:$AX$1,),))/VLOOKUP(EDATE(B124,-12),'Data Core CPI'!$A:$AX,MATCH($G$1,'Data Core CPI'!$A$1:$AX$1,),))</f>
        <v/>
      </c>
      <c r="H124" s="20">
        <f>IF(VLOOKUP(B124,'Data Core CPI'!$A:$AX,MATCH($H$1,'Data Core CPI'!$A$1:$AX$1,),)=0,#N/A,(VLOOKUP(B124,'Data Core CPI'!$A:$AX,MATCH($H$1,'Data Core CPI'!$A$1:$AX$1,),)-VLOOKUP(EDATE(B124,-12),'Data Core CPI'!$A:$AX,MATCH($H$1,'Data Core CPI'!$A$1:$AX$1,),))/VLOOKUP(EDATE(B124,-12),'Data Core CPI'!$A:$AX,MATCH($H$1,'Data Core CPI'!$A$1:$AX$1,),))</f>
        <v/>
      </c>
      <c r="I124" s="20">
        <f>IF(VLOOKUP(B124,'Data Core CPI'!$A:$AX,MATCH($I$1,'Data Core CPI'!$A$1:$AX$1,),)=0,#N/A,(VLOOKUP(B124,'Data Core CPI'!$A:$AX,MATCH($I$1,'Data Core CPI'!$A$1:$AX$1,),)-VLOOKUP(EDATE(B124,-12),'Data Core CPI'!$A:$AX,MATCH($I$1,'Data Core CPI'!$A$1:$AX$1,),))/VLOOKUP(EDATE(B124,-12),'Data Core CPI'!$A:$AX,MATCH($I$1,'Data Core CPI'!$A$1:$AX$1,),))</f>
        <v/>
      </c>
      <c r="J124" s="20">
        <f>IF(VLOOKUP(B124,'Data Core CPI'!$A:$AX,MATCH($J$1,'Data Core CPI'!$A$1:$AX$1,),)=0,#N/A,(VLOOKUP(B124,'Data Core CPI'!$A:$AX,MATCH($J$1,'Data Core CPI'!$A$1:$AX$1,),)-VLOOKUP(EDATE(B124,-12),'Data Core CPI'!$A:$AX,MATCH($J$1,'Data Core CPI'!$A$1:$AX$1,),))/VLOOKUP(EDATE(B124,-12),'Data Core CPI'!$A:$AX,MATCH($J$1,'Data Core CPI'!$A$1:$AX$1,),))</f>
        <v/>
      </c>
      <c r="K124" s="20">
        <f>IF(VLOOKUP(B124,'Data Core CPI'!$A:$AX,MATCH($K$1,'Data Core CPI'!$A$1:$AX$1,),)=0,#N/A,(VLOOKUP(B124,'Data Core CPI'!$A:$AX,MATCH($K$1,'Data Core CPI'!$A$1:$AX$1,),)-VLOOKUP(EDATE(B124,-12),'Data Core CPI'!$A:$AX,MATCH($K$1,'Data Core CPI'!$A$1:$AX$1,),))/VLOOKUP(EDATE(B124,-12),'Data Core CPI'!$A:$AX,MATCH($K$1,'Data Core CPI'!$A$1:$AX$1,),))</f>
        <v/>
      </c>
      <c r="L124" s="20">
        <f>IF(VLOOKUP(B124,'Data Core CPI'!$A:$AX,MATCH($L$1,'Data Core CPI'!$A$1:$AX$1,),)=0,#N/A,(VLOOKUP(B124,'Data Core CPI'!$A:$AX,MATCH($L$1,'Data Core CPI'!$A$1:$AX$1,),)-VLOOKUP(EDATE(B124,-12),'Data Core CPI'!$A:$AX,MATCH($L$1,'Data Core CPI'!$A$1:$AX$1,),))/VLOOKUP(EDATE(B124,-12),'Data Core CPI'!$A:$AX,MATCH($L$1,'Data Core CPI'!$A$1:$AX$1,),))</f>
        <v/>
      </c>
      <c r="M124" s="20">
        <f>IF(VLOOKUP(B124,'Data Core CPI'!$A:$AX,MATCH($M$1,'Data Core CPI'!$A$1:$AX$1,),)=0,#N/A,(VLOOKUP(B124,'Data Core CPI'!$A:$AX,MATCH($M$1,'Data Core CPI'!$A$1:$AX$1,),)-VLOOKUP(EDATE(B124,-12),'Data Core CPI'!$A:$AX,MATCH($M$1,'Data Core CPI'!$A$1:$AX$1,),))/VLOOKUP(EDATE(B124,-12),'Data Core CPI'!$A:$AX,MATCH($M$1,'Data Core CPI'!$A$1:$AX$1,),))</f>
        <v/>
      </c>
      <c r="N124" s="20">
        <f>(VLOOKUP(B124,'Data Core CPI'!$A:$AX,MATCH($N$1,'Data Core CPI'!$A$1:$AX$1,),)-VLOOKUP(EDATE(B124,-12),'Data Core CPI'!$A:$AX,MATCH($N$1,'Data Core CPI'!$A$1:$AX$1,),))/VLOOKUP(EDATE(B124,-12),'Data Core CPI'!$A:$AX,MATCH($N$1,'Data Core CPI'!$A$1:$AX$1,),)</f>
        <v/>
      </c>
      <c r="O124" s="20">
        <f>(VLOOKUP(B124,'Data Core CPI'!$A:$AX,MATCH($O$1,'Data Core CPI'!$A$1:$AX$1,),)-VLOOKUP(EDATE(B124,-12),'Data Core CPI'!$A:$AX,MATCH($O$1,'Data Core CPI'!$A$1:$AX$1,),))/VLOOKUP(EDATE(B124,-12),'Data Core CPI'!$A:$AX,MATCH($O$1,'Data Core CPI'!$A$1:$AX$1,),)</f>
        <v/>
      </c>
      <c r="P124" s="20">
        <f>IF(VLOOKUP(B124,'Data Core CPI'!$A:$AX,MATCH($P$1,'Data Core CPI'!$A$1:$AX$1,),)=0,#N/A,(VLOOKUP(B124,'Data Core CPI'!$A:$AX,MATCH($P$1,'Data Core CPI'!$A$1:$AX$1,),)-VLOOKUP(EDATE(B124,-12),'Data Core CPI'!$A:$AX,MATCH($P$1,'Data Core CPI'!$A$1:$AX$1,),))/VLOOKUP(EDATE(B124,-12),'Data Core CPI'!$A:$AX,MATCH($P$1,'Data Core CPI'!$A$1:$AX$1,),))</f>
        <v/>
      </c>
      <c r="Q124" s="20">
        <f>(VLOOKUP(B124,'Data Core CPI'!$A:$AX,MATCH($Q$1,'Data Core CPI'!$A$1:$AX$1,),)-VLOOKUP(EDATE(B124,-12),'Data Core CPI'!$A:$AX,MATCH($Q$1,'Data Core CPI'!$A$1:$AX$1,),))/VLOOKUP(EDATE(B124,-12),'Data Core CPI'!$A:$AX,MATCH($Q$1,'Data Core CPI'!$A$1:$AX$1,),)</f>
        <v/>
      </c>
      <c r="R124" s="20">
        <f>IF(VLOOKUP(B124,'Data Core CPI'!$A:$AX,MATCH($R$1,'Data Core CPI'!$A$1:$AX$1,),)=0,#N/A,(VLOOKUP(B124,'Data Core CPI'!$A:$AX,MATCH($R$1,'Data Core CPI'!$A$1:$AX$1,),)-VLOOKUP(EDATE(B124,-12),'Data Core CPI'!$A:$AX,MATCH($R$1,'Data Core CPI'!$A$1:$AX$1,),))/VLOOKUP(EDATE(B124,-12),'Data Core CPI'!$A:$AX,MATCH($R$1,'Data Core CPI'!$A$1:$AX$1,),))</f>
        <v/>
      </c>
      <c r="S124" s="20">
        <f>(VLOOKUP(B124,'Data Core CPI'!$A:$AX,MATCH($S$1,'Data Core CPI'!$A$1:$AX$1,),)-VLOOKUP(EDATE(B124,-12),'Data Core CPI'!$A:$AX,MATCH($S$1,'Data Core CPI'!$A$1:$AX$1,),))/VLOOKUP(EDATE(B124,-12),'Data Core CPI'!$A:$AX,MATCH($S$1,'Data Core CPI'!$A$1:$AX$1,),)</f>
        <v/>
      </c>
      <c r="T124" s="20">
        <f>(VLOOKUP(B124,'Data Core CPI'!$A:$AX,MATCH($T$1,'Data Core CPI'!$A$1:$AX$1,),)-VLOOKUP(EDATE(B124,-12),'Data Core CPI'!$A:$AX,MATCH($T$1,'Data Core CPI'!$A$1:$AX$1,),))/VLOOKUP(EDATE(B124,-12),'Data Core CPI'!$A:$AX,MATCH($T$1,'Data Core CPI'!$A$1:$AX$1,),)</f>
        <v/>
      </c>
      <c r="U124" s="20">
        <f>IF(VLOOKUP(B124,'Data Core CPI'!$A:$AX,MATCH($U$1,'Data Core CPI'!$A$1:$AX$1,),)=0,#N/A,(VLOOKUP(B124,'Data Core CPI'!$A:$AX,MATCH($U$1,'Data Core CPI'!$A$1:$AX$1,),)-VLOOKUP(EDATE(B124,-12),'Data Core CPI'!$A:$AX,MATCH($U$1,'Data Core CPI'!$A$1:$AX$1,),))/VLOOKUP(EDATE(B124,-12),'Data Core CPI'!$A:$AX,MATCH($U$1,'Data Core CPI'!$A$1:$AX$1,),))</f>
        <v/>
      </c>
      <c r="V124" s="20">
        <f>(VLOOKUP(B124,'Data Core CPI'!$A:$AX,MATCH($V$1,'Data Core CPI'!$A$1:$AX$1,),)-VLOOKUP(EDATE(B124,-12),'Data Core CPI'!$A:$AX,MATCH($V$1,'Data Core CPI'!$A$1:$AX$1,),))/VLOOKUP(EDATE(B124,-12),'Data Core CPI'!$A:$AX,MATCH($V$1,'Data Core CPI'!$A$1:$AX$1,),)</f>
        <v/>
      </c>
      <c r="W124" s="20">
        <f>IF(VLOOKUP(B124,'Data Core CPI'!$A:$AX,MATCH($W$1,'Data Core CPI'!$A$1:$AX$1,),)=0,#N/A,(VLOOKUP(B124,'Data Core CPI'!$A:$AX,MATCH($W$1,'Data Core CPI'!$A$1:$AX$1,),)-VLOOKUP(EDATE(B124,-12),'Data Core CPI'!$A:$AX,MATCH($W$1,'Data Core CPI'!$A$1:$AX$1,),))/VLOOKUP(EDATE(B124,-12),'Data Core CPI'!$A:$AX,MATCH($W$1,'Data Core CPI'!$A$1:$AX$1,),))</f>
        <v/>
      </c>
      <c r="X124" s="20">
        <f>IF(VLOOKUP(B124,'Data Core CPI'!$A:$AX,MATCH($X$1,'Data Core CPI'!$A$1:$AX$1,),)=0,#N/A,(VLOOKUP(B124,'Data Core CPI'!$A:$AX,MATCH($X$1,'Data Core CPI'!$A$1:$AX$1,),)-VLOOKUP(EDATE(B124,-12),'Data Core CPI'!$A:$AX,MATCH($X$1,'Data Core CPI'!$A$1:$AX$1,),))/VLOOKUP(EDATE(B124,-12),'Data Core CPI'!$A:$AX,MATCH($X$1,'Data Core CPI'!$A$1:$AX$1,),))</f>
        <v/>
      </c>
      <c r="Y124" s="20">
        <f>IF(VLOOKUP(B124,'Data Core CPI'!$A:$AX,MATCH($Y$1,'Data Core CPI'!$A$1:$AX$1,),)=0,#N/A,(VLOOKUP(B124,'Data Core CPI'!$A:$AX,MATCH($Y$1,'Data Core CPI'!$A$1:$AX$1,),)-VLOOKUP(EDATE(B124,-12),'Data Core CPI'!$A:$AX,MATCH($Y$1,'Data Core CPI'!$A$1:$AX$1,),))/VLOOKUP(EDATE(B124,-12),'Data Core CPI'!$A:$AX,MATCH($Y$1,'Data Core CPI'!$A$1:$AX$1,),))</f>
        <v/>
      </c>
    </row>
    <row r="125" customFormat="1" s="78">
      <c r="B125" s="15" t="n">
        <v>44013</v>
      </c>
      <c r="C125" s="20">
        <f>IF(VLOOKUP(B125,'Data Core CPI'!$A:$AX,MATCH($C$1,'Data Core CPI'!$A$1:$AX$1,),)=0,#N/A,(VLOOKUP(B125,'Data Core CPI'!$A:$AX,MATCH($C$1,'Data Core CPI'!$A$1:$AX$1,),)-VLOOKUP(EDATE(B125,-12),'Data Core CPI'!$A:$AX,MATCH($C$1,'Data Core CPI'!$A$1:$AX$1,),))/VLOOKUP(EDATE(B125,-12),'Data Core CPI'!$A:$AX,MATCH($C$1,'Data Core CPI'!$A$1:$AX$1,),))</f>
        <v/>
      </c>
      <c r="D125" s="20">
        <f>(VLOOKUP(B125,'Data Core CPI'!$A:$AX,MATCH($D$1,'Data Core CPI'!$A$1:$AX$1,),)-VLOOKUP(EDATE(B125,-12),'Data Core CPI'!$A:$AX,MATCH($D$1,'Data Core CPI'!$A$1:$AX$1,),))/VLOOKUP(EDATE(B125,-12),'Data Core CPI'!$A:$AX,MATCH($D$1,'Data Core CPI'!$A$1:$AX$1,),)</f>
        <v/>
      </c>
      <c r="E125" s="20">
        <f>IF(VLOOKUP(B125,'Data Core CPI'!$A:$AX,MATCH($E$1,'Data Core CPI'!$A$1:$AX$1,),)=0,#N/A,(VLOOKUP(B125,'Data Core CPI'!$A:$AX,MATCH($E$1,'Data Core CPI'!$A$1:$AX$1,),)-VLOOKUP(EDATE(B125,-12),'Data Core CPI'!$A:$AX,MATCH($E$1,'Data Core CPI'!$A$1:$AX$1,),))/VLOOKUP(EDATE(B125,-12),'Data Core CPI'!$A:$AX,MATCH($E$1,'Data Core CPI'!$A$1:$AX$1,),))</f>
        <v/>
      </c>
      <c r="F125" s="20">
        <f>IF(VLOOKUP(B125,'Data Core CPI'!$A:$AX,MATCH($F$1,'Data Core CPI'!$A$1:$AX$1,),)=0,#N/A,(VLOOKUP(B125,'Data Core CPI'!$A:$AX,MATCH($F$1,'Data Core CPI'!$A$1:$AX$1,),)-VLOOKUP(EDATE(B125,-12),'Data Core CPI'!$A:$AX,MATCH($F$1,'Data Core CPI'!$A$1:$AX$1,),))/VLOOKUP(EDATE(B125,-12),'Data Core CPI'!$A:$AX,MATCH($F$1,'Data Core CPI'!$A$1:$AX$1,),))</f>
        <v/>
      </c>
      <c r="G125" s="20">
        <f>IF(VLOOKUP(B125,'Data Core CPI'!$A:$AX,MATCH($G$1,'Data Core CPI'!$A$1:$AX$1,),)=0,#N/A,(VLOOKUP(B125,'Data Core CPI'!$A:$AX,MATCH($G$1,'Data Core CPI'!$A$1:$AX$1,),)-VLOOKUP(EDATE(B125,-12),'Data Core CPI'!$A:$AX,MATCH($G$1,'Data Core CPI'!$A$1:$AX$1,),))/VLOOKUP(EDATE(B125,-12),'Data Core CPI'!$A:$AX,MATCH($G$1,'Data Core CPI'!$A$1:$AX$1,),))</f>
        <v/>
      </c>
      <c r="H125" s="20">
        <f>IF(VLOOKUP(B125,'Data Core CPI'!$A:$AX,MATCH($H$1,'Data Core CPI'!$A$1:$AX$1,),)=0,#N/A,(VLOOKUP(B125,'Data Core CPI'!$A:$AX,MATCH($H$1,'Data Core CPI'!$A$1:$AX$1,),)-VLOOKUP(EDATE(B125,-12),'Data Core CPI'!$A:$AX,MATCH($H$1,'Data Core CPI'!$A$1:$AX$1,),))/VLOOKUP(EDATE(B125,-12),'Data Core CPI'!$A:$AX,MATCH($H$1,'Data Core CPI'!$A$1:$AX$1,),))</f>
        <v/>
      </c>
      <c r="I125" s="20">
        <f>IF(VLOOKUP(B125,'Data Core CPI'!$A:$AX,MATCH($I$1,'Data Core CPI'!$A$1:$AX$1,),)=0,#N/A,(VLOOKUP(B125,'Data Core CPI'!$A:$AX,MATCH($I$1,'Data Core CPI'!$A$1:$AX$1,),)-VLOOKUP(EDATE(B125,-12),'Data Core CPI'!$A:$AX,MATCH($I$1,'Data Core CPI'!$A$1:$AX$1,),))/VLOOKUP(EDATE(B125,-12),'Data Core CPI'!$A:$AX,MATCH($I$1,'Data Core CPI'!$A$1:$AX$1,),))</f>
        <v/>
      </c>
      <c r="J125" s="20">
        <f>IF(VLOOKUP(B125,'Data Core CPI'!$A:$AX,MATCH($J$1,'Data Core CPI'!$A$1:$AX$1,),)=0,#N/A,(VLOOKUP(B125,'Data Core CPI'!$A:$AX,MATCH($J$1,'Data Core CPI'!$A$1:$AX$1,),)-VLOOKUP(EDATE(B125,-12),'Data Core CPI'!$A:$AX,MATCH($J$1,'Data Core CPI'!$A$1:$AX$1,),))/VLOOKUP(EDATE(B125,-12),'Data Core CPI'!$A:$AX,MATCH($J$1,'Data Core CPI'!$A$1:$AX$1,),))</f>
        <v/>
      </c>
      <c r="K125" s="20">
        <f>IF(VLOOKUP(B125,'Data Core CPI'!$A:$AX,MATCH($K$1,'Data Core CPI'!$A$1:$AX$1,),)=0,#N/A,(VLOOKUP(B125,'Data Core CPI'!$A:$AX,MATCH($K$1,'Data Core CPI'!$A$1:$AX$1,),)-VLOOKUP(EDATE(B125,-12),'Data Core CPI'!$A:$AX,MATCH($K$1,'Data Core CPI'!$A$1:$AX$1,),))/VLOOKUP(EDATE(B125,-12),'Data Core CPI'!$A:$AX,MATCH($K$1,'Data Core CPI'!$A$1:$AX$1,),))</f>
        <v/>
      </c>
      <c r="L125" s="20">
        <f>IF(VLOOKUP(B125,'Data Core CPI'!$A:$AX,MATCH($L$1,'Data Core CPI'!$A$1:$AX$1,),)=0,#N/A,(VLOOKUP(B125,'Data Core CPI'!$A:$AX,MATCH($L$1,'Data Core CPI'!$A$1:$AX$1,),)-VLOOKUP(EDATE(B125,-12),'Data Core CPI'!$A:$AX,MATCH($L$1,'Data Core CPI'!$A$1:$AX$1,),))/VLOOKUP(EDATE(B125,-12),'Data Core CPI'!$A:$AX,MATCH($L$1,'Data Core CPI'!$A$1:$AX$1,),))</f>
        <v/>
      </c>
      <c r="M125" s="20">
        <f>IF(VLOOKUP(B125,'Data Core CPI'!$A:$AX,MATCH($M$1,'Data Core CPI'!$A$1:$AX$1,),)=0,#N/A,(VLOOKUP(B125,'Data Core CPI'!$A:$AX,MATCH($M$1,'Data Core CPI'!$A$1:$AX$1,),)-VLOOKUP(EDATE(B125,-12),'Data Core CPI'!$A:$AX,MATCH($M$1,'Data Core CPI'!$A$1:$AX$1,),))/VLOOKUP(EDATE(B125,-12),'Data Core CPI'!$A:$AX,MATCH($M$1,'Data Core CPI'!$A$1:$AX$1,),))</f>
        <v/>
      </c>
      <c r="N125" s="20">
        <f>(VLOOKUP(B125,'Data Core CPI'!$A:$AX,MATCH($N$1,'Data Core CPI'!$A$1:$AX$1,),)-VLOOKUP(EDATE(B125,-12),'Data Core CPI'!$A:$AX,MATCH($N$1,'Data Core CPI'!$A$1:$AX$1,),))/VLOOKUP(EDATE(B125,-12),'Data Core CPI'!$A:$AX,MATCH($N$1,'Data Core CPI'!$A$1:$AX$1,),)</f>
        <v/>
      </c>
      <c r="O125" s="20">
        <f>(VLOOKUP(B125,'Data Core CPI'!$A:$AX,MATCH($O$1,'Data Core CPI'!$A$1:$AX$1,),)-VLOOKUP(EDATE(B125,-12),'Data Core CPI'!$A:$AX,MATCH($O$1,'Data Core CPI'!$A$1:$AX$1,),))/VLOOKUP(EDATE(B125,-12),'Data Core CPI'!$A:$AX,MATCH($O$1,'Data Core CPI'!$A$1:$AX$1,),)</f>
        <v/>
      </c>
      <c r="P125" s="20">
        <f>IF(VLOOKUP(B125,'Data Core CPI'!$A:$AX,MATCH($P$1,'Data Core CPI'!$A$1:$AX$1,),)=0,#N/A,(VLOOKUP(B125,'Data Core CPI'!$A:$AX,MATCH($P$1,'Data Core CPI'!$A$1:$AX$1,),)-VLOOKUP(EDATE(B125,-12),'Data Core CPI'!$A:$AX,MATCH($P$1,'Data Core CPI'!$A$1:$AX$1,),))/VLOOKUP(EDATE(B125,-12),'Data Core CPI'!$A:$AX,MATCH($P$1,'Data Core CPI'!$A$1:$AX$1,),))</f>
        <v/>
      </c>
      <c r="Q125" s="20">
        <f>(VLOOKUP(B125,'Data Core CPI'!$A:$AX,MATCH($Q$1,'Data Core CPI'!$A$1:$AX$1,),)-VLOOKUP(EDATE(B125,-12),'Data Core CPI'!$A:$AX,MATCH($Q$1,'Data Core CPI'!$A$1:$AX$1,),))/VLOOKUP(EDATE(B125,-12),'Data Core CPI'!$A:$AX,MATCH($Q$1,'Data Core CPI'!$A$1:$AX$1,),)</f>
        <v/>
      </c>
      <c r="R125" s="20">
        <f>IF(VLOOKUP(B125,'Data Core CPI'!$A:$AX,MATCH($R$1,'Data Core CPI'!$A$1:$AX$1,),)=0,#N/A,(VLOOKUP(B125,'Data Core CPI'!$A:$AX,MATCH($R$1,'Data Core CPI'!$A$1:$AX$1,),)-VLOOKUP(EDATE(B125,-12),'Data Core CPI'!$A:$AX,MATCH($R$1,'Data Core CPI'!$A$1:$AX$1,),))/VLOOKUP(EDATE(B125,-12),'Data Core CPI'!$A:$AX,MATCH($R$1,'Data Core CPI'!$A$1:$AX$1,),))</f>
        <v/>
      </c>
      <c r="S125" s="20">
        <f>(VLOOKUP(B125,'Data Core CPI'!$A:$AX,MATCH($S$1,'Data Core CPI'!$A$1:$AX$1,),)-VLOOKUP(EDATE(B125,-12),'Data Core CPI'!$A:$AX,MATCH($S$1,'Data Core CPI'!$A$1:$AX$1,),))/VLOOKUP(EDATE(B125,-12),'Data Core CPI'!$A:$AX,MATCH($S$1,'Data Core CPI'!$A$1:$AX$1,),)</f>
        <v/>
      </c>
      <c r="T125" s="20">
        <f>(VLOOKUP(B125,'Data Core CPI'!$A:$AX,MATCH($T$1,'Data Core CPI'!$A$1:$AX$1,),)-VLOOKUP(EDATE(B125,-12),'Data Core CPI'!$A:$AX,MATCH($T$1,'Data Core CPI'!$A$1:$AX$1,),))/VLOOKUP(EDATE(B125,-12),'Data Core CPI'!$A:$AX,MATCH($T$1,'Data Core CPI'!$A$1:$AX$1,),)</f>
        <v/>
      </c>
      <c r="U125" s="20">
        <f>IF(VLOOKUP(B125,'Data Core CPI'!$A:$AX,MATCH($U$1,'Data Core CPI'!$A$1:$AX$1,),)=0,#N/A,(VLOOKUP(B125,'Data Core CPI'!$A:$AX,MATCH($U$1,'Data Core CPI'!$A$1:$AX$1,),)-VLOOKUP(EDATE(B125,-12),'Data Core CPI'!$A:$AX,MATCH($U$1,'Data Core CPI'!$A$1:$AX$1,),))/VLOOKUP(EDATE(B125,-12),'Data Core CPI'!$A:$AX,MATCH($U$1,'Data Core CPI'!$A$1:$AX$1,),))</f>
        <v/>
      </c>
      <c r="V125" s="20">
        <f>(VLOOKUP(B125,'Data Core CPI'!$A:$AX,MATCH($V$1,'Data Core CPI'!$A$1:$AX$1,),)-VLOOKUP(EDATE(B125,-12),'Data Core CPI'!$A:$AX,MATCH($V$1,'Data Core CPI'!$A$1:$AX$1,),))/VLOOKUP(EDATE(B125,-12),'Data Core CPI'!$A:$AX,MATCH($V$1,'Data Core CPI'!$A$1:$AX$1,),)</f>
        <v/>
      </c>
      <c r="W125" s="20">
        <f>IF(VLOOKUP(B125,'Data Core CPI'!$A:$AX,MATCH($W$1,'Data Core CPI'!$A$1:$AX$1,),)=0,#N/A,(VLOOKUP(B125,'Data Core CPI'!$A:$AX,MATCH($W$1,'Data Core CPI'!$A$1:$AX$1,),)-VLOOKUP(EDATE(B125,-12),'Data Core CPI'!$A:$AX,MATCH($W$1,'Data Core CPI'!$A$1:$AX$1,),))/VLOOKUP(EDATE(B125,-12),'Data Core CPI'!$A:$AX,MATCH($W$1,'Data Core CPI'!$A$1:$AX$1,),))</f>
        <v/>
      </c>
      <c r="X125" s="20">
        <f>IF(VLOOKUP(B125,'Data Core CPI'!$A:$AX,MATCH($X$1,'Data Core CPI'!$A$1:$AX$1,),)=0,#N/A,(VLOOKUP(B125,'Data Core CPI'!$A:$AX,MATCH($X$1,'Data Core CPI'!$A$1:$AX$1,),)-VLOOKUP(EDATE(B125,-12),'Data Core CPI'!$A:$AX,MATCH($X$1,'Data Core CPI'!$A$1:$AX$1,),))/VLOOKUP(EDATE(B125,-12),'Data Core CPI'!$A:$AX,MATCH($X$1,'Data Core CPI'!$A$1:$AX$1,),))</f>
        <v/>
      </c>
      <c r="Y125" s="20">
        <f>IF(VLOOKUP(B125,'Data Core CPI'!$A:$AX,MATCH($Y$1,'Data Core CPI'!$A$1:$AX$1,),)=0,#N/A,(VLOOKUP(B125,'Data Core CPI'!$A:$AX,MATCH($Y$1,'Data Core CPI'!$A$1:$AX$1,),)-VLOOKUP(EDATE(B125,-12),'Data Core CPI'!$A:$AX,MATCH($Y$1,'Data Core CPI'!$A$1:$AX$1,),))/VLOOKUP(EDATE(B125,-12),'Data Core CPI'!$A:$AX,MATCH($Y$1,'Data Core CPI'!$A$1:$AX$1,),))</f>
        <v/>
      </c>
    </row>
    <row r="126" customFormat="1" s="78">
      <c r="B126" s="15" t="n">
        <v>44044</v>
      </c>
      <c r="C126" s="20">
        <f>IF(VLOOKUP(B126,'Data Core CPI'!$A:$AX,MATCH($C$1,'Data Core CPI'!$A$1:$AX$1,),)=0,#N/A,(VLOOKUP(B126,'Data Core CPI'!$A:$AX,MATCH($C$1,'Data Core CPI'!$A$1:$AX$1,),)-VLOOKUP(EDATE(B126,-12),'Data Core CPI'!$A:$AX,MATCH($C$1,'Data Core CPI'!$A$1:$AX$1,),))/VLOOKUP(EDATE(B126,-12),'Data Core CPI'!$A:$AX,MATCH($C$1,'Data Core CPI'!$A$1:$AX$1,),))</f>
        <v/>
      </c>
      <c r="D126" s="20">
        <f>(VLOOKUP(B126,'Data Core CPI'!$A:$AX,MATCH($D$1,'Data Core CPI'!$A$1:$AX$1,),)-VLOOKUP(EDATE(B126,-12),'Data Core CPI'!$A:$AX,MATCH($D$1,'Data Core CPI'!$A$1:$AX$1,),))/VLOOKUP(EDATE(B126,-12),'Data Core CPI'!$A:$AX,MATCH($D$1,'Data Core CPI'!$A$1:$AX$1,),)</f>
        <v/>
      </c>
      <c r="E126" s="20">
        <f>IF(VLOOKUP(B126,'Data Core CPI'!$A:$AX,MATCH($E$1,'Data Core CPI'!$A$1:$AX$1,),)=0,#N/A,(VLOOKUP(B126,'Data Core CPI'!$A:$AX,MATCH($E$1,'Data Core CPI'!$A$1:$AX$1,),)-VLOOKUP(EDATE(B126,-12),'Data Core CPI'!$A:$AX,MATCH($E$1,'Data Core CPI'!$A$1:$AX$1,),))/VLOOKUP(EDATE(B126,-12),'Data Core CPI'!$A:$AX,MATCH($E$1,'Data Core CPI'!$A$1:$AX$1,),))</f>
        <v/>
      </c>
      <c r="F126" s="20">
        <f>IF(VLOOKUP(B126,'Data Core CPI'!$A:$AX,MATCH($F$1,'Data Core CPI'!$A$1:$AX$1,),)=0,#N/A,(VLOOKUP(B126,'Data Core CPI'!$A:$AX,MATCH($F$1,'Data Core CPI'!$A$1:$AX$1,),)-VLOOKUP(EDATE(B126,-12),'Data Core CPI'!$A:$AX,MATCH($F$1,'Data Core CPI'!$A$1:$AX$1,),))/VLOOKUP(EDATE(B126,-12),'Data Core CPI'!$A:$AX,MATCH($F$1,'Data Core CPI'!$A$1:$AX$1,),))</f>
        <v/>
      </c>
      <c r="G126" s="20">
        <f>IF(VLOOKUP(B126,'Data Core CPI'!$A:$AX,MATCH($G$1,'Data Core CPI'!$A$1:$AX$1,),)=0,#N/A,(VLOOKUP(B126,'Data Core CPI'!$A:$AX,MATCH($G$1,'Data Core CPI'!$A$1:$AX$1,),)-VLOOKUP(EDATE(B126,-12),'Data Core CPI'!$A:$AX,MATCH($G$1,'Data Core CPI'!$A$1:$AX$1,),))/VLOOKUP(EDATE(B126,-12),'Data Core CPI'!$A:$AX,MATCH($G$1,'Data Core CPI'!$A$1:$AX$1,),))</f>
        <v/>
      </c>
      <c r="H126" s="20">
        <f>IF(VLOOKUP(B126,'Data Core CPI'!$A:$AX,MATCH($H$1,'Data Core CPI'!$A$1:$AX$1,),)=0,#N/A,(VLOOKUP(B126,'Data Core CPI'!$A:$AX,MATCH($H$1,'Data Core CPI'!$A$1:$AX$1,),)-VLOOKUP(EDATE(B126,-12),'Data Core CPI'!$A:$AX,MATCH($H$1,'Data Core CPI'!$A$1:$AX$1,),))/VLOOKUP(EDATE(B126,-12),'Data Core CPI'!$A:$AX,MATCH($H$1,'Data Core CPI'!$A$1:$AX$1,),))</f>
        <v/>
      </c>
      <c r="I126" s="20">
        <f>IF(VLOOKUP(B126,'Data Core CPI'!$A:$AX,MATCH($I$1,'Data Core CPI'!$A$1:$AX$1,),)=0,#N/A,(VLOOKUP(B126,'Data Core CPI'!$A:$AX,MATCH($I$1,'Data Core CPI'!$A$1:$AX$1,),)-VLOOKUP(EDATE(B126,-12),'Data Core CPI'!$A:$AX,MATCH($I$1,'Data Core CPI'!$A$1:$AX$1,),))/VLOOKUP(EDATE(B126,-12),'Data Core CPI'!$A:$AX,MATCH($I$1,'Data Core CPI'!$A$1:$AX$1,),))</f>
        <v/>
      </c>
      <c r="J126" s="20">
        <f>IF(VLOOKUP(B126,'Data Core CPI'!$A:$AX,MATCH($J$1,'Data Core CPI'!$A$1:$AX$1,),)=0,#N/A,(VLOOKUP(B126,'Data Core CPI'!$A:$AX,MATCH($J$1,'Data Core CPI'!$A$1:$AX$1,),)-VLOOKUP(EDATE(B126,-12),'Data Core CPI'!$A:$AX,MATCH($J$1,'Data Core CPI'!$A$1:$AX$1,),))/VLOOKUP(EDATE(B126,-12),'Data Core CPI'!$A:$AX,MATCH($J$1,'Data Core CPI'!$A$1:$AX$1,),))</f>
        <v/>
      </c>
      <c r="K126" s="20">
        <f>IF(VLOOKUP(B126,'Data Core CPI'!$A:$AX,MATCH($K$1,'Data Core CPI'!$A$1:$AX$1,),)=0,#N/A,(VLOOKUP(B126,'Data Core CPI'!$A:$AX,MATCH($K$1,'Data Core CPI'!$A$1:$AX$1,),)-VLOOKUP(EDATE(B126,-12),'Data Core CPI'!$A:$AX,MATCH($K$1,'Data Core CPI'!$A$1:$AX$1,),))/VLOOKUP(EDATE(B126,-12),'Data Core CPI'!$A:$AX,MATCH($K$1,'Data Core CPI'!$A$1:$AX$1,),))</f>
        <v/>
      </c>
      <c r="L126" s="20">
        <f>IF(VLOOKUP(B126,'Data Core CPI'!$A:$AX,MATCH($L$1,'Data Core CPI'!$A$1:$AX$1,),)=0,#N/A,(VLOOKUP(B126,'Data Core CPI'!$A:$AX,MATCH($L$1,'Data Core CPI'!$A$1:$AX$1,),)-VLOOKUP(EDATE(B126,-12),'Data Core CPI'!$A:$AX,MATCH($L$1,'Data Core CPI'!$A$1:$AX$1,),))/VLOOKUP(EDATE(B126,-12),'Data Core CPI'!$A:$AX,MATCH($L$1,'Data Core CPI'!$A$1:$AX$1,),))</f>
        <v/>
      </c>
      <c r="M126" s="20">
        <f>IF(VLOOKUP(B126,'Data Core CPI'!$A:$AX,MATCH($M$1,'Data Core CPI'!$A$1:$AX$1,),)=0,#N/A,(VLOOKUP(B126,'Data Core CPI'!$A:$AX,MATCH($M$1,'Data Core CPI'!$A$1:$AX$1,),)-VLOOKUP(EDATE(B126,-12),'Data Core CPI'!$A:$AX,MATCH($M$1,'Data Core CPI'!$A$1:$AX$1,),))/VLOOKUP(EDATE(B126,-12),'Data Core CPI'!$A:$AX,MATCH($M$1,'Data Core CPI'!$A$1:$AX$1,),))</f>
        <v/>
      </c>
      <c r="N126" s="20">
        <f>(VLOOKUP(B126,'Data Core CPI'!$A:$AX,MATCH($N$1,'Data Core CPI'!$A$1:$AX$1,),)-VLOOKUP(EDATE(B126,-12),'Data Core CPI'!$A:$AX,MATCH($N$1,'Data Core CPI'!$A$1:$AX$1,),))/VLOOKUP(EDATE(B126,-12),'Data Core CPI'!$A:$AX,MATCH($N$1,'Data Core CPI'!$A$1:$AX$1,),)</f>
        <v/>
      </c>
      <c r="O126" s="20">
        <f>(VLOOKUP(B126,'Data Core CPI'!$A:$AX,MATCH($O$1,'Data Core CPI'!$A$1:$AX$1,),)-VLOOKUP(EDATE(B126,-12),'Data Core CPI'!$A:$AX,MATCH($O$1,'Data Core CPI'!$A$1:$AX$1,),))/VLOOKUP(EDATE(B126,-12),'Data Core CPI'!$A:$AX,MATCH($O$1,'Data Core CPI'!$A$1:$AX$1,),)</f>
        <v/>
      </c>
      <c r="P126" s="20">
        <f>IF(VLOOKUP(B126,'Data Core CPI'!$A:$AX,MATCH($P$1,'Data Core CPI'!$A$1:$AX$1,),)=0,#N/A,(VLOOKUP(B126,'Data Core CPI'!$A:$AX,MATCH($P$1,'Data Core CPI'!$A$1:$AX$1,),)-VLOOKUP(EDATE(B126,-12),'Data Core CPI'!$A:$AX,MATCH($P$1,'Data Core CPI'!$A$1:$AX$1,),))/VLOOKUP(EDATE(B126,-12),'Data Core CPI'!$A:$AX,MATCH($P$1,'Data Core CPI'!$A$1:$AX$1,),))</f>
        <v/>
      </c>
      <c r="Q126" s="20">
        <f>(VLOOKUP(B126,'Data Core CPI'!$A:$AX,MATCH($Q$1,'Data Core CPI'!$A$1:$AX$1,),)-VLOOKUP(EDATE(B126,-12),'Data Core CPI'!$A:$AX,MATCH($Q$1,'Data Core CPI'!$A$1:$AX$1,),))/VLOOKUP(EDATE(B126,-12),'Data Core CPI'!$A:$AX,MATCH($Q$1,'Data Core CPI'!$A$1:$AX$1,),)</f>
        <v/>
      </c>
      <c r="R126" s="20">
        <f>IF(VLOOKUP(B126,'Data Core CPI'!$A:$AX,MATCH($R$1,'Data Core CPI'!$A$1:$AX$1,),)=0,#N/A,(VLOOKUP(B126,'Data Core CPI'!$A:$AX,MATCH($R$1,'Data Core CPI'!$A$1:$AX$1,),)-VLOOKUP(EDATE(B126,-12),'Data Core CPI'!$A:$AX,MATCH($R$1,'Data Core CPI'!$A$1:$AX$1,),))/VLOOKUP(EDATE(B126,-12),'Data Core CPI'!$A:$AX,MATCH($R$1,'Data Core CPI'!$A$1:$AX$1,),))</f>
        <v/>
      </c>
      <c r="S126" s="20">
        <f>(VLOOKUP(B126,'Data Core CPI'!$A:$AX,MATCH($S$1,'Data Core CPI'!$A$1:$AX$1,),)-VLOOKUP(EDATE(B126,-12),'Data Core CPI'!$A:$AX,MATCH($S$1,'Data Core CPI'!$A$1:$AX$1,),))/VLOOKUP(EDATE(B126,-12),'Data Core CPI'!$A:$AX,MATCH($S$1,'Data Core CPI'!$A$1:$AX$1,),)</f>
        <v/>
      </c>
      <c r="T126" s="20">
        <f>(VLOOKUP(B126,'Data Core CPI'!$A:$AX,MATCH($T$1,'Data Core CPI'!$A$1:$AX$1,),)-VLOOKUP(EDATE(B126,-12),'Data Core CPI'!$A:$AX,MATCH($T$1,'Data Core CPI'!$A$1:$AX$1,),))/VLOOKUP(EDATE(B126,-12),'Data Core CPI'!$A:$AX,MATCH($T$1,'Data Core CPI'!$A$1:$AX$1,),)</f>
        <v/>
      </c>
      <c r="U126" s="20">
        <f>IF(VLOOKUP(B126,'Data Core CPI'!$A:$AX,MATCH($U$1,'Data Core CPI'!$A$1:$AX$1,),)=0,#N/A,(VLOOKUP(B126,'Data Core CPI'!$A:$AX,MATCH($U$1,'Data Core CPI'!$A$1:$AX$1,),)-VLOOKUP(EDATE(B126,-12),'Data Core CPI'!$A:$AX,MATCH($U$1,'Data Core CPI'!$A$1:$AX$1,),))/VLOOKUP(EDATE(B126,-12),'Data Core CPI'!$A:$AX,MATCH($U$1,'Data Core CPI'!$A$1:$AX$1,),))</f>
        <v/>
      </c>
      <c r="V126" s="20">
        <f>(VLOOKUP(B126,'Data Core CPI'!$A:$AX,MATCH($V$1,'Data Core CPI'!$A$1:$AX$1,),)-VLOOKUP(EDATE(B126,-12),'Data Core CPI'!$A:$AX,MATCH($V$1,'Data Core CPI'!$A$1:$AX$1,),))/VLOOKUP(EDATE(B126,-12),'Data Core CPI'!$A:$AX,MATCH($V$1,'Data Core CPI'!$A$1:$AX$1,),)</f>
        <v/>
      </c>
      <c r="W126" s="20">
        <f>IF(VLOOKUP(B126,'Data Core CPI'!$A:$AX,MATCH($W$1,'Data Core CPI'!$A$1:$AX$1,),)=0,#N/A,(VLOOKUP(B126,'Data Core CPI'!$A:$AX,MATCH($W$1,'Data Core CPI'!$A$1:$AX$1,),)-VLOOKUP(EDATE(B126,-12),'Data Core CPI'!$A:$AX,MATCH($W$1,'Data Core CPI'!$A$1:$AX$1,),))/VLOOKUP(EDATE(B126,-12),'Data Core CPI'!$A:$AX,MATCH($W$1,'Data Core CPI'!$A$1:$AX$1,),))</f>
        <v/>
      </c>
      <c r="X126" s="20">
        <f>IF(VLOOKUP(B126,'Data Core CPI'!$A:$AX,MATCH($X$1,'Data Core CPI'!$A$1:$AX$1,),)=0,#N/A,(VLOOKUP(B126,'Data Core CPI'!$A:$AX,MATCH($X$1,'Data Core CPI'!$A$1:$AX$1,),)-VLOOKUP(EDATE(B126,-12),'Data Core CPI'!$A:$AX,MATCH($X$1,'Data Core CPI'!$A$1:$AX$1,),))/VLOOKUP(EDATE(B126,-12),'Data Core CPI'!$A:$AX,MATCH($X$1,'Data Core CPI'!$A$1:$AX$1,),))</f>
        <v/>
      </c>
      <c r="Y126" s="20">
        <f>IF(VLOOKUP(B126,'Data Core CPI'!$A:$AX,MATCH($Y$1,'Data Core CPI'!$A$1:$AX$1,),)=0,#N/A,(VLOOKUP(B126,'Data Core CPI'!$A:$AX,MATCH($Y$1,'Data Core CPI'!$A$1:$AX$1,),)-VLOOKUP(EDATE(B126,-12),'Data Core CPI'!$A:$AX,MATCH($Y$1,'Data Core CPI'!$A$1:$AX$1,),))/VLOOKUP(EDATE(B126,-12),'Data Core CPI'!$A:$AX,MATCH($Y$1,'Data Core CPI'!$A$1:$AX$1,),))</f>
        <v/>
      </c>
    </row>
    <row r="127" customFormat="1" s="78">
      <c r="B127" s="15" t="n">
        <v>44075</v>
      </c>
      <c r="C127" s="20">
        <f>IF(VLOOKUP(B127,'Data Core CPI'!$A:$AX,MATCH($C$1,'Data Core CPI'!$A$1:$AX$1,),)=0,#N/A,(VLOOKUP(B127,'Data Core CPI'!$A:$AX,MATCH($C$1,'Data Core CPI'!$A$1:$AX$1,),)-VLOOKUP(EDATE(B127,-12),'Data Core CPI'!$A:$AX,MATCH($C$1,'Data Core CPI'!$A$1:$AX$1,),))/VLOOKUP(EDATE(B127,-12),'Data Core CPI'!$A:$AX,MATCH($C$1,'Data Core CPI'!$A$1:$AX$1,),))</f>
        <v/>
      </c>
      <c r="D127" s="20">
        <f>(VLOOKUP(B127,'Data Core CPI'!$A:$AX,MATCH($D$1,'Data Core CPI'!$A$1:$AX$1,),)-VLOOKUP(EDATE(B127,-12),'Data Core CPI'!$A:$AX,MATCH($D$1,'Data Core CPI'!$A$1:$AX$1,),))/VLOOKUP(EDATE(B127,-12),'Data Core CPI'!$A:$AX,MATCH($D$1,'Data Core CPI'!$A$1:$AX$1,),)</f>
        <v/>
      </c>
      <c r="E127" s="20">
        <f>IF(VLOOKUP(B127,'Data Core CPI'!$A:$AX,MATCH($E$1,'Data Core CPI'!$A$1:$AX$1,),)=0,#N/A,(VLOOKUP(B127,'Data Core CPI'!$A:$AX,MATCH($E$1,'Data Core CPI'!$A$1:$AX$1,),)-VLOOKUP(EDATE(B127,-12),'Data Core CPI'!$A:$AX,MATCH($E$1,'Data Core CPI'!$A$1:$AX$1,),))/VLOOKUP(EDATE(B127,-12),'Data Core CPI'!$A:$AX,MATCH($E$1,'Data Core CPI'!$A$1:$AX$1,),))</f>
        <v/>
      </c>
      <c r="F127" s="20">
        <f>IF(VLOOKUP(B127,'Data Core CPI'!$A:$AX,MATCH($F$1,'Data Core CPI'!$A$1:$AX$1,),)=0,#N/A,(VLOOKUP(B127,'Data Core CPI'!$A:$AX,MATCH($F$1,'Data Core CPI'!$A$1:$AX$1,),)-VLOOKUP(EDATE(B127,-12),'Data Core CPI'!$A:$AX,MATCH($F$1,'Data Core CPI'!$A$1:$AX$1,),))/VLOOKUP(EDATE(B127,-12),'Data Core CPI'!$A:$AX,MATCH($F$1,'Data Core CPI'!$A$1:$AX$1,),))</f>
        <v/>
      </c>
      <c r="G127" s="20">
        <f>IF(VLOOKUP(B127,'Data Core CPI'!$A:$AX,MATCH($G$1,'Data Core CPI'!$A$1:$AX$1,),)=0,#N/A,(VLOOKUP(B127,'Data Core CPI'!$A:$AX,MATCH($G$1,'Data Core CPI'!$A$1:$AX$1,),)-VLOOKUP(EDATE(B127,-12),'Data Core CPI'!$A:$AX,MATCH($G$1,'Data Core CPI'!$A$1:$AX$1,),))/VLOOKUP(EDATE(B127,-12),'Data Core CPI'!$A:$AX,MATCH($G$1,'Data Core CPI'!$A$1:$AX$1,),))</f>
        <v/>
      </c>
      <c r="H127" s="20">
        <f>IF(VLOOKUP(B127,'Data Core CPI'!$A:$AX,MATCH($H$1,'Data Core CPI'!$A$1:$AX$1,),)=0,#N/A,(VLOOKUP(B127,'Data Core CPI'!$A:$AX,MATCH($H$1,'Data Core CPI'!$A$1:$AX$1,),)-VLOOKUP(EDATE(B127,-12),'Data Core CPI'!$A:$AX,MATCH($H$1,'Data Core CPI'!$A$1:$AX$1,),))/VLOOKUP(EDATE(B127,-12),'Data Core CPI'!$A:$AX,MATCH($H$1,'Data Core CPI'!$A$1:$AX$1,),))</f>
        <v/>
      </c>
      <c r="I127" s="20">
        <f>IF(VLOOKUP(B127,'Data Core CPI'!$A:$AX,MATCH($I$1,'Data Core CPI'!$A$1:$AX$1,),)=0,#N/A,(VLOOKUP(B127,'Data Core CPI'!$A:$AX,MATCH($I$1,'Data Core CPI'!$A$1:$AX$1,),)-VLOOKUP(EDATE(B127,-12),'Data Core CPI'!$A:$AX,MATCH($I$1,'Data Core CPI'!$A$1:$AX$1,),))/VLOOKUP(EDATE(B127,-12),'Data Core CPI'!$A:$AX,MATCH($I$1,'Data Core CPI'!$A$1:$AX$1,),))</f>
        <v/>
      </c>
      <c r="J127" s="20">
        <f>IF(VLOOKUP(B127,'Data Core CPI'!$A:$AX,MATCH($J$1,'Data Core CPI'!$A$1:$AX$1,),)=0,#N/A,(VLOOKUP(B127,'Data Core CPI'!$A:$AX,MATCH($J$1,'Data Core CPI'!$A$1:$AX$1,),)-VLOOKUP(EDATE(B127,-12),'Data Core CPI'!$A:$AX,MATCH($J$1,'Data Core CPI'!$A$1:$AX$1,),))/VLOOKUP(EDATE(B127,-12),'Data Core CPI'!$A:$AX,MATCH($J$1,'Data Core CPI'!$A$1:$AX$1,),))</f>
        <v/>
      </c>
      <c r="K127" s="20">
        <f>IF(VLOOKUP(B127,'Data Core CPI'!$A:$AX,MATCH($K$1,'Data Core CPI'!$A$1:$AX$1,),)=0,#N/A,(VLOOKUP(B127,'Data Core CPI'!$A:$AX,MATCH($K$1,'Data Core CPI'!$A$1:$AX$1,),)-VLOOKUP(EDATE(B127,-12),'Data Core CPI'!$A:$AX,MATCH($K$1,'Data Core CPI'!$A$1:$AX$1,),))/VLOOKUP(EDATE(B127,-12),'Data Core CPI'!$A:$AX,MATCH($K$1,'Data Core CPI'!$A$1:$AX$1,),))</f>
        <v/>
      </c>
      <c r="L127" s="20">
        <f>IF(VLOOKUP(B127,'Data Core CPI'!$A:$AX,MATCH($L$1,'Data Core CPI'!$A$1:$AX$1,),)=0,#N/A,(VLOOKUP(B127,'Data Core CPI'!$A:$AX,MATCH($L$1,'Data Core CPI'!$A$1:$AX$1,),)-VLOOKUP(EDATE(B127,-12),'Data Core CPI'!$A:$AX,MATCH($L$1,'Data Core CPI'!$A$1:$AX$1,),))/VLOOKUP(EDATE(B127,-12),'Data Core CPI'!$A:$AX,MATCH($L$1,'Data Core CPI'!$A$1:$AX$1,),))</f>
        <v/>
      </c>
      <c r="M127" s="20">
        <f>IF(VLOOKUP(B127,'Data Core CPI'!$A:$AX,MATCH($M$1,'Data Core CPI'!$A$1:$AX$1,),)=0,#N/A,(VLOOKUP(B127,'Data Core CPI'!$A:$AX,MATCH($M$1,'Data Core CPI'!$A$1:$AX$1,),)-VLOOKUP(EDATE(B127,-12),'Data Core CPI'!$A:$AX,MATCH($M$1,'Data Core CPI'!$A$1:$AX$1,),))/VLOOKUP(EDATE(B127,-12),'Data Core CPI'!$A:$AX,MATCH($M$1,'Data Core CPI'!$A$1:$AX$1,),))</f>
        <v/>
      </c>
      <c r="N127" s="20">
        <f>(VLOOKUP(B127,'Data Core CPI'!$A:$AX,MATCH($N$1,'Data Core CPI'!$A$1:$AX$1,),)-VLOOKUP(EDATE(B127,-12),'Data Core CPI'!$A:$AX,MATCH($N$1,'Data Core CPI'!$A$1:$AX$1,),))/VLOOKUP(EDATE(B127,-12),'Data Core CPI'!$A:$AX,MATCH($N$1,'Data Core CPI'!$A$1:$AX$1,),)</f>
        <v/>
      </c>
      <c r="O127" s="20">
        <f>(VLOOKUP(B127,'Data Core CPI'!$A:$AX,MATCH($O$1,'Data Core CPI'!$A$1:$AX$1,),)-VLOOKUP(EDATE(B127,-12),'Data Core CPI'!$A:$AX,MATCH($O$1,'Data Core CPI'!$A$1:$AX$1,),))/VLOOKUP(EDATE(B127,-12),'Data Core CPI'!$A:$AX,MATCH($O$1,'Data Core CPI'!$A$1:$AX$1,),)</f>
        <v/>
      </c>
      <c r="P127" s="20">
        <f>IF(VLOOKUP(B127,'Data Core CPI'!$A:$AX,MATCH($P$1,'Data Core CPI'!$A$1:$AX$1,),)=0,#N/A,(VLOOKUP(B127,'Data Core CPI'!$A:$AX,MATCH($P$1,'Data Core CPI'!$A$1:$AX$1,),)-VLOOKUP(EDATE(B127,-12),'Data Core CPI'!$A:$AX,MATCH($P$1,'Data Core CPI'!$A$1:$AX$1,),))/VLOOKUP(EDATE(B127,-12),'Data Core CPI'!$A:$AX,MATCH($P$1,'Data Core CPI'!$A$1:$AX$1,),))</f>
        <v/>
      </c>
      <c r="Q127" s="20">
        <f>(VLOOKUP(B127,'Data Core CPI'!$A:$AX,MATCH($Q$1,'Data Core CPI'!$A$1:$AX$1,),)-VLOOKUP(EDATE(B127,-12),'Data Core CPI'!$A:$AX,MATCH($Q$1,'Data Core CPI'!$A$1:$AX$1,),))/VLOOKUP(EDATE(B127,-12),'Data Core CPI'!$A:$AX,MATCH($Q$1,'Data Core CPI'!$A$1:$AX$1,),)</f>
        <v/>
      </c>
      <c r="R127" s="20">
        <f>IF(VLOOKUP(B127,'Data Core CPI'!$A:$AX,MATCH($R$1,'Data Core CPI'!$A$1:$AX$1,),)=0,#N/A,(VLOOKUP(B127,'Data Core CPI'!$A:$AX,MATCH($R$1,'Data Core CPI'!$A$1:$AX$1,),)-VLOOKUP(EDATE(B127,-12),'Data Core CPI'!$A:$AX,MATCH($R$1,'Data Core CPI'!$A$1:$AX$1,),))/VLOOKUP(EDATE(B127,-12),'Data Core CPI'!$A:$AX,MATCH($R$1,'Data Core CPI'!$A$1:$AX$1,),))</f>
        <v/>
      </c>
      <c r="S127" s="20">
        <f>(VLOOKUP(B127,'Data Core CPI'!$A:$AX,MATCH($S$1,'Data Core CPI'!$A$1:$AX$1,),)-VLOOKUP(EDATE(B127,-12),'Data Core CPI'!$A:$AX,MATCH($S$1,'Data Core CPI'!$A$1:$AX$1,),))/VLOOKUP(EDATE(B127,-12),'Data Core CPI'!$A:$AX,MATCH($S$1,'Data Core CPI'!$A$1:$AX$1,),)</f>
        <v/>
      </c>
      <c r="T127" s="20">
        <f>(VLOOKUP(B127,'Data Core CPI'!$A:$AX,MATCH($T$1,'Data Core CPI'!$A$1:$AX$1,),)-VLOOKUP(EDATE(B127,-12),'Data Core CPI'!$A:$AX,MATCH($T$1,'Data Core CPI'!$A$1:$AX$1,),))/VLOOKUP(EDATE(B127,-12),'Data Core CPI'!$A:$AX,MATCH($T$1,'Data Core CPI'!$A$1:$AX$1,),)</f>
        <v/>
      </c>
      <c r="U127" s="20">
        <f>IF(VLOOKUP(B127,'Data Core CPI'!$A:$AX,MATCH($U$1,'Data Core CPI'!$A$1:$AX$1,),)=0,#N/A,(VLOOKUP(B127,'Data Core CPI'!$A:$AX,MATCH($U$1,'Data Core CPI'!$A$1:$AX$1,),)-VLOOKUP(EDATE(B127,-12),'Data Core CPI'!$A:$AX,MATCH($U$1,'Data Core CPI'!$A$1:$AX$1,),))/VLOOKUP(EDATE(B127,-12),'Data Core CPI'!$A:$AX,MATCH($U$1,'Data Core CPI'!$A$1:$AX$1,),))</f>
        <v/>
      </c>
      <c r="V127" s="20">
        <f>(VLOOKUP(B127,'Data Core CPI'!$A:$AX,MATCH($V$1,'Data Core CPI'!$A$1:$AX$1,),)-VLOOKUP(EDATE(B127,-12),'Data Core CPI'!$A:$AX,MATCH($V$1,'Data Core CPI'!$A$1:$AX$1,),))/VLOOKUP(EDATE(B127,-12),'Data Core CPI'!$A:$AX,MATCH($V$1,'Data Core CPI'!$A$1:$AX$1,),)</f>
        <v/>
      </c>
      <c r="W127" s="20">
        <f>IF(VLOOKUP(B127,'Data Core CPI'!$A:$AX,MATCH($W$1,'Data Core CPI'!$A$1:$AX$1,),)=0,#N/A,(VLOOKUP(B127,'Data Core CPI'!$A:$AX,MATCH($W$1,'Data Core CPI'!$A$1:$AX$1,),)-VLOOKUP(EDATE(B127,-12),'Data Core CPI'!$A:$AX,MATCH($W$1,'Data Core CPI'!$A$1:$AX$1,),))/VLOOKUP(EDATE(B127,-12),'Data Core CPI'!$A:$AX,MATCH($W$1,'Data Core CPI'!$A$1:$AX$1,),))</f>
        <v/>
      </c>
      <c r="X127" s="20">
        <f>IF(VLOOKUP(B127,'Data Core CPI'!$A:$AX,MATCH($X$1,'Data Core CPI'!$A$1:$AX$1,),)=0,#N/A,(VLOOKUP(B127,'Data Core CPI'!$A:$AX,MATCH($X$1,'Data Core CPI'!$A$1:$AX$1,),)-VLOOKUP(EDATE(B127,-12),'Data Core CPI'!$A:$AX,MATCH($X$1,'Data Core CPI'!$A$1:$AX$1,),))/VLOOKUP(EDATE(B127,-12),'Data Core CPI'!$A:$AX,MATCH($X$1,'Data Core CPI'!$A$1:$AX$1,),))</f>
        <v/>
      </c>
      <c r="Y127" s="20">
        <f>IF(VLOOKUP(B127,'Data Core CPI'!$A:$AX,MATCH($Y$1,'Data Core CPI'!$A$1:$AX$1,),)=0,#N/A,(VLOOKUP(B127,'Data Core CPI'!$A:$AX,MATCH($Y$1,'Data Core CPI'!$A$1:$AX$1,),)-VLOOKUP(EDATE(B127,-12),'Data Core CPI'!$A:$AX,MATCH($Y$1,'Data Core CPI'!$A$1:$AX$1,),))/VLOOKUP(EDATE(B127,-12),'Data Core CPI'!$A:$AX,MATCH($Y$1,'Data Core CPI'!$A$1:$AX$1,),))</f>
        <v/>
      </c>
    </row>
    <row r="128" customFormat="1" s="78">
      <c r="B128" s="15" t="n">
        <v>44105</v>
      </c>
      <c r="C128" s="20">
        <f>IF(VLOOKUP(B128,'Data Core CPI'!$A:$AX,MATCH($C$1,'Data Core CPI'!$A$1:$AX$1,),)=0,#N/A,(VLOOKUP(B128,'Data Core CPI'!$A:$AX,MATCH($C$1,'Data Core CPI'!$A$1:$AX$1,),)-VLOOKUP(EDATE(B128,-12),'Data Core CPI'!$A:$AX,MATCH($C$1,'Data Core CPI'!$A$1:$AX$1,),))/VLOOKUP(EDATE(B128,-12),'Data Core CPI'!$A:$AX,MATCH($C$1,'Data Core CPI'!$A$1:$AX$1,),))</f>
        <v/>
      </c>
      <c r="D128" s="20">
        <f>(VLOOKUP(B128,'Data Core CPI'!$A:$AX,MATCH($D$1,'Data Core CPI'!$A$1:$AX$1,),)-VLOOKUP(EDATE(B128,-12),'Data Core CPI'!$A:$AX,MATCH($D$1,'Data Core CPI'!$A$1:$AX$1,),))/VLOOKUP(EDATE(B128,-12),'Data Core CPI'!$A:$AX,MATCH($D$1,'Data Core CPI'!$A$1:$AX$1,),)</f>
        <v/>
      </c>
      <c r="E128" s="20">
        <f>IF(VLOOKUP(B128,'Data Core CPI'!$A:$AX,MATCH($E$1,'Data Core CPI'!$A$1:$AX$1,),)=0,#N/A,(VLOOKUP(B128,'Data Core CPI'!$A:$AX,MATCH($E$1,'Data Core CPI'!$A$1:$AX$1,),)-VLOOKUP(EDATE(B128,-12),'Data Core CPI'!$A:$AX,MATCH($E$1,'Data Core CPI'!$A$1:$AX$1,),))/VLOOKUP(EDATE(B128,-12),'Data Core CPI'!$A:$AX,MATCH($E$1,'Data Core CPI'!$A$1:$AX$1,),))</f>
        <v/>
      </c>
      <c r="F128" s="20">
        <f>IF(VLOOKUP(B128,'Data Core CPI'!$A:$AX,MATCH($F$1,'Data Core CPI'!$A$1:$AX$1,),)=0,#N/A,(VLOOKUP(B128,'Data Core CPI'!$A:$AX,MATCH($F$1,'Data Core CPI'!$A$1:$AX$1,),)-VLOOKUP(EDATE(B128,-12),'Data Core CPI'!$A:$AX,MATCH($F$1,'Data Core CPI'!$A$1:$AX$1,),))/VLOOKUP(EDATE(B128,-12),'Data Core CPI'!$A:$AX,MATCH($F$1,'Data Core CPI'!$A$1:$AX$1,),))</f>
        <v/>
      </c>
      <c r="G128" s="20">
        <f>IF(VLOOKUP(B128,'Data Core CPI'!$A:$AX,MATCH($G$1,'Data Core CPI'!$A$1:$AX$1,),)=0,#N/A,(VLOOKUP(B128,'Data Core CPI'!$A:$AX,MATCH($G$1,'Data Core CPI'!$A$1:$AX$1,),)-VLOOKUP(EDATE(B128,-12),'Data Core CPI'!$A:$AX,MATCH($G$1,'Data Core CPI'!$A$1:$AX$1,),))/VLOOKUP(EDATE(B128,-12),'Data Core CPI'!$A:$AX,MATCH($G$1,'Data Core CPI'!$A$1:$AX$1,),))</f>
        <v/>
      </c>
      <c r="H128" s="20">
        <f>IF(VLOOKUP(B128,'Data Core CPI'!$A:$AX,MATCH($H$1,'Data Core CPI'!$A$1:$AX$1,),)=0,#N/A,(VLOOKUP(B128,'Data Core CPI'!$A:$AX,MATCH($H$1,'Data Core CPI'!$A$1:$AX$1,),)-VLOOKUP(EDATE(B128,-12),'Data Core CPI'!$A:$AX,MATCH($H$1,'Data Core CPI'!$A$1:$AX$1,),))/VLOOKUP(EDATE(B128,-12),'Data Core CPI'!$A:$AX,MATCH($H$1,'Data Core CPI'!$A$1:$AX$1,),))</f>
        <v/>
      </c>
      <c r="I128" s="20">
        <f>IF(VLOOKUP(B128,'Data Core CPI'!$A:$AX,MATCH($I$1,'Data Core CPI'!$A$1:$AX$1,),)=0,#N/A,(VLOOKUP(B128,'Data Core CPI'!$A:$AX,MATCH($I$1,'Data Core CPI'!$A$1:$AX$1,),)-VLOOKUP(EDATE(B128,-12),'Data Core CPI'!$A:$AX,MATCH($I$1,'Data Core CPI'!$A$1:$AX$1,),))/VLOOKUP(EDATE(B128,-12),'Data Core CPI'!$A:$AX,MATCH($I$1,'Data Core CPI'!$A$1:$AX$1,),))</f>
        <v/>
      </c>
      <c r="J128" s="20">
        <f>IF(VLOOKUP(B128,'Data Core CPI'!$A:$AX,MATCH($J$1,'Data Core CPI'!$A$1:$AX$1,),)=0,#N/A,(VLOOKUP(B128,'Data Core CPI'!$A:$AX,MATCH($J$1,'Data Core CPI'!$A$1:$AX$1,),)-VLOOKUP(EDATE(B128,-12),'Data Core CPI'!$A:$AX,MATCH($J$1,'Data Core CPI'!$A$1:$AX$1,),))/VLOOKUP(EDATE(B128,-12),'Data Core CPI'!$A:$AX,MATCH($J$1,'Data Core CPI'!$A$1:$AX$1,),))</f>
        <v/>
      </c>
      <c r="K128" s="20">
        <f>IF(VLOOKUP(B128,'Data Core CPI'!$A:$AX,MATCH($K$1,'Data Core CPI'!$A$1:$AX$1,),)=0,#N/A,(VLOOKUP(B128,'Data Core CPI'!$A:$AX,MATCH($K$1,'Data Core CPI'!$A$1:$AX$1,),)-VLOOKUP(EDATE(B128,-12),'Data Core CPI'!$A:$AX,MATCH($K$1,'Data Core CPI'!$A$1:$AX$1,),))/VLOOKUP(EDATE(B128,-12),'Data Core CPI'!$A:$AX,MATCH($K$1,'Data Core CPI'!$A$1:$AX$1,),))</f>
        <v/>
      </c>
      <c r="L128" s="20">
        <f>IF(VLOOKUP(B128,'Data Core CPI'!$A:$AX,MATCH($L$1,'Data Core CPI'!$A$1:$AX$1,),)=0,#N/A,(VLOOKUP(B128,'Data Core CPI'!$A:$AX,MATCH($L$1,'Data Core CPI'!$A$1:$AX$1,),)-VLOOKUP(EDATE(B128,-12),'Data Core CPI'!$A:$AX,MATCH($L$1,'Data Core CPI'!$A$1:$AX$1,),))/VLOOKUP(EDATE(B128,-12),'Data Core CPI'!$A:$AX,MATCH($L$1,'Data Core CPI'!$A$1:$AX$1,),))</f>
        <v/>
      </c>
      <c r="M128" s="20">
        <f>IF(VLOOKUP(B128,'Data Core CPI'!$A:$AX,MATCH($M$1,'Data Core CPI'!$A$1:$AX$1,),)=0,#N/A,(VLOOKUP(B128,'Data Core CPI'!$A:$AX,MATCH($M$1,'Data Core CPI'!$A$1:$AX$1,),)-VLOOKUP(EDATE(B128,-12),'Data Core CPI'!$A:$AX,MATCH($M$1,'Data Core CPI'!$A$1:$AX$1,),))/VLOOKUP(EDATE(B128,-12),'Data Core CPI'!$A:$AX,MATCH($M$1,'Data Core CPI'!$A$1:$AX$1,),))</f>
        <v/>
      </c>
      <c r="N128" s="20">
        <f>(VLOOKUP(B128,'Data Core CPI'!$A:$AX,MATCH($N$1,'Data Core CPI'!$A$1:$AX$1,),)-VLOOKUP(EDATE(B128,-12),'Data Core CPI'!$A:$AX,MATCH($N$1,'Data Core CPI'!$A$1:$AX$1,),))/VLOOKUP(EDATE(B128,-12),'Data Core CPI'!$A:$AX,MATCH($N$1,'Data Core CPI'!$A$1:$AX$1,),)</f>
        <v/>
      </c>
      <c r="O128" s="20">
        <f>(VLOOKUP(B128,'Data Core CPI'!$A:$AX,MATCH($O$1,'Data Core CPI'!$A$1:$AX$1,),)-VLOOKUP(EDATE(B128,-12),'Data Core CPI'!$A:$AX,MATCH($O$1,'Data Core CPI'!$A$1:$AX$1,),))/VLOOKUP(EDATE(B128,-12),'Data Core CPI'!$A:$AX,MATCH($O$1,'Data Core CPI'!$A$1:$AX$1,),)</f>
        <v/>
      </c>
      <c r="P128" s="20">
        <f>IF(VLOOKUP(B128,'Data Core CPI'!$A:$AX,MATCH($P$1,'Data Core CPI'!$A$1:$AX$1,),)=0,#N/A,(VLOOKUP(B128,'Data Core CPI'!$A:$AX,MATCH($P$1,'Data Core CPI'!$A$1:$AX$1,),)-VLOOKUP(EDATE(B128,-12),'Data Core CPI'!$A:$AX,MATCH($P$1,'Data Core CPI'!$A$1:$AX$1,),))/VLOOKUP(EDATE(B128,-12),'Data Core CPI'!$A:$AX,MATCH($P$1,'Data Core CPI'!$A$1:$AX$1,),))</f>
        <v/>
      </c>
      <c r="Q128" s="20">
        <f>(VLOOKUP(B128,'Data Core CPI'!$A:$AX,MATCH($Q$1,'Data Core CPI'!$A$1:$AX$1,),)-VLOOKUP(EDATE(B128,-12),'Data Core CPI'!$A:$AX,MATCH($Q$1,'Data Core CPI'!$A$1:$AX$1,),))/VLOOKUP(EDATE(B128,-12),'Data Core CPI'!$A:$AX,MATCH($Q$1,'Data Core CPI'!$A$1:$AX$1,),)</f>
        <v/>
      </c>
      <c r="R128" s="20">
        <f>IF(VLOOKUP(B128,'Data Core CPI'!$A:$AX,MATCH($R$1,'Data Core CPI'!$A$1:$AX$1,),)=0,#N/A,(VLOOKUP(B128,'Data Core CPI'!$A:$AX,MATCH($R$1,'Data Core CPI'!$A$1:$AX$1,),)-VLOOKUP(EDATE(B128,-12),'Data Core CPI'!$A:$AX,MATCH($R$1,'Data Core CPI'!$A$1:$AX$1,),))/VLOOKUP(EDATE(B128,-12),'Data Core CPI'!$A:$AX,MATCH($R$1,'Data Core CPI'!$A$1:$AX$1,),))</f>
        <v/>
      </c>
      <c r="S128" s="20">
        <f>(VLOOKUP(B128,'Data Core CPI'!$A:$AX,MATCH($S$1,'Data Core CPI'!$A$1:$AX$1,),)-VLOOKUP(EDATE(B128,-12),'Data Core CPI'!$A:$AX,MATCH($S$1,'Data Core CPI'!$A$1:$AX$1,),))/VLOOKUP(EDATE(B128,-12),'Data Core CPI'!$A:$AX,MATCH($S$1,'Data Core CPI'!$A$1:$AX$1,),)</f>
        <v/>
      </c>
      <c r="T128" s="20">
        <f>(VLOOKUP(B128,'Data Core CPI'!$A:$AX,MATCH($T$1,'Data Core CPI'!$A$1:$AX$1,),)-VLOOKUP(EDATE(B128,-12),'Data Core CPI'!$A:$AX,MATCH($T$1,'Data Core CPI'!$A$1:$AX$1,),))/VLOOKUP(EDATE(B128,-12),'Data Core CPI'!$A:$AX,MATCH($T$1,'Data Core CPI'!$A$1:$AX$1,),)</f>
        <v/>
      </c>
      <c r="U128" s="20">
        <f>IF(VLOOKUP(B128,'Data Core CPI'!$A:$AX,MATCH($U$1,'Data Core CPI'!$A$1:$AX$1,),)=0,#N/A,(VLOOKUP(B128,'Data Core CPI'!$A:$AX,MATCH($U$1,'Data Core CPI'!$A$1:$AX$1,),)-VLOOKUP(EDATE(B128,-12),'Data Core CPI'!$A:$AX,MATCH($U$1,'Data Core CPI'!$A$1:$AX$1,),))/VLOOKUP(EDATE(B128,-12),'Data Core CPI'!$A:$AX,MATCH($U$1,'Data Core CPI'!$A$1:$AX$1,),))</f>
        <v/>
      </c>
      <c r="V128" s="20">
        <f>(VLOOKUP(B128,'Data Core CPI'!$A:$AX,MATCH($V$1,'Data Core CPI'!$A$1:$AX$1,),)-VLOOKUP(EDATE(B128,-12),'Data Core CPI'!$A:$AX,MATCH($V$1,'Data Core CPI'!$A$1:$AX$1,),))/VLOOKUP(EDATE(B128,-12),'Data Core CPI'!$A:$AX,MATCH($V$1,'Data Core CPI'!$A$1:$AX$1,),)</f>
        <v/>
      </c>
      <c r="W128" s="20">
        <f>IF(VLOOKUP(B128,'Data Core CPI'!$A:$AX,MATCH($W$1,'Data Core CPI'!$A$1:$AX$1,),)=0,#N/A,(VLOOKUP(B128,'Data Core CPI'!$A:$AX,MATCH($W$1,'Data Core CPI'!$A$1:$AX$1,),)-VLOOKUP(EDATE(B128,-12),'Data Core CPI'!$A:$AX,MATCH($W$1,'Data Core CPI'!$A$1:$AX$1,),))/VLOOKUP(EDATE(B128,-12),'Data Core CPI'!$A:$AX,MATCH($W$1,'Data Core CPI'!$A$1:$AX$1,),))</f>
        <v/>
      </c>
      <c r="X128" s="20">
        <f>IF(VLOOKUP(B128,'Data Core CPI'!$A:$AX,MATCH($X$1,'Data Core CPI'!$A$1:$AX$1,),)=0,#N/A,(VLOOKUP(B128,'Data Core CPI'!$A:$AX,MATCH($X$1,'Data Core CPI'!$A$1:$AX$1,),)-VLOOKUP(EDATE(B128,-12),'Data Core CPI'!$A:$AX,MATCH($X$1,'Data Core CPI'!$A$1:$AX$1,),))/VLOOKUP(EDATE(B128,-12),'Data Core CPI'!$A:$AX,MATCH($X$1,'Data Core CPI'!$A$1:$AX$1,),))</f>
        <v/>
      </c>
      <c r="Y128" s="20">
        <f>IF(VLOOKUP(B128,'Data Core CPI'!$A:$AX,MATCH($Y$1,'Data Core CPI'!$A$1:$AX$1,),)=0,#N/A,(VLOOKUP(B128,'Data Core CPI'!$A:$AX,MATCH($Y$1,'Data Core CPI'!$A$1:$AX$1,),)-VLOOKUP(EDATE(B128,-12),'Data Core CPI'!$A:$AX,MATCH($Y$1,'Data Core CPI'!$A$1:$AX$1,),))/VLOOKUP(EDATE(B128,-12),'Data Core CPI'!$A:$AX,MATCH($Y$1,'Data Core CPI'!$A$1:$AX$1,),))</f>
        <v/>
      </c>
    </row>
    <row r="129" customFormat="1" s="78">
      <c r="B129" s="15" t="n">
        <v>44136</v>
      </c>
      <c r="C129" s="20">
        <f>IF(VLOOKUP(B129,'Data Core CPI'!$A:$AX,MATCH($C$1,'Data Core CPI'!$A$1:$AX$1,),)=0,#N/A,(VLOOKUP(B129,'Data Core CPI'!$A:$AX,MATCH($C$1,'Data Core CPI'!$A$1:$AX$1,),)-VLOOKUP(EDATE(B129,-12),'Data Core CPI'!$A:$AX,MATCH($C$1,'Data Core CPI'!$A$1:$AX$1,),))/VLOOKUP(EDATE(B129,-12),'Data Core CPI'!$A:$AX,MATCH($C$1,'Data Core CPI'!$A$1:$AX$1,),))</f>
        <v/>
      </c>
      <c r="D129" s="20">
        <f>(VLOOKUP(B129,'Data Core CPI'!$A:$AX,MATCH($D$1,'Data Core CPI'!$A$1:$AX$1,),)-VLOOKUP(EDATE(B129,-12),'Data Core CPI'!$A:$AX,MATCH($D$1,'Data Core CPI'!$A$1:$AX$1,),))/VLOOKUP(EDATE(B129,-12),'Data Core CPI'!$A:$AX,MATCH($D$1,'Data Core CPI'!$A$1:$AX$1,),)</f>
        <v/>
      </c>
      <c r="E129" s="20">
        <f>IF(VLOOKUP(B129,'Data Core CPI'!$A:$AX,MATCH($E$1,'Data Core CPI'!$A$1:$AX$1,),)=0,#N/A,(VLOOKUP(B129,'Data Core CPI'!$A:$AX,MATCH($E$1,'Data Core CPI'!$A$1:$AX$1,),)-VLOOKUP(EDATE(B129,-12),'Data Core CPI'!$A:$AX,MATCH($E$1,'Data Core CPI'!$A$1:$AX$1,),))/VLOOKUP(EDATE(B129,-12),'Data Core CPI'!$A:$AX,MATCH($E$1,'Data Core CPI'!$A$1:$AX$1,),))</f>
        <v/>
      </c>
      <c r="F129" s="20">
        <f>IF(VLOOKUP(B129,'Data Core CPI'!$A:$AX,MATCH($F$1,'Data Core CPI'!$A$1:$AX$1,),)=0,#N/A,(VLOOKUP(B129,'Data Core CPI'!$A:$AX,MATCH($F$1,'Data Core CPI'!$A$1:$AX$1,),)-VLOOKUP(EDATE(B129,-12),'Data Core CPI'!$A:$AX,MATCH($F$1,'Data Core CPI'!$A$1:$AX$1,),))/VLOOKUP(EDATE(B129,-12),'Data Core CPI'!$A:$AX,MATCH($F$1,'Data Core CPI'!$A$1:$AX$1,),))</f>
        <v/>
      </c>
      <c r="G129" s="20">
        <f>IF(VLOOKUP(B129,'Data Core CPI'!$A:$AX,MATCH($G$1,'Data Core CPI'!$A$1:$AX$1,),)=0,#N/A,(VLOOKUP(B129,'Data Core CPI'!$A:$AX,MATCH($G$1,'Data Core CPI'!$A$1:$AX$1,),)-VLOOKUP(EDATE(B129,-12),'Data Core CPI'!$A:$AX,MATCH($G$1,'Data Core CPI'!$A$1:$AX$1,),))/VLOOKUP(EDATE(B129,-12),'Data Core CPI'!$A:$AX,MATCH($G$1,'Data Core CPI'!$A$1:$AX$1,),))</f>
        <v/>
      </c>
      <c r="H129" s="20">
        <f>IF(VLOOKUP(B129,'Data Core CPI'!$A:$AX,MATCH($H$1,'Data Core CPI'!$A$1:$AX$1,),)=0,#N/A,(VLOOKUP(B129,'Data Core CPI'!$A:$AX,MATCH($H$1,'Data Core CPI'!$A$1:$AX$1,),)-VLOOKUP(EDATE(B129,-12),'Data Core CPI'!$A:$AX,MATCH($H$1,'Data Core CPI'!$A$1:$AX$1,),))/VLOOKUP(EDATE(B129,-12),'Data Core CPI'!$A:$AX,MATCH($H$1,'Data Core CPI'!$A$1:$AX$1,),))</f>
        <v/>
      </c>
      <c r="I129" s="20">
        <f>IF(VLOOKUP(B129,'Data Core CPI'!$A:$AX,MATCH($I$1,'Data Core CPI'!$A$1:$AX$1,),)=0,#N/A,(VLOOKUP(B129,'Data Core CPI'!$A:$AX,MATCH($I$1,'Data Core CPI'!$A$1:$AX$1,),)-VLOOKUP(EDATE(B129,-12),'Data Core CPI'!$A:$AX,MATCH($I$1,'Data Core CPI'!$A$1:$AX$1,),))/VLOOKUP(EDATE(B129,-12),'Data Core CPI'!$A:$AX,MATCH($I$1,'Data Core CPI'!$A$1:$AX$1,),))</f>
        <v/>
      </c>
      <c r="J129" s="20">
        <f>IF(VLOOKUP(B129,'Data Core CPI'!$A:$AX,MATCH($J$1,'Data Core CPI'!$A$1:$AX$1,),)=0,#N/A,(VLOOKUP(B129,'Data Core CPI'!$A:$AX,MATCH($J$1,'Data Core CPI'!$A$1:$AX$1,),)-VLOOKUP(EDATE(B129,-12),'Data Core CPI'!$A:$AX,MATCH($J$1,'Data Core CPI'!$A$1:$AX$1,),))/VLOOKUP(EDATE(B129,-12),'Data Core CPI'!$A:$AX,MATCH($J$1,'Data Core CPI'!$A$1:$AX$1,),))</f>
        <v/>
      </c>
      <c r="K129" s="20">
        <f>IF(VLOOKUP(B129,'Data Core CPI'!$A:$AX,MATCH($K$1,'Data Core CPI'!$A$1:$AX$1,),)=0,#N/A,(VLOOKUP(B129,'Data Core CPI'!$A:$AX,MATCH($K$1,'Data Core CPI'!$A$1:$AX$1,),)-VLOOKUP(EDATE(B129,-12),'Data Core CPI'!$A:$AX,MATCH($K$1,'Data Core CPI'!$A$1:$AX$1,),))/VLOOKUP(EDATE(B129,-12),'Data Core CPI'!$A:$AX,MATCH($K$1,'Data Core CPI'!$A$1:$AX$1,),))</f>
        <v/>
      </c>
      <c r="L129" s="20">
        <f>IF(VLOOKUP(B129,'Data Core CPI'!$A:$AX,MATCH($L$1,'Data Core CPI'!$A$1:$AX$1,),)=0,#N/A,(VLOOKUP(B129,'Data Core CPI'!$A:$AX,MATCH($L$1,'Data Core CPI'!$A$1:$AX$1,),)-VLOOKUP(EDATE(B129,-12),'Data Core CPI'!$A:$AX,MATCH($L$1,'Data Core CPI'!$A$1:$AX$1,),))/VLOOKUP(EDATE(B129,-12),'Data Core CPI'!$A:$AX,MATCH($L$1,'Data Core CPI'!$A$1:$AX$1,),))</f>
        <v/>
      </c>
      <c r="M129" s="20">
        <f>IF(VLOOKUP(B129,'Data Core CPI'!$A:$AX,MATCH($M$1,'Data Core CPI'!$A$1:$AX$1,),)=0,#N/A,(VLOOKUP(B129,'Data Core CPI'!$A:$AX,MATCH($M$1,'Data Core CPI'!$A$1:$AX$1,),)-VLOOKUP(EDATE(B129,-12),'Data Core CPI'!$A:$AX,MATCH($M$1,'Data Core CPI'!$A$1:$AX$1,),))/VLOOKUP(EDATE(B129,-12),'Data Core CPI'!$A:$AX,MATCH($M$1,'Data Core CPI'!$A$1:$AX$1,),))</f>
        <v/>
      </c>
      <c r="N129" s="20">
        <f>(VLOOKUP(B129,'Data Core CPI'!$A:$AX,MATCH($N$1,'Data Core CPI'!$A$1:$AX$1,),)-VLOOKUP(EDATE(B129,-12),'Data Core CPI'!$A:$AX,MATCH($N$1,'Data Core CPI'!$A$1:$AX$1,),))/VLOOKUP(EDATE(B129,-12),'Data Core CPI'!$A:$AX,MATCH($N$1,'Data Core CPI'!$A$1:$AX$1,),)</f>
        <v/>
      </c>
      <c r="O129" s="20">
        <f>(VLOOKUP(B129,'Data Core CPI'!$A:$AX,MATCH($O$1,'Data Core CPI'!$A$1:$AX$1,),)-VLOOKUP(EDATE(B129,-12),'Data Core CPI'!$A:$AX,MATCH($O$1,'Data Core CPI'!$A$1:$AX$1,),))/VLOOKUP(EDATE(B129,-12),'Data Core CPI'!$A:$AX,MATCH($O$1,'Data Core CPI'!$A$1:$AX$1,),)</f>
        <v/>
      </c>
      <c r="P129" s="20">
        <f>IF(VLOOKUP(B129,'Data Core CPI'!$A:$AX,MATCH($P$1,'Data Core CPI'!$A$1:$AX$1,),)=0,#N/A,(VLOOKUP(B129,'Data Core CPI'!$A:$AX,MATCH($P$1,'Data Core CPI'!$A$1:$AX$1,),)-VLOOKUP(EDATE(B129,-12),'Data Core CPI'!$A:$AX,MATCH($P$1,'Data Core CPI'!$A$1:$AX$1,),))/VLOOKUP(EDATE(B129,-12),'Data Core CPI'!$A:$AX,MATCH($P$1,'Data Core CPI'!$A$1:$AX$1,),))</f>
        <v/>
      </c>
      <c r="Q129" s="20">
        <f>(VLOOKUP(B129,'Data Core CPI'!$A:$AX,MATCH($Q$1,'Data Core CPI'!$A$1:$AX$1,),)-VLOOKUP(EDATE(B129,-12),'Data Core CPI'!$A:$AX,MATCH($Q$1,'Data Core CPI'!$A$1:$AX$1,),))/VLOOKUP(EDATE(B129,-12),'Data Core CPI'!$A:$AX,MATCH($Q$1,'Data Core CPI'!$A$1:$AX$1,),)</f>
        <v/>
      </c>
      <c r="R129" s="20">
        <f>IF(VLOOKUP(B129,'Data Core CPI'!$A:$AX,MATCH($R$1,'Data Core CPI'!$A$1:$AX$1,),)=0,#N/A,(VLOOKUP(B129,'Data Core CPI'!$A:$AX,MATCH($R$1,'Data Core CPI'!$A$1:$AX$1,),)-VLOOKUP(EDATE(B129,-12),'Data Core CPI'!$A:$AX,MATCH($R$1,'Data Core CPI'!$A$1:$AX$1,),))/VLOOKUP(EDATE(B129,-12),'Data Core CPI'!$A:$AX,MATCH($R$1,'Data Core CPI'!$A$1:$AX$1,),))</f>
        <v/>
      </c>
      <c r="S129" s="20">
        <f>(VLOOKUP(B129,'Data Core CPI'!$A:$AX,MATCH($S$1,'Data Core CPI'!$A$1:$AX$1,),)-VLOOKUP(EDATE(B129,-12),'Data Core CPI'!$A:$AX,MATCH($S$1,'Data Core CPI'!$A$1:$AX$1,),))/VLOOKUP(EDATE(B129,-12),'Data Core CPI'!$A:$AX,MATCH($S$1,'Data Core CPI'!$A$1:$AX$1,),)</f>
        <v/>
      </c>
      <c r="T129" s="20">
        <f>(VLOOKUP(B129,'Data Core CPI'!$A:$AX,MATCH($T$1,'Data Core CPI'!$A$1:$AX$1,),)-VLOOKUP(EDATE(B129,-12),'Data Core CPI'!$A:$AX,MATCH($T$1,'Data Core CPI'!$A$1:$AX$1,),))/VLOOKUP(EDATE(B129,-12),'Data Core CPI'!$A:$AX,MATCH($T$1,'Data Core CPI'!$A$1:$AX$1,),)</f>
        <v/>
      </c>
      <c r="U129" s="20">
        <f>IF(VLOOKUP(B129,'Data Core CPI'!$A:$AX,MATCH($U$1,'Data Core CPI'!$A$1:$AX$1,),)=0,#N/A,(VLOOKUP(B129,'Data Core CPI'!$A:$AX,MATCH($U$1,'Data Core CPI'!$A$1:$AX$1,),)-VLOOKUP(EDATE(B129,-12),'Data Core CPI'!$A:$AX,MATCH($U$1,'Data Core CPI'!$A$1:$AX$1,),))/VLOOKUP(EDATE(B129,-12),'Data Core CPI'!$A:$AX,MATCH($U$1,'Data Core CPI'!$A$1:$AX$1,),))</f>
        <v/>
      </c>
      <c r="V129" s="20">
        <f>(VLOOKUP(B129,'Data Core CPI'!$A:$AX,MATCH($V$1,'Data Core CPI'!$A$1:$AX$1,),)-VLOOKUP(EDATE(B129,-12),'Data Core CPI'!$A:$AX,MATCH($V$1,'Data Core CPI'!$A$1:$AX$1,),))/VLOOKUP(EDATE(B129,-12),'Data Core CPI'!$A:$AX,MATCH($V$1,'Data Core CPI'!$A$1:$AX$1,),)</f>
        <v/>
      </c>
      <c r="W129" s="20">
        <f>IF(VLOOKUP(B129,'Data Core CPI'!$A:$AX,MATCH($W$1,'Data Core CPI'!$A$1:$AX$1,),)=0,#N/A,(VLOOKUP(B129,'Data Core CPI'!$A:$AX,MATCH($W$1,'Data Core CPI'!$A$1:$AX$1,),)-VLOOKUP(EDATE(B129,-12),'Data Core CPI'!$A:$AX,MATCH($W$1,'Data Core CPI'!$A$1:$AX$1,),))/VLOOKUP(EDATE(B129,-12),'Data Core CPI'!$A:$AX,MATCH($W$1,'Data Core CPI'!$A$1:$AX$1,),))</f>
        <v/>
      </c>
      <c r="X129" s="20">
        <f>IF(VLOOKUP(B129,'Data Core CPI'!$A:$AX,MATCH($X$1,'Data Core CPI'!$A$1:$AX$1,),)=0,#N/A,(VLOOKUP(B129,'Data Core CPI'!$A:$AX,MATCH($X$1,'Data Core CPI'!$A$1:$AX$1,),)-VLOOKUP(EDATE(B129,-12),'Data Core CPI'!$A:$AX,MATCH($X$1,'Data Core CPI'!$A$1:$AX$1,),))/VLOOKUP(EDATE(B129,-12),'Data Core CPI'!$A:$AX,MATCH($X$1,'Data Core CPI'!$A$1:$AX$1,),))</f>
        <v/>
      </c>
      <c r="Y129" s="20">
        <f>IF(VLOOKUP(B129,'Data Core CPI'!$A:$AX,MATCH($Y$1,'Data Core CPI'!$A$1:$AX$1,),)=0,#N/A,(VLOOKUP(B129,'Data Core CPI'!$A:$AX,MATCH($Y$1,'Data Core CPI'!$A$1:$AX$1,),)-VLOOKUP(EDATE(B129,-12),'Data Core CPI'!$A:$AX,MATCH($Y$1,'Data Core CPI'!$A$1:$AX$1,),))/VLOOKUP(EDATE(B129,-12),'Data Core CPI'!$A:$AX,MATCH($Y$1,'Data Core CPI'!$A$1:$AX$1,),))</f>
        <v/>
      </c>
    </row>
    <row r="130" customFormat="1" s="78">
      <c r="B130" s="15" t="n">
        <v>44166</v>
      </c>
      <c r="C130" s="20">
        <f>IF(VLOOKUP(B130,'Data Core CPI'!$A:$AX,MATCH($C$1,'Data Core CPI'!$A$1:$AX$1,),)=0,#N/A,(VLOOKUP(B130,'Data Core CPI'!$A:$AX,MATCH($C$1,'Data Core CPI'!$A$1:$AX$1,),)-VLOOKUP(EDATE(B130,-12),'Data Core CPI'!$A:$AX,MATCH($C$1,'Data Core CPI'!$A$1:$AX$1,),))/VLOOKUP(EDATE(B130,-12),'Data Core CPI'!$A:$AX,MATCH($C$1,'Data Core CPI'!$A$1:$AX$1,),))</f>
        <v/>
      </c>
      <c r="D130" s="20">
        <f>(VLOOKUP(B130,'Data Core CPI'!$A:$AX,MATCH($D$1,'Data Core CPI'!$A$1:$AX$1,),)-VLOOKUP(EDATE(B130,-12),'Data Core CPI'!$A:$AX,MATCH($D$1,'Data Core CPI'!$A$1:$AX$1,),))/VLOOKUP(EDATE(B130,-12),'Data Core CPI'!$A:$AX,MATCH($D$1,'Data Core CPI'!$A$1:$AX$1,),)</f>
        <v/>
      </c>
      <c r="E130" s="20">
        <f>IF(VLOOKUP(B130,'Data Core CPI'!$A:$AX,MATCH($E$1,'Data Core CPI'!$A$1:$AX$1,),)=0,#N/A,(VLOOKUP(B130,'Data Core CPI'!$A:$AX,MATCH($E$1,'Data Core CPI'!$A$1:$AX$1,),)-VLOOKUP(EDATE(B130,-12),'Data Core CPI'!$A:$AX,MATCH($E$1,'Data Core CPI'!$A$1:$AX$1,),))/VLOOKUP(EDATE(B130,-12),'Data Core CPI'!$A:$AX,MATCH($E$1,'Data Core CPI'!$A$1:$AX$1,),))</f>
        <v/>
      </c>
      <c r="F130" s="20">
        <f>IF(VLOOKUP(B130,'Data Core CPI'!$A:$AX,MATCH($F$1,'Data Core CPI'!$A$1:$AX$1,),)=0,#N/A,(VLOOKUP(B130,'Data Core CPI'!$A:$AX,MATCH($F$1,'Data Core CPI'!$A$1:$AX$1,),)-VLOOKUP(EDATE(B130,-12),'Data Core CPI'!$A:$AX,MATCH($F$1,'Data Core CPI'!$A$1:$AX$1,),))/VLOOKUP(EDATE(B130,-12),'Data Core CPI'!$A:$AX,MATCH($F$1,'Data Core CPI'!$A$1:$AX$1,),))</f>
        <v/>
      </c>
      <c r="G130" s="20">
        <f>IF(VLOOKUP(B130,'Data Core CPI'!$A:$AX,MATCH($G$1,'Data Core CPI'!$A$1:$AX$1,),)=0,#N/A,(VLOOKUP(B130,'Data Core CPI'!$A:$AX,MATCH($G$1,'Data Core CPI'!$A$1:$AX$1,),)-VLOOKUP(EDATE(B130,-12),'Data Core CPI'!$A:$AX,MATCH($G$1,'Data Core CPI'!$A$1:$AX$1,),))/VLOOKUP(EDATE(B130,-12),'Data Core CPI'!$A:$AX,MATCH($G$1,'Data Core CPI'!$A$1:$AX$1,),))</f>
        <v/>
      </c>
      <c r="H130" s="20">
        <f>IF(VLOOKUP(B130,'Data Core CPI'!$A:$AX,MATCH($H$1,'Data Core CPI'!$A$1:$AX$1,),)=0,#N/A,(VLOOKUP(B130,'Data Core CPI'!$A:$AX,MATCH($H$1,'Data Core CPI'!$A$1:$AX$1,),)-VLOOKUP(EDATE(B130,-12),'Data Core CPI'!$A:$AX,MATCH($H$1,'Data Core CPI'!$A$1:$AX$1,),))/VLOOKUP(EDATE(B130,-12),'Data Core CPI'!$A:$AX,MATCH($H$1,'Data Core CPI'!$A$1:$AX$1,),))</f>
        <v/>
      </c>
      <c r="I130" s="20">
        <f>IF(VLOOKUP(B130,'Data Core CPI'!$A:$AX,MATCH($I$1,'Data Core CPI'!$A$1:$AX$1,),)=0,#N/A,(VLOOKUP(B130,'Data Core CPI'!$A:$AX,MATCH($I$1,'Data Core CPI'!$A$1:$AX$1,),)-VLOOKUP(EDATE(B130,-12),'Data Core CPI'!$A:$AX,MATCH($I$1,'Data Core CPI'!$A$1:$AX$1,),))/VLOOKUP(EDATE(B130,-12),'Data Core CPI'!$A:$AX,MATCH($I$1,'Data Core CPI'!$A$1:$AX$1,),))</f>
        <v/>
      </c>
      <c r="J130" s="20">
        <f>IF(VLOOKUP(B130,'Data Core CPI'!$A:$AX,MATCH($J$1,'Data Core CPI'!$A$1:$AX$1,),)=0,#N/A,(VLOOKUP(B130,'Data Core CPI'!$A:$AX,MATCH($J$1,'Data Core CPI'!$A$1:$AX$1,),)-VLOOKUP(EDATE(B130,-12),'Data Core CPI'!$A:$AX,MATCH($J$1,'Data Core CPI'!$A$1:$AX$1,),))/VLOOKUP(EDATE(B130,-12),'Data Core CPI'!$A:$AX,MATCH($J$1,'Data Core CPI'!$A$1:$AX$1,),))</f>
        <v/>
      </c>
      <c r="K130" s="20">
        <f>IF(VLOOKUP(B130,'Data Core CPI'!$A:$AX,MATCH($K$1,'Data Core CPI'!$A$1:$AX$1,),)=0,#N/A,(VLOOKUP(B130,'Data Core CPI'!$A:$AX,MATCH($K$1,'Data Core CPI'!$A$1:$AX$1,),)-VLOOKUP(EDATE(B130,-12),'Data Core CPI'!$A:$AX,MATCH($K$1,'Data Core CPI'!$A$1:$AX$1,),))/VLOOKUP(EDATE(B130,-12),'Data Core CPI'!$A:$AX,MATCH($K$1,'Data Core CPI'!$A$1:$AX$1,),))</f>
        <v/>
      </c>
      <c r="L130" s="20">
        <f>IF(VLOOKUP(B130,'Data Core CPI'!$A:$AX,MATCH($L$1,'Data Core CPI'!$A$1:$AX$1,),)=0,#N/A,(VLOOKUP(B130,'Data Core CPI'!$A:$AX,MATCH($L$1,'Data Core CPI'!$A$1:$AX$1,),)-VLOOKUP(EDATE(B130,-12),'Data Core CPI'!$A:$AX,MATCH($L$1,'Data Core CPI'!$A$1:$AX$1,),))/VLOOKUP(EDATE(B130,-12),'Data Core CPI'!$A:$AX,MATCH($L$1,'Data Core CPI'!$A$1:$AX$1,),))</f>
        <v/>
      </c>
      <c r="M130" s="20">
        <f>IF(VLOOKUP(B130,'Data Core CPI'!$A:$AX,MATCH($M$1,'Data Core CPI'!$A$1:$AX$1,),)=0,#N/A,(VLOOKUP(B130,'Data Core CPI'!$A:$AX,MATCH($M$1,'Data Core CPI'!$A$1:$AX$1,),)-VLOOKUP(EDATE(B130,-12),'Data Core CPI'!$A:$AX,MATCH($M$1,'Data Core CPI'!$A$1:$AX$1,),))/VLOOKUP(EDATE(B130,-12),'Data Core CPI'!$A:$AX,MATCH($M$1,'Data Core CPI'!$A$1:$AX$1,),))</f>
        <v/>
      </c>
      <c r="N130" s="20">
        <f>(VLOOKUP(B130,'Data Core CPI'!$A:$AX,MATCH($N$1,'Data Core CPI'!$A$1:$AX$1,),)-VLOOKUP(EDATE(B130,-12),'Data Core CPI'!$A:$AX,MATCH($N$1,'Data Core CPI'!$A$1:$AX$1,),))/VLOOKUP(EDATE(B130,-12),'Data Core CPI'!$A:$AX,MATCH($N$1,'Data Core CPI'!$A$1:$AX$1,),)</f>
        <v/>
      </c>
      <c r="O130" s="20">
        <f>(VLOOKUP(B130,'Data Core CPI'!$A:$AX,MATCH($O$1,'Data Core CPI'!$A$1:$AX$1,),)-VLOOKUP(EDATE(B130,-12),'Data Core CPI'!$A:$AX,MATCH($O$1,'Data Core CPI'!$A$1:$AX$1,),))/VLOOKUP(EDATE(B130,-12),'Data Core CPI'!$A:$AX,MATCH($O$1,'Data Core CPI'!$A$1:$AX$1,),)</f>
        <v/>
      </c>
      <c r="P130" s="20">
        <f>IF(VLOOKUP(B130,'Data Core CPI'!$A:$AX,MATCH($P$1,'Data Core CPI'!$A$1:$AX$1,),)=0,#N/A,(VLOOKUP(B130,'Data Core CPI'!$A:$AX,MATCH($P$1,'Data Core CPI'!$A$1:$AX$1,),)-VLOOKUP(EDATE(B130,-12),'Data Core CPI'!$A:$AX,MATCH($P$1,'Data Core CPI'!$A$1:$AX$1,),))/VLOOKUP(EDATE(B130,-12),'Data Core CPI'!$A:$AX,MATCH($P$1,'Data Core CPI'!$A$1:$AX$1,),))</f>
        <v/>
      </c>
      <c r="Q130" s="20">
        <f>(VLOOKUP(B130,'Data Core CPI'!$A:$AX,MATCH($Q$1,'Data Core CPI'!$A$1:$AX$1,),)-VLOOKUP(EDATE(B130,-12),'Data Core CPI'!$A:$AX,MATCH($Q$1,'Data Core CPI'!$A$1:$AX$1,),))/VLOOKUP(EDATE(B130,-12),'Data Core CPI'!$A:$AX,MATCH($Q$1,'Data Core CPI'!$A$1:$AX$1,),)</f>
        <v/>
      </c>
      <c r="R130" s="20">
        <f>IF(VLOOKUP(B130,'Data Core CPI'!$A:$AX,MATCH($R$1,'Data Core CPI'!$A$1:$AX$1,),)=0,#N/A,(VLOOKUP(B130,'Data Core CPI'!$A:$AX,MATCH($R$1,'Data Core CPI'!$A$1:$AX$1,),)-VLOOKUP(EDATE(B130,-12),'Data Core CPI'!$A:$AX,MATCH($R$1,'Data Core CPI'!$A$1:$AX$1,),))/VLOOKUP(EDATE(B130,-12),'Data Core CPI'!$A:$AX,MATCH($R$1,'Data Core CPI'!$A$1:$AX$1,),))</f>
        <v/>
      </c>
      <c r="S130" s="20">
        <f>(VLOOKUP(B130,'Data Core CPI'!$A:$AX,MATCH($S$1,'Data Core CPI'!$A$1:$AX$1,),)-VLOOKUP(EDATE(B130,-12),'Data Core CPI'!$A:$AX,MATCH($S$1,'Data Core CPI'!$A$1:$AX$1,),))/VLOOKUP(EDATE(B130,-12),'Data Core CPI'!$A:$AX,MATCH($S$1,'Data Core CPI'!$A$1:$AX$1,),)</f>
        <v/>
      </c>
      <c r="T130" s="20">
        <f>(VLOOKUP(B130,'Data Core CPI'!$A:$AX,MATCH($T$1,'Data Core CPI'!$A$1:$AX$1,),)-VLOOKUP(EDATE(B130,-12),'Data Core CPI'!$A:$AX,MATCH($T$1,'Data Core CPI'!$A$1:$AX$1,),))/VLOOKUP(EDATE(B130,-12),'Data Core CPI'!$A:$AX,MATCH($T$1,'Data Core CPI'!$A$1:$AX$1,),)</f>
        <v/>
      </c>
      <c r="U130" s="20">
        <f>IF(VLOOKUP(B130,'Data Core CPI'!$A:$AX,MATCH($U$1,'Data Core CPI'!$A$1:$AX$1,),)=0,#N/A,(VLOOKUP(B130,'Data Core CPI'!$A:$AX,MATCH($U$1,'Data Core CPI'!$A$1:$AX$1,),)-VLOOKUP(EDATE(B130,-12),'Data Core CPI'!$A:$AX,MATCH($U$1,'Data Core CPI'!$A$1:$AX$1,),))/VLOOKUP(EDATE(B130,-12),'Data Core CPI'!$A:$AX,MATCH($U$1,'Data Core CPI'!$A$1:$AX$1,),))</f>
        <v/>
      </c>
      <c r="V130" s="20">
        <f>(VLOOKUP(B130,'Data Core CPI'!$A:$AX,MATCH($V$1,'Data Core CPI'!$A$1:$AX$1,),)-VLOOKUP(EDATE(B130,-12),'Data Core CPI'!$A:$AX,MATCH($V$1,'Data Core CPI'!$A$1:$AX$1,),))/VLOOKUP(EDATE(B130,-12),'Data Core CPI'!$A:$AX,MATCH($V$1,'Data Core CPI'!$A$1:$AX$1,),)</f>
        <v/>
      </c>
      <c r="W130" s="20">
        <f>IF(VLOOKUP(B130,'Data Core CPI'!$A:$AX,MATCH($W$1,'Data Core CPI'!$A$1:$AX$1,),)=0,#N/A,(VLOOKUP(B130,'Data Core CPI'!$A:$AX,MATCH($W$1,'Data Core CPI'!$A$1:$AX$1,),)-VLOOKUP(EDATE(B130,-12),'Data Core CPI'!$A:$AX,MATCH($W$1,'Data Core CPI'!$A$1:$AX$1,),))/VLOOKUP(EDATE(B130,-12),'Data Core CPI'!$A:$AX,MATCH($W$1,'Data Core CPI'!$A$1:$AX$1,),))</f>
        <v/>
      </c>
      <c r="X130" s="20">
        <f>IF(VLOOKUP(B130,'Data Core CPI'!$A:$AX,MATCH($X$1,'Data Core CPI'!$A$1:$AX$1,),)=0,#N/A,(VLOOKUP(B130,'Data Core CPI'!$A:$AX,MATCH($X$1,'Data Core CPI'!$A$1:$AX$1,),)-VLOOKUP(EDATE(B130,-12),'Data Core CPI'!$A:$AX,MATCH($X$1,'Data Core CPI'!$A$1:$AX$1,),))/VLOOKUP(EDATE(B130,-12),'Data Core CPI'!$A:$AX,MATCH($X$1,'Data Core CPI'!$A$1:$AX$1,),))</f>
        <v/>
      </c>
      <c r="Y130" s="20">
        <f>IF(VLOOKUP(B130,'Data Core CPI'!$A:$AX,MATCH($Y$1,'Data Core CPI'!$A$1:$AX$1,),)=0,#N/A,(VLOOKUP(B130,'Data Core CPI'!$A:$AX,MATCH($Y$1,'Data Core CPI'!$A$1:$AX$1,),)-VLOOKUP(EDATE(B130,-12),'Data Core CPI'!$A:$AX,MATCH($Y$1,'Data Core CPI'!$A$1:$AX$1,),))/VLOOKUP(EDATE(B130,-12),'Data Core CPI'!$A:$AX,MATCH($Y$1,'Data Core CPI'!$A$1:$AX$1,),))</f>
        <v/>
      </c>
    </row>
    <row r="131" customFormat="1" s="78">
      <c r="B131" s="15" t="n">
        <v>44197</v>
      </c>
      <c r="C131" s="20">
        <f>IF(VLOOKUP(B131,'Data Core CPI'!$A:$AX,MATCH($C$1,'Data Core CPI'!$A$1:$AX$1,),)=0,#N/A,(VLOOKUP(B131,'Data Core CPI'!$A:$AX,MATCH($C$1,'Data Core CPI'!$A$1:$AX$1,),)-VLOOKUP(EDATE(B131,-12),'Data Core CPI'!$A:$AX,MATCH($C$1,'Data Core CPI'!$A$1:$AX$1,),))/VLOOKUP(EDATE(B131,-12),'Data Core CPI'!$A:$AX,MATCH($C$1,'Data Core CPI'!$A$1:$AX$1,),))</f>
        <v/>
      </c>
      <c r="D131" s="20">
        <f>(VLOOKUP(B131,'Data Core CPI'!$A:$AX,MATCH($D$1,'Data Core CPI'!$A$1:$AX$1,),)-VLOOKUP(EDATE(B131,-12),'Data Core CPI'!$A:$AX,MATCH($D$1,'Data Core CPI'!$A$1:$AX$1,),))/VLOOKUP(EDATE(B131,-12),'Data Core CPI'!$A:$AX,MATCH($D$1,'Data Core CPI'!$A$1:$AX$1,),)</f>
        <v/>
      </c>
      <c r="E131" s="20">
        <f>IF(VLOOKUP(B131,'Data Core CPI'!$A:$AX,MATCH($E$1,'Data Core CPI'!$A$1:$AX$1,),)=0,#N/A,(VLOOKUP(B131,'Data Core CPI'!$A:$AX,MATCH($E$1,'Data Core CPI'!$A$1:$AX$1,),)-VLOOKUP(EDATE(B131,-12),'Data Core CPI'!$A:$AX,MATCH($E$1,'Data Core CPI'!$A$1:$AX$1,),))/VLOOKUP(EDATE(B131,-12),'Data Core CPI'!$A:$AX,MATCH($E$1,'Data Core CPI'!$A$1:$AX$1,),))</f>
        <v/>
      </c>
      <c r="F131" s="20">
        <f>IF(VLOOKUP(B131,'Data Core CPI'!$A:$AX,MATCH($F$1,'Data Core CPI'!$A$1:$AX$1,),)=0,#N/A,(VLOOKUP(B131,'Data Core CPI'!$A:$AX,MATCH($F$1,'Data Core CPI'!$A$1:$AX$1,),)-VLOOKUP(EDATE(B131,-12),'Data Core CPI'!$A:$AX,MATCH($F$1,'Data Core CPI'!$A$1:$AX$1,),))/VLOOKUP(EDATE(B131,-12),'Data Core CPI'!$A:$AX,MATCH($F$1,'Data Core CPI'!$A$1:$AX$1,),))</f>
        <v/>
      </c>
      <c r="G131" s="20">
        <f>IF(VLOOKUP(B131,'Data Core CPI'!$A:$AX,MATCH($G$1,'Data Core CPI'!$A$1:$AX$1,),)=0,#N/A,(VLOOKUP(B131,'Data Core CPI'!$A:$AX,MATCH($G$1,'Data Core CPI'!$A$1:$AX$1,),)-VLOOKUP(EDATE(B131,-12),'Data Core CPI'!$A:$AX,MATCH($G$1,'Data Core CPI'!$A$1:$AX$1,),))/VLOOKUP(EDATE(B131,-12),'Data Core CPI'!$A:$AX,MATCH($G$1,'Data Core CPI'!$A$1:$AX$1,),))</f>
        <v/>
      </c>
      <c r="H131" s="20">
        <f>IF(VLOOKUP(B131,'Data Core CPI'!$A:$AX,MATCH($H$1,'Data Core CPI'!$A$1:$AX$1,),)=0,#N/A,(VLOOKUP(B131,'Data Core CPI'!$A:$AX,MATCH($H$1,'Data Core CPI'!$A$1:$AX$1,),)-VLOOKUP(EDATE(B131,-12),'Data Core CPI'!$A:$AX,MATCH($H$1,'Data Core CPI'!$A$1:$AX$1,),))/VLOOKUP(EDATE(B131,-12),'Data Core CPI'!$A:$AX,MATCH($H$1,'Data Core CPI'!$A$1:$AX$1,),))</f>
        <v/>
      </c>
      <c r="I131" s="20">
        <f>IF(VLOOKUP(B131,'Data Core CPI'!$A:$AX,MATCH($I$1,'Data Core CPI'!$A$1:$AX$1,),)=0,#N/A,(VLOOKUP(B131,'Data Core CPI'!$A:$AX,MATCH($I$1,'Data Core CPI'!$A$1:$AX$1,),)-VLOOKUP(EDATE(B131,-12),'Data Core CPI'!$A:$AX,MATCH($I$1,'Data Core CPI'!$A$1:$AX$1,),))/VLOOKUP(EDATE(B131,-12),'Data Core CPI'!$A:$AX,MATCH($I$1,'Data Core CPI'!$A$1:$AX$1,),))</f>
        <v/>
      </c>
      <c r="J131" s="20">
        <f>IF(VLOOKUP(B131,'Data Core CPI'!$A:$AX,MATCH($J$1,'Data Core CPI'!$A$1:$AX$1,),)=0,#N/A,(VLOOKUP(B131,'Data Core CPI'!$A:$AX,MATCH($J$1,'Data Core CPI'!$A$1:$AX$1,),)-VLOOKUP(EDATE(B131,-12),'Data Core CPI'!$A:$AX,MATCH($J$1,'Data Core CPI'!$A$1:$AX$1,),))/VLOOKUP(EDATE(B131,-12),'Data Core CPI'!$A:$AX,MATCH($J$1,'Data Core CPI'!$A$1:$AX$1,),))</f>
        <v/>
      </c>
      <c r="K131" s="20">
        <f>IF(VLOOKUP(B131,'Data Core CPI'!$A:$AX,MATCH($K$1,'Data Core CPI'!$A$1:$AX$1,),)=0,#N/A,(VLOOKUP(B131,'Data Core CPI'!$A:$AX,MATCH($K$1,'Data Core CPI'!$A$1:$AX$1,),)-VLOOKUP(EDATE(B131,-12),'Data Core CPI'!$A:$AX,MATCH($K$1,'Data Core CPI'!$A$1:$AX$1,),))/VLOOKUP(EDATE(B131,-12),'Data Core CPI'!$A:$AX,MATCH($K$1,'Data Core CPI'!$A$1:$AX$1,),))</f>
        <v/>
      </c>
      <c r="L131" s="20">
        <f>IF(VLOOKUP(B131,'Data Core CPI'!$A:$AX,MATCH($L$1,'Data Core CPI'!$A$1:$AX$1,),)=0,#N/A,(VLOOKUP(B131,'Data Core CPI'!$A:$AX,MATCH($L$1,'Data Core CPI'!$A$1:$AX$1,),)-VLOOKUP(EDATE(B131,-12),'Data Core CPI'!$A:$AX,MATCH($L$1,'Data Core CPI'!$A$1:$AX$1,),))/VLOOKUP(EDATE(B131,-12),'Data Core CPI'!$A:$AX,MATCH($L$1,'Data Core CPI'!$A$1:$AX$1,),))</f>
        <v/>
      </c>
      <c r="M131" s="20">
        <f>IF(VLOOKUP(B131,'Data Core CPI'!$A:$AX,MATCH($M$1,'Data Core CPI'!$A$1:$AX$1,),)=0,#N/A,(VLOOKUP(B131,'Data Core CPI'!$A:$AX,MATCH($M$1,'Data Core CPI'!$A$1:$AX$1,),)-VLOOKUP(EDATE(B131,-12),'Data Core CPI'!$A:$AX,MATCH($M$1,'Data Core CPI'!$A$1:$AX$1,),))/VLOOKUP(EDATE(B131,-12),'Data Core CPI'!$A:$AX,MATCH($M$1,'Data Core CPI'!$A$1:$AX$1,),))</f>
        <v/>
      </c>
      <c r="N131" s="20">
        <f>(VLOOKUP(B131,'Data Core CPI'!$A:$AX,MATCH($N$1,'Data Core CPI'!$A$1:$AX$1,),)-VLOOKUP(EDATE(B131,-12),'Data Core CPI'!$A:$AX,MATCH($N$1,'Data Core CPI'!$A$1:$AX$1,),))/VLOOKUP(EDATE(B131,-12),'Data Core CPI'!$A:$AX,MATCH($N$1,'Data Core CPI'!$A$1:$AX$1,),)</f>
        <v/>
      </c>
      <c r="O131" s="20">
        <f>(VLOOKUP(B131,'Data Core CPI'!$A:$AX,MATCH($O$1,'Data Core CPI'!$A$1:$AX$1,),)-VLOOKUP(EDATE(B131,-12),'Data Core CPI'!$A:$AX,MATCH($O$1,'Data Core CPI'!$A$1:$AX$1,),))/VLOOKUP(EDATE(B131,-12),'Data Core CPI'!$A:$AX,MATCH($O$1,'Data Core CPI'!$A$1:$AX$1,),)</f>
        <v/>
      </c>
      <c r="P131" s="20">
        <f>IF(VLOOKUP(B131,'Data Core CPI'!$A:$AX,MATCH($P$1,'Data Core CPI'!$A$1:$AX$1,),)=0,#N/A,(VLOOKUP(B131,'Data Core CPI'!$A:$AX,MATCH($P$1,'Data Core CPI'!$A$1:$AX$1,),)-VLOOKUP(EDATE(B131,-12),'Data Core CPI'!$A:$AX,MATCH($P$1,'Data Core CPI'!$A$1:$AX$1,),))/VLOOKUP(EDATE(B131,-12),'Data Core CPI'!$A:$AX,MATCH($P$1,'Data Core CPI'!$A$1:$AX$1,),))</f>
        <v/>
      </c>
      <c r="Q131" s="20">
        <f>(VLOOKUP(B131,'Data Core CPI'!$A:$AX,MATCH($Q$1,'Data Core CPI'!$A$1:$AX$1,),)-VLOOKUP(EDATE(B131,-12),'Data Core CPI'!$A:$AX,MATCH($Q$1,'Data Core CPI'!$A$1:$AX$1,),))/VLOOKUP(EDATE(B131,-12),'Data Core CPI'!$A:$AX,MATCH($Q$1,'Data Core CPI'!$A$1:$AX$1,),)</f>
        <v/>
      </c>
      <c r="R131" s="20">
        <f>IF(VLOOKUP(B131,'Data Core CPI'!$A:$AX,MATCH($R$1,'Data Core CPI'!$A$1:$AX$1,),)=0,#N/A,(VLOOKUP(B131,'Data Core CPI'!$A:$AX,MATCH($R$1,'Data Core CPI'!$A$1:$AX$1,),)-VLOOKUP(EDATE(B131,-12),'Data Core CPI'!$A:$AX,MATCH($R$1,'Data Core CPI'!$A$1:$AX$1,),))/VLOOKUP(EDATE(B131,-12),'Data Core CPI'!$A:$AX,MATCH($R$1,'Data Core CPI'!$A$1:$AX$1,),))</f>
        <v/>
      </c>
      <c r="S131" s="20">
        <f>(VLOOKUP(B131,'Data Core CPI'!$A:$AX,MATCH($S$1,'Data Core CPI'!$A$1:$AX$1,),)-VLOOKUP(EDATE(B131,-12),'Data Core CPI'!$A:$AX,MATCH($S$1,'Data Core CPI'!$A$1:$AX$1,),))/VLOOKUP(EDATE(B131,-12),'Data Core CPI'!$A:$AX,MATCH($S$1,'Data Core CPI'!$A$1:$AX$1,),)</f>
        <v/>
      </c>
      <c r="T131" s="20">
        <f>(VLOOKUP(B131,'Data Core CPI'!$A:$AX,MATCH($T$1,'Data Core CPI'!$A$1:$AX$1,),)-VLOOKUP(EDATE(B131,-12),'Data Core CPI'!$A:$AX,MATCH($T$1,'Data Core CPI'!$A$1:$AX$1,),))/VLOOKUP(EDATE(B131,-12),'Data Core CPI'!$A:$AX,MATCH($T$1,'Data Core CPI'!$A$1:$AX$1,),)</f>
        <v/>
      </c>
      <c r="U131" s="20">
        <f>IF(VLOOKUP(B131,'Data Core CPI'!$A:$AX,MATCH($U$1,'Data Core CPI'!$A$1:$AX$1,),)=0,#N/A,(VLOOKUP(B131,'Data Core CPI'!$A:$AX,MATCH($U$1,'Data Core CPI'!$A$1:$AX$1,),)-VLOOKUP(EDATE(B131,-12),'Data Core CPI'!$A:$AX,MATCH($U$1,'Data Core CPI'!$A$1:$AX$1,),))/VLOOKUP(EDATE(B131,-12),'Data Core CPI'!$A:$AX,MATCH($U$1,'Data Core CPI'!$A$1:$AX$1,),))</f>
        <v/>
      </c>
      <c r="V131" s="20">
        <f>(VLOOKUP(B131,'Data Core CPI'!$A:$AX,MATCH($V$1,'Data Core CPI'!$A$1:$AX$1,),)-VLOOKUP(EDATE(B131,-12),'Data Core CPI'!$A:$AX,MATCH($V$1,'Data Core CPI'!$A$1:$AX$1,),))/VLOOKUP(EDATE(B131,-12),'Data Core CPI'!$A:$AX,MATCH($V$1,'Data Core CPI'!$A$1:$AX$1,),)</f>
        <v/>
      </c>
      <c r="W131" s="20">
        <f>IF(VLOOKUP(B131,'Data Core CPI'!$A:$AX,MATCH($W$1,'Data Core CPI'!$A$1:$AX$1,),)=0,#N/A,(VLOOKUP(B131,'Data Core CPI'!$A:$AX,MATCH($W$1,'Data Core CPI'!$A$1:$AX$1,),)-VLOOKUP(EDATE(B131,-12),'Data Core CPI'!$A:$AX,MATCH($W$1,'Data Core CPI'!$A$1:$AX$1,),))/VLOOKUP(EDATE(B131,-12),'Data Core CPI'!$A:$AX,MATCH($W$1,'Data Core CPI'!$A$1:$AX$1,),))</f>
        <v/>
      </c>
      <c r="X131" s="20">
        <f>IF(VLOOKUP(B131,'Data Core CPI'!$A:$AX,MATCH($X$1,'Data Core CPI'!$A$1:$AX$1,),)=0,#N/A,(VLOOKUP(B131,'Data Core CPI'!$A:$AX,MATCH($X$1,'Data Core CPI'!$A$1:$AX$1,),)-VLOOKUP(EDATE(B131,-12),'Data Core CPI'!$A:$AX,MATCH($X$1,'Data Core CPI'!$A$1:$AX$1,),))/VLOOKUP(EDATE(B131,-12),'Data Core CPI'!$A:$AX,MATCH($X$1,'Data Core CPI'!$A$1:$AX$1,),))</f>
        <v/>
      </c>
      <c r="Y131" s="20">
        <f>IF(VLOOKUP(B131,'Data Core CPI'!$A:$AX,MATCH($Y$1,'Data Core CPI'!$A$1:$AX$1,),)=0,#N/A,(VLOOKUP(B131,'Data Core CPI'!$A:$AX,MATCH($Y$1,'Data Core CPI'!$A$1:$AX$1,),)-VLOOKUP(EDATE(B131,-12),'Data Core CPI'!$A:$AX,MATCH($Y$1,'Data Core CPI'!$A$1:$AX$1,),))/VLOOKUP(EDATE(B131,-12),'Data Core CPI'!$A:$AX,MATCH($Y$1,'Data Core CPI'!$A$1:$AX$1,),))</f>
        <v/>
      </c>
    </row>
    <row r="132" customFormat="1" s="78">
      <c r="B132" s="15" t="n">
        <v>44228</v>
      </c>
      <c r="C132" s="20">
        <f>IF(VLOOKUP(B132,'Data Core CPI'!$A:$AX,MATCH($C$1,'Data Core CPI'!$A$1:$AX$1,),)=0,#N/A,(VLOOKUP(B132,'Data Core CPI'!$A:$AX,MATCH($C$1,'Data Core CPI'!$A$1:$AX$1,),)-VLOOKUP(EDATE(B132,-12),'Data Core CPI'!$A:$AX,MATCH($C$1,'Data Core CPI'!$A$1:$AX$1,),))/VLOOKUP(EDATE(B132,-12),'Data Core CPI'!$A:$AX,MATCH($C$1,'Data Core CPI'!$A$1:$AX$1,),))</f>
        <v/>
      </c>
      <c r="D132" s="20">
        <f>(VLOOKUP(B132,'Data Core CPI'!$A:$AX,MATCH($D$1,'Data Core CPI'!$A$1:$AX$1,),)-VLOOKUP(EDATE(B132,-12),'Data Core CPI'!$A:$AX,MATCH($D$1,'Data Core CPI'!$A$1:$AX$1,),))/VLOOKUP(EDATE(B132,-12),'Data Core CPI'!$A:$AX,MATCH($D$1,'Data Core CPI'!$A$1:$AX$1,),)</f>
        <v/>
      </c>
      <c r="E132" s="20">
        <f>IF(VLOOKUP(B132,'Data Core CPI'!$A:$AX,MATCH($E$1,'Data Core CPI'!$A$1:$AX$1,),)=0,#N/A,(VLOOKUP(B132,'Data Core CPI'!$A:$AX,MATCH($E$1,'Data Core CPI'!$A$1:$AX$1,),)-VLOOKUP(EDATE(B132,-12),'Data Core CPI'!$A:$AX,MATCH($E$1,'Data Core CPI'!$A$1:$AX$1,),))/VLOOKUP(EDATE(B132,-12),'Data Core CPI'!$A:$AX,MATCH($E$1,'Data Core CPI'!$A$1:$AX$1,),))</f>
        <v/>
      </c>
      <c r="F132" s="20">
        <f>IF(VLOOKUP(B132,'Data Core CPI'!$A:$AX,MATCH($F$1,'Data Core CPI'!$A$1:$AX$1,),)=0,#N/A,(VLOOKUP(B132,'Data Core CPI'!$A:$AX,MATCH($F$1,'Data Core CPI'!$A$1:$AX$1,),)-VLOOKUP(EDATE(B132,-12),'Data Core CPI'!$A:$AX,MATCH($F$1,'Data Core CPI'!$A$1:$AX$1,),))/VLOOKUP(EDATE(B132,-12),'Data Core CPI'!$A:$AX,MATCH($F$1,'Data Core CPI'!$A$1:$AX$1,),))</f>
        <v/>
      </c>
      <c r="G132" s="20">
        <f>IF(VLOOKUP(B132,'Data Core CPI'!$A:$AX,MATCH($G$1,'Data Core CPI'!$A$1:$AX$1,),)=0,#N/A,(VLOOKUP(B132,'Data Core CPI'!$A:$AX,MATCH($G$1,'Data Core CPI'!$A$1:$AX$1,),)-VLOOKUP(EDATE(B132,-12),'Data Core CPI'!$A:$AX,MATCH($G$1,'Data Core CPI'!$A$1:$AX$1,),))/VLOOKUP(EDATE(B132,-12),'Data Core CPI'!$A:$AX,MATCH($G$1,'Data Core CPI'!$A$1:$AX$1,),))</f>
        <v/>
      </c>
      <c r="H132" s="20">
        <f>IF(VLOOKUP(B132,'Data Core CPI'!$A:$AX,MATCH($H$1,'Data Core CPI'!$A$1:$AX$1,),)=0,#N/A,(VLOOKUP(B132,'Data Core CPI'!$A:$AX,MATCH($H$1,'Data Core CPI'!$A$1:$AX$1,),)-VLOOKUP(EDATE(B132,-12),'Data Core CPI'!$A:$AX,MATCH($H$1,'Data Core CPI'!$A$1:$AX$1,),))/VLOOKUP(EDATE(B132,-12),'Data Core CPI'!$A:$AX,MATCH($H$1,'Data Core CPI'!$A$1:$AX$1,),))</f>
        <v/>
      </c>
      <c r="I132" s="20">
        <f>IF(VLOOKUP(B132,'Data Core CPI'!$A:$AX,MATCH($I$1,'Data Core CPI'!$A$1:$AX$1,),)=0,#N/A,(VLOOKUP(B132,'Data Core CPI'!$A:$AX,MATCH($I$1,'Data Core CPI'!$A$1:$AX$1,),)-VLOOKUP(EDATE(B132,-12),'Data Core CPI'!$A:$AX,MATCH($I$1,'Data Core CPI'!$A$1:$AX$1,),))/VLOOKUP(EDATE(B132,-12),'Data Core CPI'!$A:$AX,MATCH($I$1,'Data Core CPI'!$A$1:$AX$1,),))</f>
        <v/>
      </c>
      <c r="J132" s="20">
        <f>IF(VLOOKUP(B132,'Data Core CPI'!$A:$AX,MATCH($J$1,'Data Core CPI'!$A$1:$AX$1,),)=0,#N/A,(VLOOKUP(B132,'Data Core CPI'!$A:$AX,MATCH($J$1,'Data Core CPI'!$A$1:$AX$1,),)-VLOOKUP(EDATE(B132,-12),'Data Core CPI'!$A:$AX,MATCH($J$1,'Data Core CPI'!$A$1:$AX$1,),))/VLOOKUP(EDATE(B132,-12),'Data Core CPI'!$A:$AX,MATCH($J$1,'Data Core CPI'!$A$1:$AX$1,),))</f>
        <v/>
      </c>
      <c r="K132" s="20">
        <f>IF(VLOOKUP(B132,'Data Core CPI'!$A:$AX,MATCH($K$1,'Data Core CPI'!$A$1:$AX$1,),)=0,#N/A,(VLOOKUP(B132,'Data Core CPI'!$A:$AX,MATCH($K$1,'Data Core CPI'!$A$1:$AX$1,),)-VLOOKUP(EDATE(B132,-12),'Data Core CPI'!$A:$AX,MATCH($K$1,'Data Core CPI'!$A$1:$AX$1,),))/VLOOKUP(EDATE(B132,-12),'Data Core CPI'!$A:$AX,MATCH($K$1,'Data Core CPI'!$A$1:$AX$1,),))</f>
        <v/>
      </c>
      <c r="L132" s="20">
        <f>IF(VLOOKUP(B132,'Data Core CPI'!$A:$AX,MATCH($L$1,'Data Core CPI'!$A$1:$AX$1,),)=0,#N/A,(VLOOKUP(B132,'Data Core CPI'!$A:$AX,MATCH($L$1,'Data Core CPI'!$A$1:$AX$1,),)-VLOOKUP(EDATE(B132,-12),'Data Core CPI'!$A:$AX,MATCH($L$1,'Data Core CPI'!$A$1:$AX$1,),))/VLOOKUP(EDATE(B132,-12),'Data Core CPI'!$A:$AX,MATCH($L$1,'Data Core CPI'!$A$1:$AX$1,),))</f>
        <v/>
      </c>
      <c r="M132" s="20">
        <f>IF(VLOOKUP(B132,'Data Core CPI'!$A:$AX,MATCH($M$1,'Data Core CPI'!$A$1:$AX$1,),)=0,#N/A,(VLOOKUP(B132,'Data Core CPI'!$A:$AX,MATCH($M$1,'Data Core CPI'!$A$1:$AX$1,),)-VLOOKUP(EDATE(B132,-12),'Data Core CPI'!$A:$AX,MATCH($M$1,'Data Core CPI'!$A$1:$AX$1,),))/VLOOKUP(EDATE(B132,-12),'Data Core CPI'!$A:$AX,MATCH($M$1,'Data Core CPI'!$A$1:$AX$1,),))</f>
        <v/>
      </c>
      <c r="N132" s="20">
        <f>(VLOOKUP(B132,'Data Core CPI'!$A:$AX,MATCH($N$1,'Data Core CPI'!$A$1:$AX$1,),)-VLOOKUP(EDATE(B132,-12),'Data Core CPI'!$A:$AX,MATCH($N$1,'Data Core CPI'!$A$1:$AX$1,),))/VLOOKUP(EDATE(B132,-12),'Data Core CPI'!$A:$AX,MATCH($N$1,'Data Core CPI'!$A$1:$AX$1,),)</f>
        <v/>
      </c>
      <c r="O132" s="20">
        <f>(VLOOKUP(B132,'Data Core CPI'!$A:$AX,MATCH($O$1,'Data Core CPI'!$A$1:$AX$1,),)-VLOOKUP(EDATE(B132,-12),'Data Core CPI'!$A:$AX,MATCH($O$1,'Data Core CPI'!$A$1:$AX$1,),))/VLOOKUP(EDATE(B132,-12),'Data Core CPI'!$A:$AX,MATCH($O$1,'Data Core CPI'!$A$1:$AX$1,),)</f>
        <v/>
      </c>
      <c r="P132" s="20">
        <f>IF(VLOOKUP(B132,'Data Core CPI'!$A:$AX,MATCH($P$1,'Data Core CPI'!$A$1:$AX$1,),)=0,#N/A,(VLOOKUP(B132,'Data Core CPI'!$A:$AX,MATCH($P$1,'Data Core CPI'!$A$1:$AX$1,),)-VLOOKUP(EDATE(B132,-12),'Data Core CPI'!$A:$AX,MATCH($P$1,'Data Core CPI'!$A$1:$AX$1,),))/VLOOKUP(EDATE(B132,-12),'Data Core CPI'!$A:$AX,MATCH($P$1,'Data Core CPI'!$A$1:$AX$1,),))</f>
        <v/>
      </c>
      <c r="Q132" s="20">
        <f>(VLOOKUP(B132,'Data Core CPI'!$A:$AX,MATCH($Q$1,'Data Core CPI'!$A$1:$AX$1,),)-VLOOKUP(EDATE(B132,-12),'Data Core CPI'!$A:$AX,MATCH($Q$1,'Data Core CPI'!$A$1:$AX$1,),))/VLOOKUP(EDATE(B132,-12),'Data Core CPI'!$A:$AX,MATCH($Q$1,'Data Core CPI'!$A$1:$AX$1,),)</f>
        <v/>
      </c>
      <c r="R132" s="20">
        <f>IF(VLOOKUP(B132,'Data Core CPI'!$A:$AX,MATCH($R$1,'Data Core CPI'!$A$1:$AX$1,),)=0,#N/A,(VLOOKUP(B132,'Data Core CPI'!$A:$AX,MATCH($R$1,'Data Core CPI'!$A$1:$AX$1,),)-VLOOKUP(EDATE(B132,-12),'Data Core CPI'!$A:$AX,MATCH($R$1,'Data Core CPI'!$A$1:$AX$1,),))/VLOOKUP(EDATE(B132,-12),'Data Core CPI'!$A:$AX,MATCH($R$1,'Data Core CPI'!$A$1:$AX$1,),))</f>
        <v/>
      </c>
      <c r="S132" s="20">
        <f>(VLOOKUP(B132,'Data Core CPI'!$A:$AX,MATCH($S$1,'Data Core CPI'!$A$1:$AX$1,),)-VLOOKUP(EDATE(B132,-12),'Data Core CPI'!$A:$AX,MATCH($S$1,'Data Core CPI'!$A$1:$AX$1,),))/VLOOKUP(EDATE(B132,-12),'Data Core CPI'!$A:$AX,MATCH($S$1,'Data Core CPI'!$A$1:$AX$1,),)</f>
        <v/>
      </c>
      <c r="T132" s="20">
        <f>(VLOOKUP(B132,'Data Core CPI'!$A:$AX,MATCH($T$1,'Data Core CPI'!$A$1:$AX$1,),)-VLOOKUP(EDATE(B132,-12),'Data Core CPI'!$A:$AX,MATCH($T$1,'Data Core CPI'!$A$1:$AX$1,),))/VLOOKUP(EDATE(B132,-12),'Data Core CPI'!$A:$AX,MATCH($T$1,'Data Core CPI'!$A$1:$AX$1,),)</f>
        <v/>
      </c>
      <c r="U132" s="20">
        <f>IF(VLOOKUP(B132,'Data Core CPI'!$A:$AX,MATCH($U$1,'Data Core CPI'!$A$1:$AX$1,),)=0,#N/A,(VLOOKUP(B132,'Data Core CPI'!$A:$AX,MATCH($U$1,'Data Core CPI'!$A$1:$AX$1,),)-VLOOKUP(EDATE(B132,-12),'Data Core CPI'!$A:$AX,MATCH($U$1,'Data Core CPI'!$A$1:$AX$1,),))/VLOOKUP(EDATE(B132,-12),'Data Core CPI'!$A:$AX,MATCH($U$1,'Data Core CPI'!$A$1:$AX$1,),))</f>
        <v/>
      </c>
      <c r="V132" s="20">
        <f>(VLOOKUP(B132,'Data Core CPI'!$A:$AX,MATCH($V$1,'Data Core CPI'!$A$1:$AX$1,),)-VLOOKUP(EDATE(B132,-12),'Data Core CPI'!$A:$AX,MATCH($V$1,'Data Core CPI'!$A$1:$AX$1,),))/VLOOKUP(EDATE(B132,-12),'Data Core CPI'!$A:$AX,MATCH($V$1,'Data Core CPI'!$A$1:$AX$1,),)</f>
        <v/>
      </c>
      <c r="W132" s="20">
        <f>IF(VLOOKUP(B132,'Data Core CPI'!$A:$AX,MATCH($W$1,'Data Core CPI'!$A$1:$AX$1,),)=0,#N/A,(VLOOKUP(B132,'Data Core CPI'!$A:$AX,MATCH($W$1,'Data Core CPI'!$A$1:$AX$1,),)-VLOOKUP(EDATE(B132,-12),'Data Core CPI'!$A:$AX,MATCH($W$1,'Data Core CPI'!$A$1:$AX$1,),))/VLOOKUP(EDATE(B132,-12),'Data Core CPI'!$A:$AX,MATCH($W$1,'Data Core CPI'!$A$1:$AX$1,),))</f>
        <v/>
      </c>
      <c r="X132" s="20">
        <f>IF(VLOOKUP(B132,'Data Core CPI'!$A:$AX,MATCH($X$1,'Data Core CPI'!$A$1:$AX$1,),)=0,#N/A,(VLOOKUP(B132,'Data Core CPI'!$A:$AX,MATCH($X$1,'Data Core CPI'!$A$1:$AX$1,),)-VLOOKUP(EDATE(B132,-12),'Data Core CPI'!$A:$AX,MATCH($X$1,'Data Core CPI'!$A$1:$AX$1,),))/VLOOKUP(EDATE(B132,-12),'Data Core CPI'!$A:$AX,MATCH($X$1,'Data Core CPI'!$A$1:$AX$1,),))</f>
        <v/>
      </c>
      <c r="Y132" s="20">
        <f>IF(VLOOKUP(B132,'Data Core CPI'!$A:$AX,MATCH($Y$1,'Data Core CPI'!$A$1:$AX$1,),)=0,#N/A,(VLOOKUP(B132,'Data Core CPI'!$A:$AX,MATCH($Y$1,'Data Core CPI'!$A$1:$AX$1,),)-VLOOKUP(EDATE(B132,-12),'Data Core CPI'!$A:$AX,MATCH($Y$1,'Data Core CPI'!$A$1:$AX$1,),))/VLOOKUP(EDATE(B132,-12),'Data Core CPI'!$A:$AX,MATCH($Y$1,'Data Core CPI'!$A$1:$AX$1,),))</f>
        <v/>
      </c>
    </row>
    <row r="133" customFormat="1" s="78">
      <c r="B133" s="15" t="n">
        <v>44256</v>
      </c>
      <c r="C133" s="20">
        <f>IF(VLOOKUP(B133,'Data Core CPI'!$A:$AX,MATCH($C$1,'Data Core CPI'!$A$1:$AX$1,),)=0,#N/A,(VLOOKUP(B133,'Data Core CPI'!$A:$AX,MATCH($C$1,'Data Core CPI'!$A$1:$AX$1,),)-VLOOKUP(EDATE(B133,-12),'Data Core CPI'!$A:$AX,MATCH($C$1,'Data Core CPI'!$A$1:$AX$1,),))/VLOOKUP(EDATE(B133,-12),'Data Core CPI'!$A:$AX,MATCH($C$1,'Data Core CPI'!$A$1:$AX$1,),))</f>
        <v/>
      </c>
      <c r="D133" s="20">
        <f>(VLOOKUP(B133,'Data Core CPI'!$A:$AX,MATCH($D$1,'Data Core CPI'!$A$1:$AX$1,),)-VLOOKUP(EDATE(B133,-12),'Data Core CPI'!$A:$AX,MATCH($D$1,'Data Core CPI'!$A$1:$AX$1,),))/VLOOKUP(EDATE(B133,-12),'Data Core CPI'!$A:$AX,MATCH($D$1,'Data Core CPI'!$A$1:$AX$1,),)</f>
        <v/>
      </c>
      <c r="E133" s="20">
        <f>IF(VLOOKUP(B133,'Data Core CPI'!$A:$AX,MATCH($E$1,'Data Core CPI'!$A$1:$AX$1,),)=0,#N/A,(VLOOKUP(B133,'Data Core CPI'!$A:$AX,MATCH($E$1,'Data Core CPI'!$A$1:$AX$1,),)-VLOOKUP(EDATE(B133,-12),'Data Core CPI'!$A:$AX,MATCH($E$1,'Data Core CPI'!$A$1:$AX$1,),))/VLOOKUP(EDATE(B133,-12),'Data Core CPI'!$A:$AX,MATCH($E$1,'Data Core CPI'!$A$1:$AX$1,),))</f>
        <v/>
      </c>
      <c r="F133" s="20">
        <f>IF(VLOOKUP(B133,'Data Core CPI'!$A:$AX,MATCH($F$1,'Data Core CPI'!$A$1:$AX$1,),)=0,#N/A,(VLOOKUP(B133,'Data Core CPI'!$A:$AX,MATCH($F$1,'Data Core CPI'!$A$1:$AX$1,),)-VLOOKUP(EDATE(B133,-12),'Data Core CPI'!$A:$AX,MATCH($F$1,'Data Core CPI'!$A$1:$AX$1,),))/VLOOKUP(EDATE(B133,-12),'Data Core CPI'!$A:$AX,MATCH($F$1,'Data Core CPI'!$A$1:$AX$1,),))</f>
        <v/>
      </c>
      <c r="G133" s="20">
        <f>IF(VLOOKUP(B133,'Data Core CPI'!$A:$AX,MATCH($G$1,'Data Core CPI'!$A$1:$AX$1,),)=0,#N/A,(VLOOKUP(B133,'Data Core CPI'!$A:$AX,MATCH($G$1,'Data Core CPI'!$A$1:$AX$1,),)-VLOOKUP(EDATE(B133,-12),'Data Core CPI'!$A:$AX,MATCH($G$1,'Data Core CPI'!$A$1:$AX$1,),))/VLOOKUP(EDATE(B133,-12),'Data Core CPI'!$A:$AX,MATCH($G$1,'Data Core CPI'!$A$1:$AX$1,),))</f>
        <v/>
      </c>
      <c r="H133" s="20">
        <f>IF(VLOOKUP(B133,'Data Core CPI'!$A:$AX,MATCH($H$1,'Data Core CPI'!$A$1:$AX$1,),)=0,#N/A,(VLOOKUP(B133,'Data Core CPI'!$A:$AX,MATCH($H$1,'Data Core CPI'!$A$1:$AX$1,),)-VLOOKUP(EDATE(B133,-12),'Data Core CPI'!$A:$AX,MATCH($H$1,'Data Core CPI'!$A$1:$AX$1,),))/VLOOKUP(EDATE(B133,-12),'Data Core CPI'!$A:$AX,MATCH($H$1,'Data Core CPI'!$A$1:$AX$1,),))</f>
        <v/>
      </c>
      <c r="I133" s="20">
        <f>IF(VLOOKUP(B133,'Data Core CPI'!$A:$AX,MATCH($I$1,'Data Core CPI'!$A$1:$AX$1,),)=0,#N/A,(VLOOKUP(B133,'Data Core CPI'!$A:$AX,MATCH($I$1,'Data Core CPI'!$A$1:$AX$1,),)-VLOOKUP(EDATE(B133,-12),'Data Core CPI'!$A:$AX,MATCH($I$1,'Data Core CPI'!$A$1:$AX$1,),))/VLOOKUP(EDATE(B133,-12),'Data Core CPI'!$A:$AX,MATCH($I$1,'Data Core CPI'!$A$1:$AX$1,),))</f>
        <v/>
      </c>
      <c r="J133" s="20">
        <f>IF(VLOOKUP(B133,'Data Core CPI'!$A:$AX,MATCH($J$1,'Data Core CPI'!$A$1:$AX$1,),)=0,#N/A,(VLOOKUP(B133,'Data Core CPI'!$A:$AX,MATCH($J$1,'Data Core CPI'!$A$1:$AX$1,),)-VLOOKUP(EDATE(B133,-12),'Data Core CPI'!$A:$AX,MATCH($J$1,'Data Core CPI'!$A$1:$AX$1,),))/VLOOKUP(EDATE(B133,-12),'Data Core CPI'!$A:$AX,MATCH($J$1,'Data Core CPI'!$A$1:$AX$1,),))</f>
        <v/>
      </c>
      <c r="K133" s="20">
        <f>IF(VLOOKUP(B133,'Data Core CPI'!$A:$AX,MATCH($K$1,'Data Core CPI'!$A$1:$AX$1,),)=0,#N/A,(VLOOKUP(B133,'Data Core CPI'!$A:$AX,MATCH($K$1,'Data Core CPI'!$A$1:$AX$1,),)-VLOOKUP(EDATE(B133,-12),'Data Core CPI'!$A:$AX,MATCH($K$1,'Data Core CPI'!$A$1:$AX$1,),))/VLOOKUP(EDATE(B133,-12),'Data Core CPI'!$A:$AX,MATCH($K$1,'Data Core CPI'!$A$1:$AX$1,),))</f>
        <v/>
      </c>
      <c r="L133" s="20">
        <f>IF(VLOOKUP(B133,'Data Core CPI'!$A:$AX,MATCH($L$1,'Data Core CPI'!$A$1:$AX$1,),)=0,#N/A,(VLOOKUP(B133,'Data Core CPI'!$A:$AX,MATCH($L$1,'Data Core CPI'!$A$1:$AX$1,),)-VLOOKUP(EDATE(B133,-12),'Data Core CPI'!$A:$AX,MATCH($L$1,'Data Core CPI'!$A$1:$AX$1,),))/VLOOKUP(EDATE(B133,-12),'Data Core CPI'!$A:$AX,MATCH($L$1,'Data Core CPI'!$A$1:$AX$1,),))</f>
        <v/>
      </c>
      <c r="M133" s="20">
        <f>IF(VLOOKUP(B133,'Data Core CPI'!$A:$AX,MATCH($M$1,'Data Core CPI'!$A$1:$AX$1,),)=0,#N/A,(VLOOKUP(B133,'Data Core CPI'!$A:$AX,MATCH($M$1,'Data Core CPI'!$A$1:$AX$1,),)-VLOOKUP(EDATE(B133,-12),'Data Core CPI'!$A:$AX,MATCH($M$1,'Data Core CPI'!$A$1:$AX$1,),))/VLOOKUP(EDATE(B133,-12),'Data Core CPI'!$A:$AX,MATCH($M$1,'Data Core CPI'!$A$1:$AX$1,),))</f>
        <v/>
      </c>
      <c r="N133" s="20">
        <f>(VLOOKUP(B133,'Data Core CPI'!$A:$AX,MATCH($N$1,'Data Core CPI'!$A$1:$AX$1,),)-VLOOKUP(EDATE(B133,-12),'Data Core CPI'!$A:$AX,MATCH($N$1,'Data Core CPI'!$A$1:$AX$1,),))/VLOOKUP(EDATE(B133,-12),'Data Core CPI'!$A:$AX,MATCH($N$1,'Data Core CPI'!$A$1:$AX$1,),)</f>
        <v/>
      </c>
      <c r="O133" s="20">
        <f>(VLOOKUP(B133,'Data Core CPI'!$A:$AX,MATCH($O$1,'Data Core CPI'!$A$1:$AX$1,),)-VLOOKUP(EDATE(B133,-12),'Data Core CPI'!$A:$AX,MATCH($O$1,'Data Core CPI'!$A$1:$AX$1,),))/VLOOKUP(EDATE(B133,-12),'Data Core CPI'!$A:$AX,MATCH($O$1,'Data Core CPI'!$A$1:$AX$1,),)</f>
        <v/>
      </c>
      <c r="P133" s="20">
        <f>IF(VLOOKUP(B133,'Data Core CPI'!$A:$AX,MATCH($P$1,'Data Core CPI'!$A$1:$AX$1,),)=0,#N/A,(VLOOKUP(B133,'Data Core CPI'!$A:$AX,MATCH($P$1,'Data Core CPI'!$A$1:$AX$1,),)-VLOOKUP(EDATE(B133,-12),'Data Core CPI'!$A:$AX,MATCH($P$1,'Data Core CPI'!$A$1:$AX$1,),))/VLOOKUP(EDATE(B133,-12),'Data Core CPI'!$A:$AX,MATCH($P$1,'Data Core CPI'!$A$1:$AX$1,),))</f>
        <v/>
      </c>
      <c r="Q133" s="20">
        <f>(VLOOKUP(B133,'Data Core CPI'!$A:$AX,MATCH($Q$1,'Data Core CPI'!$A$1:$AX$1,),)-VLOOKUP(EDATE(B133,-12),'Data Core CPI'!$A:$AX,MATCH($Q$1,'Data Core CPI'!$A$1:$AX$1,),))/VLOOKUP(EDATE(B133,-12),'Data Core CPI'!$A:$AX,MATCH($Q$1,'Data Core CPI'!$A$1:$AX$1,),)</f>
        <v/>
      </c>
      <c r="R133" s="20">
        <f>IF(VLOOKUP(B133,'Data Core CPI'!$A:$AX,MATCH($R$1,'Data Core CPI'!$A$1:$AX$1,),)=0,#N/A,(VLOOKUP(B133,'Data Core CPI'!$A:$AX,MATCH($R$1,'Data Core CPI'!$A$1:$AX$1,),)-VLOOKUP(EDATE(B133,-12),'Data Core CPI'!$A:$AX,MATCH($R$1,'Data Core CPI'!$A$1:$AX$1,),))/VLOOKUP(EDATE(B133,-12),'Data Core CPI'!$A:$AX,MATCH($R$1,'Data Core CPI'!$A$1:$AX$1,),))</f>
        <v/>
      </c>
      <c r="S133" s="20">
        <f>(VLOOKUP(B133,'Data Core CPI'!$A:$AX,MATCH($S$1,'Data Core CPI'!$A$1:$AX$1,),)-VLOOKUP(EDATE(B133,-12),'Data Core CPI'!$A:$AX,MATCH($S$1,'Data Core CPI'!$A$1:$AX$1,),))/VLOOKUP(EDATE(B133,-12),'Data Core CPI'!$A:$AX,MATCH($S$1,'Data Core CPI'!$A$1:$AX$1,),)</f>
        <v/>
      </c>
      <c r="T133" s="20">
        <f>(VLOOKUP(B133,'Data Core CPI'!$A:$AX,MATCH($T$1,'Data Core CPI'!$A$1:$AX$1,),)-VLOOKUP(EDATE(B133,-12),'Data Core CPI'!$A:$AX,MATCH($T$1,'Data Core CPI'!$A$1:$AX$1,),))/VLOOKUP(EDATE(B133,-12),'Data Core CPI'!$A:$AX,MATCH($T$1,'Data Core CPI'!$A$1:$AX$1,),)</f>
        <v/>
      </c>
      <c r="U133" s="20">
        <f>IF(VLOOKUP(B133,'Data Core CPI'!$A:$AX,MATCH($U$1,'Data Core CPI'!$A$1:$AX$1,),)=0,#N/A,(VLOOKUP(B133,'Data Core CPI'!$A:$AX,MATCH($U$1,'Data Core CPI'!$A$1:$AX$1,),)-VLOOKUP(EDATE(B133,-12),'Data Core CPI'!$A:$AX,MATCH($U$1,'Data Core CPI'!$A$1:$AX$1,),))/VLOOKUP(EDATE(B133,-12),'Data Core CPI'!$A:$AX,MATCH($U$1,'Data Core CPI'!$A$1:$AX$1,),))</f>
        <v/>
      </c>
      <c r="V133" s="20">
        <f>(VLOOKUP(B133,'Data Core CPI'!$A:$AX,MATCH($V$1,'Data Core CPI'!$A$1:$AX$1,),)-VLOOKUP(EDATE(B133,-12),'Data Core CPI'!$A:$AX,MATCH($V$1,'Data Core CPI'!$A$1:$AX$1,),))/VLOOKUP(EDATE(B133,-12),'Data Core CPI'!$A:$AX,MATCH($V$1,'Data Core CPI'!$A$1:$AX$1,),)</f>
        <v/>
      </c>
      <c r="W133" s="20">
        <f>IF(VLOOKUP(B133,'Data Core CPI'!$A:$AX,MATCH($W$1,'Data Core CPI'!$A$1:$AX$1,),)=0,#N/A,(VLOOKUP(B133,'Data Core CPI'!$A:$AX,MATCH($W$1,'Data Core CPI'!$A$1:$AX$1,),)-VLOOKUP(EDATE(B133,-12),'Data Core CPI'!$A:$AX,MATCH($W$1,'Data Core CPI'!$A$1:$AX$1,),))/VLOOKUP(EDATE(B133,-12),'Data Core CPI'!$A:$AX,MATCH($W$1,'Data Core CPI'!$A$1:$AX$1,),))</f>
        <v/>
      </c>
      <c r="X133" s="20">
        <f>IF(VLOOKUP(B133,'Data Core CPI'!$A:$AX,MATCH($X$1,'Data Core CPI'!$A$1:$AX$1,),)=0,#N/A,(VLOOKUP(B133,'Data Core CPI'!$A:$AX,MATCH($X$1,'Data Core CPI'!$A$1:$AX$1,),)-VLOOKUP(EDATE(B133,-12),'Data Core CPI'!$A:$AX,MATCH($X$1,'Data Core CPI'!$A$1:$AX$1,),))/VLOOKUP(EDATE(B133,-12),'Data Core CPI'!$A:$AX,MATCH($X$1,'Data Core CPI'!$A$1:$AX$1,),))</f>
        <v/>
      </c>
      <c r="Y133" s="20">
        <f>IF(VLOOKUP(B133,'Data Core CPI'!$A:$AX,MATCH($Y$1,'Data Core CPI'!$A$1:$AX$1,),)=0,#N/A,(VLOOKUP(B133,'Data Core CPI'!$A:$AX,MATCH($Y$1,'Data Core CPI'!$A$1:$AX$1,),)-VLOOKUP(EDATE(B133,-12),'Data Core CPI'!$A:$AX,MATCH($Y$1,'Data Core CPI'!$A$1:$AX$1,),))/VLOOKUP(EDATE(B133,-12),'Data Core CPI'!$A:$AX,MATCH($Y$1,'Data Core CPI'!$A$1:$AX$1,),))</f>
        <v/>
      </c>
    </row>
    <row r="134" customFormat="1" s="78">
      <c r="B134" s="15" t="n">
        <v>44287</v>
      </c>
      <c r="C134" s="20">
        <f>IF(VLOOKUP(B134,'Data Core CPI'!$A:$AX,MATCH($C$1,'Data Core CPI'!$A$1:$AX$1,),)=0,#N/A,(VLOOKUP(B134,'Data Core CPI'!$A:$AX,MATCH($C$1,'Data Core CPI'!$A$1:$AX$1,),)-VLOOKUP(EDATE(B134,-12),'Data Core CPI'!$A:$AX,MATCH($C$1,'Data Core CPI'!$A$1:$AX$1,),))/VLOOKUP(EDATE(B134,-12),'Data Core CPI'!$A:$AX,MATCH($C$1,'Data Core CPI'!$A$1:$AX$1,),))</f>
        <v/>
      </c>
      <c r="D134" s="20">
        <f>(VLOOKUP(B134,'Data Core CPI'!$A:$AX,MATCH($D$1,'Data Core CPI'!$A$1:$AX$1,),)-VLOOKUP(EDATE(B134,-12),'Data Core CPI'!$A:$AX,MATCH($D$1,'Data Core CPI'!$A$1:$AX$1,),))/VLOOKUP(EDATE(B134,-12),'Data Core CPI'!$A:$AX,MATCH($D$1,'Data Core CPI'!$A$1:$AX$1,),)</f>
        <v/>
      </c>
      <c r="E134" s="20">
        <f>IF(VLOOKUP(B134,'Data Core CPI'!$A:$AX,MATCH($E$1,'Data Core CPI'!$A$1:$AX$1,),)=0,#N/A,(VLOOKUP(B134,'Data Core CPI'!$A:$AX,MATCH($E$1,'Data Core CPI'!$A$1:$AX$1,),)-VLOOKUP(EDATE(B134,-12),'Data Core CPI'!$A:$AX,MATCH($E$1,'Data Core CPI'!$A$1:$AX$1,),))/VLOOKUP(EDATE(B134,-12),'Data Core CPI'!$A:$AX,MATCH($E$1,'Data Core CPI'!$A$1:$AX$1,),))</f>
        <v/>
      </c>
      <c r="F134" s="20">
        <f>IF(VLOOKUP(B134,'Data Core CPI'!$A:$AX,MATCH($F$1,'Data Core CPI'!$A$1:$AX$1,),)=0,#N/A,(VLOOKUP(B134,'Data Core CPI'!$A:$AX,MATCH($F$1,'Data Core CPI'!$A$1:$AX$1,),)-VLOOKUP(EDATE(B134,-12),'Data Core CPI'!$A:$AX,MATCH($F$1,'Data Core CPI'!$A$1:$AX$1,),))/VLOOKUP(EDATE(B134,-12),'Data Core CPI'!$A:$AX,MATCH($F$1,'Data Core CPI'!$A$1:$AX$1,),))</f>
        <v/>
      </c>
      <c r="G134" s="20">
        <f>IF(VLOOKUP(B134,'Data Core CPI'!$A:$AX,MATCH($G$1,'Data Core CPI'!$A$1:$AX$1,),)=0,#N/A,(VLOOKUP(B134,'Data Core CPI'!$A:$AX,MATCH($G$1,'Data Core CPI'!$A$1:$AX$1,),)-VLOOKUP(EDATE(B134,-12),'Data Core CPI'!$A:$AX,MATCH($G$1,'Data Core CPI'!$A$1:$AX$1,),))/VLOOKUP(EDATE(B134,-12),'Data Core CPI'!$A:$AX,MATCH($G$1,'Data Core CPI'!$A$1:$AX$1,),))</f>
        <v/>
      </c>
      <c r="H134" s="20">
        <f>IF(VLOOKUP(B134,'Data Core CPI'!$A:$AX,MATCH($H$1,'Data Core CPI'!$A$1:$AX$1,),)=0,#N/A,(VLOOKUP(B134,'Data Core CPI'!$A:$AX,MATCH($H$1,'Data Core CPI'!$A$1:$AX$1,),)-VLOOKUP(EDATE(B134,-12),'Data Core CPI'!$A:$AX,MATCH($H$1,'Data Core CPI'!$A$1:$AX$1,),))/VLOOKUP(EDATE(B134,-12),'Data Core CPI'!$A:$AX,MATCH($H$1,'Data Core CPI'!$A$1:$AX$1,),))</f>
        <v/>
      </c>
      <c r="I134" s="20">
        <f>IF(VLOOKUP(B134,'Data Core CPI'!$A:$AX,MATCH($I$1,'Data Core CPI'!$A$1:$AX$1,),)=0,#N/A,(VLOOKUP(B134,'Data Core CPI'!$A:$AX,MATCH($I$1,'Data Core CPI'!$A$1:$AX$1,),)-VLOOKUP(EDATE(B134,-12),'Data Core CPI'!$A:$AX,MATCH($I$1,'Data Core CPI'!$A$1:$AX$1,),))/VLOOKUP(EDATE(B134,-12),'Data Core CPI'!$A:$AX,MATCH($I$1,'Data Core CPI'!$A$1:$AX$1,),))</f>
        <v/>
      </c>
      <c r="J134" s="20">
        <f>IF(VLOOKUP(B134,'Data Core CPI'!$A:$AX,MATCH($J$1,'Data Core CPI'!$A$1:$AX$1,),)=0,#N/A,(VLOOKUP(B134,'Data Core CPI'!$A:$AX,MATCH($J$1,'Data Core CPI'!$A$1:$AX$1,),)-VLOOKUP(EDATE(B134,-12),'Data Core CPI'!$A:$AX,MATCH($J$1,'Data Core CPI'!$A$1:$AX$1,),))/VLOOKUP(EDATE(B134,-12),'Data Core CPI'!$A:$AX,MATCH($J$1,'Data Core CPI'!$A$1:$AX$1,),))</f>
        <v/>
      </c>
      <c r="K134" s="20">
        <f>IF(VLOOKUP(B134,'Data Core CPI'!$A:$AX,MATCH($K$1,'Data Core CPI'!$A$1:$AX$1,),)=0,#N/A,(VLOOKUP(B134,'Data Core CPI'!$A:$AX,MATCH($K$1,'Data Core CPI'!$A$1:$AX$1,),)-VLOOKUP(EDATE(B134,-12),'Data Core CPI'!$A:$AX,MATCH($K$1,'Data Core CPI'!$A$1:$AX$1,),))/VLOOKUP(EDATE(B134,-12),'Data Core CPI'!$A:$AX,MATCH($K$1,'Data Core CPI'!$A$1:$AX$1,),))</f>
        <v/>
      </c>
      <c r="L134" s="20">
        <f>IF(VLOOKUP(B134,'Data Core CPI'!$A:$AX,MATCH($L$1,'Data Core CPI'!$A$1:$AX$1,),)=0,#N/A,(VLOOKUP(B134,'Data Core CPI'!$A:$AX,MATCH($L$1,'Data Core CPI'!$A$1:$AX$1,),)-VLOOKUP(EDATE(B134,-12),'Data Core CPI'!$A:$AX,MATCH($L$1,'Data Core CPI'!$A$1:$AX$1,),))/VLOOKUP(EDATE(B134,-12),'Data Core CPI'!$A:$AX,MATCH($L$1,'Data Core CPI'!$A$1:$AX$1,),))</f>
        <v/>
      </c>
      <c r="M134" s="20">
        <f>IF(VLOOKUP(B134,'Data Core CPI'!$A:$AX,MATCH($M$1,'Data Core CPI'!$A$1:$AX$1,),)=0,#N/A,(VLOOKUP(B134,'Data Core CPI'!$A:$AX,MATCH($M$1,'Data Core CPI'!$A$1:$AX$1,),)-VLOOKUP(EDATE(B134,-12),'Data Core CPI'!$A:$AX,MATCH($M$1,'Data Core CPI'!$A$1:$AX$1,),))/VLOOKUP(EDATE(B134,-12),'Data Core CPI'!$A:$AX,MATCH($M$1,'Data Core CPI'!$A$1:$AX$1,),))</f>
        <v/>
      </c>
      <c r="N134" s="20">
        <f>(VLOOKUP(B134,'Data Core CPI'!$A:$AX,MATCH($N$1,'Data Core CPI'!$A$1:$AX$1,),)-VLOOKUP(EDATE(B134,-12),'Data Core CPI'!$A:$AX,MATCH($N$1,'Data Core CPI'!$A$1:$AX$1,),))/VLOOKUP(EDATE(B134,-12),'Data Core CPI'!$A:$AX,MATCH($N$1,'Data Core CPI'!$A$1:$AX$1,),)</f>
        <v/>
      </c>
      <c r="O134" s="20">
        <f>(VLOOKUP(B134,'Data Core CPI'!$A:$AX,MATCH($O$1,'Data Core CPI'!$A$1:$AX$1,),)-VLOOKUP(EDATE(B134,-12),'Data Core CPI'!$A:$AX,MATCH($O$1,'Data Core CPI'!$A$1:$AX$1,),))/VLOOKUP(EDATE(B134,-12),'Data Core CPI'!$A:$AX,MATCH($O$1,'Data Core CPI'!$A$1:$AX$1,),)</f>
        <v/>
      </c>
      <c r="P134" s="20">
        <f>IF(VLOOKUP(B134,'Data Core CPI'!$A:$AX,MATCH($P$1,'Data Core CPI'!$A$1:$AX$1,),)=0,#N/A,(VLOOKUP(B134,'Data Core CPI'!$A:$AX,MATCH($P$1,'Data Core CPI'!$A$1:$AX$1,),)-VLOOKUP(EDATE(B134,-12),'Data Core CPI'!$A:$AX,MATCH($P$1,'Data Core CPI'!$A$1:$AX$1,),))/VLOOKUP(EDATE(B134,-12),'Data Core CPI'!$A:$AX,MATCH($P$1,'Data Core CPI'!$A$1:$AX$1,),))</f>
        <v/>
      </c>
      <c r="Q134" s="20">
        <f>(VLOOKUP(B134,'Data Core CPI'!$A:$AX,MATCH($Q$1,'Data Core CPI'!$A$1:$AX$1,),)-VLOOKUP(EDATE(B134,-12),'Data Core CPI'!$A:$AX,MATCH($Q$1,'Data Core CPI'!$A$1:$AX$1,),))/VLOOKUP(EDATE(B134,-12),'Data Core CPI'!$A:$AX,MATCH($Q$1,'Data Core CPI'!$A$1:$AX$1,),)</f>
        <v/>
      </c>
      <c r="R134" s="20">
        <f>IF(VLOOKUP(B134,'Data Core CPI'!$A:$AX,MATCH($R$1,'Data Core CPI'!$A$1:$AX$1,),)=0,#N/A,(VLOOKUP(B134,'Data Core CPI'!$A:$AX,MATCH($R$1,'Data Core CPI'!$A$1:$AX$1,),)-VLOOKUP(EDATE(B134,-12),'Data Core CPI'!$A:$AX,MATCH($R$1,'Data Core CPI'!$A$1:$AX$1,),))/VLOOKUP(EDATE(B134,-12),'Data Core CPI'!$A:$AX,MATCH($R$1,'Data Core CPI'!$A$1:$AX$1,),))</f>
        <v/>
      </c>
      <c r="S134" s="20">
        <f>(VLOOKUP(B134,'Data Core CPI'!$A:$AX,MATCH($S$1,'Data Core CPI'!$A$1:$AX$1,),)-VLOOKUP(EDATE(B134,-12),'Data Core CPI'!$A:$AX,MATCH($S$1,'Data Core CPI'!$A$1:$AX$1,),))/VLOOKUP(EDATE(B134,-12),'Data Core CPI'!$A:$AX,MATCH($S$1,'Data Core CPI'!$A$1:$AX$1,),)</f>
        <v/>
      </c>
      <c r="T134" s="20">
        <f>(VLOOKUP(B134,'Data Core CPI'!$A:$AX,MATCH($T$1,'Data Core CPI'!$A$1:$AX$1,),)-VLOOKUP(EDATE(B134,-12),'Data Core CPI'!$A:$AX,MATCH($T$1,'Data Core CPI'!$A$1:$AX$1,),))/VLOOKUP(EDATE(B134,-12),'Data Core CPI'!$A:$AX,MATCH($T$1,'Data Core CPI'!$A$1:$AX$1,),)</f>
        <v/>
      </c>
      <c r="U134" s="20">
        <f>IF(VLOOKUP(B134,'Data Core CPI'!$A:$AX,MATCH($U$1,'Data Core CPI'!$A$1:$AX$1,),)=0,#N/A,(VLOOKUP(B134,'Data Core CPI'!$A:$AX,MATCH($U$1,'Data Core CPI'!$A$1:$AX$1,),)-VLOOKUP(EDATE(B134,-12),'Data Core CPI'!$A:$AX,MATCH($U$1,'Data Core CPI'!$A$1:$AX$1,),))/VLOOKUP(EDATE(B134,-12),'Data Core CPI'!$A:$AX,MATCH($U$1,'Data Core CPI'!$A$1:$AX$1,),))</f>
        <v/>
      </c>
      <c r="V134" s="20">
        <f>(VLOOKUP(B134,'Data Core CPI'!$A:$AX,MATCH($V$1,'Data Core CPI'!$A$1:$AX$1,),)-VLOOKUP(EDATE(B134,-12),'Data Core CPI'!$A:$AX,MATCH($V$1,'Data Core CPI'!$A$1:$AX$1,),))/VLOOKUP(EDATE(B134,-12),'Data Core CPI'!$A:$AX,MATCH($V$1,'Data Core CPI'!$A$1:$AX$1,),)</f>
        <v/>
      </c>
      <c r="W134" s="20">
        <f>IF(VLOOKUP(B134,'Data Core CPI'!$A:$AX,MATCH($W$1,'Data Core CPI'!$A$1:$AX$1,),)=0,#N/A,(VLOOKUP(B134,'Data Core CPI'!$A:$AX,MATCH($W$1,'Data Core CPI'!$A$1:$AX$1,),)-VLOOKUP(EDATE(B134,-12),'Data Core CPI'!$A:$AX,MATCH($W$1,'Data Core CPI'!$A$1:$AX$1,),))/VLOOKUP(EDATE(B134,-12),'Data Core CPI'!$A:$AX,MATCH($W$1,'Data Core CPI'!$A$1:$AX$1,),))</f>
        <v/>
      </c>
      <c r="X134" s="20">
        <f>IF(VLOOKUP(B134,'Data Core CPI'!$A:$AX,MATCH($X$1,'Data Core CPI'!$A$1:$AX$1,),)=0,#N/A,(VLOOKUP(B134,'Data Core CPI'!$A:$AX,MATCH($X$1,'Data Core CPI'!$A$1:$AX$1,),)-VLOOKUP(EDATE(B134,-12),'Data Core CPI'!$A:$AX,MATCH($X$1,'Data Core CPI'!$A$1:$AX$1,),))/VLOOKUP(EDATE(B134,-12),'Data Core CPI'!$A:$AX,MATCH($X$1,'Data Core CPI'!$A$1:$AX$1,),))</f>
        <v/>
      </c>
      <c r="Y134" s="20">
        <f>IF(VLOOKUP(B134,'Data Core CPI'!$A:$AX,MATCH($Y$1,'Data Core CPI'!$A$1:$AX$1,),)=0,#N/A,(VLOOKUP(B134,'Data Core CPI'!$A:$AX,MATCH($Y$1,'Data Core CPI'!$A$1:$AX$1,),)-VLOOKUP(EDATE(B134,-12),'Data Core CPI'!$A:$AX,MATCH($Y$1,'Data Core CPI'!$A$1:$AX$1,),))/VLOOKUP(EDATE(B134,-12),'Data Core CPI'!$A:$AX,MATCH($Y$1,'Data Core CPI'!$A$1:$AX$1,),))</f>
        <v/>
      </c>
    </row>
    <row r="135" customFormat="1" s="78">
      <c r="B135" s="15" t="n">
        <v>44317</v>
      </c>
      <c r="C135" s="20">
        <f>IF(VLOOKUP(B135,'Data Core CPI'!$A:$AX,MATCH($C$1,'Data Core CPI'!$A$1:$AX$1,),)=0,#N/A,(VLOOKUP(B135,'Data Core CPI'!$A:$AX,MATCH($C$1,'Data Core CPI'!$A$1:$AX$1,),)-VLOOKUP(EDATE(B135,-12),'Data Core CPI'!$A:$AX,MATCH($C$1,'Data Core CPI'!$A$1:$AX$1,),))/VLOOKUP(EDATE(B135,-12),'Data Core CPI'!$A:$AX,MATCH($C$1,'Data Core CPI'!$A$1:$AX$1,),))</f>
        <v/>
      </c>
      <c r="D135" s="20">
        <f>(VLOOKUP(B135,'Data Core CPI'!$A:$AX,MATCH($D$1,'Data Core CPI'!$A$1:$AX$1,),)-VLOOKUP(EDATE(B135,-12),'Data Core CPI'!$A:$AX,MATCH($D$1,'Data Core CPI'!$A$1:$AX$1,),))/VLOOKUP(EDATE(B135,-12),'Data Core CPI'!$A:$AX,MATCH($D$1,'Data Core CPI'!$A$1:$AX$1,),)</f>
        <v/>
      </c>
      <c r="E135" s="20">
        <f>IF(VLOOKUP(B135,'Data Core CPI'!$A:$AX,MATCH($E$1,'Data Core CPI'!$A$1:$AX$1,),)=0,#N/A,(VLOOKUP(B135,'Data Core CPI'!$A:$AX,MATCH($E$1,'Data Core CPI'!$A$1:$AX$1,),)-VLOOKUP(EDATE(B135,-12),'Data Core CPI'!$A:$AX,MATCH($E$1,'Data Core CPI'!$A$1:$AX$1,),))/VLOOKUP(EDATE(B135,-12),'Data Core CPI'!$A:$AX,MATCH($E$1,'Data Core CPI'!$A$1:$AX$1,),))</f>
        <v/>
      </c>
      <c r="F135" s="20">
        <f>IF(VLOOKUP(B135,'Data Core CPI'!$A:$AX,MATCH($F$1,'Data Core CPI'!$A$1:$AX$1,),)=0,#N/A,(VLOOKUP(B135,'Data Core CPI'!$A:$AX,MATCH($F$1,'Data Core CPI'!$A$1:$AX$1,),)-VLOOKUP(EDATE(B135,-12),'Data Core CPI'!$A:$AX,MATCH($F$1,'Data Core CPI'!$A$1:$AX$1,),))/VLOOKUP(EDATE(B135,-12),'Data Core CPI'!$A:$AX,MATCH($F$1,'Data Core CPI'!$A$1:$AX$1,),))</f>
        <v/>
      </c>
      <c r="G135" s="20">
        <f>IF(VLOOKUP(B135,'Data Core CPI'!$A:$AX,MATCH($G$1,'Data Core CPI'!$A$1:$AX$1,),)=0,#N/A,(VLOOKUP(B135,'Data Core CPI'!$A:$AX,MATCH($G$1,'Data Core CPI'!$A$1:$AX$1,),)-VLOOKUP(EDATE(B135,-12),'Data Core CPI'!$A:$AX,MATCH($G$1,'Data Core CPI'!$A$1:$AX$1,),))/VLOOKUP(EDATE(B135,-12),'Data Core CPI'!$A:$AX,MATCH($G$1,'Data Core CPI'!$A$1:$AX$1,),))</f>
        <v/>
      </c>
      <c r="H135" s="20">
        <f>IF(VLOOKUP(B135,'Data Core CPI'!$A:$AX,MATCH($H$1,'Data Core CPI'!$A$1:$AX$1,),)=0,#N/A,(VLOOKUP(B135,'Data Core CPI'!$A:$AX,MATCH($H$1,'Data Core CPI'!$A$1:$AX$1,),)-VLOOKUP(EDATE(B135,-12),'Data Core CPI'!$A:$AX,MATCH($H$1,'Data Core CPI'!$A$1:$AX$1,),))/VLOOKUP(EDATE(B135,-12),'Data Core CPI'!$A:$AX,MATCH($H$1,'Data Core CPI'!$A$1:$AX$1,),))</f>
        <v/>
      </c>
      <c r="I135" s="20">
        <f>IF(VLOOKUP(B135,'Data Core CPI'!$A:$AX,MATCH($I$1,'Data Core CPI'!$A$1:$AX$1,),)=0,#N/A,(VLOOKUP(B135,'Data Core CPI'!$A:$AX,MATCH($I$1,'Data Core CPI'!$A$1:$AX$1,),)-VLOOKUP(EDATE(B135,-12),'Data Core CPI'!$A:$AX,MATCH($I$1,'Data Core CPI'!$A$1:$AX$1,),))/VLOOKUP(EDATE(B135,-12),'Data Core CPI'!$A:$AX,MATCH($I$1,'Data Core CPI'!$A$1:$AX$1,),))</f>
        <v/>
      </c>
      <c r="J135" s="20">
        <f>IF(VLOOKUP(B135,'Data Core CPI'!$A:$AX,MATCH($J$1,'Data Core CPI'!$A$1:$AX$1,),)=0,#N/A,(VLOOKUP(B135,'Data Core CPI'!$A:$AX,MATCH($J$1,'Data Core CPI'!$A$1:$AX$1,),)-VLOOKUP(EDATE(B135,-12),'Data Core CPI'!$A:$AX,MATCH($J$1,'Data Core CPI'!$A$1:$AX$1,),))/VLOOKUP(EDATE(B135,-12),'Data Core CPI'!$A:$AX,MATCH($J$1,'Data Core CPI'!$A$1:$AX$1,),))</f>
        <v/>
      </c>
      <c r="K135" s="20">
        <f>IF(VLOOKUP(B135,'Data Core CPI'!$A:$AX,MATCH($K$1,'Data Core CPI'!$A$1:$AX$1,),)=0,#N/A,(VLOOKUP(B135,'Data Core CPI'!$A:$AX,MATCH($K$1,'Data Core CPI'!$A$1:$AX$1,),)-VLOOKUP(EDATE(B135,-12),'Data Core CPI'!$A:$AX,MATCH($K$1,'Data Core CPI'!$A$1:$AX$1,),))/VLOOKUP(EDATE(B135,-12),'Data Core CPI'!$A:$AX,MATCH($K$1,'Data Core CPI'!$A$1:$AX$1,),))</f>
        <v/>
      </c>
      <c r="L135" s="20">
        <f>IF(VLOOKUP(B135,'Data Core CPI'!$A:$AX,MATCH($L$1,'Data Core CPI'!$A$1:$AX$1,),)=0,#N/A,(VLOOKUP(B135,'Data Core CPI'!$A:$AX,MATCH($L$1,'Data Core CPI'!$A$1:$AX$1,),)-VLOOKUP(EDATE(B135,-12),'Data Core CPI'!$A:$AX,MATCH($L$1,'Data Core CPI'!$A$1:$AX$1,),))/VLOOKUP(EDATE(B135,-12),'Data Core CPI'!$A:$AX,MATCH($L$1,'Data Core CPI'!$A$1:$AX$1,),))</f>
        <v/>
      </c>
      <c r="M135" s="20">
        <f>IF(VLOOKUP(B135,'Data Core CPI'!$A:$AX,MATCH($M$1,'Data Core CPI'!$A$1:$AX$1,),)=0,#N/A,(VLOOKUP(B135,'Data Core CPI'!$A:$AX,MATCH($M$1,'Data Core CPI'!$A$1:$AX$1,),)-VLOOKUP(EDATE(B135,-12),'Data Core CPI'!$A:$AX,MATCH($M$1,'Data Core CPI'!$A$1:$AX$1,),))/VLOOKUP(EDATE(B135,-12),'Data Core CPI'!$A:$AX,MATCH($M$1,'Data Core CPI'!$A$1:$AX$1,),))</f>
        <v/>
      </c>
      <c r="N135" s="20">
        <f>(VLOOKUP(B135,'Data Core CPI'!$A:$AX,MATCH($N$1,'Data Core CPI'!$A$1:$AX$1,),)-VLOOKUP(EDATE(B135,-12),'Data Core CPI'!$A:$AX,MATCH($N$1,'Data Core CPI'!$A$1:$AX$1,),))/VLOOKUP(EDATE(B135,-12),'Data Core CPI'!$A:$AX,MATCH($N$1,'Data Core CPI'!$A$1:$AX$1,),)</f>
        <v/>
      </c>
      <c r="O135" s="20">
        <f>(VLOOKUP(B135,'Data Core CPI'!$A:$AX,MATCH($O$1,'Data Core CPI'!$A$1:$AX$1,),)-VLOOKUP(EDATE(B135,-12),'Data Core CPI'!$A:$AX,MATCH($O$1,'Data Core CPI'!$A$1:$AX$1,),))/VLOOKUP(EDATE(B135,-12),'Data Core CPI'!$A:$AX,MATCH($O$1,'Data Core CPI'!$A$1:$AX$1,),)</f>
        <v/>
      </c>
      <c r="P135" s="20">
        <f>IF(VLOOKUP(B135,'Data Core CPI'!$A:$AX,MATCH($P$1,'Data Core CPI'!$A$1:$AX$1,),)=0,#N/A,(VLOOKUP(B135,'Data Core CPI'!$A:$AX,MATCH($P$1,'Data Core CPI'!$A$1:$AX$1,),)-VLOOKUP(EDATE(B135,-12),'Data Core CPI'!$A:$AX,MATCH($P$1,'Data Core CPI'!$A$1:$AX$1,),))/VLOOKUP(EDATE(B135,-12),'Data Core CPI'!$A:$AX,MATCH($P$1,'Data Core CPI'!$A$1:$AX$1,),))</f>
        <v/>
      </c>
      <c r="Q135" s="20">
        <f>(VLOOKUP(B135,'Data Core CPI'!$A:$AX,MATCH($Q$1,'Data Core CPI'!$A$1:$AX$1,),)-VLOOKUP(EDATE(B135,-12),'Data Core CPI'!$A:$AX,MATCH($Q$1,'Data Core CPI'!$A$1:$AX$1,),))/VLOOKUP(EDATE(B135,-12),'Data Core CPI'!$A:$AX,MATCH($Q$1,'Data Core CPI'!$A$1:$AX$1,),)</f>
        <v/>
      </c>
      <c r="R135" s="20">
        <f>IF(VLOOKUP(B135,'Data Core CPI'!$A:$AX,MATCH($R$1,'Data Core CPI'!$A$1:$AX$1,),)=0,#N/A,(VLOOKUP(B135,'Data Core CPI'!$A:$AX,MATCH($R$1,'Data Core CPI'!$A$1:$AX$1,),)-VLOOKUP(EDATE(B135,-12),'Data Core CPI'!$A:$AX,MATCH($R$1,'Data Core CPI'!$A$1:$AX$1,),))/VLOOKUP(EDATE(B135,-12),'Data Core CPI'!$A:$AX,MATCH($R$1,'Data Core CPI'!$A$1:$AX$1,),))</f>
        <v/>
      </c>
      <c r="S135" s="20">
        <f>(VLOOKUP(B135,'Data Core CPI'!$A:$AX,MATCH($S$1,'Data Core CPI'!$A$1:$AX$1,),)-VLOOKUP(EDATE(B135,-12),'Data Core CPI'!$A:$AX,MATCH($S$1,'Data Core CPI'!$A$1:$AX$1,),))/VLOOKUP(EDATE(B135,-12),'Data Core CPI'!$A:$AX,MATCH($S$1,'Data Core CPI'!$A$1:$AX$1,),)</f>
        <v/>
      </c>
      <c r="T135" s="20">
        <f>(VLOOKUP(B135,'Data Core CPI'!$A:$AX,MATCH($T$1,'Data Core CPI'!$A$1:$AX$1,),)-VLOOKUP(EDATE(B135,-12),'Data Core CPI'!$A:$AX,MATCH($T$1,'Data Core CPI'!$A$1:$AX$1,),))/VLOOKUP(EDATE(B135,-12),'Data Core CPI'!$A:$AX,MATCH($T$1,'Data Core CPI'!$A$1:$AX$1,),)</f>
        <v/>
      </c>
      <c r="U135" s="20">
        <f>IF(VLOOKUP(B135,'Data Core CPI'!$A:$AX,MATCH($U$1,'Data Core CPI'!$A$1:$AX$1,),)=0,#N/A,(VLOOKUP(B135,'Data Core CPI'!$A:$AX,MATCH($U$1,'Data Core CPI'!$A$1:$AX$1,),)-VLOOKUP(EDATE(B135,-12),'Data Core CPI'!$A:$AX,MATCH($U$1,'Data Core CPI'!$A$1:$AX$1,),))/VLOOKUP(EDATE(B135,-12),'Data Core CPI'!$A:$AX,MATCH($U$1,'Data Core CPI'!$A$1:$AX$1,),))</f>
        <v/>
      </c>
      <c r="V135" s="20">
        <f>(VLOOKUP(B135,'Data Core CPI'!$A:$AX,MATCH($V$1,'Data Core CPI'!$A$1:$AX$1,),)-VLOOKUP(EDATE(B135,-12),'Data Core CPI'!$A:$AX,MATCH($V$1,'Data Core CPI'!$A$1:$AX$1,),))/VLOOKUP(EDATE(B135,-12),'Data Core CPI'!$A:$AX,MATCH($V$1,'Data Core CPI'!$A$1:$AX$1,),)</f>
        <v/>
      </c>
      <c r="W135" s="20">
        <f>IF(VLOOKUP(B135,'Data Core CPI'!$A:$AX,MATCH($W$1,'Data Core CPI'!$A$1:$AX$1,),)=0,#N/A,(VLOOKUP(B135,'Data Core CPI'!$A:$AX,MATCH($W$1,'Data Core CPI'!$A$1:$AX$1,),)-VLOOKUP(EDATE(B135,-12),'Data Core CPI'!$A:$AX,MATCH($W$1,'Data Core CPI'!$A$1:$AX$1,),))/VLOOKUP(EDATE(B135,-12),'Data Core CPI'!$A:$AX,MATCH($W$1,'Data Core CPI'!$A$1:$AX$1,),))</f>
        <v/>
      </c>
      <c r="X135" s="20">
        <f>IF(VLOOKUP(B135,'Data Core CPI'!$A:$AX,MATCH($X$1,'Data Core CPI'!$A$1:$AX$1,),)=0,#N/A,(VLOOKUP(B135,'Data Core CPI'!$A:$AX,MATCH($X$1,'Data Core CPI'!$A$1:$AX$1,),)-VLOOKUP(EDATE(B135,-12),'Data Core CPI'!$A:$AX,MATCH($X$1,'Data Core CPI'!$A$1:$AX$1,),))/VLOOKUP(EDATE(B135,-12),'Data Core CPI'!$A:$AX,MATCH($X$1,'Data Core CPI'!$A$1:$AX$1,),))</f>
        <v/>
      </c>
      <c r="Y135" s="20">
        <f>IF(VLOOKUP(B135,'Data Core CPI'!$A:$AX,MATCH($Y$1,'Data Core CPI'!$A$1:$AX$1,),)=0,#N/A,(VLOOKUP(B135,'Data Core CPI'!$A:$AX,MATCH($Y$1,'Data Core CPI'!$A$1:$AX$1,),)-VLOOKUP(EDATE(B135,-12),'Data Core CPI'!$A:$AX,MATCH($Y$1,'Data Core CPI'!$A$1:$AX$1,),))/VLOOKUP(EDATE(B135,-12),'Data Core CPI'!$A:$AX,MATCH($Y$1,'Data Core CPI'!$A$1:$AX$1,),))</f>
        <v/>
      </c>
    </row>
    <row r="136" customFormat="1" s="78">
      <c r="B136" s="15" t="n">
        <v>44348</v>
      </c>
      <c r="C136" s="20">
        <f>IF(VLOOKUP(B136,'Data Core CPI'!$A:$AX,MATCH($C$1,'Data Core CPI'!$A$1:$AX$1,),)=0,#N/A,(VLOOKUP(B136,'Data Core CPI'!$A:$AX,MATCH($C$1,'Data Core CPI'!$A$1:$AX$1,),)-VLOOKUP(EDATE(B136,-12),'Data Core CPI'!$A:$AX,MATCH($C$1,'Data Core CPI'!$A$1:$AX$1,),))/VLOOKUP(EDATE(B136,-12),'Data Core CPI'!$A:$AX,MATCH($C$1,'Data Core CPI'!$A$1:$AX$1,),))</f>
        <v/>
      </c>
      <c r="D136" s="20">
        <f>(VLOOKUP(B136,'Data Core CPI'!$A:$AX,MATCH($D$1,'Data Core CPI'!$A$1:$AX$1,),)-VLOOKUP(EDATE(B136,-12),'Data Core CPI'!$A:$AX,MATCH($D$1,'Data Core CPI'!$A$1:$AX$1,),))/VLOOKUP(EDATE(B136,-12),'Data Core CPI'!$A:$AX,MATCH($D$1,'Data Core CPI'!$A$1:$AX$1,),)</f>
        <v/>
      </c>
      <c r="E136" s="20">
        <f>IF(VLOOKUP(B136,'Data Core CPI'!$A:$AX,MATCH($E$1,'Data Core CPI'!$A$1:$AX$1,),)=0,#N/A,(VLOOKUP(B136,'Data Core CPI'!$A:$AX,MATCH($E$1,'Data Core CPI'!$A$1:$AX$1,),)-VLOOKUP(EDATE(B136,-12),'Data Core CPI'!$A:$AX,MATCH($E$1,'Data Core CPI'!$A$1:$AX$1,),))/VLOOKUP(EDATE(B136,-12),'Data Core CPI'!$A:$AX,MATCH($E$1,'Data Core CPI'!$A$1:$AX$1,),))</f>
        <v/>
      </c>
      <c r="F136" s="20">
        <f>IF(VLOOKUP(B136,'Data Core CPI'!$A:$AX,MATCH($F$1,'Data Core CPI'!$A$1:$AX$1,),)=0,#N/A,(VLOOKUP(B136,'Data Core CPI'!$A:$AX,MATCH($F$1,'Data Core CPI'!$A$1:$AX$1,),)-VLOOKUP(EDATE(B136,-12),'Data Core CPI'!$A:$AX,MATCH($F$1,'Data Core CPI'!$A$1:$AX$1,),))/VLOOKUP(EDATE(B136,-12),'Data Core CPI'!$A:$AX,MATCH($F$1,'Data Core CPI'!$A$1:$AX$1,),))</f>
        <v/>
      </c>
      <c r="G136" s="20">
        <f>IF(VLOOKUP(B136,'Data Core CPI'!$A:$AX,MATCH($G$1,'Data Core CPI'!$A$1:$AX$1,),)=0,#N/A,(VLOOKUP(B136,'Data Core CPI'!$A:$AX,MATCH($G$1,'Data Core CPI'!$A$1:$AX$1,),)-VLOOKUP(EDATE(B136,-12),'Data Core CPI'!$A:$AX,MATCH($G$1,'Data Core CPI'!$A$1:$AX$1,),))/VLOOKUP(EDATE(B136,-12),'Data Core CPI'!$A:$AX,MATCH($G$1,'Data Core CPI'!$A$1:$AX$1,),))</f>
        <v/>
      </c>
      <c r="H136" s="20">
        <f>IF(VLOOKUP(B136,'Data Core CPI'!$A:$AX,MATCH($H$1,'Data Core CPI'!$A$1:$AX$1,),)=0,#N/A,(VLOOKUP(B136,'Data Core CPI'!$A:$AX,MATCH($H$1,'Data Core CPI'!$A$1:$AX$1,),)-VLOOKUP(EDATE(B136,-12),'Data Core CPI'!$A:$AX,MATCH($H$1,'Data Core CPI'!$A$1:$AX$1,),))/VLOOKUP(EDATE(B136,-12),'Data Core CPI'!$A:$AX,MATCH($H$1,'Data Core CPI'!$A$1:$AX$1,),))</f>
        <v/>
      </c>
      <c r="I136" s="20">
        <f>IF(VLOOKUP(B136,'Data Core CPI'!$A:$AX,MATCH($I$1,'Data Core CPI'!$A$1:$AX$1,),)=0,#N/A,(VLOOKUP(B136,'Data Core CPI'!$A:$AX,MATCH($I$1,'Data Core CPI'!$A$1:$AX$1,),)-VLOOKUP(EDATE(B136,-12),'Data Core CPI'!$A:$AX,MATCH($I$1,'Data Core CPI'!$A$1:$AX$1,),))/VLOOKUP(EDATE(B136,-12),'Data Core CPI'!$A:$AX,MATCH($I$1,'Data Core CPI'!$A$1:$AX$1,),))</f>
        <v/>
      </c>
      <c r="J136" s="20">
        <f>IF(VLOOKUP(B136,'Data Core CPI'!$A:$AX,MATCH($J$1,'Data Core CPI'!$A$1:$AX$1,),)=0,#N/A,(VLOOKUP(B136,'Data Core CPI'!$A:$AX,MATCH($J$1,'Data Core CPI'!$A$1:$AX$1,),)-VLOOKUP(EDATE(B136,-12),'Data Core CPI'!$A:$AX,MATCH($J$1,'Data Core CPI'!$A$1:$AX$1,),))/VLOOKUP(EDATE(B136,-12),'Data Core CPI'!$A:$AX,MATCH($J$1,'Data Core CPI'!$A$1:$AX$1,),))</f>
        <v/>
      </c>
      <c r="K136" s="20">
        <f>IF(VLOOKUP(B136,'Data Core CPI'!$A:$AX,MATCH($K$1,'Data Core CPI'!$A$1:$AX$1,),)=0,#N/A,(VLOOKUP(B136,'Data Core CPI'!$A:$AX,MATCH($K$1,'Data Core CPI'!$A$1:$AX$1,),)-VLOOKUP(EDATE(B136,-12),'Data Core CPI'!$A:$AX,MATCH($K$1,'Data Core CPI'!$A$1:$AX$1,),))/VLOOKUP(EDATE(B136,-12),'Data Core CPI'!$A:$AX,MATCH($K$1,'Data Core CPI'!$A$1:$AX$1,),))</f>
        <v/>
      </c>
      <c r="L136" s="20">
        <f>IF(VLOOKUP(B136,'Data Core CPI'!$A:$AX,MATCH($L$1,'Data Core CPI'!$A$1:$AX$1,),)=0,#N/A,(VLOOKUP(B136,'Data Core CPI'!$A:$AX,MATCH($L$1,'Data Core CPI'!$A$1:$AX$1,),)-VLOOKUP(EDATE(B136,-12),'Data Core CPI'!$A:$AX,MATCH($L$1,'Data Core CPI'!$A$1:$AX$1,),))/VLOOKUP(EDATE(B136,-12),'Data Core CPI'!$A:$AX,MATCH($L$1,'Data Core CPI'!$A$1:$AX$1,),))</f>
        <v/>
      </c>
      <c r="M136" s="20">
        <f>IF(VLOOKUP(B136,'Data Core CPI'!$A:$AX,MATCH($M$1,'Data Core CPI'!$A$1:$AX$1,),)=0,#N/A,(VLOOKUP(B136,'Data Core CPI'!$A:$AX,MATCH($M$1,'Data Core CPI'!$A$1:$AX$1,),)-VLOOKUP(EDATE(B136,-12),'Data Core CPI'!$A:$AX,MATCH($M$1,'Data Core CPI'!$A$1:$AX$1,),))/VLOOKUP(EDATE(B136,-12),'Data Core CPI'!$A:$AX,MATCH($M$1,'Data Core CPI'!$A$1:$AX$1,),))</f>
        <v/>
      </c>
      <c r="N136" s="20">
        <f>(VLOOKUP(B136,'Data Core CPI'!$A:$AX,MATCH($N$1,'Data Core CPI'!$A$1:$AX$1,),)-VLOOKUP(EDATE(B136,-12),'Data Core CPI'!$A:$AX,MATCH($N$1,'Data Core CPI'!$A$1:$AX$1,),))/VLOOKUP(EDATE(B136,-12),'Data Core CPI'!$A:$AX,MATCH($N$1,'Data Core CPI'!$A$1:$AX$1,),)</f>
        <v/>
      </c>
      <c r="O136" s="20">
        <f>(VLOOKUP(B136,'Data Core CPI'!$A:$AX,MATCH($O$1,'Data Core CPI'!$A$1:$AX$1,),)-VLOOKUP(EDATE(B136,-12),'Data Core CPI'!$A:$AX,MATCH($O$1,'Data Core CPI'!$A$1:$AX$1,),))/VLOOKUP(EDATE(B136,-12),'Data Core CPI'!$A:$AX,MATCH($O$1,'Data Core CPI'!$A$1:$AX$1,),)</f>
        <v/>
      </c>
      <c r="P136" s="20">
        <f>IF(VLOOKUP(B136,'Data Core CPI'!$A:$AX,MATCH($P$1,'Data Core CPI'!$A$1:$AX$1,),)=0,#N/A,(VLOOKUP(B136,'Data Core CPI'!$A:$AX,MATCH($P$1,'Data Core CPI'!$A$1:$AX$1,),)-VLOOKUP(EDATE(B136,-12),'Data Core CPI'!$A:$AX,MATCH($P$1,'Data Core CPI'!$A$1:$AX$1,),))/VLOOKUP(EDATE(B136,-12),'Data Core CPI'!$A:$AX,MATCH($P$1,'Data Core CPI'!$A$1:$AX$1,),))</f>
        <v/>
      </c>
      <c r="Q136" s="20">
        <f>(VLOOKUP(B136,'Data Core CPI'!$A:$AX,MATCH($Q$1,'Data Core CPI'!$A$1:$AX$1,),)-VLOOKUP(EDATE(B136,-12),'Data Core CPI'!$A:$AX,MATCH($Q$1,'Data Core CPI'!$A$1:$AX$1,),))/VLOOKUP(EDATE(B136,-12),'Data Core CPI'!$A:$AX,MATCH($Q$1,'Data Core CPI'!$A$1:$AX$1,),)</f>
        <v/>
      </c>
      <c r="R136" s="20">
        <f>IF(VLOOKUP(B136,'Data Core CPI'!$A:$AX,MATCH($R$1,'Data Core CPI'!$A$1:$AX$1,),)=0,#N/A,(VLOOKUP(B136,'Data Core CPI'!$A:$AX,MATCH($R$1,'Data Core CPI'!$A$1:$AX$1,),)-VLOOKUP(EDATE(B136,-12),'Data Core CPI'!$A:$AX,MATCH($R$1,'Data Core CPI'!$A$1:$AX$1,),))/VLOOKUP(EDATE(B136,-12),'Data Core CPI'!$A:$AX,MATCH($R$1,'Data Core CPI'!$A$1:$AX$1,),))</f>
        <v/>
      </c>
      <c r="S136" s="20">
        <f>(VLOOKUP(B136,'Data Core CPI'!$A:$AX,MATCH($S$1,'Data Core CPI'!$A$1:$AX$1,),)-VLOOKUP(EDATE(B136,-12),'Data Core CPI'!$A:$AX,MATCH($S$1,'Data Core CPI'!$A$1:$AX$1,),))/VLOOKUP(EDATE(B136,-12),'Data Core CPI'!$A:$AX,MATCH($S$1,'Data Core CPI'!$A$1:$AX$1,),)</f>
        <v/>
      </c>
      <c r="T136" s="20">
        <f>(VLOOKUP(B136,'Data Core CPI'!$A:$AX,MATCH($T$1,'Data Core CPI'!$A$1:$AX$1,),)-VLOOKUP(EDATE(B136,-12),'Data Core CPI'!$A:$AX,MATCH($T$1,'Data Core CPI'!$A$1:$AX$1,),))/VLOOKUP(EDATE(B136,-12),'Data Core CPI'!$A:$AX,MATCH($T$1,'Data Core CPI'!$A$1:$AX$1,),)</f>
        <v/>
      </c>
      <c r="U136" s="20">
        <f>IF(VLOOKUP(B136,'Data Core CPI'!$A:$AX,MATCH($U$1,'Data Core CPI'!$A$1:$AX$1,),)=0,#N/A,(VLOOKUP(B136,'Data Core CPI'!$A:$AX,MATCH($U$1,'Data Core CPI'!$A$1:$AX$1,),)-VLOOKUP(EDATE(B136,-12),'Data Core CPI'!$A:$AX,MATCH($U$1,'Data Core CPI'!$A$1:$AX$1,),))/VLOOKUP(EDATE(B136,-12),'Data Core CPI'!$A:$AX,MATCH($U$1,'Data Core CPI'!$A$1:$AX$1,),))</f>
        <v/>
      </c>
      <c r="V136" s="20">
        <f>(VLOOKUP(B136,'Data Core CPI'!$A:$AX,MATCH($V$1,'Data Core CPI'!$A$1:$AX$1,),)-VLOOKUP(EDATE(B136,-12),'Data Core CPI'!$A:$AX,MATCH($V$1,'Data Core CPI'!$A$1:$AX$1,),))/VLOOKUP(EDATE(B136,-12),'Data Core CPI'!$A:$AX,MATCH($V$1,'Data Core CPI'!$A$1:$AX$1,),)</f>
        <v/>
      </c>
      <c r="W136" s="20">
        <f>IF(VLOOKUP(B136,'Data Core CPI'!$A:$AX,MATCH($W$1,'Data Core CPI'!$A$1:$AX$1,),)=0,#N/A,(VLOOKUP(B136,'Data Core CPI'!$A:$AX,MATCH($W$1,'Data Core CPI'!$A$1:$AX$1,),)-VLOOKUP(EDATE(B136,-12),'Data Core CPI'!$A:$AX,MATCH($W$1,'Data Core CPI'!$A$1:$AX$1,),))/VLOOKUP(EDATE(B136,-12),'Data Core CPI'!$A:$AX,MATCH($W$1,'Data Core CPI'!$A$1:$AX$1,),))</f>
        <v/>
      </c>
      <c r="X136" s="20">
        <f>IF(VLOOKUP(B136,'Data Core CPI'!$A:$AX,MATCH($X$1,'Data Core CPI'!$A$1:$AX$1,),)=0,#N/A,(VLOOKUP(B136,'Data Core CPI'!$A:$AX,MATCH($X$1,'Data Core CPI'!$A$1:$AX$1,),)-VLOOKUP(EDATE(B136,-12),'Data Core CPI'!$A:$AX,MATCH($X$1,'Data Core CPI'!$A$1:$AX$1,),))/VLOOKUP(EDATE(B136,-12),'Data Core CPI'!$A:$AX,MATCH($X$1,'Data Core CPI'!$A$1:$AX$1,),))</f>
        <v/>
      </c>
      <c r="Y136" s="20">
        <f>IF(VLOOKUP(B136,'Data Core CPI'!$A:$AX,MATCH($Y$1,'Data Core CPI'!$A$1:$AX$1,),)=0,#N/A,(VLOOKUP(B136,'Data Core CPI'!$A:$AX,MATCH($Y$1,'Data Core CPI'!$A$1:$AX$1,),)-VLOOKUP(EDATE(B136,-12),'Data Core CPI'!$A:$AX,MATCH($Y$1,'Data Core CPI'!$A$1:$AX$1,),))/VLOOKUP(EDATE(B136,-12),'Data Core CPI'!$A:$AX,MATCH($Y$1,'Data Core CPI'!$A$1:$AX$1,),))</f>
        <v/>
      </c>
    </row>
    <row r="137" customFormat="1" s="78">
      <c r="B137" s="15" t="n">
        <v>44378</v>
      </c>
      <c r="C137" s="20">
        <f>IF(VLOOKUP(B137,'Data Core CPI'!$A:$AX,MATCH($C$1,'Data Core CPI'!$A$1:$AX$1,),)=0,#N/A,(VLOOKUP(B137,'Data Core CPI'!$A:$AX,MATCH($C$1,'Data Core CPI'!$A$1:$AX$1,),)-VLOOKUP(EDATE(B137,-12),'Data Core CPI'!$A:$AX,MATCH($C$1,'Data Core CPI'!$A$1:$AX$1,),))/VLOOKUP(EDATE(B137,-12),'Data Core CPI'!$A:$AX,MATCH($C$1,'Data Core CPI'!$A$1:$AX$1,),))</f>
        <v/>
      </c>
      <c r="D137" s="20">
        <f>(VLOOKUP(B137,'Data Core CPI'!$A:$AX,MATCH($D$1,'Data Core CPI'!$A$1:$AX$1,),)-VLOOKUP(EDATE(B137,-12),'Data Core CPI'!$A:$AX,MATCH($D$1,'Data Core CPI'!$A$1:$AX$1,),))/VLOOKUP(EDATE(B137,-12),'Data Core CPI'!$A:$AX,MATCH($D$1,'Data Core CPI'!$A$1:$AX$1,),)</f>
        <v/>
      </c>
      <c r="E137" s="20">
        <f>IF(VLOOKUP(B137,'Data Core CPI'!$A:$AX,MATCH($E$1,'Data Core CPI'!$A$1:$AX$1,),)=0,#N/A,(VLOOKUP(B137,'Data Core CPI'!$A:$AX,MATCH($E$1,'Data Core CPI'!$A$1:$AX$1,),)-VLOOKUP(EDATE(B137,-12),'Data Core CPI'!$A:$AX,MATCH($E$1,'Data Core CPI'!$A$1:$AX$1,),))/VLOOKUP(EDATE(B137,-12),'Data Core CPI'!$A:$AX,MATCH($E$1,'Data Core CPI'!$A$1:$AX$1,),))</f>
        <v/>
      </c>
      <c r="F137" s="20">
        <f>IF(VLOOKUP(B137,'Data Core CPI'!$A:$AX,MATCH($F$1,'Data Core CPI'!$A$1:$AX$1,),)=0,#N/A,(VLOOKUP(B137,'Data Core CPI'!$A:$AX,MATCH($F$1,'Data Core CPI'!$A$1:$AX$1,),)-VLOOKUP(EDATE(B137,-12),'Data Core CPI'!$A:$AX,MATCH($F$1,'Data Core CPI'!$A$1:$AX$1,),))/VLOOKUP(EDATE(B137,-12),'Data Core CPI'!$A:$AX,MATCH($F$1,'Data Core CPI'!$A$1:$AX$1,),))</f>
        <v/>
      </c>
      <c r="G137" s="20">
        <f>IF(VLOOKUP(B137,'Data Core CPI'!$A:$AX,MATCH($G$1,'Data Core CPI'!$A$1:$AX$1,),)=0,#N/A,(VLOOKUP(B137,'Data Core CPI'!$A:$AX,MATCH($G$1,'Data Core CPI'!$A$1:$AX$1,),)-VLOOKUP(EDATE(B137,-12),'Data Core CPI'!$A:$AX,MATCH($G$1,'Data Core CPI'!$A$1:$AX$1,),))/VLOOKUP(EDATE(B137,-12),'Data Core CPI'!$A:$AX,MATCH($G$1,'Data Core CPI'!$A$1:$AX$1,),))</f>
        <v/>
      </c>
      <c r="H137" s="20">
        <f>IF(VLOOKUP(B137,'Data Core CPI'!$A:$AX,MATCH($H$1,'Data Core CPI'!$A$1:$AX$1,),)=0,#N/A,(VLOOKUP(B137,'Data Core CPI'!$A:$AX,MATCH($H$1,'Data Core CPI'!$A$1:$AX$1,),)-VLOOKUP(EDATE(B137,-12),'Data Core CPI'!$A:$AX,MATCH($H$1,'Data Core CPI'!$A$1:$AX$1,),))/VLOOKUP(EDATE(B137,-12),'Data Core CPI'!$A:$AX,MATCH($H$1,'Data Core CPI'!$A$1:$AX$1,),))</f>
        <v/>
      </c>
      <c r="I137" s="20">
        <f>IF(VLOOKUP(B137,'Data Core CPI'!$A:$AX,MATCH($I$1,'Data Core CPI'!$A$1:$AX$1,),)=0,#N/A,(VLOOKUP(B137,'Data Core CPI'!$A:$AX,MATCH($I$1,'Data Core CPI'!$A$1:$AX$1,),)-VLOOKUP(EDATE(B137,-12),'Data Core CPI'!$A:$AX,MATCH($I$1,'Data Core CPI'!$A$1:$AX$1,),))/VLOOKUP(EDATE(B137,-12),'Data Core CPI'!$A:$AX,MATCH($I$1,'Data Core CPI'!$A$1:$AX$1,),))</f>
        <v/>
      </c>
      <c r="J137" s="20">
        <f>IF(VLOOKUP(B137,'Data Core CPI'!$A:$AX,MATCH($J$1,'Data Core CPI'!$A$1:$AX$1,),)=0,#N/A,(VLOOKUP(B137,'Data Core CPI'!$A:$AX,MATCH($J$1,'Data Core CPI'!$A$1:$AX$1,),)-VLOOKUP(EDATE(B137,-12),'Data Core CPI'!$A:$AX,MATCH($J$1,'Data Core CPI'!$A$1:$AX$1,),))/VLOOKUP(EDATE(B137,-12),'Data Core CPI'!$A:$AX,MATCH($J$1,'Data Core CPI'!$A$1:$AX$1,),))</f>
        <v/>
      </c>
      <c r="K137" s="20">
        <f>IF(VLOOKUP(B137,'Data Core CPI'!$A:$AX,MATCH($K$1,'Data Core CPI'!$A$1:$AX$1,),)=0,#N/A,(VLOOKUP(B137,'Data Core CPI'!$A:$AX,MATCH($K$1,'Data Core CPI'!$A$1:$AX$1,),)-VLOOKUP(EDATE(B137,-12),'Data Core CPI'!$A:$AX,MATCH($K$1,'Data Core CPI'!$A$1:$AX$1,),))/VLOOKUP(EDATE(B137,-12),'Data Core CPI'!$A:$AX,MATCH($K$1,'Data Core CPI'!$A$1:$AX$1,),))</f>
        <v/>
      </c>
      <c r="L137" s="20">
        <f>IF(VLOOKUP(B137,'Data Core CPI'!$A:$AX,MATCH($L$1,'Data Core CPI'!$A$1:$AX$1,),)=0,#N/A,(VLOOKUP(B137,'Data Core CPI'!$A:$AX,MATCH($L$1,'Data Core CPI'!$A$1:$AX$1,),)-VLOOKUP(EDATE(B137,-12),'Data Core CPI'!$A:$AX,MATCH($L$1,'Data Core CPI'!$A$1:$AX$1,),))/VLOOKUP(EDATE(B137,-12),'Data Core CPI'!$A:$AX,MATCH($L$1,'Data Core CPI'!$A$1:$AX$1,),))</f>
        <v/>
      </c>
      <c r="M137" s="20">
        <f>IF(VLOOKUP(B137,'Data Core CPI'!$A:$AX,MATCH($M$1,'Data Core CPI'!$A$1:$AX$1,),)=0,#N/A,(VLOOKUP(B137,'Data Core CPI'!$A:$AX,MATCH($M$1,'Data Core CPI'!$A$1:$AX$1,),)-VLOOKUP(EDATE(B137,-12),'Data Core CPI'!$A:$AX,MATCH($M$1,'Data Core CPI'!$A$1:$AX$1,),))/VLOOKUP(EDATE(B137,-12),'Data Core CPI'!$A:$AX,MATCH($M$1,'Data Core CPI'!$A$1:$AX$1,),))</f>
        <v/>
      </c>
      <c r="N137" s="20">
        <f>(VLOOKUP(B137,'Data Core CPI'!$A:$AX,MATCH($N$1,'Data Core CPI'!$A$1:$AX$1,),)-VLOOKUP(EDATE(B137,-12),'Data Core CPI'!$A:$AX,MATCH($N$1,'Data Core CPI'!$A$1:$AX$1,),))/VLOOKUP(EDATE(B137,-12),'Data Core CPI'!$A:$AX,MATCH($N$1,'Data Core CPI'!$A$1:$AX$1,),)</f>
        <v/>
      </c>
      <c r="O137" s="20">
        <f>(VLOOKUP(B137,'Data Core CPI'!$A:$AX,MATCH($O$1,'Data Core CPI'!$A$1:$AX$1,),)-VLOOKUP(EDATE(B137,-12),'Data Core CPI'!$A:$AX,MATCH($O$1,'Data Core CPI'!$A$1:$AX$1,),))/VLOOKUP(EDATE(B137,-12),'Data Core CPI'!$A:$AX,MATCH($O$1,'Data Core CPI'!$A$1:$AX$1,),)</f>
        <v/>
      </c>
      <c r="P137" s="20">
        <f>IF(VLOOKUP(B137,'Data Core CPI'!$A:$AX,MATCH($P$1,'Data Core CPI'!$A$1:$AX$1,),)=0,#N/A,(VLOOKUP(B137,'Data Core CPI'!$A:$AX,MATCH($P$1,'Data Core CPI'!$A$1:$AX$1,),)-VLOOKUP(EDATE(B137,-12),'Data Core CPI'!$A:$AX,MATCH($P$1,'Data Core CPI'!$A$1:$AX$1,),))/VLOOKUP(EDATE(B137,-12),'Data Core CPI'!$A:$AX,MATCH($P$1,'Data Core CPI'!$A$1:$AX$1,),))</f>
        <v/>
      </c>
      <c r="Q137" s="20">
        <f>(VLOOKUP(B137,'Data Core CPI'!$A:$AX,MATCH($Q$1,'Data Core CPI'!$A$1:$AX$1,),)-VLOOKUP(EDATE(B137,-12),'Data Core CPI'!$A:$AX,MATCH($Q$1,'Data Core CPI'!$A$1:$AX$1,),))/VLOOKUP(EDATE(B137,-12),'Data Core CPI'!$A:$AX,MATCH($Q$1,'Data Core CPI'!$A$1:$AX$1,),)</f>
        <v/>
      </c>
      <c r="R137" s="20">
        <f>IF(VLOOKUP(B137,'Data Core CPI'!$A:$AX,MATCH($R$1,'Data Core CPI'!$A$1:$AX$1,),)=0,#N/A,(VLOOKUP(B137,'Data Core CPI'!$A:$AX,MATCH($R$1,'Data Core CPI'!$A$1:$AX$1,),)-VLOOKUP(EDATE(B137,-12),'Data Core CPI'!$A:$AX,MATCH($R$1,'Data Core CPI'!$A$1:$AX$1,),))/VLOOKUP(EDATE(B137,-12),'Data Core CPI'!$A:$AX,MATCH($R$1,'Data Core CPI'!$A$1:$AX$1,),))</f>
        <v/>
      </c>
      <c r="S137" s="20">
        <f>(VLOOKUP(B137,'Data Core CPI'!$A:$AX,MATCH($S$1,'Data Core CPI'!$A$1:$AX$1,),)-VLOOKUP(EDATE(B137,-12),'Data Core CPI'!$A:$AX,MATCH($S$1,'Data Core CPI'!$A$1:$AX$1,),))/VLOOKUP(EDATE(B137,-12),'Data Core CPI'!$A:$AX,MATCH($S$1,'Data Core CPI'!$A$1:$AX$1,),)</f>
        <v/>
      </c>
      <c r="T137" s="20">
        <f>(VLOOKUP(B137,'Data Core CPI'!$A:$AX,MATCH($T$1,'Data Core CPI'!$A$1:$AX$1,),)-VLOOKUP(EDATE(B137,-12),'Data Core CPI'!$A:$AX,MATCH($T$1,'Data Core CPI'!$A$1:$AX$1,),))/VLOOKUP(EDATE(B137,-12),'Data Core CPI'!$A:$AX,MATCH($T$1,'Data Core CPI'!$A$1:$AX$1,),)</f>
        <v/>
      </c>
      <c r="U137" s="20">
        <f>IF(VLOOKUP(B137,'Data Core CPI'!$A:$AX,MATCH($U$1,'Data Core CPI'!$A$1:$AX$1,),)=0,#N/A,(VLOOKUP(B137,'Data Core CPI'!$A:$AX,MATCH($U$1,'Data Core CPI'!$A$1:$AX$1,),)-VLOOKUP(EDATE(B137,-12),'Data Core CPI'!$A:$AX,MATCH($U$1,'Data Core CPI'!$A$1:$AX$1,),))/VLOOKUP(EDATE(B137,-12),'Data Core CPI'!$A:$AX,MATCH($U$1,'Data Core CPI'!$A$1:$AX$1,),))</f>
        <v/>
      </c>
      <c r="V137" s="20">
        <f>(VLOOKUP(B137,'Data Core CPI'!$A:$AX,MATCH($V$1,'Data Core CPI'!$A$1:$AX$1,),)-VLOOKUP(EDATE(B137,-12),'Data Core CPI'!$A:$AX,MATCH($V$1,'Data Core CPI'!$A$1:$AX$1,),))/VLOOKUP(EDATE(B137,-12),'Data Core CPI'!$A:$AX,MATCH($V$1,'Data Core CPI'!$A$1:$AX$1,),)</f>
        <v/>
      </c>
      <c r="W137" s="20">
        <f>IF(VLOOKUP(B137,'Data Core CPI'!$A:$AX,MATCH($W$1,'Data Core CPI'!$A$1:$AX$1,),)=0,#N/A,(VLOOKUP(B137,'Data Core CPI'!$A:$AX,MATCH($W$1,'Data Core CPI'!$A$1:$AX$1,),)-VLOOKUP(EDATE(B137,-12),'Data Core CPI'!$A:$AX,MATCH($W$1,'Data Core CPI'!$A$1:$AX$1,),))/VLOOKUP(EDATE(B137,-12),'Data Core CPI'!$A:$AX,MATCH($W$1,'Data Core CPI'!$A$1:$AX$1,),))</f>
        <v/>
      </c>
      <c r="X137" s="20">
        <f>IF(VLOOKUP(B137,'Data Core CPI'!$A:$AX,MATCH($X$1,'Data Core CPI'!$A$1:$AX$1,),)=0,#N/A,(VLOOKUP(B137,'Data Core CPI'!$A:$AX,MATCH($X$1,'Data Core CPI'!$A$1:$AX$1,),)-VLOOKUP(EDATE(B137,-12),'Data Core CPI'!$A:$AX,MATCH($X$1,'Data Core CPI'!$A$1:$AX$1,),))/VLOOKUP(EDATE(B137,-12),'Data Core CPI'!$A:$AX,MATCH($X$1,'Data Core CPI'!$A$1:$AX$1,),))</f>
        <v/>
      </c>
      <c r="Y137" s="20">
        <f>IF(VLOOKUP(B137,'Data Core CPI'!$A:$AX,MATCH($Y$1,'Data Core CPI'!$A$1:$AX$1,),)=0,#N/A,(VLOOKUP(B137,'Data Core CPI'!$A:$AX,MATCH($Y$1,'Data Core CPI'!$A$1:$AX$1,),)-VLOOKUP(EDATE(B137,-12),'Data Core CPI'!$A:$AX,MATCH($Y$1,'Data Core CPI'!$A$1:$AX$1,),))/VLOOKUP(EDATE(B137,-12),'Data Core CPI'!$A:$AX,MATCH($Y$1,'Data Core CPI'!$A$1:$AX$1,),))</f>
        <v/>
      </c>
    </row>
    <row r="138" customFormat="1" s="78">
      <c r="B138" s="15" t="n">
        <v>44409</v>
      </c>
      <c r="C138" s="20">
        <f>IF(VLOOKUP(B138,'Data Core CPI'!$A:$AX,MATCH($C$1,'Data Core CPI'!$A$1:$AX$1,),)=0,#N/A,(VLOOKUP(B138,'Data Core CPI'!$A:$AX,MATCH($C$1,'Data Core CPI'!$A$1:$AX$1,),)-VLOOKUP(EDATE(B138,-12),'Data Core CPI'!$A:$AX,MATCH($C$1,'Data Core CPI'!$A$1:$AX$1,),))/VLOOKUP(EDATE(B138,-12),'Data Core CPI'!$A:$AX,MATCH($C$1,'Data Core CPI'!$A$1:$AX$1,),))</f>
        <v/>
      </c>
      <c r="D138" s="20">
        <f>(VLOOKUP(B138,'Data Core CPI'!$A:$AX,MATCH($D$1,'Data Core CPI'!$A$1:$AX$1,),)-VLOOKUP(EDATE(B138,-12),'Data Core CPI'!$A:$AX,MATCH($D$1,'Data Core CPI'!$A$1:$AX$1,),))/VLOOKUP(EDATE(B138,-12),'Data Core CPI'!$A:$AX,MATCH($D$1,'Data Core CPI'!$A$1:$AX$1,),)</f>
        <v/>
      </c>
      <c r="E138" s="20">
        <f>IF(VLOOKUP(B138,'Data Core CPI'!$A:$AX,MATCH($E$1,'Data Core CPI'!$A$1:$AX$1,),)=0,#N/A,(VLOOKUP(B138,'Data Core CPI'!$A:$AX,MATCH($E$1,'Data Core CPI'!$A$1:$AX$1,),)-VLOOKUP(EDATE(B138,-12),'Data Core CPI'!$A:$AX,MATCH($E$1,'Data Core CPI'!$A$1:$AX$1,),))/VLOOKUP(EDATE(B138,-12),'Data Core CPI'!$A:$AX,MATCH($E$1,'Data Core CPI'!$A$1:$AX$1,),))</f>
        <v/>
      </c>
      <c r="F138" s="20">
        <f>IF(VLOOKUP(B138,'Data Core CPI'!$A:$AX,MATCH($F$1,'Data Core CPI'!$A$1:$AX$1,),)=0,#N/A,(VLOOKUP(B138,'Data Core CPI'!$A:$AX,MATCH($F$1,'Data Core CPI'!$A$1:$AX$1,),)-VLOOKUP(EDATE(B138,-12),'Data Core CPI'!$A:$AX,MATCH($F$1,'Data Core CPI'!$A$1:$AX$1,),))/VLOOKUP(EDATE(B138,-12),'Data Core CPI'!$A:$AX,MATCH($F$1,'Data Core CPI'!$A$1:$AX$1,),))</f>
        <v/>
      </c>
      <c r="G138" s="20">
        <f>IF(VLOOKUP(B138,'Data Core CPI'!$A:$AX,MATCH($G$1,'Data Core CPI'!$A$1:$AX$1,),)=0,#N/A,(VLOOKUP(B138,'Data Core CPI'!$A:$AX,MATCH($G$1,'Data Core CPI'!$A$1:$AX$1,),)-VLOOKUP(EDATE(B138,-12),'Data Core CPI'!$A:$AX,MATCH($G$1,'Data Core CPI'!$A$1:$AX$1,),))/VLOOKUP(EDATE(B138,-12),'Data Core CPI'!$A:$AX,MATCH($G$1,'Data Core CPI'!$A$1:$AX$1,),))</f>
        <v/>
      </c>
      <c r="H138" s="20">
        <f>IF(VLOOKUP(B138,'Data Core CPI'!$A:$AX,MATCH($H$1,'Data Core CPI'!$A$1:$AX$1,),)=0,#N/A,(VLOOKUP(B138,'Data Core CPI'!$A:$AX,MATCH($H$1,'Data Core CPI'!$A$1:$AX$1,),)-VLOOKUP(EDATE(B138,-12),'Data Core CPI'!$A:$AX,MATCH($H$1,'Data Core CPI'!$A$1:$AX$1,),))/VLOOKUP(EDATE(B138,-12),'Data Core CPI'!$A:$AX,MATCH($H$1,'Data Core CPI'!$A$1:$AX$1,),))</f>
        <v/>
      </c>
      <c r="I138" s="20">
        <f>IF(VLOOKUP(B138,'Data Core CPI'!$A:$AX,MATCH($I$1,'Data Core CPI'!$A$1:$AX$1,),)=0,#N/A,(VLOOKUP(B138,'Data Core CPI'!$A:$AX,MATCH($I$1,'Data Core CPI'!$A$1:$AX$1,),)-VLOOKUP(EDATE(B138,-12),'Data Core CPI'!$A:$AX,MATCH($I$1,'Data Core CPI'!$A$1:$AX$1,),))/VLOOKUP(EDATE(B138,-12),'Data Core CPI'!$A:$AX,MATCH($I$1,'Data Core CPI'!$A$1:$AX$1,),))</f>
        <v/>
      </c>
      <c r="J138" s="20">
        <f>IF(VLOOKUP(B138,'Data Core CPI'!$A:$AX,MATCH($J$1,'Data Core CPI'!$A$1:$AX$1,),)=0,#N/A,(VLOOKUP(B138,'Data Core CPI'!$A:$AX,MATCH($J$1,'Data Core CPI'!$A$1:$AX$1,),)-VLOOKUP(EDATE(B138,-12),'Data Core CPI'!$A:$AX,MATCH($J$1,'Data Core CPI'!$A$1:$AX$1,),))/VLOOKUP(EDATE(B138,-12),'Data Core CPI'!$A:$AX,MATCH($J$1,'Data Core CPI'!$A$1:$AX$1,),))</f>
        <v/>
      </c>
      <c r="K138" s="20">
        <f>IF(VLOOKUP(B138,'Data Core CPI'!$A:$AX,MATCH($K$1,'Data Core CPI'!$A$1:$AX$1,),)=0,#N/A,(VLOOKUP(B138,'Data Core CPI'!$A:$AX,MATCH($K$1,'Data Core CPI'!$A$1:$AX$1,),)-VLOOKUP(EDATE(B138,-12),'Data Core CPI'!$A:$AX,MATCH($K$1,'Data Core CPI'!$A$1:$AX$1,),))/VLOOKUP(EDATE(B138,-12),'Data Core CPI'!$A:$AX,MATCH($K$1,'Data Core CPI'!$A$1:$AX$1,),))</f>
        <v/>
      </c>
      <c r="L138" s="20">
        <f>IF(VLOOKUP(B138,'Data Core CPI'!$A:$AX,MATCH($L$1,'Data Core CPI'!$A$1:$AX$1,),)=0,#N/A,(VLOOKUP(B138,'Data Core CPI'!$A:$AX,MATCH($L$1,'Data Core CPI'!$A$1:$AX$1,),)-VLOOKUP(EDATE(B138,-12),'Data Core CPI'!$A:$AX,MATCH($L$1,'Data Core CPI'!$A$1:$AX$1,),))/VLOOKUP(EDATE(B138,-12),'Data Core CPI'!$A:$AX,MATCH($L$1,'Data Core CPI'!$A$1:$AX$1,),))</f>
        <v/>
      </c>
      <c r="M138" s="20">
        <f>IF(VLOOKUP(B138,'Data Core CPI'!$A:$AX,MATCH($M$1,'Data Core CPI'!$A$1:$AX$1,),)=0,#N/A,(VLOOKUP(B138,'Data Core CPI'!$A:$AX,MATCH($M$1,'Data Core CPI'!$A$1:$AX$1,),)-VLOOKUP(EDATE(B138,-12),'Data Core CPI'!$A:$AX,MATCH($M$1,'Data Core CPI'!$A$1:$AX$1,),))/VLOOKUP(EDATE(B138,-12),'Data Core CPI'!$A:$AX,MATCH($M$1,'Data Core CPI'!$A$1:$AX$1,),))</f>
        <v/>
      </c>
      <c r="N138" s="20">
        <f>(VLOOKUP(B138,'Data Core CPI'!$A:$AX,MATCH($N$1,'Data Core CPI'!$A$1:$AX$1,),)-VLOOKUP(EDATE(B138,-12),'Data Core CPI'!$A:$AX,MATCH($N$1,'Data Core CPI'!$A$1:$AX$1,),))/VLOOKUP(EDATE(B138,-12),'Data Core CPI'!$A:$AX,MATCH($N$1,'Data Core CPI'!$A$1:$AX$1,),)</f>
        <v/>
      </c>
      <c r="O138" s="20">
        <f>(VLOOKUP(B138,'Data Core CPI'!$A:$AX,MATCH($O$1,'Data Core CPI'!$A$1:$AX$1,),)-VLOOKUP(EDATE(B138,-12),'Data Core CPI'!$A:$AX,MATCH($O$1,'Data Core CPI'!$A$1:$AX$1,),))/VLOOKUP(EDATE(B138,-12),'Data Core CPI'!$A:$AX,MATCH($O$1,'Data Core CPI'!$A$1:$AX$1,),)</f>
        <v/>
      </c>
      <c r="P138" s="20">
        <f>IF(VLOOKUP(B138,'Data Core CPI'!$A:$AX,MATCH($P$1,'Data Core CPI'!$A$1:$AX$1,),)=0,#N/A,(VLOOKUP(B138,'Data Core CPI'!$A:$AX,MATCH($P$1,'Data Core CPI'!$A$1:$AX$1,),)-VLOOKUP(EDATE(B138,-12),'Data Core CPI'!$A:$AX,MATCH($P$1,'Data Core CPI'!$A$1:$AX$1,),))/VLOOKUP(EDATE(B138,-12),'Data Core CPI'!$A:$AX,MATCH($P$1,'Data Core CPI'!$A$1:$AX$1,),))</f>
        <v/>
      </c>
      <c r="Q138" s="20">
        <f>(VLOOKUP(B138,'Data Core CPI'!$A:$AX,MATCH($Q$1,'Data Core CPI'!$A$1:$AX$1,),)-VLOOKUP(EDATE(B138,-12),'Data Core CPI'!$A:$AX,MATCH($Q$1,'Data Core CPI'!$A$1:$AX$1,),))/VLOOKUP(EDATE(B138,-12),'Data Core CPI'!$A:$AX,MATCH($Q$1,'Data Core CPI'!$A$1:$AX$1,),)</f>
        <v/>
      </c>
      <c r="R138" s="20">
        <f>IF(VLOOKUP(B138,'Data Core CPI'!$A:$AX,MATCH($R$1,'Data Core CPI'!$A$1:$AX$1,),)=0,#N/A,(VLOOKUP(B138,'Data Core CPI'!$A:$AX,MATCH($R$1,'Data Core CPI'!$A$1:$AX$1,),)-VLOOKUP(EDATE(B138,-12),'Data Core CPI'!$A:$AX,MATCH($R$1,'Data Core CPI'!$A$1:$AX$1,),))/VLOOKUP(EDATE(B138,-12),'Data Core CPI'!$A:$AX,MATCH($R$1,'Data Core CPI'!$A$1:$AX$1,),))</f>
        <v/>
      </c>
      <c r="S138" s="20">
        <f>(VLOOKUP(B138,'Data Core CPI'!$A:$AX,MATCH($S$1,'Data Core CPI'!$A$1:$AX$1,),)-VLOOKUP(EDATE(B138,-12),'Data Core CPI'!$A:$AX,MATCH($S$1,'Data Core CPI'!$A$1:$AX$1,),))/VLOOKUP(EDATE(B138,-12),'Data Core CPI'!$A:$AX,MATCH($S$1,'Data Core CPI'!$A$1:$AX$1,),)</f>
        <v/>
      </c>
      <c r="T138" s="20">
        <f>(VLOOKUP(B138,'Data Core CPI'!$A:$AX,MATCH($T$1,'Data Core CPI'!$A$1:$AX$1,),)-VLOOKUP(EDATE(B138,-12),'Data Core CPI'!$A:$AX,MATCH($T$1,'Data Core CPI'!$A$1:$AX$1,),))/VLOOKUP(EDATE(B138,-12),'Data Core CPI'!$A:$AX,MATCH($T$1,'Data Core CPI'!$A$1:$AX$1,),)</f>
        <v/>
      </c>
      <c r="U138" s="20">
        <f>IF(VLOOKUP(B138,'Data Core CPI'!$A:$AX,MATCH($U$1,'Data Core CPI'!$A$1:$AX$1,),)=0,#N/A,(VLOOKUP(B138,'Data Core CPI'!$A:$AX,MATCH($U$1,'Data Core CPI'!$A$1:$AX$1,),)-VLOOKUP(EDATE(B138,-12),'Data Core CPI'!$A:$AX,MATCH($U$1,'Data Core CPI'!$A$1:$AX$1,),))/VLOOKUP(EDATE(B138,-12),'Data Core CPI'!$A:$AX,MATCH($U$1,'Data Core CPI'!$A$1:$AX$1,),))</f>
        <v/>
      </c>
      <c r="V138" s="20">
        <f>(VLOOKUP(B138,'Data Core CPI'!$A:$AX,MATCH($V$1,'Data Core CPI'!$A$1:$AX$1,),)-VLOOKUP(EDATE(B138,-12),'Data Core CPI'!$A:$AX,MATCH($V$1,'Data Core CPI'!$A$1:$AX$1,),))/VLOOKUP(EDATE(B138,-12),'Data Core CPI'!$A:$AX,MATCH($V$1,'Data Core CPI'!$A$1:$AX$1,),)</f>
        <v/>
      </c>
      <c r="W138" s="20">
        <f>IF(VLOOKUP(B138,'Data Core CPI'!$A:$AX,MATCH($W$1,'Data Core CPI'!$A$1:$AX$1,),)=0,#N/A,(VLOOKUP(B138,'Data Core CPI'!$A:$AX,MATCH($W$1,'Data Core CPI'!$A$1:$AX$1,),)-VLOOKUP(EDATE(B138,-12),'Data Core CPI'!$A:$AX,MATCH($W$1,'Data Core CPI'!$A$1:$AX$1,),))/VLOOKUP(EDATE(B138,-12),'Data Core CPI'!$A:$AX,MATCH($W$1,'Data Core CPI'!$A$1:$AX$1,),))</f>
        <v/>
      </c>
      <c r="X138" s="20">
        <f>IF(VLOOKUP(B138,'Data Core CPI'!$A:$AX,MATCH($X$1,'Data Core CPI'!$A$1:$AX$1,),)=0,#N/A,(VLOOKUP(B138,'Data Core CPI'!$A:$AX,MATCH($X$1,'Data Core CPI'!$A$1:$AX$1,),)-VLOOKUP(EDATE(B138,-12),'Data Core CPI'!$A:$AX,MATCH($X$1,'Data Core CPI'!$A$1:$AX$1,),))/VLOOKUP(EDATE(B138,-12),'Data Core CPI'!$A:$AX,MATCH($X$1,'Data Core CPI'!$A$1:$AX$1,),))</f>
        <v/>
      </c>
      <c r="Y138" s="20">
        <f>IF(VLOOKUP(B138,'Data Core CPI'!$A:$AX,MATCH($Y$1,'Data Core CPI'!$A$1:$AX$1,),)=0,#N/A,(VLOOKUP(B138,'Data Core CPI'!$A:$AX,MATCH($Y$1,'Data Core CPI'!$A$1:$AX$1,),)-VLOOKUP(EDATE(B138,-12),'Data Core CPI'!$A:$AX,MATCH($Y$1,'Data Core CPI'!$A$1:$AX$1,),))/VLOOKUP(EDATE(B138,-12),'Data Core CPI'!$A:$AX,MATCH($Y$1,'Data Core CPI'!$A$1:$AX$1,),))</f>
        <v/>
      </c>
    </row>
    <row r="139" customFormat="1" s="78">
      <c r="B139" s="15" t="n">
        <v>44440</v>
      </c>
      <c r="C139" s="20">
        <f>IF(VLOOKUP(B139,'Data Core CPI'!$A:$AX,MATCH($C$1,'Data Core CPI'!$A$1:$AX$1,),)=0,#N/A,(VLOOKUP(B139,'Data Core CPI'!$A:$AX,MATCH($C$1,'Data Core CPI'!$A$1:$AX$1,),)-VLOOKUP(EDATE(B139,-12),'Data Core CPI'!$A:$AX,MATCH($C$1,'Data Core CPI'!$A$1:$AX$1,),))/VLOOKUP(EDATE(B139,-12),'Data Core CPI'!$A:$AX,MATCH($C$1,'Data Core CPI'!$A$1:$AX$1,),))</f>
        <v/>
      </c>
      <c r="D139" s="20">
        <f>(VLOOKUP(B139,'Data Core CPI'!$A:$AX,MATCH($D$1,'Data Core CPI'!$A$1:$AX$1,),)-VLOOKUP(EDATE(B139,-12),'Data Core CPI'!$A:$AX,MATCH($D$1,'Data Core CPI'!$A$1:$AX$1,),))/VLOOKUP(EDATE(B139,-12),'Data Core CPI'!$A:$AX,MATCH($D$1,'Data Core CPI'!$A$1:$AX$1,),)</f>
        <v/>
      </c>
      <c r="E139" s="20">
        <f>IF(VLOOKUP(B139,'Data Core CPI'!$A:$AX,MATCH($E$1,'Data Core CPI'!$A$1:$AX$1,),)=0,#N/A,(VLOOKUP(B139,'Data Core CPI'!$A:$AX,MATCH($E$1,'Data Core CPI'!$A$1:$AX$1,),)-VLOOKUP(EDATE(B139,-12),'Data Core CPI'!$A:$AX,MATCH($E$1,'Data Core CPI'!$A$1:$AX$1,),))/VLOOKUP(EDATE(B139,-12),'Data Core CPI'!$A:$AX,MATCH($E$1,'Data Core CPI'!$A$1:$AX$1,),))</f>
        <v/>
      </c>
      <c r="F139" s="20">
        <f>IF(VLOOKUP(B139,'Data Core CPI'!$A:$AX,MATCH($F$1,'Data Core CPI'!$A$1:$AX$1,),)=0,#N/A,(VLOOKUP(B139,'Data Core CPI'!$A:$AX,MATCH($F$1,'Data Core CPI'!$A$1:$AX$1,),)-VLOOKUP(EDATE(B139,-12),'Data Core CPI'!$A:$AX,MATCH($F$1,'Data Core CPI'!$A$1:$AX$1,),))/VLOOKUP(EDATE(B139,-12),'Data Core CPI'!$A:$AX,MATCH($F$1,'Data Core CPI'!$A$1:$AX$1,),))</f>
        <v/>
      </c>
      <c r="G139" s="20">
        <f>IF(VLOOKUP(B139,'Data Core CPI'!$A:$AX,MATCH($G$1,'Data Core CPI'!$A$1:$AX$1,),)=0,#N/A,(VLOOKUP(B139,'Data Core CPI'!$A:$AX,MATCH($G$1,'Data Core CPI'!$A$1:$AX$1,),)-VLOOKUP(EDATE(B139,-12),'Data Core CPI'!$A:$AX,MATCH($G$1,'Data Core CPI'!$A$1:$AX$1,),))/VLOOKUP(EDATE(B139,-12),'Data Core CPI'!$A:$AX,MATCH($G$1,'Data Core CPI'!$A$1:$AX$1,),))</f>
        <v/>
      </c>
      <c r="H139" s="20">
        <f>IF(VLOOKUP(B139,'Data Core CPI'!$A:$AX,MATCH($H$1,'Data Core CPI'!$A$1:$AX$1,),)=0,#N/A,(VLOOKUP(B139,'Data Core CPI'!$A:$AX,MATCH($H$1,'Data Core CPI'!$A$1:$AX$1,),)-VLOOKUP(EDATE(B139,-12),'Data Core CPI'!$A:$AX,MATCH($H$1,'Data Core CPI'!$A$1:$AX$1,),))/VLOOKUP(EDATE(B139,-12),'Data Core CPI'!$A:$AX,MATCH($H$1,'Data Core CPI'!$A$1:$AX$1,),))</f>
        <v/>
      </c>
      <c r="I139" s="20">
        <f>IF(VLOOKUP(B139,'Data Core CPI'!$A:$AX,MATCH($I$1,'Data Core CPI'!$A$1:$AX$1,),)=0,#N/A,(VLOOKUP(B139,'Data Core CPI'!$A:$AX,MATCH($I$1,'Data Core CPI'!$A$1:$AX$1,),)-VLOOKUP(EDATE(B139,-12),'Data Core CPI'!$A:$AX,MATCH($I$1,'Data Core CPI'!$A$1:$AX$1,),))/VLOOKUP(EDATE(B139,-12),'Data Core CPI'!$A:$AX,MATCH($I$1,'Data Core CPI'!$A$1:$AX$1,),))</f>
        <v/>
      </c>
      <c r="J139" s="20">
        <f>IF(VLOOKUP(B139,'Data Core CPI'!$A:$AX,MATCH($J$1,'Data Core CPI'!$A$1:$AX$1,),)=0,#N/A,(VLOOKUP(B139,'Data Core CPI'!$A:$AX,MATCH($J$1,'Data Core CPI'!$A$1:$AX$1,),)-VLOOKUP(EDATE(B139,-12),'Data Core CPI'!$A:$AX,MATCH($J$1,'Data Core CPI'!$A$1:$AX$1,),))/VLOOKUP(EDATE(B139,-12),'Data Core CPI'!$A:$AX,MATCH($J$1,'Data Core CPI'!$A$1:$AX$1,),))</f>
        <v/>
      </c>
      <c r="K139" s="20">
        <f>IF(VLOOKUP(B139,'Data Core CPI'!$A:$AX,MATCH($K$1,'Data Core CPI'!$A$1:$AX$1,),)=0,#N/A,(VLOOKUP(B139,'Data Core CPI'!$A:$AX,MATCH($K$1,'Data Core CPI'!$A$1:$AX$1,),)-VLOOKUP(EDATE(B139,-12),'Data Core CPI'!$A:$AX,MATCH($K$1,'Data Core CPI'!$A$1:$AX$1,),))/VLOOKUP(EDATE(B139,-12),'Data Core CPI'!$A:$AX,MATCH($K$1,'Data Core CPI'!$A$1:$AX$1,),))</f>
        <v/>
      </c>
      <c r="L139" s="20">
        <f>IF(VLOOKUP(B139,'Data Core CPI'!$A:$AX,MATCH($L$1,'Data Core CPI'!$A$1:$AX$1,),)=0,#N/A,(VLOOKUP(B139,'Data Core CPI'!$A:$AX,MATCH($L$1,'Data Core CPI'!$A$1:$AX$1,),)-VLOOKUP(EDATE(B139,-12),'Data Core CPI'!$A:$AX,MATCH($L$1,'Data Core CPI'!$A$1:$AX$1,),))/VLOOKUP(EDATE(B139,-12),'Data Core CPI'!$A:$AX,MATCH($L$1,'Data Core CPI'!$A$1:$AX$1,),))</f>
        <v/>
      </c>
      <c r="M139" s="20">
        <f>IF(VLOOKUP(B139,'Data Core CPI'!$A:$AX,MATCH($M$1,'Data Core CPI'!$A$1:$AX$1,),)=0,#N/A,(VLOOKUP(B139,'Data Core CPI'!$A:$AX,MATCH($M$1,'Data Core CPI'!$A$1:$AX$1,),)-VLOOKUP(EDATE(B139,-12),'Data Core CPI'!$A:$AX,MATCH($M$1,'Data Core CPI'!$A$1:$AX$1,),))/VLOOKUP(EDATE(B139,-12),'Data Core CPI'!$A:$AX,MATCH($M$1,'Data Core CPI'!$A$1:$AX$1,),))</f>
        <v/>
      </c>
      <c r="N139" s="20">
        <f>(VLOOKUP(B139,'Data Core CPI'!$A:$AX,MATCH($N$1,'Data Core CPI'!$A$1:$AX$1,),)-VLOOKUP(EDATE(B139,-12),'Data Core CPI'!$A:$AX,MATCH($N$1,'Data Core CPI'!$A$1:$AX$1,),))/VLOOKUP(EDATE(B139,-12),'Data Core CPI'!$A:$AX,MATCH($N$1,'Data Core CPI'!$A$1:$AX$1,),)</f>
        <v/>
      </c>
      <c r="O139" s="20">
        <f>(VLOOKUP(B139,'Data Core CPI'!$A:$AX,MATCH($O$1,'Data Core CPI'!$A$1:$AX$1,),)-VLOOKUP(EDATE(B139,-12),'Data Core CPI'!$A:$AX,MATCH($O$1,'Data Core CPI'!$A$1:$AX$1,),))/VLOOKUP(EDATE(B139,-12),'Data Core CPI'!$A:$AX,MATCH($O$1,'Data Core CPI'!$A$1:$AX$1,),)</f>
        <v/>
      </c>
      <c r="P139" s="20">
        <f>IF(VLOOKUP(B139,'Data Core CPI'!$A:$AX,MATCH($P$1,'Data Core CPI'!$A$1:$AX$1,),)=0,#N/A,(VLOOKUP(B139,'Data Core CPI'!$A:$AX,MATCH($P$1,'Data Core CPI'!$A$1:$AX$1,),)-VLOOKUP(EDATE(B139,-12),'Data Core CPI'!$A:$AX,MATCH($P$1,'Data Core CPI'!$A$1:$AX$1,),))/VLOOKUP(EDATE(B139,-12),'Data Core CPI'!$A:$AX,MATCH($P$1,'Data Core CPI'!$A$1:$AX$1,),))</f>
        <v/>
      </c>
      <c r="Q139" s="20">
        <f>(VLOOKUP(B139,'Data Core CPI'!$A:$AX,MATCH($Q$1,'Data Core CPI'!$A$1:$AX$1,),)-VLOOKUP(EDATE(B139,-12),'Data Core CPI'!$A:$AX,MATCH($Q$1,'Data Core CPI'!$A$1:$AX$1,),))/VLOOKUP(EDATE(B139,-12),'Data Core CPI'!$A:$AX,MATCH($Q$1,'Data Core CPI'!$A$1:$AX$1,),)</f>
        <v/>
      </c>
      <c r="R139" s="20">
        <f>IF(VLOOKUP(B139,'Data Core CPI'!$A:$AX,MATCH($R$1,'Data Core CPI'!$A$1:$AX$1,),)=0,#N/A,(VLOOKUP(B139,'Data Core CPI'!$A:$AX,MATCH($R$1,'Data Core CPI'!$A$1:$AX$1,),)-VLOOKUP(EDATE(B139,-12),'Data Core CPI'!$A:$AX,MATCH($R$1,'Data Core CPI'!$A$1:$AX$1,),))/VLOOKUP(EDATE(B139,-12),'Data Core CPI'!$A:$AX,MATCH($R$1,'Data Core CPI'!$A$1:$AX$1,),))</f>
        <v/>
      </c>
      <c r="S139" s="20">
        <f>(VLOOKUP(B139,'Data Core CPI'!$A:$AX,MATCH($S$1,'Data Core CPI'!$A$1:$AX$1,),)-VLOOKUP(EDATE(B139,-12),'Data Core CPI'!$A:$AX,MATCH($S$1,'Data Core CPI'!$A$1:$AX$1,),))/VLOOKUP(EDATE(B139,-12),'Data Core CPI'!$A:$AX,MATCH($S$1,'Data Core CPI'!$A$1:$AX$1,),)</f>
        <v/>
      </c>
      <c r="T139" s="20">
        <f>(VLOOKUP(B139,'Data Core CPI'!$A:$AX,MATCH($T$1,'Data Core CPI'!$A$1:$AX$1,),)-VLOOKUP(EDATE(B139,-12),'Data Core CPI'!$A:$AX,MATCH($T$1,'Data Core CPI'!$A$1:$AX$1,),))/VLOOKUP(EDATE(B139,-12),'Data Core CPI'!$A:$AX,MATCH($T$1,'Data Core CPI'!$A$1:$AX$1,),)</f>
        <v/>
      </c>
      <c r="U139" s="20">
        <f>IF(VLOOKUP(B139,'Data Core CPI'!$A:$AX,MATCH($U$1,'Data Core CPI'!$A$1:$AX$1,),)=0,#N/A,(VLOOKUP(B139,'Data Core CPI'!$A:$AX,MATCH($U$1,'Data Core CPI'!$A$1:$AX$1,),)-VLOOKUP(EDATE(B139,-12),'Data Core CPI'!$A:$AX,MATCH($U$1,'Data Core CPI'!$A$1:$AX$1,),))/VLOOKUP(EDATE(B139,-12),'Data Core CPI'!$A:$AX,MATCH($U$1,'Data Core CPI'!$A$1:$AX$1,),))</f>
        <v/>
      </c>
      <c r="V139" s="20">
        <f>(VLOOKUP(B139,'Data Core CPI'!$A:$AX,MATCH($V$1,'Data Core CPI'!$A$1:$AX$1,),)-VLOOKUP(EDATE(B139,-12),'Data Core CPI'!$A:$AX,MATCH($V$1,'Data Core CPI'!$A$1:$AX$1,),))/VLOOKUP(EDATE(B139,-12),'Data Core CPI'!$A:$AX,MATCH($V$1,'Data Core CPI'!$A$1:$AX$1,),)</f>
        <v/>
      </c>
      <c r="W139" s="20">
        <f>IF(VLOOKUP(B139,'Data Core CPI'!$A:$AX,MATCH($W$1,'Data Core CPI'!$A$1:$AX$1,),)=0,#N/A,(VLOOKUP(B139,'Data Core CPI'!$A:$AX,MATCH($W$1,'Data Core CPI'!$A$1:$AX$1,),)-VLOOKUP(EDATE(B139,-12),'Data Core CPI'!$A:$AX,MATCH($W$1,'Data Core CPI'!$A$1:$AX$1,),))/VLOOKUP(EDATE(B139,-12),'Data Core CPI'!$A:$AX,MATCH($W$1,'Data Core CPI'!$A$1:$AX$1,),))</f>
        <v/>
      </c>
      <c r="X139" s="20">
        <f>IF(VLOOKUP(B139,'Data Core CPI'!$A:$AX,MATCH($X$1,'Data Core CPI'!$A$1:$AX$1,),)=0,#N/A,(VLOOKUP(B139,'Data Core CPI'!$A:$AX,MATCH($X$1,'Data Core CPI'!$A$1:$AX$1,),)-VLOOKUP(EDATE(B139,-12),'Data Core CPI'!$A:$AX,MATCH($X$1,'Data Core CPI'!$A$1:$AX$1,),))/VLOOKUP(EDATE(B139,-12),'Data Core CPI'!$A:$AX,MATCH($X$1,'Data Core CPI'!$A$1:$AX$1,),))</f>
        <v/>
      </c>
      <c r="Y139" s="20">
        <f>IF(VLOOKUP(B139,'Data Core CPI'!$A:$AX,MATCH($Y$1,'Data Core CPI'!$A$1:$AX$1,),)=0,#N/A,(VLOOKUP(B139,'Data Core CPI'!$A:$AX,MATCH($Y$1,'Data Core CPI'!$A$1:$AX$1,),)-VLOOKUP(EDATE(B139,-12),'Data Core CPI'!$A:$AX,MATCH($Y$1,'Data Core CPI'!$A$1:$AX$1,),))/VLOOKUP(EDATE(B139,-12),'Data Core CPI'!$A:$AX,MATCH($Y$1,'Data Core CPI'!$A$1:$AX$1,),))</f>
        <v/>
      </c>
    </row>
    <row r="140" customFormat="1" s="78">
      <c r="B140" s="15" t="n">
        <v>44470</v>
      </c>
      <c r="C140" s="20">
        <f>IF(VLOOKUP(B140,'Data Core CPI'!$A:$AX,MATCH($C$1,'Data Core CPI'!$A$1:$AX$1,),)=0,#N/A,(VLOOKUP(B140,'Data Core CPI'!$A:$AX,MATCH($C$1,'Data Core CPI'!$A$1:$AX$1,),)-VLOOKUP(EDATE(B140,-12),'Data Core CPI'!$A:$AX,MATCH($C$1,'Data Core CPI'!$A$1:$AX$1,),))/VLOOKUP(EDATE(B140,-12),'Data Core CPI'!$A:$AX,MATCH($C$1,'Data Core CPI'!$A$1:$AX$1,),))</f>
        <v/>
      </c>
      <c r="D140" s="20">
        <f>(VLOOKUP(B140,'Data Core CPI'!$A:$AX,MATCH($D$1,'Data Core CPI'!$A$1:$AX$1,),)-VLOOKUP(EDATE(B140,-12),'Data Core CPI'!$A:$AX,MATCH($D$1,'Data Core CPI'!$A$1:$AX$1,),))/VLOOKUP(EDATE(B140,-12),'Data Core CPI'!$A:$AX,MATCH($D$1,'Data Core CPI'!$A$1:$AX$1,),)</f>
        <v/>
      </c>
      <c r="E140" s="20">
        <f>IF(VLOOKUP(B140,'Data Core CPI'!$A:$AX,MATCH($E$1,'Data Core CPI'!$A$1:$AX$1,),)=0,#N/A,(VLOOKUP(B140,'Data Core CPI'!$A:$AX,MATCH($E$1,'Data Core CPI'!$A$1:$AX$1,),)-VLOOKUP(EDATE(B140,-12),'Data Core CPI'!$A:$AX,MATCH($E$1,'Data Core CPI'!$A$1:$AX$1,),))/VLOOKUP(EDATE(B140,-12),'Data Core CPI'!$A:$AX,MATCH($E$1,'Data Core CPI'!$A$1:$AX$1,),))</f>
        <v/>
      </c>
      <c r="F140" s="20">
        <f>IF(VLOOKUP(B140,'Data Core CPI'!$A:$AX,MATCH($F$1,'Data Core CPI'!$A$1:$AX$1,),)=0,#N/A,(VLOOKUP(B140,'Data Core CPI'!$A:$AX,MATCH($F$1,'Data Core CPI'!$A$1:$AX$1,),)-VLOOKUP(EDATE(B140,-12),'Data Core CPI'!$A:$AX,MATCH($F$1,'Data Core CPI'!$A$1:$AX$1,),))/VLOOKUP(EDATE(B140,-12),'Data Core CPI'!$A:$AX,MATCH($F$1,'Data Core CPI'!$A$1:$AX$1,),))</f>
        <v/>
      </c>
      <c r="G140" s="20">
        <f>IF(VLOOKUP(B140,'Data Core CPI'!$A:$AX,MATCH($G$1,'Data Core CPI'!$A$1:$AX$1,),)=0,#N/A,(VLOOKUP(B140,'Data Core CPI'!$A:$AX,MATCH($G$1,'Data Core CPI'!$A$1:$AX$1,),)-VLOOKUP(EDATE(B140,-12),'Data Core CPI'!$A:$AX,MATCH($G$1,'Data Core CPI'!$A$1:$AX$1,),))/VLOOKUP(EDATE(B140,-12),'Data Core CPI'!$A:$AX,MATCH($G$1,'Data Core CPI'!$A$1:$AX$1,),))</f>
        <v/>
      </c>
      <c r="H140" s="20">
        <f>IF(VLOOKUP(B140,'Data Core CPI'!$A:$AX,MATCH($H$1,'Data Core CPI'!$A$1:$AX$1,),)=0,#N/A,(VLOOKUP(B140,'Data Core CPI'!$A:$AX,MATCH($H$1,'Data Core CPI'!$A$1:$AX$1,),)-VLOOKUP(EDATE(B140,-12),'Data Core CPI'!$A:$AX,MATCH($H$1,'Data Core CPI'!$A$1:$AX$1,),))/VLOOKUP(EDATE(B140,-12),'Data Core CPI'!$A:$AX,MATCH($H$1,'Data Core CPI'!$A$1:$AX$1,),))</f>
        <v/>
      </c>
      <c r="I140" s="20">
        <f>IF(VLOOKUP(B140,'Data Core CPI'!$A:$AX,MATCH($I$1,'Data Core CPI'!$A$1:$AX$1,),)=0,#N/A,(VLOOKUP(B140,'Data Core CPI'!$A:$AX,MATCH($I$1,'Data Core CPI'!$A$1:$AX$1,),)-VLOOKUP(EDATE(B140,-12),'Data Core CPI'!$A:$AX,MATCH($I$1,'Data Core CPI'!$A$1:$AX$1,),))/VLOOKUP(EDATE(B140,-12),'Data Core CPI'!$A:$AX,MATCH($I$1,'Data Core CPI'!$A$1:$AX$1,),))</f>
        <v/>
      </c>
      <c r="J140" s="20">
        <f>IF(VLOOKUP(B140,'Data Core CPI'!$A:$AX,MATCH($J$1,'Data Core CPI'!$A$1:$AX$1,),)=0,#N/A,(VLOOKUP(B140,'Data Core CPI'!$A:$AX,MATCH($J$1,'Data Core CPI'!$A$1:$AX$1,),)-VLOOKUP(EDATE(B140,-12),'Data Core CPI'!$A:$AX,MATCH($J$1,'Data Core CPI'!$A$1:$AX$1,),))/VLOOKUP(EDATE(B140,-12),'Data Core CPI'!$A:$AX,MATCH($J$1,'Data Core CPI'!$A$1:$AX$1,),))</f>
        <v/>
      </c>
      <c r="K140" s="20">
        <f>IF(VLOOKUP(B140,'Data Core CPI'!$A:$AX,MATCH($K$1,'Data Core CPI'!$A$1:$AX$1,),)=0,#N/A,(VLOOKUP(B140,'Data Core CPI'!$A:$AX,MATCH($K$1,'Data Core CPI'!$A$1:$AX$1,),)-VLOOKUP(EDATE(B140,-12),'Data Core CPI'!$A:$AX,MATCH($K$1,'Data Core CPI'!$A$1:$AX$1,),))/VLOOKUP(EDATE(B140,-12),'Data Core CPI'!$A:$AX,MATCH($K$1,'Data Core CPI'!$A$1:$AX$1,),))</f>
        <v/>
      </c>
      <c r="L140" s="20">
        <f>IF(VLOOKUP(B140,'Data Core CPI'!$A:$AX,MATCH($L$1,'Data Core CPI'!$A$1:$AX$1,),)=0,#N/A,(VLOOKUP(B140,'Data Core CPI'!$A:$AX,MATCH($L$1,'Data Core CPI'!$A$1:$AX$1,),)-VLOOKUP(EDATE(B140,-12),'Data Core CPI'!$A:$AX,MATCH($L$1,'Data Core CPI'!$A$1:$AX$1,),))/VLOOKUP(EDATE(B140,-12),'Data Core CPI'!$A:$AX,MATCH($L$1,'Data Core CPI'!$A$1:$AX$1,),))</f>
        <v/>
      </c>
      <c r="M140" s="20">
        <f>IF(VLOOKUP(B140,'Data Core CPI'!$A:$AX,MATCH($M$1,'Data Core CPI'!$A$1:$AX$1,),)=0,#N/A,(VLOOKUP(B140,'Data Core CPI'!$A:$AX,MATCH($M$1,'Data Core CPI'!$A$1:$AX$1,),)-VLOOKUP(EDATE(B140,-12),'Data Core CPI'!$A:$AX,MATCH($M$1,'Data Core CPI'!$A$1:$AX$1,),))/VLOOKUP(EDATE(B140,-12),'Data Core CPI'!$A:$AX,MATCH($M$1,'Data Core CPI'!$A$1:$AX$1,),))</f>
        <v/>
      </c>
      <c r="N140" s="20">
        <f>(VLOOKUP(B140,'Data Core CPI'!$A:$AX,MATCH($N$1,'Data Core CPI'!$A$1:$AX$1,),)-VLOOKUP(EDATE(B140,-12),'Data Core CPI'!$A:$AX,MATCH($N$1,'Data Core CPI'!$A$1:$AX$1,),))/VLOOKUP(EDATE(B140,-12),'Data Core CPI'!$A:$AX,MATCH($N$1,'Data Core CPI'!$A$1:$AX$1,),)</f>
        <v/>
      </c>
      <c r="O140" s="20">
        <f>(VLOOKUP(B140,'Data Core CPI'!$A:$AX,MATCH($O$1,'Data Core CPI'!$A$1:$AX$1,),)-VLOOKUP(EDATE(B140,-12),'Data Core CPI'!$A:$AX,MATCH($O$1,'Data Core CPI'!$A$1:$AX$1,),))/VLOOKUP(EDATE(B140,-12),'Data Core CPI'!$A:$AX,MATCH($O$1,'Data Core CPI'!$A$1:$AX$1,),)</f>
        <v/>
      </c>
      <c r="P140" s="20">
        <f>IF(VLOOKUP(B140,'Data Core CPI'!$A:$AX,MATCH($P$1,'Data Core CPI'!$A$1:$AX$1,),)=0,#N/A,(VLOOKUP(B140,'Data Core CPI'!$A:$AX,MATCH($P$1,'Data Core CPI'!$A$1:$AX$1,),)-VLOOKUP(EDATE(B140,-12),'Data Core CPI'!$A:$AX,MATCH($P$1,'Data Core CPI'!$A$1:$AX$1,),))/VLOOKUP(EDATE(B140,-12),'Data Core CPI'!$A:$AX,MATCH($P$1,'Data Core CPI'!$A$1:$AX$1,),))</f>
        <v/>
      </c>
      <c r="Q140" s="20">
        <f>(VLOOKUP(B140,'Data Core CPI'!$A:$AX,MATCH($Q$1,'Data Core CPI'!$A$1:$AX$1,),)-VLOOKUP(EDATE(B140,-12),'Data Core CPI'!$A:$AX,MATCH($Q$1,'Data Core CPI'!$A$1:$AX$1,),))/VLOOKUP(EDATE(B140,-12),'Data Core CPI'!$A:$AX,MATCH($Q$1,'Data Core CPI'!$A$1:$AX$1,),)</f>
        <v/>
      </c>
      <c r="R140" s="20">
        <f>IF(VLOOKUP(B140,'Data Core CPI'!$A:$AX,MATCH($R$1,'Data Core CPI'!$A$1:$AX$1,),)=0,#N/A,(VLOOKUP(B140,'Data Core CPI'!$A:$AX,MATCH($R$1,'Data Core CPI'!$A$1:$AX$1,),)-VLOOKUP(EDATE(B140,-12),'Data Core CPI'!$A:$AX,MATCH($R$1,'Data Core CPI'!$A$1:$AX$1,),))/VLOOKUP(EDATE(B140,-12),'Data Core CPI'!$A:$AX,MATCH($R$1,'Data Core CPI'!$A$1:$AX$1,),))</f>
        <v/>
      </c>
      <c r="S140" s="20">
        <f>(VLOOKUP(B140,'Data Core CPI'!$A:$AX,MATCH($S$1,'Data Core CPI'!$A$1:$AX$1,),)-VLOOKUP(EDATE(B140,-12),'Data Core CPI'!$A:$AX,MATCH($S$1,'Data Core CPI'!$A$1:$AX$1,),))/VLOOKUP(EDATE(B140,-12),'Data Core CPI'!$A:$AX,MATCH($S$1,'Data Core CPI'!$A$1:$AX$1,),)</f>
        <v/>
      </c>
      <c r="T140" s="20">
        <f>(VLOOKUP(B140,'Data Core CPI'!$A:$AX,MATCH($T$1,'Data Core CPI'!$A$1:$AX$1,),)-VLOOKUP(EDATE(B140,-12),'Data Core CPI'!$A:$AX,MATCH($T$1,'Data Core CPI'!$A$1:$AX$1,),))/VLOOKUP(EDATE(B140,-12),'Data Core CPI'!$A:$AX,MATCH($T$1,'Data Core CPI'!$A$1:$AX$1,),)</f>
        <v/>
      </c>
      <c r="U140" s="20">
        <f>IF(VLOOKUP(B140,'Data Core CPI'!$A:$AX,MATCH($U$1,'Data Core CPI'!$A$1:$AX$1,),)=0,#N/A,(VLOOKUP(B140,'Data Core CPI'!$A:$AX,MATCH($U$1,'Data Core CPI'!$A$1:$AX$1,),)-VLOOKUP(EDATE(B140,-12),'Data Core CPI'!$A:$AX,MATCH($U$1,'Data Core CPI'!$A$1:$AX$1,),))/VLOOKUP(EDATE(B140,-12),'Data Core CPI'!$A:$AX,MATCH($U$1,'Data Core CPI'!$A$1:$AX$1,),))</f>
        <v/>
      </c>
      <c r="V140" s="20">
        <f>(VLOOKUP(B140,'Data Core CPI'!$A:$AX,MATCH($V$1,'Data Core CPI'!$A$1:$AX$1,),)-VLOOKUP(EDATE(B140,-12),'Data Core CPI'!$A:$AX,MATCH($V$1,'Data Core CPI'!$A$1:$AX$1,),))/VLOOKUP(EDATE(B140,-12),'Data Core CPI'!$A:$AX,MATCH($V$1,'Data Core CPI'!$A$1:$AX$1,),)</f>
        <v/>
      </c>
      <c r="W140" s="20">
        <f>IF(VLOOKUP(B140,'Data Core CPI'!$A:$AX,MATCH($W$1,'Data Core CPI'!$A$1:$AX$1,),)=0,#N/A,(VLOOKUP(B140,'Data Core CPI'!$A:$AX,MATCH($W$1,'Data Core CPI'!$A$1:$AX$1,),)-VLOOKUP(EDATE(B140,-12),'Data Core CPI'!$A:$AX,MATCH($W$1,'Data Core CPI'!$A$1:$AX$1,),))/VLOOKUP(EDATE(B140,-12),'Data Core CPI'!$A:$AX,MATCH($W$1,'Data Core CPI'!$A$1:$AX$1,),))</f>
        <v/>
      </c>
      <c r="X140" s="20">
        <f>IF(VLOOKUP(B140,'Data Core CPI'!$A:$AX,MATCH($X$1,'Data Core CPI'!$A$1:$AX$1,),)=0,#N/A,(VLOOKUP(B140,'Data Core CPI'!$A:$AX,MATCH($X$1,'Data Core CPI'!$A$1:$AX$1,),)-VLOOKUP(EDATE(B140,-12),'Data Core CPI'!$A:$AX,MATCH($X$1,'Data Core CPI'!$A$1:$AX$1,),))/VLOOKUP(EDATE(B140,-12),'Data Core CPI'!$A:$AX,MATCH($X$1,'Data Core CPI'!$A$1:$AX$1,),))</f>
        <v/>
      </c>
      <c r="Y140" s="20">
        <f>IF(VLOOKUP(B140,'Data Core CPI'!$A:$AX,MATCH($Y$1,'Data Core CPI'!$A$1:$AX$1,),)=0,#N/A,(VLOOKUP(B140,'Data Core CPI'!$A:$AX,MATCH($Y$1,'Data Core CPI'!$A$1:$AX$1,),)-VLOOKUP(EDATE(B140,-12),'Data Core CPI'!$A:$AX,MATCH($Y$1,'Data Core CPI'!$A$1:$AX$1,),))/VLOOKUP(EDATE(B140,-12),'Data Core CPI'!$A:$AX,MATCH($Y$1,'Data Core CPI'!$A$1:$AX$1,),))</f>
        <v/>
      </c>
    </row>
    <row r="141" customFormat="1" s="78">
      <c r="B141" s="15" t="n">
        <v>44501</v>
      </c>
      <c r="C141" s="20">
        <f>IF(VLOOKUP(B141,'Data Core CPI'!$A:$AX,MATCH($C$1,'Data Core CPI'!$A$1:$AX$1,),)=0,#N/A,(VLOOKUP(B141,'Data Core CPI'!$A:$AX,MATCH($C$1,'Data Core CPI'!$A$1:$AX$1,),)-VLOOKUP(EDATE(B141,-12),'Data Core CPI'!$A:$AX,MATCH($C$1,'Data Core CPI'!$A$1:$AX$1,),))/VLOOKUP(EDATE(B141,-12),'Data Core CPI'!$A:$AX,MATCH($C$1,'Data Core CPI'!$A$1:$AX$1,),))</f>
        <v/>
      </c>
      <c r="D141" s="20">
        <f>(VLOOKUP(B141,'Data Core CPI'!$A:$AX,MATCH($D$1,'Data Core CPI'!$A$1:$AX$1,),)-VLOOKUP(EDATE(B141,-12),'Data Core CPI'!$A:$AX,MATCH($D$1,'Data Core CPI'!$A$1:$AX$1,),))/VLOOKUP(EDATE(B141,-12),'Data Core CPI'!$A:$AX,MATCH($D$1,'Data Core CPI'!$A$1:$AX$1,),)</f>
        <v/>
      </c>
      <c r="E141" s="20">
        <f>IF(VLOOKUP(B141,'Data Core CPI'!$A:$AX,MATCH($E$1,'Data Core CPI'!$A$1:$AX$1,),)=0,#N/A,(VLOOKUP(B141,'Data Core CPI'!$A:$AX,MATCH($E$1,'Data Core CPI'!$A$1:$AX$1,),)-VLOOKUP(EDATE(B141,-12),'Data Core CPI'!$A:$AX,MATCH($E$1,'Data Core CPI'!$A$1:$AX$1,),))/VLOOKUP(EDATE(B141,-12),'Data Core CPI'!$A:$AX,MATCH($E$1,'Data Core CPI'!$A$1:$AX$1,),))</f>
        <v/>
      </c>
      <c r="F141" s="20">
        <f>IF(VLOOKUP(B141,'Data Core CPI'!$A:$AX,MATCH($F$1,'Data Core CPI'!$A$1:$AX$1,),)=0,#N/A,(VLOOKUP(B141,'Data Core CPI'!$A:$AX,MATCH($F$1,'Data Core CPI'!$A$1:$AX$1,),)-VLOOKUP(EDATE(B141,-12),'Data Core CPI'!$A:$AX,MATCH($F$1,'Data Core CPI'!$A$1:$AX$1,),))/VLOOKUP(EDATE(B141,-12),'Data Core CPI'!$A:$AX,MATCH($F$1,'Data Core CPI'!$A$1:$AX$1,),))</f>
        <v/>
      </c>
      <c r="G141" s="20">
        <f>IF(VLOOKUP(B141,'Data Core CPI'!$A:$AX,MATCH($G$1,'Data Core CPI'!$A$1:$AX$1,),)=0,#N/A,(VLOOKUP(B141,'Data Core CPI'!$A:$AX,MATCH($G$1,'Data Core CPI'!$A$1:$AX$1,),)-VLOOKUP(EDATE(B141,-12),'Data Core CPI'!$A:$AX,MATCH($G$1,'Data Core CPI'!$A$1:$AX$1,),))/VLOOKUP(EDATE(B141,-12),'Data Core CPI'!$A:$AX,MATCH($G$1,'Data Core CPI'!$A$1:$AX$1,),))</f>
        <v/>
      </c>
      <c r="H141" s="20">
        <f>IF(VLOOKUP(B141,'Data Core CPI'!$A:$AX,MATCH($H$1,'Data Core CPI'!$A$1:$AX$1,),)=0,#N/A,(VLOOKUP(B141,'Data Core CPI'!$A:$AX,MATCH($H$1,'Data Core CPI'!$A$1:$AX$1,),)-VLOOKUP(EDATE(B141,-12),'Data Core CPI'!$A:$AX,MATCH($H$1,'Data Core CPI'!$A$1:$AX$1,),))/VLOOKUP(EDATE(B141,-12),'Data Core CPI'!$A:$AX,MATCH($H$1,'Data Core CPI'!$A$1:$AX$1,),))</f>
        <v/>
      </c>
      <c r="I141" s="20">
        <f>IF(VLOOKUP(B141,'Data Core CPI'!$A:$AX,MATCH($I$1,'Data Core CPI'!$A$1:$AX$1,),)=0,#N/A,(VLOOKUP(B141,'Data Core CPI'!$A:$AX,MATCH($I$1,'Data Core CPI'!$A$1:$AX$1,),)-VLOOKUP(EDATE(B141,-12),'Data Core CPI'!$A:$AX,MATCH($I$1,'Data Core CPI'!$A$1:$AX$1,),))/VLOOKUP(EDATE(B141,-12),'Data Core CPI'!$A:$AX,MATCH($I$1,'Data Core CPI'!$A$1:$AX$1,),))</f>
        <v/>
      </c>
      <c r="J141" s="20">
        <f>IF(VLOOKUP(B141,'Data Core CPI'!$A:$AX,MATCH($J$1,'Data Core CPI'!$A$1:$AX$1,),)=0,#N/A,(VLOOKUP(B141,'Data Core CPI'!$A:$AX,MATCH($J$1,'Data Core CPI'!$A$1:$AX$1,),)-VLOOKUP(EDATE(B141,-12),'Data Core CPI'!$A:$AX,MATCH($J$1,'Data Core CPI'!$A$1:$AX$1,),))/VLOOKUP(EDATE(B141,-12),'Data Core CPI'!$A:$AX,MATCH($J$1,'Data Core CPI'!$A$1:$AX$1,),))</f>
        <v/>
      </c>
      <c r="K141" s="20">
        <f>IF(VLOOKUP(B141,'Data Core CPI'!$A:$AX,MATCH($K$1,'Data Core CPI'!$A$1:$AX$1,),)=0,#N/A,(VLOOKUP(B141,'Data Core CPI'!$A:$AX,MATCH($K$1,'Data Core CPI'!$A$1:$AX$1,),)-VLOOKUP(EDATE(B141,-12),'Data Core CPI'!$A:$AX,MATCH($K$1,'Data Core CPI'!$A$1:$AX$1,),))/VLOOKUP(EDATE(B141,-12),'Data Core CPI'!$A:$AX,MATCH($K$1,'Data Core CPI'!$A$1:$AX$1,),))</f>
        <v/>
      </c>
      <c r="L141" s="20">
        <f>IF(VLOOKUP(B141,'Data Core CPI'!$A:$AX,MATCH($L$1,'Data Core CPI'!$A$1:$AX$1,),)=0,#N/A,(VLOOKUP(B141,'Data Core CPI'!$A:$AX,MATCH($L$1,'Data Core CPI'!$A$1:$AX$1,),)-VLOOKUP(EDATE(B141,-12),'Data Core CPI'!$A:$AX,MATCH($L$1,'Data Core CPI'!$A$1:$AX$1,),))/VLOOKUP(EDATE(B141,-12),'Data Core CPI'!$A:$AX,MATCH($L$1,'Data Core CPI'!$A$1:$AX$1,),))</f>
        <v/>
      </c>
      <c r="M141" s="20">
        <f>IF(VLOOKUP(B141,'Data Core CPI'!$A:$AX,MATCH($M$1,'Data Core CPI'!$A$1:$AX$1,),)=0,#N/A,(VLOOKUP(B141,'Data Core CPI'!$A:$AX,MATCH($M$1,'Data Core CPI'!$A$1:$AX$1,),)-VLOOKUP(EDATE(B141,-12),'Data Core CPI'!$A:$AX,MATCH($M$1,'Data Core CPI'!$A$1:$AX$1,),))/VLOOKUP(EDATE(B141,-12),'Data Core CPI'!$A:$AX,MATCH($M$1,'Data Core CPI'!$A$1:$AX$1,),))</f>
        <v/>
      </c>
      <c r="N141" s="20">
        <f>(VLOOKUP(B141,'Data Core CPI'!$A:$AX,MATCH($N$1,'Data Core CPI'!$A$1:$AX$1,),)-VLOOKUP(EDATE(B141,-12),'Data Core CPI'!$A:$AX,MATCH($N$1,'Data Core CPI'!$A$1:$AX$1,),))/VLOOKUP(EDATE(B141,-12),'Data Core CPI'!$A:$AX,MATCH($N$1,'Data Core CPI'!$A$1:$AX$1,),)</f>
        <v/>
      </c>
      <c r="O141" s="20">
        <f>(VLOOKUP(B141,'Data Core CPI'!$A:$AX,MATCH($O$1,'Data Core CPI'!$A$1:$AX$1,),)-VLOOKUP(EDATE(B141,-12),'Data Core CPI'!$A:$AX,MATCH($O$1,'Data Core CPI'!$A$1:$AX$1,),))/VLOOKUP(EDATE(B141,-12),'Data Core CPI'!$A:$AX,MATCH($O$1,'Data Core CPI'!$A$1:$AX$1,),)</f>
        <v/>
      </c>
      <c r="P141" s="20">
        <f>IF(VLOOKUP(B141,'Data Core CPI'!$A:$AX,MATCH($P$1,'Data Core CPI'!$A$1:$AX$1,),)=0,#N/A,(VLOOKUP(B141,'Data Core CPI'!$A:$AX,MATCH($P$1,'Data Core CPI'!$A$1:$AX$1,),)-VLOOKUP(EDATE(B141,-12),'Data Core CPI'!$A:$AX,MATCH($P$1,'Data Core CPI'!$A$1:$AX$1,),))/VLOOKUP(EDATE(B141,-12),'Data Core CPI'!$A:$AX,MATCH($P$1,'Data Core CPI'!$A$1:$AX$1,),))</f>
        <v/>
      </c>
      <c r="Q141" s="20">
        <f>(VLOOKUP(B141,'Data Core CPI'!$A:$AX,MATCH($Q$1,'Data Core CPI'!$A$1:$AX$1,),)-VLOOKUP(EDATE(B141,-12),'Data Core CPI'!$A:$AX,MATCH($Q$1,'Data Core CPI'!$A$1:$AX$1,),))/VLOOKUP(EDATE(B141,-12),'Data Core CPI'!$A:$AX,MATCH($Q$1,'Data Core CPI'!$A$1:$AX$1,),)</f>
        <v/>
      </c>
      <c r="R141" s="20">
        <f>IF(VLOOKUP(B141,'Data Core CPI'!$A:$AX,MATCH($R$1,'Data Core CPI'!$A$1:$AX$1,),)=0,#N/A,(VLOOKUP(B141,'Data Core CPI'!$A:$AX,MATCH($R$1,'Data Core CPI'!$A$1:$AX$1,),)-VLOOKUP(EDATE(B141,-12),'Data Core CPI'!$A:$AX,MATCH($R$1,'Data Core CPI'!$A$1:$AX$1,),))/VLOOKUP(EDATE(B141,-12),'Data Core CPI'!$A:$AX,MATCH($R$1,'Data Core CPI'!$A$1:$AX$1,),))</f>
        <v/>
      </c>
      <c r="S141" s="20">
        <f>(VLOOKUP(B141,'Data Core CPI'!$A:$AX,MATCH($S$1,'Data Core CPI'!$A$1:$AX$1,),)-VLOOKUP(EDATE(B141,-12),'Data Core CPI'!$A:$AX,MATCH($S$1,'Data Core CPI'!$A$1:$AX$1,),))/VLOOKUP(EDATE(B141,-12),'Data Core CPI'!$A:$AX,MATCH($S$1,'Data Core CPI'!$A$1:$AX$1,),)</f>
        <v/>
      </c>
      <c r="T141" s="20">
        <f>(VLOOKUP(B141,'Data Core CPI'!$A:$AX,MATCH($T$1,'Data Core CPI'!$A$1:$AX$1,),)-VLOOKUP(EDATE(B141,-12),'Data Core CPI'!$A:$AX,MATCH($T$1,'Data Core CPI'!$A$1:$AX$1,),))/VLOOKUP(EDATE(B141,-12),'Data Core CPI'!$A:$AX,MATCH($T$1,'Data Core CPI'!$A$1:$AX$1,),)</f>
        <v/>
      </c>
      <c r="U141" s="20">
        <f>IF(VLOOKUP(B141,'Data Core CPI'!$A:$AX,MATCH($U$1,'Data Core CPI'!$A$1:$AX$1,),)=0,#N/A,(VLOOKUP(B141,'Data Core CPI'!$A:$AX,MATCH($U$1,'Data Core CPI'!$A$1:$AX$1,),)-VLOOKUP(EDATE(B141,-12),'Data Core CPI'!$A:$AX,MATCH($U$1,'Data Core CPI'!$A$1:$AX$1,),))/VLOOKUP(EDATE(B141,-12),'Data Core CPI'!$A:$AX,MATCH($U$1,'Data Core CPI'!$A$1:$AX$1,),))</f>
        <v/>
      </c>
      <c r="V141" s="20">
        <f>(VLOOKUP(B141,'Data Core CPI'!$A:$AX,MATCH($V$1,'Data Core CPI'!$A$1:$AX$1,),)-VLOOKUP(EDATE(B141,-12),'Data Core CPI'!$A:$AX,MATCH($V$1,'Data Core CPI'!$A$1:$AX$1,),))/VLOOKUP(EDATE(B141,-12),'Data Core CPI'!$A:$AX,MATCH($V$1,'Data Core CPI'!$A$1:$AX$1,),)</f>
        <v/>
      </c>
      <c r="W141" s="20">
        <f>IF(VLOOKUP(B141,'Data Core CPI'!$A:$AX,MATCH($W$1,'Data Core CPI'!$A$1:$AX$1,),)=0,#N/A,(VLOOKUP(B141,'Data Core CPI'!$A:$AX,MATCH($W$1,'Data Core CPI'!$A$1:$AX$1,),)-VLOOKUP(EDATE(B141,-12),'Data Core CPI'!$A:$AX,MATCH($W$1,'Data Core CPI'!$A$1:$AX$1,),))/VLOOKUP(EDATE(B141,-12),'Data Core CPI'!$A:$AX,MATCH($W$1,'Data Core CPI'!$A$1:$AX$1,),))</f>
        <v/>
      </c>
      <c r="X141" s="20">
        <f>IF(VLOOKUP(B141,'Data Core CPI'!$A:$AX,MATCH($X$1,'Data Core CPI'!$A$1:$AX$1,),)=0,#N/A,(VLOOKUP(B141,'Data Core CPI'!$A:$AX,MATCH($X$1,'Data Core CPI'!$A$1:$AX$1,),)-VLOOKUP(EDATE(B141,-12),'Data Core CPI'!$A:$AX,MATCH($X$1,'Data Core CPI'!$A$1:$AX$1,),))/VLOOKUP(EDATE(B141,-12),'Data Core CPI'!$A:$AX,MATCH($X$1,'Data Core CPI'!$A$1:$AX$1,),))</f>
        <v/>
      </c>
      <c r="Y141" s="20">
        <f>IF(VLOOKUP(B141,'Data Core CPI'!$A:$AX,MATCH($Y$1,'Data Core CPI'!$A$1:$AX$1,),)=0,#N/A,(VLOOKUP(B141,'Data Core CPI'!$A:$AX,MATCH($Y$1,'Data Core CPI'!$A$1:$AX$1,),)-VLOOKUP(EDATE(B141,-12),'Data Core CPI'!$A:$AX,MATCH($Y$1,'Data Core CPI'!$A$1:$AX$1,),))/VLOOKUP(EDATE(B141,-12),'Data Core CPI'!$A:$AX,MATCH($Y$1,'Data Core CPI'!$A$1:$AX$1,),))</f>
        <v/>
      </c>
    </row>
    <row r="142" customFormat="1" s="78">
      <c r="B142" s="15" t="n">
        <v>44531</v>
      </c>
      <c r="C142" s="20">
        <f>IF(VLOOKUP(B142,'Data Core CPI'!$A:$AX,MATCH($C$1,'Data Core CPI'!$A$1:$AX$1,),)=0,#N/A,(VLOOKUP(B142,'Data Core CPI'!$A:$AX,MATCH($C$1,'Data Core CPI'!$A$1:$AX$1,),)-VLOOKUP(EDATE(B142,-12),'Data Core CPI'!$A:$AX,MATCH($C$1,'Data Core CPI'!$A$1:$AX$1,),))/VLOOKUP(EDATE(B142,-12),'Data Core CPI'!$A:$AX,MATCH($C$1,'Data Core CPI'!$A$1:$AX$1,),))</f>
        <v/>
      </c>
      <c r="D142" s="20">
        <f>(VLOOKUP(B142,'Data Core CPI'!$A:$AX,MATCH($D$1,'Data Core CPI'!$A$1:$AX$1,),)-VLOOKUP(EDATE(B142,-12),'Data Core CPI'!$A:$AX,MATCH($D$1,'Data Core CPI'!$A$1:$AX$1,),))/VLOOKUP(EDATE(B142,-12),'Data Core CPI'!$A:$AX,MATCH($D$1,'Data Core CPI'!$A$1:$AX$1,),)</f>
        <v/>
      </c>
      <c r="E142" s="20">
        <f>IF(VLOOKUP(B142,'Data Core CPI'!$A:$AX,MATCH($E$1,'Data Core CPI'!$A$1:$AX$1,),)=0,#N/A,(VLOOKUP(B142,'Data Core CPI'!$A:$AX,MATCH($E$1,'Data Core CPI'!$A$1:$AX$1,),)-VLOOKUP(EDATE(B142,-12),'Data Core CPI'!$A:$AX,MATCH($E$1,'Data Core CPI'!$A$1:$AX$1,),))/VLOOKUP(EDATE(B142,-12),'Data Core CPI'!$A:$AX,MATCH($E$1,'Data Core CPI'!$A$1:$AX$1,),))</f>
        <v/>
      </c>
      <c r="F142" s="20">
        <f>IF(VLOOKUP(B142,'Data Core CPI'!$A:$AX,MATCH($F$1,'Data Core CPI'!$A$1:$AX$1,),)=0,#N/A,(VLOOKUP(B142,'Data Core CPI'!$A:$AX,MATCH($F$1,'Data Core CPI'!$A$1:$AX$1,),)-VLOOKUP(EDATE(B142,-12),'Data Core CPI'!$A:$AX,MATCH($F$1,'Data Core CPI'!$A$1:$AX$1,),))/VLOOKUP(EDATE(B142,-12),'Data Core CPI'!$A:$AX,MATCH($F$1,'Data Core CPI'!$A$1:$AX$1,),))</f>
        <v/>
      </c>
      <c r="G142" s="20">
        <f>IF(VLOOKUP(B142,'Data Core CPI'!$A:$AX,MATCH($G$1,'Data Core CPI'!$A$1:$AX$1,),)=0,#N/A,(VLOOKUP(B142,'Data Core CPI'!$A:$AX,MATCH($G$1,'Data Core CPI'!$A$1:$AX$1,),)-VLOOKUP(EDATE(B142,-12),'Data Core CPI'!$A:$AX,MATCH($G$1,'Data Core CPI'!$A$1:$AX$1,),))/VLOOKUP(EDATE(B142,-12),'Data Core CPI'!$A:$AX,MATCH($G$1,'Data Core CPI'!$A$1:$AX$1,),))</f>
        <v/>
      </c>
      <c r="H142" s="20">
        <f>IF(VLOOKUP(B142,'Data Core CPI'!$A:$AX,MATCH($H$1,'Data Core CPI'!$A$1:$AX$1,),)=0,#N/A,(VLOOKUP(B142,'Data Core CPI'!$A:$AX,MATCH($H$1,'Data Core CPI'!$A$1:$AX$1,),)-VLOOKUP(EDATE(B142,-12),'Data Core CPI'!$A:$AX,MATCH($H$1,'Data Core CPI'!$A$1:$AX$1,),))/VLOOKUP(EDATE(B142,-12),'Data Core CPI'!$A:$AX,MATCH($H$1,'Data Core CPI'!$A$1:$AX$1,),))</f>
        <v/>
      </c>
      <c r="I142" s="20">
        <f>IF(VLOOKUP(B142,'Data Core CPI'!$A:$AX,MATCH($I$1,'Data Core CPI'!$A$1:$AX$1,),)=0,#N/A,(VLOOKUP(B142,'Data Core CPI'!$A:$AX,MATCH($I$1,'Data Core CPI'!$A$1:$AX$1,),)-VLOOKUP(EDATE(B142,-12),'Data Core CPI'!$A:$AX,MATCH($I$1,'Data Core CPI'!$A$1:$AX$1,),))/VLOOKUP(EDATE(B142,-12),'Data Core CPI'!$A:$AX,MATCH($I$1,'Data Core CPI'!$A$1:$AX$1,),))</f>
        <v/>
      </c>
      <c r="J142" s="20">
        <f>IF(VLOOKUP(B142,'Data Core CPI'!$A:$AX,MATCH($J$1,'Data Core CPI'!$A$1:$AX$1,),)=0,#N/A,(VLOOKUP(B142,'Data Core CPI'!$A:$AX,MATCH($J$1,'Data Core CPI'!$A$1:$AX$1,),)-VLOOKUP(EDATE(B142,-12),'Data Core CPI'!$A:$AX,MATCH($J$1,'Data Core CPI'!$A$1:$AX$1,),))/VLOOKUP(EDATE(B142,-12),'Data Core CPI'!$A:$AX,MATCH($J$1,'Data Core CPI'!$A$1:$AX$1,),))</f>
        <v/>
      </c>
      <c r="K142" s="20">
        <f>IF(VLOOKUP(B142,'Data Core CPI'!$A:$AX,MATCH($K$1,'Data Core CPI'!$A$1:$AX$1,),)=0,#N/A,(VLOOKUP(B142,'Data Core CPI'!$A:$AX,MATCH($K$1,'Data Core CPI'!$A$1:$AX$1,),)-VLOOKUP(EDATE(B142,-12),'Data Core CPI'!$A:$AX,MATCH($K$1,'Data Core CPI'!$A$1:$AX$1,),))/VLOOKUP(EDATE(B142,-12),'Data Core CPI'!$A:$AX,MATCH($K$1,'Data Core CPI'!$A$1:$AX$1,),))</f>
        <v/>
      </c>
      <c r="L142" s="20">
        <f>IF(VLOOKUP(B142,'Data Core CPI'!$A:$AX,MATCH($L$1,'Data Core CPI'!$A$1:$AX$1,),)=0,#N/A,(VLOOKUP(B142,'Data Core CPI'!$A:$AX,MATCH($L$1,'Data Core CPI'!$A$1:$AX$1,),)-VLOOKUP(EDATE(B142,-12),'Data Core CPI'!$A:$AX,MATCH($L$1,'Data Core CPI'!$A$1:$AX$1,),))/VLOOKUP(EDATE(B142,-12),'Data Core CPI'!$A:$AX,MATCH($L$1,'Data Core CPI'!$A$1:$AX$1,),))</f>
        <v/>
      </c>
      <c r="M142" s="20">
        <f>IF(VLOOKUP(B142,'Data Core CPI'!$A:$AX,MATCH($M$1,'Data Core CPI'!$A$1:$AX$1,),)=0,#N/A,(VLOOKUP(B142,'Data Core CPI'!$A:$AX,MATCH($M$1,'Data Core CPI'!$A$1:$AX$1,),)-VLOOKUP(EDATE(B142,-12),'Data Core CPI'!$A:$AX,MATCH($M$1,'Data Core CPI'!$A$1:$AX$1,),))/VLOOKUP(EDATE(B142,-12),'Data Core CPI'!$A:$AX,MATCH($M$1,'Data Core CPI'!$A$1:$AX$1,),))</f>
        <v/>
      </c>
      <c r="N142" s="20">
        <f>(VLOOKUP(B142,'Data Core CPI'!$A:$AX,MATCH($N$1,'Data Core CPI'!$A$1:$AX$1,),)-VLOOKUP(EDATE(B142,-12),'Data Core CPI'!$A:$AX,MATCH($N$1,'Data Core CPI'!$A$1:$AX$1,),))/VLOOKUP(EDATE(B142,-12),'Data Core CPI'!$A:$AX,MATCH($N$1,'Data Core CPI'!$A$1:$AX$1,),)</f>
        <v/>
      </c>
      <c r="O142" s="20">
        <f>(VLOOKUP(B142,'Data Core CPI'!$A:$AX,MATCH($O$1,'Data Core CPI'!$A$1:$AX$1,),)-VLOOKUP(EDATE(B142,-12),'Data Core CPI'!$A:$AX,MATCH($O$1,'Data Core CPI'!$A$1:$AX$1,),))/VLOOKUP(EDATE(B142,-12),'Data Core CPI'!$A:$AX,MATCH($O$1,'Data Core CPI'!$A$1:$AX$1,),)</f>
        <v/>
      </c>
      <c r="P142" s="20">
        <f>IF(VLOOKUP(B142,'Data Core CPI'!$A:$AX,MATCH($P$1,'Data Core CPI'!$A$1:$AX$1,),)=0,#N/A,(VLOOKUP(B142,'Data Core CPI'!$A:$AX,MATCH($P$1,'Data Core CPI'!$A$1:$AX$1,),)-VLOOKUP(EDATE(B142,-12),'Data Core CPI'!$A:$AX,MATCH($P$1,'Data Core CPI'!$A$1:$AX$1,),))/VLOOKUP(EDATE(B142,-12),'Data Core CPI'!$A:$AX,MATCH($P$1,'Data Core CPI'!$A$1:$AX$1,),))</f>
        <v/>
      </c>
      <c r="Q142" s="20">
        <f>(VLOOKUP(B142,'Data Core CPI'!$A:$AX,MATCH($Q$1,'Data Core CPI'!$A$1:$AX$1,),)-VLOOKUP(EDATE(B142,-12),'Data Core CPI'!$A:$AX,MATCH($Q$1,'Data Core CPI'!$A$1:$AX$1,),))/VLOOKUP(EDATE(B142,-12),'Data Core CPI'!$A:$AX,MATCH($Q$1,'Data Core CPI'!$A$1:$AX$1,),)</f>
        <v/>
      </c>
      <c r="R142" s="20">
        <f>IF(VLOOKUP(B142,'Data Core CPI'!$A:$AX,MATCH($R$1,'Data Core CPI'!$A$1:$AX$1,),)=0,#N/A,(VLOOKUP(B142,'Data Core CPI'!$A:$AX,MATCH($R$1,'Data Core CPI'!$A$1:$AX$1,),)-VLOOKUP(EDATE(B142,-12),'Data Core CPI'!$A:$AX,MATCH($R$1,'Data Core CPI'!$A$1:$AX$1,),))/VLOOKUP(EDATE(B142,-12),'Data Core CPI'!$A:$AX,MATCH($R$1,'Data Core CPI'!$A$1:$AX$1,),))</f>
        <v/>
      </c>
      <c r="S142" s="20">
        <f>(VLOOKUP(B142,'Data Core CPI'!$A:$AX,MATCH($S$1,'Data Core CPI'!$A$1:$AX$1,),)-VLOOKUP(EDATE(B142,-12),'Data Core CPI'!$A:$AX,MATCH($S$1,'Data Core CPI'!$A$1:$AX$1,),))/VLOOKUP(EDATE(B142,-12),'Data Core CPI'!$A:$AX,MATCH($S$1,'Data Core CPI'!$A$1:$AX$1,),)</f>
        <v/>
      </c>
      <c r="T142" s="20">
        <f>(VLOOKUP(B142,'Data Core CPI'!$A:$AX,MATCH($T$1,'Data Core CPI'!$A$1:$AX$1,),)-VLOOKUP(EDATE(B142,-12),'Data Core CPI'!$A:$AX,MATCH($T$1,'Data Core CPI'!$A$1:$AX$1,),))/VLOOKUP(EDATE(B142,-12),'Data Core CPI'!$A:$AX,MATCH($T$1,'Data Core CPI'!$A$1:$AX$1,),)</f>
        <v/>
      </c>
      <c r="U142" s="20">
        <f>IF(VLOOKUP(B142,'Data Core CPI'!$A:$AX,MATCH($U$1,'Data Core CPI'!$A$1:$AX$1,),)=0,#N/A,(VLOOKUP(B142,'Data Core CPI'!$A:$AX,MATCH($U$1,'Data Core CPI'!$A$1:$AX$1,),)-VLOOKUP(EDATE(B142,-12),'Data Core CPI'!$A:$AX,MATCH($U$1,'Data Core CPI'!$A$1:$AX$1,),))/VLOOKUP(EDATE(B142,-12),'Data Core CPI'!$A:$AX,MATCH($U$1,'Data Core CPI'!$A$1:$AX$1,),))</f>
        <v/>
      </c>
      <c r="V142" s="20">
        <f>(VLOOKUP(B142,'Data Core CPI'!$A:$AX,MATCH($V$1,'Data Core CPI'!$A$1:$AX$1,),)-VLOOKUP(EDATE(B142,-12),'Data Core CPI'!$A:$AX,MATCH($V$1,'Data Core CPI'!$A$1:$AX$1,),))/VLOOKUP(EDATE(B142,-12),'Data Core CPI'!$A:$AX,MATCH($V$1,'Data Core CPI'!$A$1:$AX$1,),)</f>
        <v/>
      </c>
      <c r="W142" s="20">
        <f>IF(VLOOKUP(B142,'Data Core CPI'!$A:$AX,MATCH($W$1,'Data Core CPI'!$A$1:$AX$1,),)=0,#N/A,(VLOOKUP(B142,'Data Core CPI'!$A:$AX,MATCH($W$1,'Data Core CPI'!$A$1:$AX$1,),)-VLOOKUP(EDATE(B142,-12),'Data Core CPI'!$A:$AX,MATCH($W$1,'Data Core CPI'!$A$1:$AX$1,),))/VLOOKUP(EDATE(B142,-12),'Data Core CPI'!$A:$AX,MATCH($W$1,'Data Core CPI'!$A$1:$AX$1,),))</f>
        <v/>
      </c>
      <c r="X142" s="20">
        <f>IF(VLOOKUP(B142,'Data Core CPI'!$A:$AX,MATCH($X$1,'Data Core CPI'!$A$1:$AX$1,),)=0,#N/A,(VLOOKUP(B142,'Data Core CPI'!$A:$AX,MATCH($X$1,'Data Core CPI'!$A$1:$AX$1,),)-VLOOKUP(EDATE(B142,-12),'Data Core CPI'!$A:$AX,MATCH($X$1,'Data Core CPI'!$A$1:$AX$1,),))/VLOOKUP(EDATE(B142,-12),'Data Core CPI'!$A:$AX,MATCH($X$1,'Data Core CPI'!$A$1:$AX$1,),))</f>
        <v/>
      </c>
      <c r="Y142" s="20">
        <f>IF(VLOOKUP(B142,'Data Core CPI'!$A:$AX,MATCH($Y$1,'Data Core CPI'!$A$1:$AX$1,),)=0,#N/A,(VLOOKUP(B142,'Data Core CPI'!$A:$AX,MATCH($Y$1,'Data Core CPI'!$A$1:$AX$1,),)-VLOOKUP(EDATE(B142,-12),'Data Core CPI'!$A:$AX,MATCH($Y$1,'Data Core CPI'!$A$1:$AX$1,),))/VLOOKUP(EDATE(B142,-12),'Data Core CPI'!$A:$AX,MATCH($Y$1,'Data Core CPI'!$A$1:$AX$1,),))</f>
        <v/>
      </c>
    </row>
    <row r="143" customFormat="1" s="78">
      <c r="B143" s="15" t="n">
        <v>44562</v>
      </c>
      <c r="C143" s="20">
        <f>IF(VLOOKUP(B143,'Data Core CPI'!$A:$AX,MATCH($C$1,'Data Core CPI'!$A$1:$AX$1,),)=0,#N/A,(VLOOKUP(B143,'Data Core CPI'!$A:$AX,MATCH($C$1,'Data Core CPI'!$A$1:$AX$1,),)-VLOOKUP(EDATE(B143,-12),'Data Core CPI'!$A:$AX,MATCH($C$1,'Data Core CPI'!$A$1:$AX$1,),))/VLOOKUP(EDATE(B143,-12),'Data Core CPI'!$A:$AX,MATCH($C$1,'Data Core CPI'!$A$1:$AX$1,),))</f>
        <v/>
      </c>
      <c r="D143" s="20">
        <f>(VLOOKUP(B143,'Data Core CPI'!$A:$AX,MATCH($D$1,'Data Core CPI'!$A$1:$AX$1,),)-VLOOKUP(EDATE(B143,-12),'Data Core CPI'!$A:$AX,MATCH($D$1,'Data Core CPI'!$A$1:$AX$1,),))/VLOOKUP(EDATE(B143,-12),'Data Core CPI'!$A:$AX,MATCH($D$1,'Data Core CPI'!$A$1:$AX$1,),)</f>
        <v/>
      </c>
      <c r="E143" s="20">
        <f>IF(VLOOKUP(B143,'Data Core CPI'!$A:$AX,MATCH($E$1,'Data Core CPI'!$A$1:$AX$1,),)=0,#N/A,(VLOOKUP(B143,'Data Core CPI'!$A:$AX,MATCH($E$1,'Data Core CPI'!$A$1:$AX$1,),)-VLOOKUP(EDATE(B143,-12),'Data Core CPI'!$A:$AX,MATCH($E$1,'Data Core CPI'!$A$1:$AX$1,),))/VLOOKUP(EDATE(B143,-12),'Data Core CPI'!$A:$AX,MATCH($E$1,'Data Core CPI'!$A$1:$AX$1,),))</f>
        <v/>
      </c>
      <c r="F143" s="20">
        <f>IF(VLOOKUP(B143,'Data Core CPI'!$A:$AX,MATCH($F$1,'Data Core CPI'!$A$1:$AX$1,),)=0,#N/A,(VLOOKUP(B143,'Data Core CPI'!$A:$AX,MATCH($F$1,'Data Core CPI'!$A$1:$AX$1,),)-VLOOKUP(EDATE(B143,-12),'Data Core CPI'!$A:$AX,MATCH($F$1,'Data Core CPI'!$A$1:$AX$1,),))/VLOOKUP(EDATE(B143,-12),'Data Core CPI'!$A:$AX,MATCH($F$1,'Data Core CPI'!$A$1:$AX$1,),))</f>
        <v/>
      </c>
      <c r="G143" s="20">
        <f>IF(VLOOKUP(B143,'Data Core CPI'!$A:$AX,MATCH($G$1,'Data Core CPI'!$A$1:$AX$1,),)=0,#N/A,(VLOOKUP(B143,'Data Core CPI'!$A:$AX,MATCH($G$1,'Data Core CPI'!$A$1:$AX$1,),)-VLOOKUP(EDATE(B143,-12),'Data Core CPI'!$A:$AX,MATCH($G$1,'Data Core CPI'!$A$1:$AX$1,),))/VLOOKUP(EDATE(B143,-12),'Data Core CPI'!$A:$AX,MATCH($G$1,'Data Core CPI'!$A$1:$AX$1,),))</f>
        <v/>
      </c>
      <c r="H143" s="20">
        <f>IF(VLOOKUP(B143,'Data Core CPI'!$A:$AX,MATCH($H$1,'Data Core CPI'!$A$1:$AX$1,),)=0,#N/A,(VLOOKUP(B143,'Data Core CPI'!$A:$AX,MATCH($H$1,'Data Core CPI'!$A$1:$AX$1,),)-VLOOKUP(EDATE(B143,-12),'Data Core CPI'!$A:$AX,MATCH($H$1,'Data Core CPI'!$A$1:$AX$1,),))/VLOOKUP(EDATE(B143,-12),'Data Core CPI'!$A:$AX,MATCH($H$1,'Data Core CPI'!$A$1:$AX$1,),))</f>
        <v/>
      </c>
      <c r="I143" s="20">
        <f>IF(VLOOKUP(B143,'Data Core CPI'!$A:$AX,MATCH($I$1,'Data Core CPI'!$A$1:$AX$1,),)=0,#N/A,(VLOOKUP(B143,'Data Core CPI'!$A:$AX,MATCH($I$1,'Data Core CPI'!$A$1:$AX$1,),)-VLOOKUP(EDATE(B143,-12),'Data Core CPI'!$A:$AX,MATCH($I$1,'Data Core CPI'!$A$1:$AX$1,),))/VLOOKUP(EDATE(B143,-12),'Data Core CPI'!$A:$AX,MATCH($I$1,'Data Core CPI'!$A$1:$AX$1,),))</f>
        <v/>
      </c>
      <c r="J143" s="20">
        <f>IF(VLOOKUP(B143,'Data Core CPI'!$A:$AX,MATCH($J$1,'Data Core CPI'!$A$1:$AX$1,),)=0,#N/A,(VLOOKUP(B143,'Data Core CPI'!$A:$AX,MATCH($J$1,'Data Core CPI'!$A$1:$AX$1,),)-VLOOKUP(EDATE(B143,-12),'Data Core CPI'!$A:$AX,MATCH($J$1,'Data Core CPI'!$A$1:$AX$1,),))/VLOOKUP(EDATE(B143,-12),'Data Core CPI'!$A:$AX,MATCH($J$1,'Data Core CPI'!$A$1:$AX$1,),))</f>
        <v/>
      </c>
      <c r="K143" s="20">
        <f>IF(VLOOKUP(B143,'Data Core CPI'!$A:$AX,MATCH($K$1,'Data Core CPI'!$A$1:$AX$1,),)=0,#N/A,(VLOOKUP(B143,'Data Core CPI'!$A:$AX,MATCH($K$1,'Data Core CPI'!$A$1:$AX$1,),)-VLOOKUP(EDATE(B143,-12),'Data Core CPI'!$A:$AX,MATCH($K$1,'Data Core CPI'!$A$1:$AX$1,),))/VLOOKUP(EDATE(B143,-12),'Data Core CPI'!$A:$AX,MATCH($K$1,'Data Core CPI'!$A$1:$AX$1,),))</f>
        <v/>
      </c>
      <c r="L143" s="20">
        <f>IF(VLOOKUP(B143,'Data Core CPI'!$A:$AX,MATCH($L$1,'Data Core CPI'!$A$1:$AX$1,),)=0,#N/A,(VLOOKUP(B143,'Data Core CPI'!$A:$AX,MATCH($L$1,'Data Core CPI'!$A$1:$AX$1,),)-VLOOKUP(EDATE(B143,-12),'Data Core CPI'!$A:$AX,MATCH($L$1,'Data Core CPI'!$A$1:$AX$1,),))/VLOOKUP(EDATE(B143,-12),'Data Core CPI'!$A:$AX,MATCH($L$1,'Data Core CPI'!$A$1:$AX$1,),))</f>
        <v/>
      </c>
      <c r="M143" s="20">
        <f>IF(VLOOKUP(B143,'Data Core CPI'!$A:$AX,MATCH($M$1,'Data Core CPI'!$A$1:$AX$1,),)=0,#N/A,(VLOOKUP(B143,'Data Core CPI'!$A:$AX,MATCH($M$1,'Data Core CPI'!$A$1:$AX$1,),)-VLOOKUP(EDATE(B143,-12),'Data Core CPI'!$A:$AX,MATCH($M$1,'Data Core CPI'!$A$1:$AX$1,),))/VLOOKUP(EDATE(B143,-12),'Data Core CPI'!$A:$AX,MATCH($M$1,'Data Core CPI'!$A$1:$AX$1,),))</f>
        <v/>
      </c>
      <c r="N143" s="20">
        <f>(VLOOKUP(B143,'Data Core CPI'!$A:$AX,MATCH($N$1,'Data Core CPI'!$A$1:$AX$1,),)-VLOOKUP(EDATE(B143,-12),'Data Core CPI'!$A:$AX,MATCH($N$1,'Data Core CPI'!$A$1:$AX$1,),))/VLOOKUP(EDATE(B143,-12),'Data Core CPI'!$A:$AX,MATCH($N$1,'Data Core CPI'!$A$1:$AX$1,),)</f>
        <v/>
      </c>
      <c r="O143" s="20">
        <f>(VLOOKUP(B143,'Data Core CPI'!$A:$AX,MATCH($O$1,'Data Core CPI'!$A$1:$AX$1,),)-VLOOKUP(EDATE(B143,-12),'Data Core CPI'!$A:$AX,MATCH($O$1,'Data Core CPI'!$A$1:$AX$1,),))/VLOOKUP(EDATE(B143,-12),'Data Core CPI'!$A:$AX,MATCH($O$1,'Data Core CPI'!$A$1:$AX$1,),)</f>
        <v/>
      </c>
      <c r="P143" s="20">
        <f>IF(VLOOKUP(B143,'Data Core CPI'!$A:$AX,MATCH($P$1,'Data Core CPI'!$A$1:$AX$1,),)=0,#N/A,(VLOOKUP(B143,'Data Core CPI'!$A:$AX,MATCH($P$1,'Data Core CPI'!$A$1:$AX$1,),)-VLOOKUP(EDATE(B143,-12),'Data Core CPI'!$A:$AX,MATCH($P$1,'Data Core CPI'!$A$1:$AX$1,),))/VLOOKUP(EDATE(B143,-12),'Data Core CPI'!$A:$AX,MATCH($P$1,'Data Core CPI'!$A$1:$AX$1,),))</f>
        <v/>
      </c>
      <c r="Q143" s="20">
        <f>(VLOOKUP(B143,'Data Core CPI'!$A:$AX,MATCH($Q$1,'Data Core CPI'!$A$1:$AX$1,),)-VLOOKUP(EDATE(B143,-12),'Data Core CPI'!$A:$AX,MATCH($Q$1,'Data Core CPI'!$A$1:$AX$1,),))/VLOOKUP(EDATE(B143,-12),'Data Core CPI'!$A:$AX,MATCH($Q$1,'Data Core CPI'!$A$1:$AX$1,),)</f>
        <v/>
      </c>
      <c r="R143" s="20">
        <f>IF(VLOOKUP(B143,'Data Core CPI'!$A:$AX,MATCH($R$1,'Data Core CPI'!$A$1:$AX$1,),)=0,#N/A,(VLOOKUP(B143,'Data Core CPI'!$A:$AX,MATCH($R$1,'Data Core CPI'!$A$1:$AX$1,),)-VLOOKUP(EDATE(B143,-12),'Data Core CPI'!$A:$AX,MATCH($R$1,'Data Core CPI'!$A$1:$AX$1,),))/VLOOKUP(EDATE(B143,-12),'Data Core CPI'!$A:$AX,MATCH($R$1,'Data Core CPI'!$A$1:$AX$1,),))</f>
        <v/>
      </c>
      <c r="S143" s="20">
        <f>(VLOOKUP(B143,'Data Core CPI'!$A:$AX,MATCH($S$1,'Data Core CPI'!$A$1:$AX$1,),)-VLOOKUP(EDATE(B143,-12),'Data Core CPI'!$A:$AX,MATCH($S$1,'Data Core CPI'!$A$1:$AX$1,),))/VLOOKUP(EDATE(B143,-12),'Data Core CPI'!$A:$AX,MATCH($S$1,'Data Core CPI'!$A$1:$AX$1,),)</f>
        <v/>
      </c>
      <c r="T143" s="20">
        <f>(VLOOKUP(B143,'Data Core CPI'!$A:$AX,MATCH($T$1,'Data Core CPI'!$A$1:$AX$1,),)-VLOOKUP(EDATE(B143,-12),'Data Core CPI'!$A:$AX,MATCH($T$1,'Data Core CPI'!$A$1:$AX$1,),))/VLOOKUP(EDATE(B143,-12),'Data Core CPI'!$A:$AX,MATCH($T$1,'Data Core CPI'!$A$1:$AX$1,),)</f>
        <v/>
      </c>
      <c r="U143" s="20">
        <f>IF(VLOOKUP(B143,'Data Core CPI'!$A:$AX,MATCH($U$1,'Data Core CPI'!$A$1:$AX$1,),)=0,#N/A,(VLOOKUP(B143,'Data Core CPI'!$A:$AX,MATCH($U$1,'Data Core CPI'!$A$1:$AX$1,),)-VLOOKUP(EDATE(B143,-12),'Data Core CPI'!$A:$AX,MATCH($U$1,'Data Core CPI'!$A$1:$AX$1,),))/VLOOKUP(EDATE(B143,-12),'Data Core CPI'!$A:$AX,MATCH($U$1,'Data Core CPI'!$A$1:$AX$1,),))</f>
        <v/>
      </c>
      <c r="V143" s="20">
        <f>(VLOOKUP(B143,'Data Core CPI'!$A:$AX,MATCH($V$1,'Data Core CPI'!$A$1:$AX$1,),)-VLOOKUP(EDATE(B143,-12),'Data Core CPI'!$A:$AX,MATCH($V$1,'Data Core CPI'!$A$1:$AX$1,),))/VLOOKUP(EDATE(B143,-12),'Data Core CPI'!$A:$AX,MATCH($V$1,'Data Core CPI'!$A$1:$AX$1,),)</f>
        <v/>
      </c>
      <c r="W143" s="20">
        <f>IF(VLOOKUP(B143,'Data Core CPI'!$A:$AX,MATCH($W$1,'Data Core CPI'!$A$1:$AX$1,),)=0,#N/A,(VLOOKUP(B143,'Data Core CPI'!$A:$AX,MATCH($W$1,'Data Core CPI'!$A$1:$AX$1,),)-VLOOKUP(EDATE(B143,-12),'Data Core CPI'!$A:$AX,MATCH($W$1,'Data Core CPI'!$A$1:$AX$1,),))/VLOOKUP(EDATE(B143,-12),'Data Core CPI'!$A:$AX,MATCH($W$1,'Data Core CPI'!$A$1:$AX$1,),))</f>
        <v/>
      </c>
      <c r="X143" s="20">
        <f>IF(VLOOKUP(B143,'Data Core CPI'!$A:$AX,MATCH($X$1,'Data Core CPI'!$A$1:$AX$1,),)=0,#N/A,(VLOOKUP(B143,'Data Core CPI'!$A:$AX,MATCH($X$1,'Data Core CPI'!$A$1:$AX$1,),)-VLOOKUP(EDATE(B143,-12),'Data Core CPI'!$A:$AX,MATCH($X$1,'Data Core CPI'!$A$1:$AX$1,),))/VLOOKUP(EDATE(B143,-12),'Data Core CPI'!$A:$AX,MATCH($X$1,'Data Core CPI'!$A$1:$AX$1,),))</f>
        <v/>
      </c>
      <c r="Y143" s="20">
        <f>IF(VLOOKUP(B143,'Data Core CPI'!$A:$AX,MATCH($Y$1,'Data Core CPI'!$A$1:$AX$1,),)=0,#N/A,(VLOOKUP(B143,'Data Core CPI'!$A:$AX,MATCH($Y$1,'Data Core CPI'!$A$1:$AX$1,),)-VLOOKUP(EDATE(B143,-12),'Data Core CPI'!$A:$AX,MATCH($Y$1,'Data Core CPI'!$A$1:$AX$1,),))/VLOOKUP(EDATE(B143,-12),'Data Core CPI'!$A:$AX,MATCH($Y$1,'Data Core CPI'!$A$1:$AX$1,),))</f>
        <v/>
      </c>
    </row>
    <row r="144" customFormat="1" s="78">
      <c r="B144" s="15" t="n">
        <v>44593</v>
      </c>
      <c r="C144" s="20">
        <f>IF(VLOOKUP(B144,'Data Core CPI'!$A:$AX,MATCH($C$1,'Data Core CPI'!$A$1:$AX$1,),)=0,#N/A,(VLOOKUP(B144,'Data Core CPI'!$A:$AX,MATCH($C$1,'Data Core CPI'!$A$1:$AX$1,),)-VLOOKUP(EDATE(B144,-12),'Data Core CPI'!$A:$AX,MATCH($C$1,'Data Core CPI'!$A$1:$AX$1,),))/VLOOKUP(EDATE(B144,-12),'Data Core CPI'!$A:$AX,MATCH($C$1,'Data Core CPI'!$A$1:$AX$1,),))</f>
        <v/>
      </c>
      <c r="D144" s="20">
        <f>(VLOOKUP(B144,'Data Core CPI'!$A:$AX,MATCH($D$1,'Data Core CPI'!$A$1:$AX$1,),)-VLOOKUP(EDATE(B144,-12),'Data Core CPI'!$A:$AX,MATCH($D$1,'Data Core CPI'!$A$1:$AX$1,),))/VLOOKUP(EDATE(B144,-12),'Data Core CPI'!$A:$AX,MATCH($D$1,'Data Core CPI'!$A$1:$AX$1,),)</f>
        <v/>
      </c>
      <c r="E144" s="20">
        <f>IF(VLOOKUP(B144,'Data Core CPI'!$A:$AX,MATCH($E$1,'Data Core CPI'!$A$1:$AX$1,),)=0,#N/A,(VLOOKUP(B144,'Data Core CPI'!$A:$AX,MATCH($E$1,'Data Core CPI'!$A$1:$AX$1,),)-VLOOKUP(EDATE(B144,-12),'Data Core CPI'!$A:$AX,MATCH($E$1,'Data Core CPI'!$A$1:$AX$1,),))/VLOOKUP(EDATE(B144,-12),'Data Core CPI'!$A:$AX,MATCH($E$1,'Data Core CPI'!$A$1:$AX$1,),))</f>
        <v/>
      </c>
      <c r="F144" s="20">
        <f>IF(VLOOKUP(B144,'Data Core CPI'!$A:$AX,MATCH($F$1,'Data Core CPI'!$A$1:$AX$1,),)=0,#N/A,(VLOOKUP(B144,'Data Core CPI'!$A:$AX,MATCH($F$1,'Data Core CPI'!$A$1:$AX$1,),)-VLOOKUP(EDATE(B144,-12),'Data Core CPI'!$A:$AX,MATCH($F$1,'Data Core CPI'!$A$1:$AX$1,),))/VLOOKUP(EDATE(B144,-12),'Data Core CPI'!$A:$AX,MATCH($F$1,'Data Core CPI'!$A$1:$AX$1,),))</f>
        <v/>
      </c>
      <c r="G144" s="20">
        <f>IF(VLOOKUP(B144,'Data Core CPI'!$A:$AX,MATCH($G$1,'Data Core CPI'!$A$1:$AX$1,),)=0,#N/A,(VLOOKUP(B144,'Data Core CPI'!$A:$AX,MATCH($G$1,'Data Core CPI'!$A$1:$AX$1,),)-VLOOKUP(EDATE(B144,-12),'Data Core CPI'!$A:$AX,MATCH($G$1,'Data Core CPI'!$A$1:$AX$1,),))/VLOOKUP(EDATE(B144,-12),'Data Core CPI'!$A:$AX,MATCH($G$1,'Data Core CPI'!$A$1:$AX$1,),))</f>
        <v/>
      </c>
      <c r="H144" s="20">
        <f>IF(VLOOKUP(B144,'Data Core CPI'!$A:$AX,MATCH($H$1,'Data Core CPI'!$A$1:$AX$1,),)=0,#N/A,(VLOOKUP(B144,'Data Core CPI'!$A:$AX,MATCH($H$1,'Data Core CPI'!$A$1:$AX$1,),)-VLOOKUP(EDATE(B144,-12),'Data Core CPI'!$A:$AX,MATCH($H$1,'Data Core CPI'!$A$1:$AX$1,),))/VLOOKUP(EDATE(B144,-12),'Data Core CPI'!$A:$AX,MATCH($H$1,'Data Core CPI'!$A$1:$AX$1,),))</f>
        <v/>
      </c>
      <c r="I144" s="20">
        <f>IF(VLOOKUP(B144,'Data Core CPI'!$A:$AX,MATCH($I$1,'Data Core CPI'!$A$1:$AX$1,),)=0,#N/A,(VLOOKUP(B144,'Data Core CPI'!$A:$AX,MATCH($I$1,'Data Core CPI'!$A$1:$AX$1,),)-VLOOKUP(EDATE(B144,-12),'Data Core CPI'!$A:$AX,MATCH($I$1,'Data Core CPI'!$A$1:$AX$1,),))/VLOOKUP(EDATE(B144,-12),'Data Core CPI'!$A:$AX,MATCH($I$1,'Data Core CPI'!$A$1:$AX$1,),))</f>
        <v/>
      </c>
      <c r="J144" s="20">
        <f>IF(VLOOKUP(B144,'Data Core CPI'!$A:$AX,MATCH($J$1,'Data Core CPI'!$A$1:$AX$1,),)=0,#N/A,(VLOOKUP(B144,'Data Core CPI'!$A:$AX,MATCH($J$1,'Data Core CPI'!$A$1:$AX$1,),)-VLOOKUP(EDATE(B144,-12),'Data Core CPI'!$A:$AX,MATCH($J$1,'Data Core CPI'!$A$1:$AX$1,),))/VLOOKUP(EDATE(B144,-12),'Data Core CPI'!$A:$AX,MATCH($J$1,'Data Core CPI'!$A$1:$AX$1,),))</f>
        <v/>
      </c>
      <c r="K144" s="20">
        <f>IF(VLOOKUP(B144,'Data Core CPI'!$A:$AX,MATCH($K$1,'Data Core CPI'!$A$1:$AX$1,),)=0,#N/A,(VLOOKUP(B144,'Data Core CPI'!$A:$AX,MATCH($K$1,'Data Core CPI'!$A$1:$AX$1,),)-VLOOKUP(EDATE(B144,-12),'Data Core CPI'!$A:$AX,MATCH($K$1,'Data Core CPI'!$A$1:$AX$1,),))/VLOOKUP(EDATE(B144,-12),'Data Core CPI'!$A:$AX,MATCH($K$1,'Data Core CPI'!$A$1:$AX$1,),))</f>
        <v/>
      </c>
      <c r="L144" s="20">
        <f>IF(VLOOKUP(B144,'Data Core CPI'!$A:$AX,MATCH($L$1,'Data Core CPI'!$A$1:$AX$1,),)=0,#N/A,(VLOOKUP(B144,'Data Core CPI'!$A:$AX,MATCH($L$1,'Data Core CPI'!$A$1:$AX$1,),)-VLOOKUP(EDATE(B144,-12),'Data Core CPI'!$A:$AX,MATCH($L$1,'Data Core CPI'!$A$1:$AX$1,),))/VLOOKUP(EDATE(B144,-12),'Data Core CPI'!$A:$AX,MATCH($L$1,'Data Core CPI'!$A$1:$AX$1,),))</f>
        <v/>
      </c>
      <c r="M144" s="20">
        <f>IF(VLOOKUP(B144,'Data Core CPI'!$A:$AX,MATCH($M$1,'Data Core CPI'!$A$1:$AX$1,),)=0,#N/A,(VLOOKUP(B144,'Data Core CPI'!$A:$AX,MATCH($M$1,'Data Core CPI'!$A$1:$AX$1,),)-VLOOKUP(EDATE(B144,-12),'Data Core CPI'!$A:$AX,MATCH($M$1,'Data Core CPI'!$A$1:$AX$1,),))/VLOOKUP(EDATE(B144,-12),'Data Core CPI'!$A:$AX,MATCH($M$1,'Data Core CPI'!$A$1:$AX$1,),))</f>
        <v/>
      </c>
      <c r="N144" s="20">
        <f>(VLOOKUP(B144,'Data Core CPI'!$A:$AX,MATCH($N$1,'Data Core CPI'!$A$1:$AX$1,),)-VLOOKUP(EDATE(B144,-12),'Data Core CPI'!$A:$AX,MATCH($N$1,'Data Core CPI'!$A$1:$AX$1,),))/VLOOKUP(EDATE(B144,-12),'Data Core CPI'!$A:$AX,MATCH($N$1,'Data Core CPI'!$A$1:$AX$1,),)</f>
        <v/>
      </c>
      <c r="O144" s="20">
        <f>(VLOOKUP(B144,'Data Core CPI'!$A:$AX,MATCH($O$1,'Data Core CPI'!$A$1:$AX$1,),)-VLOOKUP(EDATE(B144,-12),'Data Core CPI'!$A:$AX,MATCH($O$1,'Data Core CPI'!$A$1:$AX$1,),))/VLOOKUP(EDATE(B144,-12),'Data Core CPI'!$A:$AX,MATCH($O$1,'Data Core CPI'!$A$1:$AX$1,),)</f>
        <v/>
      </c>
      <c r="P144" s="20">
        <f>IF(VLOOKUP(B144,'Data Core CPI'!$A:$AX,MATCH($P$1,'Data Core CPI'!$A$1:$AX$1,),)=0,#N/A,(VLOOKUP(B144,'Data Core CPI'!$A:$AX,MATCH($P$1,'Data Core CPI'!$A$1:$AX$1,),)-VLOOKUP(EDATE(B144,-12),'Data Core CPI'!$A:$AX,MATCH($P$1,'Data Core CPI'!$A$1:$AX$1,),))/VLOOKUP(EDATE(B144,-12),'Data Core CPI'!$A:$AX,MATCH($P$1,'Data Core CPI'!$A$1:$AX$1,),))</f>
        <v/>
      </c>
      <c r="Q144" s="20">
        <f>(VLOOKUP(B144,'Data Core CPI'!$A:$AX,MATCH($Q$1,'Data Core CPI'!$A$1:$AX$1,),)-VLOOKUP(EDATE(B144,-12),'Data Core CPI'!$A:$AX,MATCH($Q$1,'Data Core CPI'!$A$1:$AX$1,),))/VLOOKUP(EDATE(B144,-12),'Data Core CPI'!$A:$AX,MATCH($Q$1,'Data Core CPI'!$A$1:$AX$1,),)</f>
        <v/>
      </c>
      <c r="R144" s="20">
        <f>IF(VLOOKUP(B144,'Data Core CPI'!$A:$AX,MATCH($R$1,'Data Core CPI'!$A$1:$AX$1,),)=0,#N/A,(VLOOKUP(B144,'Data Core CPI'!$A:$AX,MATCH($R$1,'Data Core CPI'!$A$1:$AX$1,),)-VLOOKUP(EDATE(B144,-12),'Data Core CPI'!$A:$AX,MATCH($R$1,'Data Core CPI'!$A$1:$AX$1,),))/VLOOKUP(EDATE(B144,-12),'Data Core CPI'!$A:$AX,MATCH($R$1,'Data Core CPI'!$A$1:$AX$1,),))</f>
        <v/>
      </c>
      <c r="S144" s="20">
        <f>(VLOOKUP(B144,'Data Core CPI'!$A:$AX,MATCH($S$1,'Data Core CPI'!$A$1:$AX$1,),)-VLOOKUP(EDATE(B144,-12),'Data Core CPI'!$A:$AX,MATCH($S$1,'Data Core CPI'!$A$1:$AX$1,),))/VLOOKUP(EDATE(B144,-12),'Data Core CPI'!$A:$AX,MATCH($S$1,'Data Core CPI'!$A$1:$AX$1,),)</f>
        <v/>
      </c>
      <c r="T144" s="20">
        <f>(VLOOKUP(B144,'Data Core CPI'!$A:$AX,MATCH($T$1,'Data Core CPI'!$A$1:$AX$1,),)-VLOOKUP(EDATE(B144,-12),'Data Core CPI'!$A:$AX,MATCH($T$1,'Data Core CPI'!$A$1:$AX$1,),))/VLOOKUP(EDATE(B144,-12),'Data Core CPI'!$A:$AX,MATCH($T$1,'Data Core CPI'!$A$1:$AX$1,),)</f>
        <v/>
      </c>
      <c r="U144" s="20">
        <f>IF(VLOOKUP(B144,'Data Core CPI'!$A:$AX,MATCH($U$1,'Data Core CPI'!$A$1:$AX$1,),)=0,#N/A,(VLOOKUP(B144,'Data Core CPI'!$A:$AX,MATCH($U$1,'Data Core CPI'!$A$1:$AX$1,),)-VLOOKUP(EDATE(B144,-12),'Data Core CPI'!$A:$AX,MATCH($U$1,'Data Core CPI'!$A$1:$AX$1,),))/VLOOKUP(EDATE(B144,-12),'Data Core CPI'!$A:$AX,MATCH($U$1,'Data Core CPI'!$A$1:$AX$1,),))</f>
        <v/>
      </c>
      <c r="V144" s="20">
        <f>(VLOOKUP(B144,'Data Core CPI'!$A:$AX,MATCH($V$1,'Data Core CPI'!$A$1:$AX$1,),)-VLOOKUP(EDATE(B144,-12),'Data Core CPI'!$A:$AX,MATCH($V$1,'Data Core CPI'!$A$1:$AX$1,),))/VLOOKUP(EDATE(B144,-12),'Data Core CPI'!$A:$AX,MATCH($V$1,'Data Core CPI'!$A$1:$AX$1,),)</f>
        <v/>
      </c>
      <c r="W144" s="20">
        <f>IF(VLOOKUP(B144,'Data Core CPI'!$A:$AX,MATCH($W$1,'Data Core CPI'!$A$1:$AX$1,),)=0,#N/A,(VLOOKUP(B144,'Data Core CPI'!$A:$AX,MATCH($W$1,'Data Core CPI'!$A$1:$AX$1,),)-VLOOKUP(EDATE(B144,-12),'Data Core CPI'!$A:$AX,MATCH($W$1,'Data Core CPI'!$A$1:$AX$1,),))/VLOOKUP(EDATE(B144,-12),'Data Core CPI'!$A:$AX,MATCH($W$1,'Data Core CPI'!$A$1:$AX$1,),))</f>
        <v/>
      </c>
      <c r="X144" s="20">
        <f>IF(VLOOKUP(B144,'Data Core CPI'!$A:$AX,MATCH($X$1,'Data Core CPI'!$A$1:$AX$1,),)=0,#N/A,(VLOOKUP(B144,'Data Core CPI'!$A:$AX,MATCH($X$1,'Data Core CPI'!$A$1:$AX$1,),)-VLOOKUP(EDATE(B144,-12),'Data Core CPI'!$A:$AX,MATCH($X$1,'Data Core CPI'!$A$1:$AX$1,),))/VLOOKUP(EDATE(B144,-12),'Data Core CPI'!$A:$AX,MATCH($X$1,'Data Core CPI'!$A$1:$AX$1,),))</f>
        <v/>
      </c>
      <c r="Y144" s="20">
        <f>IF(VLOOKUP(B144,'Data Core CPI'!$A:$AX,MATCH($Y$1,'Data Core CPI'!$A$1:$AX$1,),)=0,#N/A,(VLOOKUP(B144,'Data Core CPI'!$A:$AX,MATCH($Y$1,'Data Core CPI'!$A$1:$AX$1,),)-VLOOKUP(EDATE(B144,-12),'Data Core CPI'!$A:$AX,MATCH($Y$1,'Data Core CPI'!$A$1:$AX$1,),))/VLOOKUP(EDATE(B144,-12),'Data Core CPI'!$A:$AX,MATCH($Y$1,'Data Core CPI'!$A$1:$AX$1,),))</f>
        <v/>
      </c>
    </row>
    <row r="145" customFormat="1" s="78">
      <c r="B145" s="15" t="n">
        <v>44621</v>
      </c>
      <c r="C145" s="20">
        <f>IF(VLOOKUP(B145,'Data Core CPI'!$A:$AX,MATCH($C$1,'Data Core CPI'!$A$1:$AX$1,),)=0,#N/A,(VLOOKUP(B145,'Data Core CPI'!$A:$AX,MATCH($C$1,'Data Core CPI'!$A$1:$AX$1,),)-VLOOKUP(EDATE(B145,-12),'Data Core CPI'!$A:$AX,MATCH($C$1,'Data Core CPI'!$A$1:$AX$1,),))/VLOOKUP(EDATE(B145,-12),'Data Core CPI'!$A:$AX,MATCH($C$1,'Data Core CPI'!$A$1:$AX$1,),))</f>
        <v/>
      </c>
      <c r="D145" s="20">
        <f>(VLOOKUP(B145,'Data Core CPI'!$A:$AX,MATCH($D$1,'Data Core CPI'!$A$1:$AX$1,),)-VLOOKUP(EDATE(B145,-12),'Data Core CPI'!$A:$AX,MATCH($D$1,'Data Core CPI'!$A$1:$AX$1,),))/VLOOKUP(EDATE(B145,-12),'Data Core CPI'!$A:$AX,MATCH($D$1,'Data Core CPI'!$A$1:$AX$1,),)</f>
        <v/>
      </c>
      <c r="E145" s="20">
        <f>IF(VLOOKUP(B145,'Data Core CPI'!$A:$AX,MATCH($E$1,'Data Core CPI'!$A$1:$AX$1,),)=0,#N/A,(VLOOKUP(B145,'Data Core CPI'!$A:$AX,MATCH($E$1,'Data Core CPI'!$A$1:$AX$1,),)-VLOOKUP(EDATE(B145,-12),'Data Core CPI'!$A:$AX,MATCH($E$1,'Data Core CPI'!$A$1:$AX$1,),))/VLOOKUP(EDATE(B145,-12),'Data Core CPI'!$A:$AX,MATCH($E$1,'Data Core CPI'!$A$1:$AX$1,),))</f>
        <v/>
      </c>
      <c r="F145" s="20">
        <f>IF(VLOOKUP(B145,'Data Core CPI'!$A:$AX,MATCH($F$1,'Data Core CPI'!$A$1:$AX$1,),)=0,#N/A,(VLOOKUP(B145,'Data Core CPI'!$A:$AX,MATCH($F$1,'Data Core CPI'!$A$1:$AX$1,),)-VLOOKUP(EDATE(B145,-12),'Data Core CPI'!$A:$AX,MATCH($F$1,'Data Core CPI'!$A$1:$AX$1,),))/VLOOKUP(EDATE(B145,-12),'Data Core CPI'!$A:$AX,MATCH($F$1,'Data Core CPI'!$A$1:$AX$1,),))</f>
        <v/>
      </c>
      <c r="G145" s="20">
        <f>IF(VLOOKUP(B145,'Data Core CPI'!$A:$AX,MATCH($G$1,'Data Core CPI'!$A$1:$AX$1,),)=0,#N/A,(VLOOKUP(B145,'Data Core CPI'!$A:$AX,MATCH($G$1,'Data Core CPI'!$A$1:$AX$1,),)-VLOOKUP(EDATE(B145,-12),'Data Core CPI'!$A:$AX,MATCH($G$1,'Data Core CPI'!$A$1:$AX$1,),))/VLOOKUP(EDATE(B145,-12),'Data Core CPI'!$A:$AX,MATCH($G$1,'Data Core CPI'!$A$1:$AX$1,),))</f>
        <v/>
      </c>
      <c r="H145" s="20">
        <f>IF(VLOOKUP(B145,'Data Core CPI'!$A:$AX,MATCH($H$1,'Data Core CPI'!$A$1:$AX$1,),)=0,#N/A,(VLOOKUP(B145,'Data Core CPI'!$A:$AX,MATCH($H$1,'Data Core CPI'!$A$1:$AX$1,),)-VLOOKUP(EDATE(B145,-12),'Data Core CPI'!$A:$AX,MATCH($H$1,'Data Core CPI'!$A$1:$AX$1,),))/VLOOKUP(EDATE(B145,-12),'Data Core CPI'!$A:$AX,MATCH($H$1,'Data Core CPI'!$A$1:$AX$1,),))</f>
        <v/>
      </c>
      <c r="I145" s="20">
        <f>IF(VLOOKUP(B145,'Data Core CPI'!$A:$AX,MATCH($I$1,'Data Core CPI'!$A$1:$AX$1,),)=0,#N/A,(VLOOKUP(B145,'Data Core CPI'!$A:$AX,MATCH($I$1,'Data Core CPI'!$A$1:$AX$1,),)-VLOOKUP(EDATE(B145,-12),'Data Core CPI'!$A:$AX,MATCH($I$1,'Data Core CPI'!$A$1:$AX$1,),))/VLOOKUP(EDATE(B145,-12),'Data Core CPI'!$A:$AX,MATCH($I$1,'Data Core CPI'!$A$1:$AX$1,),))</f>
        <v/>
      </c>
      <c r="J145" s="20">
        <f>IF(VLOOKUP(B145,'Data Core CPI'!$A:$AX,MATCH($J$1,'Data Core CPI'!$A$1:$AX$1,),)=0,#N/A,(VLOOKUP(B145,'Data Core CPI'!$A:$AX,MATCH($J$1,'Data Core CPI'!$A$1:$AX$1,),)-VLOOKUP(EDATE(B145,-12),'Data Core CPI'!$A:$AX,MATCH($J$1,'Data Core CPI'!$A$1:$AX$1,),))/VLOOKUP(EDATE(B145,-12),'Data Core CPI'!$A:$AX,MATCH($J$1,'Data Core CPI'!$A$1:$AX$1,),))</f>
        <v/>
      </c>
      <c r="K145" s="20">
        <f>IF(VLOOKUP(B145,'Data Core CPI'!$A:$AX,MATCH($K$1,'Data Core CPI'!$A$1:$AX$1,),)=0,#N/A,(VLOOKUP(B145,'Data Core CPI'!$A:$AX,MATCH($K$1,'Data Core CPI'!$A$1:$AX$1,),)-VLOOKUP(EDATE(B145,-12),'Data Core CPI'!$A:$AX,MATCH($K$1,'Data Core CPI'!$A$1:$AX$1,),))/VLOOKUP(EDATE(B145,-12),'Data Core CPI'!$A:$AX,MATCH($K$1,'Data Core CPI'!$A$1:$AX$1,),))</f>
        <v/>
      </c>
      <c r="L145" s="20">
        <f>IF(VLOOKUP(B145,'Data Core CPI'!$A:$AX,MATCH($L$1,'Data Core CPI'!$A$1:$AX$1,),)=0,#N/A,(VLOOKUP(B145,'Data Core CPI'!$A:$AX,MATCH($L$1,'Data Core CPI'!$A$1:$AX$1,),)-VLOOKUP(EDATE(B145,-12),'Data Core CPI'!$A:$AX,MATCH($L$1,'Data Core CPI'!$A$1:$AX$1,),))/VLOOKUP(EDATE(B145,-12),'Data Core CPI'!$A:$AX,MATCH($L$1,'Data Core CPI'!$A$1:$AX$1,),))</f>
        <v/>
      </c>
      <c r="M145" s="20">
        <f>IF(VLOOKUP(B145,'Data Core CPI'!$A:$AX,MATCH($M$1,'Data Core CPI'!$A$1:$AX$1,),)=0,#N/A,(VLOOKUP(B145,'Data Core CPI'!$A:$AX,MATCH($M$1,'Data Core CPI'!$A$1:$AX$1,),)-VLOOKUP(EDATE(B145,-12),'Data Core CPI'!$A:$AX,MATCH($M$1,'Data Core CPI'!$A$1:$AX$1,),))/VLOOKUP(EDATE(B145,-12),'Data Core CPI'!$A:$AX,MATCH($M$1,'Data Core CPI'!$A$1:$AX$1,),))</f>
        <v/>
      </c>
      <c r="N145" s="20">
        <f>(VLOOKUP(B145,'Data Core CPI'!$A:$AX,MATCH($N$1,'Data Core CPI'!$A$1:$AX$1,),)-VLOOKUP(EDATE(B145,-12),'Data Core CPI'!$A:$AX,MATCH($N$1,'Data Core CPI'!$A$1:$AX$1,),))/VLOOKUP(EDATE(B145,-12),'Data Core CPI'!$A:$AX,MATCH($N$1,'Data Core CPI'!$A$1:$AX$1,),)</f>
        <v/>
      </c>
      <c r="O145" s="20">
        <f>(VLOOKUP(B145,'Data Core CPI'!$A:$AX,MATCH($O$1,'Data Core CPI'!$A$1:$AX$1,),)-VLOOKUP(EDATE(B145,-12),'Data Core CPI'!$A:$AX,MATCH($O$1,'Data Core CPI'!$A$1:$AX$1,),))/VLOOKUP(EDATE(B145,-12),'Data Core CPI'!$A:$AX,MATCH($O$1,'Data Core CPI'!$A$1:$AX$1,),)</f>
        <v/>
      </c>
      <c r="P145" s="20">
        <f>IF(VLOOKUP(B145,'Data Core CPI'!$A:$AX,MATCH($P$1,'Data Core CPI'!$A$1:$AX$1,),)=0,#N/A,(VLOOKUP(B145,'Data Core CPI'!$A:$AX,MATCH($P$1,'Data Core CPI'!$A$1:$AX$1,),)-VLOOKUP(EDATE(B145,-12),'Data Core CPI'!$A:$AX,MATCH($P$1,'Data Core CPI'!$A$1:$AX$1,),))/VLOOKUP(EDATE(B145,-12),'Data Core CPI'!$A:$AX,MATCH($P$1,'Data Core CPI'!$A$1:$AX$1,),))</f>
        <v/>
      </c>
      <c r="Q145" s="20">
        <f>(VLOOKUP(B145,'Data Core CPI'!$A:$AX,MATCH($Q$1,'Data Core CPI'!$A$1:$AX$1,),)-VLOOKUP(EDATE(B145,-12),'Data Core CPI'!$A:$AX,MATCH($Q$1,'Data Core CPI'!$A$1:$AX$1,),))/VLOOKUP(EDATE(B145,-12),'Data Core CPI'!$A:$AX,MATCH($Q$1,'Data Core CPI'!$A$1:$AX$1,),)</f>
        <v/>
      </c>
      <c r="R145" s="20">
        <f>IF(VLOOKUP(B145,'Data Core CPI'!$A:$AX,MATCH($R$1,'Data Core CPI'!$A$1:$AX$1,),)=0,#N/A,(VLOOKUP(B145,'Data Core CPI'!$A:$AX,MATCH($R$1,'Data Core CPI'!$A$1:$AX$1,),)-VLOOKUP(EDATE(B145,-12),'Data Core CPI'!$A:$AX,MATCH($R$1,'Data Core CPI'!$A$1:$AX$1,),))/VLOOKUP(EDATE(B145,-12),'Data Core CPI'!$A:$AX,MATCH($R$1,'Data Core CPI'!$A$1:$AX$1,),))</f>
        <v/>
      </c>
      <c r="S145" s="20">
        <f>(VLOOKUP(B145,'Data Core CPI'!$A:$AX,MATCH($S$1,'Data Core CPI'!$A$1:$AX$1,),)-VLOOKUP(EDATE(B145,-12),'Data Core CPI'!$A:$AX,MATCH($S$1,'Data Core CPI'!$A$1:$AX$1,),))/VLOOKUP(EDATE(B145,-12),'Data Core CPI'!$A:$AX,MATCH($S$1,'Data Core CPI'!$A$1:$AX$1,),)</f>
        <v/>
      </c>
      <c r="T145" s="20">
        <f>(VLOOKUP(B145,'Data Core CPI'!$A:$AX,MATCH($T$1,'Data Core CPI'!$A$1:$AX$1,),)-VLOOKUP(EDATE(B145,-12),'Data Core CPI'!$A:$AX,MATCH($T$1,'Data Core CPI'!$A$1:$AX$1,),))/VLOOKUP(EDATE(B145,-12),'Data Core CPI'!$A:$AX,MATCH($T$1,'Data Core CPI'!$A$1:$AX$1,),)</f>
        <v/>
      </c>
      <c r="U145" s="20">
        <f>IF(VLOOKUP(B145,'Data Core CPI'!$A:$AX,MATCH($U$1,'Data Core CPI'!$A$1:$AX$1,),)=0,#N/A,(VLOOKUP(B145,'Data Core CPI'!$A:$AX,MATCH($U$1,'Data Core CPI'!$A$1:$AX$1,),)-VLOOKUP(EDATE(B145,-12),'Data Core CPI'!$A:$AX,MATCH($U$1,'Data Core CPI'!$A$1:$AX$1,),))/VLOOKUP(EDATE(B145,-12),'Data Core CPI'!$A:$AX,MATCH($U$1,'Data Core CPI'!$A$1:$AX$1,),))</f>
        <v/>
      </c>
      <c r="V145" s="20">
        <f>(VLOOKUP(B145,'Data Core CPI'!$A:$AX,MATCH($V$1,'Data Core CPI'!$A$1:$AX$1,),)-VLOOKUP(EDATE(B145,-12),'Data Core CPI'!$A:$AX,MATCH($V$1,'Data Core CPI'!$A$1:$AX$1,),))/VLOOKUP(EDATE(B145,-12),'Data Core CPI'!$A:$AX,MATCH($V$1,'Data Core CPI'!$A$1:$AX$1,),)</f>
        <v/>
      </c>
      <c r="W145" s="20">
        <f>IF(VLOOKUP(B145,'Data Core CPI'!$A:$AX,MATCH($W$1,'Data Core CPI'!$A$1:$AX$1,),)=0,#N/A,(VLOOKUP(B145,'Data Core CPI'!$A:$AX,MATCH($W$1,'Data Core CPI'!$A$1:$AX$1,),)-VLOOKUP(EDATE(B145,-12),'Data Core CPI'!$A:$AX,MATCH($W$1,'Data Core CPI'!$A$1:$AX$1,),))/VLOOKUP(EDATE(B145,-12),'Data Core CPI'!$A:$AX,MATCH($W$1,'Data Core CPI'!$A$1:$AX$1,),))</f>
        <v/>
      </c>
      <c r="X145" s="20">
        <f>IF(VLOOKUP(B145,'Data Core CPI'!$A:$AX,MATCH($X$1,'Data Core CPI'!$A$1:$AX$1,),)=0,#N/A,(VLOOKUP(B145,'Data Core CPI'!$A:$AX,MATCH($X$1,'Data Core CPI'!$A$1:$AX$1,),)-VLOOKUP(EDATE(B145,-12),'Data Core CPI'!$A:$AX,MATCH($X$1,'Data Core CPI'!$A$1:$AX$1,),))/VLOOKUP(EDATE(B145,-12),'Data Core CPI'!$A:$AX,MATCH($X$1,'Data Core CPI'!$A$1:$AX$1,),))</f>
        <v/>
      </c>
      <c r="Y145" s="20">
        <f>IF(VLOOKUP(B145,'Data Core CPI'!$A:$AX,MATCH($Y$1,'Data Core CPI'!$A$1:$AX$1,),)=0,#N/A,(VLOOKUP(B145,'Data Core CPI'!$A:$AX,MATCH($Y$1,'Data Core CPI'!$A$1:$AX$1,),)-VLOOKUP(EDATE(B145,-12),'Data Core CPI'!$A:$AX,MATCH($Y$1,'Data Core CPI'!$A$1:$AX$1,),))/VLOOKUP(EDATE(B145,-12),'Data Core CPI'!$A:$AX,MATCH($Y$1,'Data Core CPI'!$A$1:$AX$1,),))</f>
        <v/>
      </c>
    </row>
    <row r="146" customFormat="1" s="78">
      <c r="B146" s="15" t="n">
        <v>44652</v>
      </c>
      <c r="C146" s="20">
        <f>IF(VLOOKUP(B146,'Data Core CPI'!$A:$AX,MATCH($C$1,'Data Core CPI'!$A$1:$AX$1,),)=0,#N/A,(VLOOKUP(B146,'Data Core CPI'!$A:$AX,MATCH($C$1,'Data Core CPI'!$A$1:$AX$1,),)-VLOOKUP(EDATE(B146,-12),'Data Core CPI'!$A:$AX,MATCH($C$1,'Data Core CPI'!$A$1:$AX$1,),))/VLOOKUP(EDATE(B146,-12),'Data Core CPI'!$A:$AX,MATCH($C$1,'Data Core CPI'!$A$1:$AX$1,),))</f>
        <v/>
      </c>
      <c r="D146" s="20">
        <f>(VLOOKUP(B146,'Data Core CPI'!$A:$AX,MATCH($D$1,'Data Core CPI'!$A$1:$AX$1,),)-VLOOKUP(EDATE(B146,-12),'Data Core CPI'!$A:$AX,MATCH($D$1,'Data Core CPI'!$A$1:$AX$1,),))/VLOOKUP(EDATE(B146,-12),'Data Core CPI'!$A:$AX,MATCH($D$1,'Data Core CPI'!$A$1:$AX$1,),)</f>
        <v/>
      </c>
      <c r="E146" s="20">
        <f>IF(VLOOKUP(B146,'Data Core CPI'!$A:$AX,MATCH($E$1,'Data Core CPI'!$A$1:$AX$1,),)=0,#N/A,(VLOOKUP(B146,'Data Core CPI'!$A:$AX,MATCH($E$1,'Data Core CPI'!$A$1:$AX$1,),)-VLOOKUP(EDATE(B146,-12),'Data Core CPI'!$A:$AX,MATCH($E$1,'Data Core CPI'!$A$1:$AX$1,),))/VLOOKUP(EDATE(B146,-12),'Data Core CPI'!$A:$AX,MATCH($E$1,'Data Core CPI'!$A$1:$AX$1,),))</f>
        <v/>
      </c>
      <c r="F146" s="20">
        <f>IF(VLOOKUP(B146,'Data Core CPI'!$A:$AX,MATCH($F$1,'Data Core CPI'!$A$1:$AX$1,),)=0,#N/A,(VLOOKUP(B146,'Data Core CPI'!$A:$AX,MATCH($F$1,'Data Core CPI'!$A$1:$AX$1,),)-VLOOKUP(EDATE(B146,-12),'Data Core CPI'!$A:$AX,MATCH($F$1,'Data Core CPI'!$A$1:$AX$1,),))/VLOOKUP(EDATE(B146,-12),'Data Core CPI'!$A:$AX,MATCH($F$1,'Data Core CPI'!$A$1:$AX$1,),))</f>
        <v/>
      </c>
      <c r="G146" s="20">
        <f>IF(VLOOKUP(B146,'Data Core CPI'!$A:$AX,MATCH($G$1,'Data Core CPI'!$A$1:$AX$1,),)=0,#N/A,(VLOOKUP(B146,'Data Core CPI'!$A:$AX,MATCH($G$1,'Data Core CPI'!$A$1:$AX$1,),)-VLOOKUP(EDATE(B146,-12),'Data Core CPI'!$A:$AX,MATCH($G$1,'Data Core CPI'!$A$1:$AX$1,),))/VLOOKUP(EDATE(B146,-12),'Data Core CPI'!$A:$AX,MATCH($G$1,'Data Core CPI'!$A$1:$AX$1,),))</f>
        <v/>
      </c>
      <c r="H146" s="20">
        <f>IF(VLOOKUP(B146,'Data Core CPI'!$A:$AX,MATCH($H$1,'Data Core CPI'!$A$1:$AX$1,),)=0,#N/A,(VLOOKUP(B146,'Data Core CPI'!$A:$AX,MATCH($H$1,'Data Core CPI'!$A$1:$AX$1,),)-VLOOKUP(EDATE(B146,-12),'Data Core CPI'!$A:$AX,MATCH($H$1,'Data Core CPI'!$A$1:$AX$1,),))/VLOOKUP(EDATE(B146,-12),'Data Core CPI'!$A:$AX,MATCH($H$1,'Data Core CPI'!$A$1:$AX$1,),))</f>
        <v/>
      </c>
      <c r="I146" s="20">
        <f>IF(VLOOKUP(B146,'Data Core CPI'!$A:$AX,MATCH($I$1,'Data Core CPI'!$A$1:$AX$1,),)=0,#N/A,(VLOOKUP(B146,'Data Core CPI'!$A:$AX,MATCH($I$1,'Data Core CPI'!$A$1:$AX$1,),)-VLOOKUP(EDATE(B146,-12),'Data Core CPI'!$A:$AX,MATCH($I$1,'Data Core CPI'!$A$1:$AX$1,),))/VLOOKUP(EDATE(B146,-12),'Data Core CPI'!$A:$AX,MATCH($I$1,'Data Core CPI'!$A$1:$AX$1,),))</f>
        <v/>
      </c>
      <c r="J146" s="20">
        <f>IF(VLOOKUP(B146,'Data Core CPI'!$A:$AX,MATCH($J$1,'Data Core CPI'!$A$1:$AX$1,),)=0,#N/A,(VLOOKUP(B146,'Data Core CPI'!$A:$AX,MATCH($J$1,'Data Core CPI'!$A$1:$AX$1,),)-VLOOKUP(EDATE(B146,-12),'Data Core CPI'!$A:$AX,MATCH($J$1,'Data Core CPI'!$A$1:$AX$1,),))/VLOOKUP(EDATE(B146,-12),'Data Core CPI'!$A:$AX,MATCH($J$1,'Data Core CPI'!$A$1:$AX$1,),))</f>
        <v/>
      </c>
      <c r="K146" s="20">
        <f>IF(VLOOKUP(B146,'Data Core CPI'!$A:$AX,MATCH($K$1,'Data Core CPI'!$A$1:$AX$1,),)=0,#N/A,(VLOOKUP(B146,'Data Core CPI'!$A:$AX,MATCH($K$1,'Data Core CPI'!$A$1:$AX$1,),)-VLOOKUP(EDATE(B146,-12),'Data Core CPI'!$A:$AX,MATCH($K$1,'Data Core CPI'!$A$1:$AX$1,),))/VLOOKUP(EDATE(B146,-12),'Data Core CPI'!$A:$AX,MATCH($K$1,'Data Core CPI'!$A$1:$AX$1,),))</f>
        <v/>
      </c>
      <c r="L146" s="20">
        <f>IF(VLOOKUP(B146,'Data Core CPI'!$A:$AX,MATCH($L$1,'Data Core CPI'!$A$1:$AX$1,),)=0,#N/A,(VLOOKUP(B146,'Data Core CPI'!$A:$AX,MATCH($L$1,'Data Core CPI'!$A$1:$AX$1,),)-VLOOKUP(EDATE(B146,-12),'Data Core CPI'!$A:$AX,MATCH($L$1,'Data Core CPI'!$A$1:$AX$1,),))/VLOOKUP(EDATE(B146,-12),'Data Core CPI'!$A:$AX,MATCH($L$1,'Data Core CPI'!$A$1:$AX$1,),))</f>
        <v/>
      </c>
      <c r="M146" s="20">
        <f>IF(VLOOKUP(B146,'Data Core CPI'!$A:$AX,MATCH($M$1,'Data Core CPI'!$A$1:$AX$1,),)=0,#N/A,(VLOOKUP(B146,'Data Core CPI'!$A:$AX,MATCH($M$1,'Data Core CPI'!$A$1:$AX$1,),)-VLOOKUP(EDATE(B146,-12),'Data Core CPI'!$A:$AX,MATCH($M$1,'Data Core CPI'!$A$1:$AX$1,),))/VLOOKUP(EDATE(B146,-12),'Data Core CPI'!$A:$AX,MATCH($M$1,'Data Core CPI'!$A$1:$AX$1,),))</f>
        <v/>
      </c>
      <c r="N146" s="20">
        <f>(VLOOKUP(B146,'Data Core CPI'!$A:$AX,MATCH($N$1,'Data Core CPI'!$A$1:$AX$1,),)-VLOOKUP(EDATE(B146,-12),'Data Core CPI'!$A:$AX,MATCH($N$1,'Data Core CPI'!$A$1:$AX$1,),))/VLOOKUP(EDATE(B146,-12),'Data Core CPI'!$A:$AX,MATCH($N$1,'Data Core CPI'!$A$1:$AX$1,),)</f>
        <v/>
      </c>
      <c r="O146" s="20">
        <f>(VLOOKUP(B146,'Data Core CPI'!$A:$AX,MATCH($O$1,'Data Core CPI'!$A$1:$AX$1,),)-VLOOKUP(EDATE(B146,-12),'Data Core CPI'!$A:$AX,MATCH($O$1,'Data Core CPI'!$A$1:$AX$1,),))/VLOOKUP(EDATE(B146,-12),'Data Core CPI'!$A:$AX,MATCH($O$1,'Data Core CPI'!$A$1:$AX$1,),)</f>
        <v/>
      </c>
      <c r="P146" s="20">
        <f>IF(VLOOKUP(B146,'Data Core CPI'!$A:$AX,MATCH($P$1,'Data Core CPI'!$A$1:$AX$1,),)=0,#N/A,(VLOOKUP(B146,'Data Core CPI'!$A:$AX,MATCH($P$1,'Data Core CPI'!$A$1:$AX$1,),)-VLOOKUP(EDATE(B146,-12),'Data Core CPI'!$A:$AX,MATCH($P$1,'Data Core CPI'!$A$1:$AX$1,),))/VLOOKUP(EDATE(B146,-12),'Data Core CPI'!$A:$AX,MATCH($P$1,'Data Core CPI'!$A$1:$AX$1,),))</f>
        <v/>
      </c>
      <c r="Q146" s="20">
        <f>(VLOOKUP(B146,'Data Core CPI'!$A:$AX,MATCH($Q$1,'Data Core CPI'!$A$1:$AX$1,),)-VLOOKUP(EDATE(B146,-12),'Data Core CPI'!$A:$AX,MATCH($Q$1,'Data Core CPI'!$A$1:$AX$1,),))/VLOOKUP(EDATE(B146,-12),'Data Core CPI'!$A:$AX,MATCH($Q$1,'Data Core CPI'!$A$1:$AX$1,),)</f>
        <v/>
      </c>
      <c r="R146" s="20">
        <f>IF(VLOOKUP(B146,'Data Core CPI'!$A:$AX,MATCH($R$1,'Data Core CPI'!$A$1:$AX$1,),)=0,#N/A,(VLOOKUP(B146,'Data Core CPI'!$A:$AX,MATCH($R$1,'Data Core CPI'!$A$1:$AX$1,),)-VLOOKUP(EDATE(B146,-12),'Data Core CPI'!$A:$AX,MATCH($R$1,'Data Core CPI'!$A$1:$AX$1,),))/VLOOKUP(EDATE(B146,-12),'Data Core CPI'!$A:$AX,MATCH($R$1,'Data Core CPI'!$A$1:$AX$1,),))</f>
        <v/>
      </c>
      <c r="S146" s="20">
        <f>(VLOOKUP(B146,'Data Core CPI'!$A:$AX,MATCH($S$1,'Data Core CPI'!$A$1:$AX$1,),)-VLOOKUP(EDATE(B146,-12),'Data Core CPI'!$A:$AX,MATCH($S$1,'Data Core CPI'!$A$1:$AX$1,),))/VLOOKUP(EDATE(B146,-12),'Data Core CPI'!$A:$AX,MATCH($S$1,'Data Core CPI'!$A$1:$AX$1,),)</f>
        <v/>
      </c>
      <c r="T146" s="20">
        <f>(VLOOKUP(B146,'Data Core CPI'!$A:$AX,MATCH($T$1,'Data Core CPI'!$A$1:$AX$1,),)-VLOOKUP(EDATE(B146,-12),'Data Core CPI'!$A:$AX,MATCH($T$1,'Data Core CPI'!$A$1:$AX$1,),))/VLOOKUP(EDATE(B146,-12),'Data Core CPI'!$A:$AX,MATCH($T$1,'Data Core CPI'!$A$1:$AX$1,),)</f>
        <v/>
      </c>
      <c r="U146" s="20">
        <f>IF(VLOOKUP(B146,'Data Core CPI'!$A:$AX,MATCH($U$1,'Data Core CPI'!$A$1:$AX$1,),)=0,#N/A,(VLOOKUP(B146,'Data Core CPI'!$A:$AX,MATCH($U$1,'Data Core CPI'!$A$1:$AX$1,),)-VLOOKUP(EDATE(B146,-12),'Data Core CPI'!$A:$AX,MATCH($U$1,'Data Core CPI'!$A$1:$AX$1,),))/VLOOKUP(EDATE(B146,-12),'Data Core CPI'!$A:$AX,MATCH($U$1,'Data Core CPI'!$A$1:$AX$1,),))</f>
        <v/>
      </c>
      <c r="V146" s="20">
        <f>(VLOOKUP(B146,'Data Core CPI'!$A:$AX,MATCH($V$1,'Data Core CPI'!$A$1:$AX$1,),)-VLOOKUP(EDATE(B146,-12),'Data Core CPI'!$A:$AX,MATCH($V$1,'Data Core CPI'!$A$1:$AX$1,),))/VLOOKUP(EDATE(B146,-12),'Data Core CPI'!$A:$AX,MATCH($V$1,'Data Core CPI'!$A$1:$AX$1,),)</f>
        <v/>
      </c>
      <c r="W146" s="20">
        <f>IF(VLOOKUP(B146,'Data Core CPI'!$A:$AX,MATCH($W$1,'Data Core CPI'!$A$1:$AX$1,),)=0,#N/A,(VLOOKUP(B146,'Data Core CPI'!$A:$AX,MATCH($W$1,'Data Core CPI'!$A$1:$AX$1,),)-VLOOKUP(EDATE(B146,-12),'Data Core CPI'!$A:$AX,MATCH($W$1,'Data Core CPI'!$A$1:$AX$1,),))/VLOOKUP(EDATE(B146,-12),'Data Core CPI'!$A:$AX,MATCH($W$1,'Data Core CPI'!$A$1:$AX$1,),))</f>
        <v/>
      </c>
      <c r="X146" s="20">
        <f>IF(VLOOKUP(B146,'Data Core CPI'!$A:$AX,MATCH($X$1,'Data Core CPI'!$A$1:$AX$1,),)=0,#N/A,(VLOOKUP(B146,'Data Core CPI'!$A:$AX,MATCH($X$1,'Data Core CPI'!$A$1:$AX$1,),)-VLOOKUP(EDATE(B146,-12),'Data Core CPI'!$A:$AX,MATCH($X$1,'Data Core CPI'!$A$1:$AX$1,),))/VLOOKUP(EDATE(B146,-12),'Data Core CPI'!$A:$AX,MATCH($X$1,'Data Core CPI'!$A$1:$AX$1,),))</f>
        <v/>
      </c>
      <c r="Y146" s="20">
        <f>IF(VLOOKUP(B146,'Data Core CPI'!$A:$AX,MATCH($Y$1,'Data Core CPI'!$A$1:$AX$1,),)=0,#N/A,(VLOOKUP(B146,'Data Core CPI'!$A:$AX,MATCH($Y$1,'Data Core CPI'!$A$1:$AX$1,),)-VLOOKUP(EDATE(B146,-12),'Data Core CPI'!$A:$AX,MATCH($Y$1,'Data Core CPI'!$A$1:$AX$1,),))/VLOOKUP(EDATE(B146,-12),'Data Core CPI'!$A:$AX,MATCH($Y$1,'Data Core CPI'!$A$1:$AX$1,),))</f>
        <v/>
      </c>
    </row>
    <row r="147" customFormat="1" s="78">
      <c r="B147" s="15" t="n">
        <v>44682</v>
      </c>
      <c r="C147" s="20">
        <f>IF(VLOOKUP(B147,'Data Core CPI'!$A:$AX,MATCH($C$1,'Data Core CPI'!$A$1:$AX$1,),)=0,#N/A,(VLOOKUP(B147,'Data Core CPI'!$A:$AX,MATCH($C$1,'Data Core CPI'!$A$1:$AX$1,),)-VLOOKUP(EDATE(B147,-12),'Data Core CPI'!$A:$AX,MATCH($C$1,'Data Core CPI'!$A$1:$AX$1,),))/VLOOKUP(EDATE(B147,-12),'Data Core CPI'!$A:$AX,MATCH($C$1,'Data Core CPI'!$A$1:$AX$1,),))</f>
        <v/>
      </c>
      <c r="D147" s="20">
        <f>(VLOOKUP(B147,'Data Core CPI'!$A:$AX,MATCH($D$1,'Data Core CPI'!$A$1:$AX$1,),)-VLOOKUP(EDATE(B147,-12),'Data Core CPI'!$A:$AX,MATCH($D$1,'Data Core CPI'!$A$1:$AX$1,),))/VLOOKUP(EDATE(B147,-12),'Data Core CPI'!$A:$AX,MATCH($D$1,'Data Core CPI'!$A$1:$AX$1,),)</f>
        <v/>
      </c>
      <c r="E147" s="20">
        <f>IF(VLOOKUP(B147,'Data Core CPI'!$A:$AX,MATCH($E$1,'Data Core CPI'!$A$1:$AX$1,),)=0,#N/A,(VLOOKUP(B147,'Data Core CPI'!$A:$AX,MATCH($E$1,'Data Core CPI'!$A$1:$AX$1,),)-VLOOKUP(EDATE(B147,-12),'Data Core CPI'!$A:$AX,MATCH($E$1,'Data Core CPI'!$A$1:$AX$1,),))/VLOOKUP(EDATE(B147,-12),'Data Core CPI'!$A:$AX,MATCH($E$1,'Data Core CPI'!$A$1:$AX$1,),))</f>
        <v/>
      </c>
      <c r="F147" s="20">
        <f>IF(VLOOKUP(B147,'Data Core CPI'!$A:$AX,MATCH($F$1,'Data Core CPI'!$A$1:$AX$1,),)=0,#N/A,(VLOOKUP(B147,'Data Core CPI'!$A:$AX,MATCH($F$1,'Data Core CPI'!$A$1:$AX$1,),)-VLOOKUP(EDATE(B147,-12),'Data Core CPI'!$A:$AX,MATCH($F$1,'Data Core CPI'!$A$1:$AX$1,),))/VLOOKUP(EDATE(B147,-12),'Data Core CPI'!$A:$AX,MATCH($F$1,'Data Core CPI'!$A$1:$AX$1,),))</f>
        <v/>
      </c>
      <c r="G147" s="20">
        <f>IF(VLOOKUP(B147,'Data Core CPI'!$A:$AX,MATCH($G$1,'Data Core CPI'!$A$1:$AX$1,),)=0,#N/A,(VLOOKUP(B147,'Data Core CPI'!$A:$AX,MATCH($G$1,'Data Core CPI'!$A$1:$AX$1,),)-VLOOKUP(EDATE(B147,-12),'Data Core CPI'!$A:$AX,MATCH($G$1,'Data Core CPI'!$A$1:$AX$1,),))/VLOOKUP(EDATE(B147,-12),'Data Core CPI'!$A:$AX,MATCH($G$1,'Data Core CPI'!$A$1:$AX$1,),))</f>
        <v/>
      </c>
      <c r="H147" s="20">
        <f>IF(VLOOKUP(B147,'Data Core CPI'!$A:$AX,MATCH($H$1,'Data Core CPI'!$A$1:$AX$1,),)=0,#N/A,(VLOOKUP(B147,'Data Core CPI'!$A:$AX,MATCH($H$1,'Data Core CPI'!$A$1:$AX$1,),)-VLOOKUP(EDATE(B147,-12),'Data Core CPI'!$A:$AX,MATCH($H$1,'Data Core CPI'!$A$1:$AX$1,),))/VLOOKUP(EDATE(B147,-12),'Data Core CPI'!$A:$AX,MATCH($H$1,'Data Core CPI'!$A$1:$AX$1,),))</f>
        <v/>
      </c>
      <c r="I147" s="20">
        <f>IF(VLOOKUP(B147,'Data Core CPI'!$A:$AX,MATCH($I$1,'Data Core CPI'!$A$1:$AX$1,),)=0,#N/A,(VLOOKUP(B147,'Data Core CPI'!$A:$AX,MATCH($I$1,'Data Core CPI'!$A$1:$AX$1,),)-VLOOKUP(EDATE(B147,-12),'Data Core CPI'!$A:$AX,MATCH($I$1,'Data Core CPI'!$A$1:$AX$1,),))/VLOOKUP(EDATE(B147,-12),'Data Core CPI'!$A:$AX,MATCH($I$1,'Data Core CPI'!$A$1:$AX$1,),))</f>
        <v/>
      </c>
      <c r="J147" s="20">
        <f>IF(VLOOKUP(B147,'Data Core CPI'!$A:$AX,MATCH($J$1,'Data Core CPI'!$A$1:$AX$1,),)=0,#N/A,(VLOOKUP(B147,'Data Core CPI'!$A:$AX,MATCH($J$1,'Data Core CPI'!$A$1:$AX$1,),)-VLOOKUP(EDATE(B147,-12),'Data Core CPI'!$A:$AX,MATCH($J$1,'Data Core CPI'!$A$1:$AX$1,),))/VLOOKUP(EDATE(B147,-12),'Data Core CPI'!$A:$AX,MATCH($J$1,'Data Core CPI'!$A$1:$AX$1,),))</f>
        <v/>
      </c>
      <c r="K147" s="20">
        <f>IF(VLOOKUP(B147,'Data Core CPI'!$A:$AX,MATCH($K$1,'Data Core CPI'!$A$1:$AX$1,),)=0,#N/A,(VLOOKUP(B147,'Data Core CPI'!$A:$AX,MATCH($K$1,'Data Core CPI'!$A$1:$AX$1,),)-VLOOKUP(EDATE(B147,-12),'Data Core CPI'!$A:$AX,MATCH($K$1,'Data Core CPI'!$A$1:$AX$1,),))/VLOOKUP(EDATE(B147,-12),'Data Core CPI'!$A:$AX,MATCH($K$1,'Data Core CPI'!$A$1:$AX$1,),))</f>
        <v/>
      </c>
      <c r="L147" s="20">
        <f>IF(VLOOKUP(B147,'Data Core CPI'!$A:$AX,MATCH($L$1,'Data Core CPI'!$A$1:$AX$1,),)=0,#N/A,(VLOOKUP(B147,'Data Core CPI'!$A:$AX,MATCH($L$1,'Data Core CPI'!$A$1:$AX$1,),)-VLOOKUP(EDATE(B147,-12),'Data Core CPI'!$A:$AX,MATCH($L$1,'Data Core CPI'!$A$1:$AX$1,),))/VLOOKUP(EDATE(B147,-12),'Data Core CPI'!$A:$AX,MATCH($L$1,'Data Core CPI'!$A$1:$AX$1,),))</f>
        <v/>
      </c>
      <c r="M147" s="20">
        <f>IF(VLOOKUP(B147,'Data Core CPI'!$A:$AX,MATCH($M$1,'Data Core CPI'!$A$1:$AX$1,),)=0,#N/A,(VLOOKUP(B147,'Data Core CPI'!$A:$AX,MATCH($M$1,'Data Core CPI'!$A$1:$AX$1,),)-VLOOKUP(EDATE(B147,-12),'Data Core CPI'!$A:$AX,MATCH($M$1,'Data Core CPI'!$A$1:$AX$1,),))/VLOOKUP(EDATE(B147,-12),'Data Core CPI'!$A:$AX,MATCH($M$1,'Data Core CPI'!$A$1:$AX$1,),))</f>
        <v/>
      </c>
      <c r="N147" s="20">
        <f>(VLOOKUP(B147,'Data Core CPI'!$A:$AX,MATCH($N$1,'Data Core CPI'!$A$1:$AX$1,),)-VLOOKUP(EDATE(B147,-12),'Data Core CPI'!$A:$AX,MATCH($N$1,'Data Core CPI'!$A$1:$AX$1,),))/VLOOKUP(EDATE(B147,-12),'Data Core CPI'!$A:$AX,MATCH($N$1,'Data Core CPI'!$A$1:$AX$1,),)</f>
        <v/>
      </c>
      <c r="O147" s="20">
        <f>(VLOOKUP(B147,'Data Core CPI'!$A:$AX,MATCH($O$1,'Data Core CPI'!$A$1:$AX$1,),)-VLOOKUP(EDATE(B147,-12),'Data Core CPI'!$A:$AX,MATCH($O$1,'Data Core CPI'!$A$1:$AX$1,),))/VLOOKUP(EDATE(B147,-12),'Data Core CPI'!$A:$AX,MATCH($O$1,'Data Core CPI'!$A$1:$AX$1,),)</f>
        <v/>
      </c>
      <c r="P147" s="20">
        <f>IF(VLOOKUP(B147,'Data Core CPI'!$A:$AX,MATCH($P$1,'Data Core CPI'!$A$1:$AX$1,),)=0,#N/A,(VLOOKUP(B147,'Data Core CPI'!$A:$AX,MATCH($P$1,'Data Core CPI'!$A$1:$AX$1,),)-VLOOKUP(EDATE(B147,-12),'Data Core CPI'!$A:$AX,MATCH($P$1,'Data Core CPI'!$A$1:$AX$1,),))/VLOOKUP(EDATE(B147,-12),'Data Core CPI'!$A:$AX,MATCH($P$1,'Data Core CPI'!$A$1:$AX$1,),))</f>
        <v/>
      </c>
      <c r="Q147" s="20">
        <f>(VLOOKUP(B147,'Data Core CPI'!$A:$AX,MATCH($Q$1,'Data Core CPI'!$A$1:$AX$1,),)-VLOOKUP(EDATE(B147,-12),'Data Core CPI'!$A:$AX,MATCH($Q$1,'Data Core CPI'!$A$1:$AX$1,),))/VLOOKUP(EDATE(B147,-12),'Data Core CPI'!$A:$AX,MATCH($Q$1,'Data Core CPI'!$A$1:$AX$1,),)</f>
        <v/>
      </c>
      <c r="R147" s="20">
        <f>IF(VLOOKUP(B147,'Data Core CPI'!$A:$AX,MATCH($R$1,'Data Core CPI'!$A$1:$AX$1,),)=0,#N/A,(VLOOKUP(B147,'Data Core CPI'!$A:$AX,MATCH($R$1,'Data Core CPI'!$A$1:$AX$1,),)-VLOOKUP(EDATE(B147,-12),'Data Core CPI'!$A:$AX,MATCH($R$1,'Data Core CPI'!$A$1:$AX$1,),))/VLOOKUP(EDATE(B147,-12),'Data Core CPI'!$A:$AX,MATCH($R$1,'Data Core CPI'!$A$1:$AX$1,),))</f>
        <v/>
      </c>
      <c r="S147" s="20">
        <f>(VLOOKUP(B147,'Data Core CPI'!$A:$AX,MATCH($S$1,'Data Core CPI'!$A$1:$AX$1,),)-VLOOKUP(EDATE(B147,-12),'Data Core CPI'!$A:$AX,MATCH($S$1,'Data Core CPI'!$A$1:$AX$1,),))/VLOOKUP(EDATE(B147,-12),'Data Core CPI'!$A:$AX,MATCH($S$1,'Data Core CPI'!$A$1:$AX$1,),)</f>
        <v/>
      </c>
      <c r="T147" s="20">
        <f>(VLOOKUP(B147,'Data Core CPI'!$A:$AX,MATCH($T$1,'Data Core CPI'!$A$1:$AX$1,),)-VLOOKUP(EDATE(B147,-12),'Data Core CPI'!$A:$AX,MATCH($T$1,'Data Core CPI'!$A$1:$AX$1,),))/VLOOKUP(EDATE(B147,-12),'Data Core CPI'!$A:$AX,MATCH($T$1,'Data Core CPI'!$A$1:$AX$1,),)</f>
        <v/>
      </c>
      <c r="U147" s="20">
        <f>IF(VLOOKUP(B147,'Data Core CPI'!$A:$AX,MATCH($U$1,'Data Core CPI'!$A$1:$AX$1,),)=0,#N/A,(VLOOKUP(B147,'Data Core CPI'!$A:$AX,MATCH($U$1,'Data Core CPI'!$A$1:$AX$1,),)-VLOOKUP(EDATE(B147,-12),'Data Core CPI'!$A:$AX,MATCH($U$1,'Data Core CPI'!$A$1:$AX$1,),))/VLOOKUP(EDATE(B147,-12),'Data Core CPI'!$A:$AX,MATCH($U$1,'Data Core CPI'!$A$1:$AX$1,),))</f>
        <v/>
      </c>
      <c r="V147" s="20">
        <f>(VLOOKUP(B147,'Data Core CPI'!$A:$AX,MATCH($V$1,'Data Core CPI'!$A$1:$AX$1,),)-VLOOKUP(EDATE(B147,-12),'Data Core CPI'!$A:$AX,MATCH($V$1,'Data Core CPI'!$A$1:$AX$1,),))/VLOOKUP(EDATE(B147,-12),'Data Core CPI'!$A:$AX,MATCH($V$1,'Data Core CPI'!$A$1:$AX$1,),)</f>
        <v/>
      </c>
      <c r="W147" s="20">
        <f>IF(VLOOKUP(B147,'Data Core CPI'!$A:$AX,MATCH($W$1,'Data Core CPI'!$A$1:$AX$1,),)=0,#N/A,(VLOOKUP(B147,'Data Core CPI'!$A:$AX,MATCH($W$1,'Data Core CPI'!$A$1:$AX$1,),)-VLOOKUP(EDATE(B147,-12),'Data Core CPI'!$A:$AX,MATCH($W$1,'Data Core CPI'!$A$1:$AX$1,),))/VLOOKUP(EDATE(B147,-12),'Data Core CPI'!$A:$AX,MATCH($W$1,'Data Core CPI'!$A$1:$AX$1,),))</f>
        <v/>
      </c>
      <c r="X147" s="20">
        <f>IF(VLOOKUP(B147,'Data Core CPI'!$A:$AX,MATCH($X$1,'Data Core CPI'!$A$1:$AX$1,),)=0,#N/A,(VLOOKUP(B147,'Data Core CPI'!$A:$AX,MATCH($X$1,'Data Core CPI'!$A$1:$AX$1,),)-VLOOKUP(EDATE(B147,-12),'Data Core CPI'!$A:$AX,MATCH($X$1,'Data Core CPI'!$A$1:$AX$1,),))/VLOOKUP(EDATE(B147,-12),'Data Core CPI'!$A:$AX,MATCH($X$1,'Data Core CPI'!$A$1:$AX$1,),))</f>
        <v/>
      </c>
      <c r="Y147" s="20">
        <f>IF(VLOOKUP(B147,'Data Core CPI'!$A:$AX,MATCH($Y$1,'Data Core CPI'!$A$1:$AX$1,),)=0,#N/A,(VLOOKUP(B147,'Data Core CPI'!$A:$AX,MATCH($Y$1,'Data Core CPI'!$A$1:$AX$1,),)-VLOOKUP(EDATE(B147,-12),'Data Core CPI'!$A:$AX,MATCH($Y$1,'Data Core CPI'!$A$1:$AX$1,),))/VLOOKUP(EDATE(B147,-12),'Data Core CPI'!$A:$AX,MATCH($Y$1,'Data Core CPI'!$A$1:$AX$1,),))</f>
        <v/>
      </c>
    </row>
    <row r="148" customFormat="1" s="78">
      <c r="B148" s="15" t="n">
        <v>44713</v>
      </c>
      <c r="C148" s="20">
        <f>IF(VLOOKUP(B148,'Data Core CPI'!$A:$AX,MATCH($C$1,'Data Core CPI'!$A$1:$AX$1,),)=0,#N/A,(VLOOKUP(B148,'Data Core CPI'!$A:$AX,MATCH($C$1,'Data Core CPI'!$A$1:$AX$1,),)-VLOOKUP(EDATE(B148,-12),'Data Core CPI'!$A:$AX,MATCH($C$1,'Data Core CPI'!$A$1:$AX$1,),))/VLOOKUP(EDATE(B148,-12),'Data Core CPI'!$A:$AX,MATCH($C$1,'Data Core CPI'!$A$1:$AX$1,),))</f>
        <v/>
      </c>
      <c r="D148" s="20">
        <f>(VLOOKUP(B148,'Data Core CPI'!$A:$AX,MATCH($D$1,'Data Core CPI'!$A$1:$AX$1,),)-VLOOKUP(EDATE(B148,-12),'Data Core CPI'!$A:$AX,MATCH($D$1,'Data Core CPI'!$A$1:$AX$1,),))/VLOOKUP(EDATE(B148,-12),'Data Core CPI'!$A:$AX,MATCH($D$1,'Data Core CPI'!$A$1:$AX$1,),)</f>
        <v/>
      </c>
      <c r="E148" s="20">
        <f>IF(VLOOKUP(B148,'Data Core CPI'!$A:$AX,MATCH($E$1,'Data Core CPI'!$A$1:$AX$1,),)=0,#N/A,(VLOOKUP(B148,'Data Core CPI'!$A:$AX,MATCH($E$1,'Data Core CPI'!$A$1:$AX$1,),)-VLOOKUP(EDATE(B148,-12),'Data Core CPI'!$A:$AX,MATCH($E$1,'Data Core CPI'!$A$1:$AX$1,),))/VLOOKUP(EDATE(B148,-12),'Data Core CPI'!$A:$AX,MATCH($E$1,'Data Core CPI'!$A$1:$AX$1,),))</f>
        <v/>
      </c>
      <c r="F148" s="20">
        <f>IF(VLOOKUP(B148,'Data Core CPI'!$A:$AX,MATCH($F$1,'Data Core CPI'!$A$1:$AX$1,),)=0,#N/A,(VLOOKUP(B148,'Data Core CPI'!$A:$AX,MATCH($F$1,'Data Core CPI'!$A$1:$AX$1,),)-VLOOKUP(EDATE(B148,-12),'Data Core CPI'!$A:$AX,MATCH($F$1,'Data Core CPI'!$A$1:$AX$1,),))/VLOOKUP(EDATE(B148,-12),'Data Core CPI'!$A:$AX,MATCH($F$1,'Data Core CPI'!$A$1:$AX$1,),))</f>
        <v/>
      </c>
      <c r="G148" s="20">
        <f>IF(VLOOKUP(B148,'Data Core CPI'!$A:$AX,MATCH($G$1,'Data Core CPI'!$A$1:$AX$1,),)=0,#N/A,(VLOOKUP(B148,'Data Core CPI'!$A:$AX,MATCH($G$1,'Data Core CPI'!$A$1:$AX$1,),)-VLOOKUP(EDATE(B148,-12),'Data Core CPI'!$A:$AX,MATCH($G$1,'Data Core CPI'!$A$1:$AX$1,),))/VLOOKUP(EDATE(B148,-12),'Data Core CPI'!$A:$AX,MATCH($G$1,'Data Core CPI'!$A$1:$AX$1,),))</f>
        <v/>
      </c>
      <c r="H148" s="20">
        <f>IF(VLOOKUP(B148,'Data Core CPI'!$A:$AX,MATCH($H$1,'Data Core CPI'!$A$1:$AX$1,),)=0,#N/A,(VLOOKUP(B148,'Data Core CPI'!$A:$AX,MATCH($H$1,'Data Core CPI'!$A$1:$AX$1,),)-VLOOKUP(EDATE(B148,-12),'Data Core CPI'!$A:$AX,MATCH($H$1,'Data Core CPI'!$A$1:$AX$1,),))/VLOOKUP(EDATE(B148,-12),'Data Core CPI'!$A:$AX,MATCH($H$1,'Data Core CPI'!$A$1:$AX$1,),))</f>
        <v/>
      </c>
      <c r="I148" s="20">
        <f>IF(VLOOKUP(B148,'Data Core CPI'!$A:$AX,MATCH($I$1,'Data Core CPI'!$A$1:$AX$1,),)=0,#N/A,(VLOOKUP(B148,'Data Core CPI'!$A:$AX,MATCH($I$1,'Data Core CPI'!$A$1:$AX$1,),)-VLOOKUP(EDATE(B148,-12),'Data Core CPI'!$A:$AX,MATCH($I$1,'Data Core CPI'!$A$1:$AX$1,),))/VLOOKUP(EDATE(B148,-12),'Data Core CPI'!$A:$AX,MATCH($I$1,'Data Core CPI'!$A$1:$AX$1,),))</f>
        <v/>
      </c>
      <c r="J148" s="20">
        <f>IF(VLOOKUP(B148,'Data Core CPI'!$A:$AX,MATCH($J$1,'Data Core CPI'!$A$1:$AX$1,),)=0,#N/A,(VLOOKUP(B148,'Data Core CPI'!$A:$AX,MATCH($J$1,'Data Core CPI'!$A$1:$AX$1,),)-VLOOKUP(EDATE(B148,-12),'Data Core CPI'!$A:$AX,MATCH($J$1,'Data Core CPI'!$A$1:$AX$1,),))/VLOOKUP(EDATE(B148,-12),'Data Core CPI'!$A:$AX,MATCH($J$1,'Data Core CPI'!$A$1:$AX$1,),))</f>
        <v/>
      </c>
      <c r="K148" s="20">
        <f>IF(VLOOKUP(B148,'Data Core CPI'!$A:$AX,MATCH($K$1,'Data Core CPI'!$A$1:$AX$1,),)=0,#N/A,(VLOOKUP(B148,'Data Core CPI'!$A:$AX,MATCH($K$1,'Data Core CPI'!$A$1:$AX$1,),)-VLOOKUP(EDATE(B148,-12),'Data Core CPI'!$A:$AX,MATCH($K$1,'Data Core CPI'!$A$1:$AX$1,),))/VLOOKUP(EDATE(B148,-12),'Data Core CPI'!$A:$AX,MATCH($K$1,'Data Core CPI'!$A$1:$AX$1,),))</f>
        <v/>
      </c>
      <c r="L148" s="20">
        <f>IF(VLOOKUP(B148,'Data Core CPI'!$A:$AX,MATCH($L$1,'Data Core CPI'!$A$1:$AX$1,),)=0,#N/A,(VLOOKUP(B148,'Data Core CPI'!$A:$AX,MATCH($L$1,'Data Core CPI'!$A$1:$AX$1,),)-VLOOKUP(EDATE(B148,-12),'Data Core CPI'!$A:$AX,MATCH($L$1,'Data Core CPI'!$A$1:$AX$1,),))/VLOOKUP(EDATE(B148,-12),'Data Core CPI'!$A:$AX,MATCH($L$1,'Data Core CPI'!$A$1:$AX$1,),))</f>
        <v/>
      </c>
      <c r="M148" s="20">
        <f>IF(VLOOKUP(B148,'Data Core CPI'!$A:$AX,MATCH($M$1,'Data Core CPI'!$A$1:$AX$1,),)=0,#N/A,(VLOOKUP(B148,'Data Core CPI'!$A:$AX,MATCH($M$1,'Data Core CPI'!$A$1:$AX$1,),)-VLOOKUP(EDATE(B148,-12),'Data Core CPI'!$A:$AX,MATCH($M$1,'Data Core CPI'!$A$1:$AX$1,),))/VLOOKUP(EDATE(B148,-12),'Data Core CPI'!$A:$AX,MATCH($M$1,'Data Core CPI'!$A$1:$AX$1,),))</f>
        <v/>
      </c>
      <c r="N148" s="20">
        <f>(VLOOKUP(B148,'Data Core CPI'!$A:$AX,MATCH($N$1,'Data Core CPI'!$A$1:$AX$1,),)-VLOOKUP(EDATE(B148,-12),'Data Core CPI'!$A:$AX,MATCH($N$1,'Data Core CPI'!$A$1:$AX$1,),))/VLOOKUP(EDATE(B148,-12),'Data Core CPI'!$A:$AX,MATCH($N$1,'Data Core CPI'!$A$1:$AX$1,),)</f>
        <v/>
      </c>
      <c r="O148" s="20">
        <f>(VLOOKUP(B148,'Data Core CPI'!$A:$AX,MATCH($O$1,'Data Core CPI'!$A$1:$AX$1,),)-VLOOKUP(EDATE(B148,-12),'Data Core CPI'!$A:$AX,MATCH($O$1,'Data Core CPI'!$A$1:$AX$1,),))/VLOOKUP(EDATE(B148,-12),'Data Core CPI'!$A:$AX,MATCH($O$1,'Data Core CPI'!$A$1:$AX$1,),)</f>
        <v/>
      </c>
      <c r="P148" s="20">
        <f>IF(VLOOKUP(B148,'Data Core CPI'!$A:$AX,MATCH($P$1,'Data Core CPI'!$A$1:$AX$1,),)=0,#N/A,(VLOOKUP(B148,'Data Core CPI'!$A:$AX,MATCH($P$1,'Data Core CPI'!$A$1:$AX$1,),)-VLOOKUP(EDATE(B148,-12),'Data Core CPI'!$A:$AX,MATCH($P$1,'Data Core CPI'!$A$1:$AX$1,),))/VLOOKUP(EDATE(B148,-12),'Data Core CPI'!$A:$AX,MATCH($P$1,'Data Core CPI'!$A$1:$AX$1,),))</f>
        <v/>
      </c>
      <c r="Q148" s="20">
        <f>(VLOOKUP(B148,'Data Core CPI'!$A:$AX,MATCH($Q$1,'Data Core CPI'!$A$1:$AX$1,),)-VLOOKUP(EDATE(B148,-12),'Data Core CPI'!$A:$AX,MATCH($Q$1,'Data Core CPI'!$A$1:$AX$1,),))/VLOOKUP(EDATE(B148,-12),'Data Core CPI'!$A:$AX,MATCH($Q$1,'Data Core CPI'!$A$1:$AX$1,),)</f>
        <v/>
      </c>
      <c r="R148" s="20">
        <f>IF(VLOOKUP(B148,'Data Core CPI'!$A:$AX,MATCH($R$1,'Data Core CPI'!$A$1:$AX$1,),)=0,#N/A,(VLOOKUP(B148,'Data Core CPI'!$A:$AX,MATCH($R$1,'Data Core CPI'!$A$1:$AX$1,),)-VLOOKUP(EDATE(B148,-12),'Data Core CPI'!$A:$AX,MATCH($R$1,'Data Core CPI'!$A$1:$AX$1,),))/VLOOKUP(EDATE(B148,-12),'Data Core CPI'!$A:$AX,MATCH($R$1,'Data Core CPI'!$A$1:$AX$1,),))</f>
        <v/>
      </c>
      <c r="S148" s="20">
        <f>(VLOOKUP(B148,'Data Core CPI'!$A:$AX,MATCH($S$1,'Data Core CPI'!$A$1:$AX$1,),)-VLOOKUP(EDATE(B148,-12),'Data Core CPI'!$A:$AX,MATCH($S$1,'Data Core CPI'!$A$1:$AX$1,),))/VLOOKUP(EDATE(B148,-12),'Data Core CPI'!$A:$AX,MATCH($S$1,'Data Core CPI'!$A$1:$AX$1,),)</f>
        <v/>
      </c>
      <c r="T148" s="20">
        <f>(VLOOKUP(B148,'Data Core CPI'!$A:$AX,MATCH($T$1,'Data Core CPI'!$A$1:$AX$1,),)-VLOOKUP(EDATE(B148,-12),'Data Core CPI'!$A:$AX,MATCH($T$1,'Data Core CPI'!$A$1:$AX$1,),))/VLOOKUP(EDATE(B148,-12),'Data Core CPI'!$A:$AX,MATCH($T$1,'Data Core CPI'!$A$1:$AX$1,),)</f>
        <v/>
      </c>
      <c r="U148" s="20">
        <f>IF(VLOOKUP(B148,'Data Core CPI'!$A:$AX,MATCH($U$1,'Data Core CPI'!$A$1:$AX$1,),)=0,#N/A,(VLOOKUP(B148,'Data Core CPI'!$A:$AX,MATCH($U$1,'Data Core CPI'!$A$1:$AX$1,),)-VLOOKUP(EDATE(B148,-12),'Data Core CPI'!$A:$AX,MATCH($U$1,'Data Core CPI'!$A$1:$AX$1,),))/VLOOKUP(EDATE(B148,-12),'Data Core CPI'!$A:$AX,MATCH($U$1,'Data Core CPI'!$A$1:$AX$1,),))</f>
        <v/>
      </c>
      <c r="V148" s="20">
        <f>(VLOOKUP(B148,'Data Core CPI'!$A:$AX,MATCH($V$1,'Data Core CPI'!$A$1:$AX$1,),)-VLOOKUP(EDATE(B148,-12),'Data Core CPI'!$A:$AX,MATCH($V$1,'Data Core CPI'!$A$1:$AX$1,),))/VLOOKUP(EDATE(B148,-12),'Data Core CPI'!$A:$AX,MATCH($V$1,'Data Core CPI'!$A$1:$AX$1,),)</f>
        <v/>
      </c>
      <c r="W148" s="20">
        <f>IF(VLOOKUP(B148,'Data Core CPI'!$A:$AX,MATCH($W$1,'Data Core CPI'!$A$1:$AX$1,),)=0,#N/A,(VLOOKUP(B148,'Data Core CPI'!$A:$AX,MATCH($W$1,'Data Core CPI'!$A$1:$AX$1,),)-VLOOKUP(EDATE(B148,-12),'Data Core CPI'!$A:$AX,MATCH($W$1,'Data Core CPI'!$A$1:$AX$1,),))/VLOOKUP(EDATE(B148,-12),'Data Core CPI'!$A:$AX,MATCH($W$1,'Data Core CPI'!$A$1:$AX$1,),))</f>
        <v/>
      </c>
      <c r="X148" s="20">
        <f>IF(VLOOKUP(B148,'Data Core CPI'!$A:$AX,MATCH($X$1,'Data Core CPI'!$A$1:$AX$1,),)=0,#N/A,(VLOOKUP(B148,'Data Core CPI'!$A:$AX,MATCH($X$1,'Data Core CPI'!$A$1:$AX$1,),)-VLOOKUP(EDATE(B148,-12),'Data Core CPI'!$A:$AX,MATCH($X$1,'Data Core CPI'!$A$1:$AX$1,),))/VLOOKUP(EDATE(B148,-12),'Data Core CPI'!$A:$AX,MATCH($X$1,'Data Core CPI'!$A$1:$AX$1,),))</f>
        <v/>
      </c>
      <c r="Y148" s="20">
        <f>IF(VLOOKUP(B148,'Data Core CPI'!$A:$AX,MATCH($Y$1,'Data Core CPI'!$A$1:$AX$1,),)=0,#N/A,(VLOOKUP(B148,'Data Core CPI'!$A:$AX,MATCH($Y$1,'Data Core CPI'!$A$1:$AX$1,),)-VLOOKUP(EDATE(B148,-12),'Data Core CPI'!$A:$AX,MATCH($Y$1,'Data Core CPI'!$A$1:$AX$1,),))/VLOOKUP(EDATE(B148,-12),'Data Core CPI'!$A:$AX,MATCH($Y$1,'Data Core CPI'!$A$1:$AX$1,),))</f>
        <v/>
      </c>
    </row>
    <row r="149" customFormat="1" s="78">
      <c r="B149" s="15" t="n">
        <v>44743</v>
      </c>
      <c r="C149" s="20">
        <f>IF(VLOOKUP(B149,'Data Core CPI'!$A:$AX,MATCH($C$1,'Data Core CPI'!$A$1:$AX$1,),)=0,#N/A,(VLOOKUP(B149,'Data Core CPI'!$A:$AX,MATCH($C$1,'Data Core CPI'!$A$1:$AX$1,),)-VLOOKUP(EDATE(B149,-12),'Data Core CPI'!$A:$AX,MATCH($C$1,'Data Core CPI'!$A$1:$AX$1,),))/VLOOKUP(EDATE(B149,-12),'Data Core CPI'!$A:$AX,MATCH($C$1,'Data Core CPI'!$A$1:$AX$1,),))</f>
        <v/>
      </c>
      <c r="D149" s="20">
        <f>(VLOOKUP(B149,'Data Core CPI'!$A:$AX,MATCH($D$1,'Data Core CPI'!$A$1:$AX$1,),)-VLOOKUP(EDATE(B149,-12),'Data Core CPI'!$A:$AX,MATCH($D$1,'Data Core CPI'!$A$1:$AX$1,),))/VLOOKUP(EDATE(B149,-12),'Data Core CPI'!$A:$AX,MATCH($D$1,'Data Core CPI'!$A$1:$AX$1,),)</f>
        <v/>
      </c>
      <c r="E149" s="20">
        <f>IF(VLOOKUP(B149,'Data Core CPI'!$A:$AX,MATCH($E$1,'Data Core CPI'!$A$1:$AX$1,),)=0,#N/A,(VLOOKUP(B149,'Data Core CPI'!$A:$AX,MATCH($E$1,'Data Core CPI'!$A$1:$AX$1,),)-VLOOKUP(EDATE(B149,-12),'Data Core CPI'!$A:$AX,MATCH($E$1,'Data Core CPI'!$A$1:$AX$1,),))/VLOOKUP(EDATE(B149,-12),'Data Core CPI'!$A:$AX,MATCH($E$1,'Data Core CPI'!$A$1:$AX$1,),))</f>
        <v/>
      </c>
      <c r="F149" s="20">
        <f>IF(VLOOKUP(B149,'Data Core CPI'!$A:$AX,MATCH($F$1,'Data Core CPI'!$A$1:$AX$1,),)=0,#N/A,(VLOOKUP(B149,'Data Core CPI'!$A:$AX,MATCH($F$1,'Data Core CPI'!$A$1:$AX$1,),)-VLOOKUP(EDATE(B149,-12),'Data Core CPI'!$A:$AX,MATCH($F$1,'Data Core CPI'!$A$1:$AX$1,),))/VLOOKUP(EDATE(B149,-12),'Data Core CPI'!$A:$AX,MATCH($F$1,'Data Core CPI'!$A$1:$AX$1,),))</f>
        <v/>
      </c>
      <c r="G149" s="20">
        <f>IF(VLOOKUP(B149,'Data Core CPI'!$A:$AX,MATCH($G$1,'Data Core CPI'!$A$1:$AX$1,),)=0,#N/A,(VLOOKUP(B149,'Data Core CPI'!$A:$AX,MATCH($G$1,'Data Core CPI'!$A$1:$AX$1,),)-VLOOKUP(EDATE(B149,-12),'Data Core CPI'!$A:$AX,MATCH($G$1,'Data Core CPI'!$A$1:$AX$1,),))/VLOOKUP(EDATE(B149,-12),'Data Core CPI'!$A:$AX,MATCH($G$1,'Data Core CPI'!$A$1:$AX$1,),))</f>
        <v/>
      </c>
      <c r="H149" s="20">
        <f>IF(VLOOKUP(B149,'Data Core CPI'!$A:$AX,MATCH($H$1,'Data Core CPI'!$A$1:$AX$1,),)=0,#N/A,(VLOOKUP(B149,'Data Core CPI'!$A:$AX,MATCH($H$1,'Data Core CPI'!$A$1:$AX$1,),)-VLOOKUP(EDATE(B149,-12),'Data Core CPI'!$A:$AX,MATCH($H$1,'Data Core CPI'!$A$1:$AX$1,),))/VLOOKUP(EDATE(B149,-12),'Data Core CPI'!$A:$AX,MATCH($H$1,'Data Core CPI'!$A$1:$AX$1,),))</f>
        <v/>
      </c>
      <c r="I149" s="20">
        <f>IF(VLOOKUP(B149,'Data Core CPI'!$A:$AX,MATCH($I$1,'Data Core CPI'!$A$1:$AX$1,),)=0,#N/A,(VLOOKUP(B149,'Data Core CPI'!$A:$AX,MATCH($I$1,'Data Core CPI'!$A$1:$AX$1,),)-VLOOKUP(EDATE(B149,-12),'Data Core CPI'!$A:$AX,MATCH($I$1,'Data Core CPI'!$A$1:$AX$1,),))/VLOOKUP(EDATE(B149,-12),'Data Core CPI'!$A:$AX,MATCH($I$1,'Data Core CPI'!$A$1:$AX$1,),))</f>
        <v/>
      </c>
      <c r="J149" s="20">
        <f>IF(VLOOKUP(B149,'Data Core CPI'!$A:$AX,MATCH($J$1,'Data Core CPI'!$A$1:$AX$1,),)=0,#N/A,(VLOOKUP(B149,'Data Core CPI'!$A:$AX,MATCH($J$1,'Data Core CPI'!$A$1:$AX$1,),)-VLOOKUP(EDATE(B149,-12),'Data Core CPI'!$A:$AX,MATCH($J$1,'Data Core CPI'!$A$1:$AX$1,),))/VLOOKUP(EDATE(B149,-12),'Data Core CPI'!$A:$AX,MATCH($J$1,'Data Core CPI'!$A$1:$AX$1,),))</f>
        <v/>
      </c>
      <c r="K149" s="20">
        <f>IF(VLOOKUP(B149,'Data Core CPI'!$A:$AX,MATCH($K$1,'Data Core CPI'!$A$1:$AX$1,),)=0,#N/A,(VLOOKUP(B149,'Data Core CPI'!$A:$AX,MATCH($K$1,'Data Core CPI'!$A$1:$AX$1,),)-VLOOKUP(EDATE(B149,-12),'Data Core CPI'!$A:$AX,MATCH($K$1,'Data Core CPI'!$A$1:$AX$1,),))/VLOOKUP(EDATE(B149,-12),'Data Core CPI'!$A:$AX,MATCH($K$1,'Data Core CPI'!$A$1:$AX$1,),))</f>
        <v/>
      </c>
      <c r="L149" s="20">
        <f>IF(VLOOKUP(B149,'Data Core CPI'!$A:$AX,MATCH($L$1,'Data Core CPI'!$A$1:$AX$1,),)=0,#N/A,(VLOOKUP(B149,'Data Core CPI'!$A:$AX,MATCH($L$1,'Data Core CPI'!$A$1:$AX$1,),)-VLOOKUP(EDATE(B149,-12),'Data Core CPI'!$A:$AX,MATCH($L$1,'Data Core CPI'!$A$1:$AX$1,),))/VLOOKUP(EDATE(B149,-12),'Data Core CPI'!$A:$AX,MATCH($L$1,'Data Core CPI'!$A$1:$AX$1,),))</f>
        <v/>
      </c>
      <c r="M149" s="20">
        <f>IF(VLOOKUP(B149,'Data Core CPI'!$A:$AX,MATCH($M$1,'Data Core CPI'!$A$1:$AX$1,),)=0,#N/A,(VLOOKUP(B149,'Data Core CPI'!$A:$AX,MATCH($M$1,'Data Core CPI'!$A$1:$AX$1,),)-VLOOKUP(EDATE(B149,-12),'Data Core CPI'!$A:$AX,MATCH($M$1,'Data Core CPI'!$A$1:$AX$1,),))/VLOOKUP(EDATE(B149,-12),'Data Core CPI'!$A:$AX,MATCH($M$1,'Data Core CPI'!$A$1:$AX$1,),))</f>
        <v/>
      </c>
      <c r="N149" s="20">
        <f>(VLOOKUP(B149,'Data Core CPI'!$A:$AX,MATCH($N$1,'Data Core CPI'!$A$1:$AX$1,),)-VLOOKUP(EDATE(B149,-12),'Data Core CPI'!$A:$AX,MATCH($N$1,'Data Core CPI'!$A$1:$AX$1,),))/VLOOKUP(EDATE(B149,-12),'Data Core CPI'!$A:$AX,MATCH($N$1,'Data Core CPI'!$A$1:$AX$1,),)</f>
        <v/>
      </c>
      <c r="O149" s="20">
        <f>(VLOOKUP(B149,'Data Core CPI'!$A:$AX,MATCH($O$1,'Data Core CPI'!$A$1:$AX$1,),)-VLOOKUP(EDATE(B149,-12),'Data Core CPI'!$A:$AX,MATCH($O$1,'Data Core CPI'!$A$1:$AX$1,),))/VLOOKUP(EDATE(B149,-12),'Data Core CPI'!$A:$AX,MATCH($O$1,'Data Core CPI'!$A$1:$AX$1,),)</f>
        <v/>
      </c>
      <c r="P149" s="20">
        <f>IF(VLOOKUP(B149,'Data Core CPI'!$A:$AX,MATCH($P$1,'Data Core CPI'!$A$1:$AX$1,),)=0,#N/A,(VLOOKUP(B149,'Data Core CPI'!$A:$AX,MATCH($P$1,'Data Core CPI'!$A$1:$AX$1,),)-VLOOKUP(EDATE(B149,-12),'Data Core CPI'!$A:$AX,MATCH($P$1,'Data Core CPI'!$A$1:$AX$1,),))/VLOOKUP(EDATE(B149,-12),'Data Core CPI'!$A:$AX,MATCH($P$1,'Data Core CPI'!$A$1:$AX$1,),))</f>
        <v/>
      </c>
      <c r="Q149" s="20">
        <f>(VLOOKUP(B149,'Data Core CPI'!$A:$AX,MATCH($Q$1,'Data Core CPI'!$A$1:$AX$1,),)-VLOOKUP(EDATE(B149,-12),'Data Core CPI'!$A:$AX,MATCH($Q$1,'Data Core CPI'!$A$1:$AX$1,),))/VLOOKUP(EDATE(B149,-12),'Data Core CPI'!$A:$AX,MATCH($Q$1,'Data Core CPI'!$A$1:$AX$1,),)</f>
        <v/>
      </c>
      <c r="R149" s="20">
        <f>IF(VLOOKUP(B149,'Data Core CPI'!$A:$AX,MATCH($R$1,'Data Core CPI'!$A$1:$AX$1,),)=0,#N/A,(VLOOKUP(B149,'Data Core CPI'!$A:$AX,MATCH($R$1,'Data Core CPI'!$A$1:$AX$1,),)-VLOOKUP(EDATE(B149,-12),'Data Core CPI'!$A:$AX,MATCH($R$1,'Data Core CPI'!$A$1:$AX$1,),))/VLOOKUP(EDATE(B149,-12),'Data Core CPI'!$A:$AX,MATCH($R$1,'Data Core CPI'!$A$1:$AX$1,),))</f>
        <v/>
      </c>
      <c r="S149" s="20">
        <f>(VLOOKUP(B149,'Data Core CPI'!$A:$AX,MATCH($S$1,'Data Core CPI'!$A$1:$AX$1,),)-VLOOKUP(EDATE(B149,-12),'Data Core CPI'!$A:$AX,MATCH($S$1,'Data Core CPI'!$A$1:$AX$1,),))/VLOOKUP(EDATE(B149,-12),'Data Core CPI'!$A:$AX,MATCH($S$1,'Data Core CPI'!$A$1:$AX$1,),)</f>
        <v/>
      </c>
      <c r="T149" s="20">
        <f>(VLOOKUP(B149,'Data Core CPI'!$A:$AX,MATCH($T$1,'Data Core CPI'!$A$1:$AX$1,),)-VLOOKUP(EDATE(B149,-12),'Data Core CPI'!$A:$AX,MATCH($T$1,'Data Core CPI'!$A$1:$AX$1,),))/VLOOKUP(EDATE(B149,-12),'Data Core CPI'!$A:$AX,MATCH($T$1,'Data Core CPI'!$A$1:$AX$1,),)</f>
        <v/>
      </c>
      <c r="U149" s="20">
        <f>IF(VLOOKUP(B149,'Data Core CPI'!$A:$AX,MATCH($U$1,'Data Core CPI'!$A$1:$AX$1,),)=0,#N/A,(VLOOKUP(B149,'Data Core CPI'!$A:$AX,MATCH($U$1,'Data Core CPI'!$A$1:$AX$1,),)-VLOOKUP(EDATE(B149,-12),'Data Core CPI'!$A:$AX,MATCH($U$1,'Data Core CPI'!$A$1:$AX$1,),))/VLOOKUP(EDATE(B149,-12),'Data Core CPI'!$A:$AX,MATCH($U$1,'Data Core CPI'!$A$1:$AX$1,),))</f>
        <v/>
      </c>
      <c r="V149" s="20">
        <f>(VLOOKUP(B149,'Data Core CPI'!$A:$AX,MATCH($V$1,'Data Core CPI'!$A$1:$AX$1,),)-VLOOKUP(EDATE(B149,-12),'Data Core CPI'!$A:$AX,MATCH($V$1,'Data Core CPI'!$A$1:$AX$1,),))/VLOOKUP(EDATE(B149,-12),'Data Core CPI'!$A:$AX,MATCH($V$1,'Data Core CPI'!$A$1:$AX$1,),)</f>
        <v/>
      </c>
      <c r="W149" s="20">
        <f>IF(VLOOKUP(B149,'Data Core CPI'!$A:$AX,MATCH($W$1,'Data Core CPI'!$A$1:$AX$1,),)=0,#N/A,(VLOOKUP(B149,'Data Core CPI'!$A:$AX,MATCH($W$1,'Data Core CPI'!$A$1:$AX$1,),)-VLOOKUP(EDATE(B149,-12),'Data Core CPI'!$A:$AX,MATCH($W$1,'Data Core CPI'!$A$1:$AX$1,),))/VLOOKUP(EDATE(B149,-12),'Data Core CPI'!$A:$AX,MATCH($W$1,'Data Core CPI'!$A$1:$AX$1,),))</f>
        <v/>
      </c>
      <c r="X149" s="20">
        <f>IF(VLOOKUP(B149,'Data Core CPI'!$A:$AX,MATCH($X$1,'Data Core CPI'!$A$1:$AX$1,),)=0,#N/A,(VLOOKUP(B149,'Data Core CPI'!$A:$AX,MATCH($X$1,'Data Core CPI'!$A$1:$AX$1,),)-VLOOKUP(EDATE(B149,-12),'Data Core CPI'!$A:$AX,MATCH($X$1,'Data Core CPI'!$A$1:$AX$1,),))/VLOOKUP(EDATE(B149,-12),'Data Core CPI'!$A:$AX,MATCH($X$1,'Data Core CPI'!$A$1:$AX$1,),))</f>
        <v/>
      </c>
      <c r="Y149" s="20">
        <f>IF(VLOOKUP(B149,'Data Core CPI'!$A:$AX,MATCH($Y$1,'Data Core CPI'!$A$1:$AX$1,),)=0,#N/A,(VLOOKUP(B149,'Data Core CPI'!$A:$AX,MATCH($Y$1,'Data Core CPI'!$A$1:$AX$1,),)-VLOOKUP(EDATE(B149,-12),'Data Core CPI'!$A:$AX,MATCH($Y$1,'Data Core CPI'!$A$1:$AX$1,),))/VLOOKUP(EDATE(B149,-12),'Data Core CPI'!$A:$AX,MATCH($Y$1,'Data Core CPI'!$A$1:$AX$1,),))</f>
        <v/>
      </c>
    </row>
    <row r="150" customFormat="1" s="78"/>
    <row r="151" customFormat="1" s="78"/>
    <row r="152" customFormat="1" s="78"/>
    <row r="153" customFormat="1" s="78"/>
    <row r="154" customFormat="1" s="78"/>
    <row r="155" customFormat="1" s="78"/>
    <row r="156" customFormat="1" s="78"/>
    <row r="157" customFormat="1" s="78"/>
    <row r="158" customFormat="1" s="78"/>
    <row r="159" customFormat="1" s="78"/>
    <row r="160" customFormat="1" s="78"/>
    <row r="161" customFormat="1" s="78"/>
    <row r="162" customFormat="1" s="78"/>
    <row r="163" customFormat="1" s="78"/>
    <row r="164" customFormat="1" s="78"/>
    <row r="165" customFormat="1" s="78"/>
    <row r="166" customFormat="1" s="78"/>
    <row r="167" customFormat="1" s="78"/>
    <row r="168" customFormat="1" s="78"/>
    <row r="169" customFormat="1" s="78"/>
    <row r="170" customFormat="1" s="78"/>
    <row r="171" customFormat="1" s="78"/>
    <row r="172" customFormat="1" s="78"/>
    <row r="173" customFormat="1" s="78"/>
    <row r="174" customFormat="1" s="78"/>
    <row r="175" customFormat="1" s="78"/>
    <row r="176" customFormat="1" s="78"/>
    <row r="177" customFormat="1" s="78"/>
    <row r="178" customFormat="1" s="78"/>
    <row r="179" customFormat="1" s="78"/>
    <row r="180" customFormat="1" s="78"/>
    <row r="181" customFormat="1" s="78"/>
    <row r="182" customFormat="1" s="78"/>
    <row r="183" customFormat="1" s="78"/>
    <row r="184" customFormat="1" s="78"/>
    <row r="185" customFormat="1" s="78"/>
    <row r="186" customFormat="1" s="78"/>
    <row r="187" customFormat="1" s="78"/>
    <row r="188" customFormat="1" s="78"/>
    <row r="189" customFormat="1" s="78"/>
    <row r="190" customFormat="1" s="78"/>
    <row r="191" customFormat="1" s="78"/>
    <row r="192" customFormat="1" s="78"/>
    <row r="193" customFormat="1" s="78"/>
    <row r="194" customFormat="1" s="78"/>
    <row r="195" customFormat="1" s="78"/>
    <row r="196" customFormat="1" s="78"/>
    <row r="197" customFormat="1" s="78"/>
    <row r="198" customFormat="1" s="78"/>
    <row r="199" customFormat="1" s="78"/>
    <row r="200" customFormat="1" s="78"/>
    <row r="201" customFormat="1" s="78"/>
    <row r="202" customFormat="1" s="78"/>
    <row r="203" customFormat="1" s="78"/>
    <row r="204" customFormat="1" s="78"/>
    <row r="205" customFormat="1" s="78"/>
    <row r="206" customFormat="1" s="78"/>
    <row r="207" customFormat="1" s="78"/>
    <row r="208" customFormat="1" s="78"/>
    <row r="209" customFormat="1" s="78"/>
    <row r="210" customFormat="1" s="78"/>
    <row r="211" customFormat="1" s="78"/>
    <row r="212" customFormat="1" s="78"/>
    <row r="213" customFormat="1" s="78"/>
    <row r="214" customFormat="1" s="78"/>
    <row r="215" customFormat="1" s="78"/>
    <row r="216" customFormat="1" s="78"/>
    <row r="217" customFormat="1" s="78"/>
    <row r="218" customFormat="1" s="78"/>
    <row r="219" customFormat="1" s="78"/>
    <row r="220" customFormat="1" s="78"/>
    <row r="221" customFormat="1" s="78"/>
    <row r="222" customFormat="1" s="78"/>
    <row r="223" customFormat="1" s="78"/>
    <row r="224" customFormat="1" s="78"/>
    <row r="225" customFormat="1" s="78"/>
    <row r="226" customFormat="1" s="78"/>
    <row r="227" customFormat="1" s="78"/>
    <row r="228" customFormat="1" s="78"/>
    <row r="229" customFormat="1" s="78"/>
    <row r="230" customFormat="1" s="78"/>
    <row r="231" customFormat="1" s="78"/>
    <row r="232" customFormat="1" s="78"/>
    <row r="233" customFormat="1" s="78"/>
    <row r="234" customFormat="1" s="78"/>
    <row r="235" customFormat="1" s="78"/>
    <row r="236" customFormat="1" s="78"/>
    <row r="237" customFormat="1" s="78"/>
    <row r="238" customFormat="1" s="78"/>
    <row r="239" customFormat="1" s="78"/>
    <row r="240" customFormat="1" s="78"/>
    <row r="241" customFormat="1" s="78"/>
    <row r="242" customFormat="1" s="78"/>
    <row r="243" customFormat="1" s="78"/>
    <row r="244" customFormat="1" s="78"/>
    <row r="245" customFormat="1" s="78"/>
    <row r="246" customFormat="1" s="78"/>
    <row r="247" customFormat="1" s="78"/>
    <row r="248" customFormat="1" s="78"/>
    <row r="249" customFormat="1" s="78"/>
    <row r="250" customFormat="1" s="78"/>
    <row r="251" customFormat="1" s="78"/>
    <row r="252" customFormat="1" s="78"/>
    <row r="253" customFormat="1" s="78"/>
    <row r="254" customFormat="1" s="78"/>
    <row r="255" customFormat="1" s="78"/>
    <row r="256" customFormat="1" s="78"/>
    <row r="257" customFormat="1" s="78"/>
    <row r="258" customFormat="1" s="78"/>
    <row r="259" customFormat="1" s="78"/>
    <row r="260" customFormat="1" s="78"/>
    <row r="261" customFormat="1" s="78"/>
    <row r="262" customFormat="1" s="78"/>
    <row r="263" customFormat="1" s="78"/>
    <row r="264" customFormat="1" s="78"/>
    <row r="265" customFormat="1" s="78"/>
    <row r="266" customFormat="1" s="78"/>
    <row r="267" customFormat="1" s="78"/>
    <row r="268" customFormat="1" s="78"/>
    <row r="269" customFormat="1" s="78"/>
    <row r="270" customFormat="1" s="78"/>
    <row r="271" customFormat="1" s="78"/>
    <row r="272" customFormat="1" s="78"/>
    <row r="273" customFormat="1" s="78"/>
    <row r="274" customFormat="1" s="78"/>
    <row r="275" customFormat="1" s="78"/>
    <row r="276" customFormat="1" s="78"/>
    <row r="277" customFormat="1" s="78"/>
    <row r="278" customFormat="1" s="78"/>
    <row r="279" customFormat="1" s="78"/>
    <row r="280" customFormat="1" s="78"/>
    <row r="281" customFormat="1" s="78"/>
    <row r="282" customFormat="1" s="78"/>
    <row r="283" customFormat="1" s="78"/>
    <row r="284" customFormat="1" s="78"/>
    <row r="285" customFormat="1" s="78"/>
    <row r="286" customFormat="1" s="78"/>
    <row r="287" customFormat="1" s="78"/>
    <row r="288" customFormat="1" s="78"/>
    <row r="289" customFormat="1" s="78"/>
    <row r="290" customFormat="1" s="78"/>
    <row r="291" customFormat="1" s="78"/>
    <row r="292" customFormat="1" s="78"/>
    <row r="293" customFormat="1" s="78"/>
    <row r="294" customFormat="1" s="78"/>
    <row r="295" customFormat="1" s="78"/>
    <row r="296" customFormat="1" s="78"/>
    <row r="297" customFormat="1" s="78"/>
    <row r="298" customFormat="1" s="78"/>
    <row r="299" customFormat="1" s="78"/>
    <row r="300" customFormat="1" s="78"/>
    <row r="301" customFormat="1" s="78"/>
    <row r="302" customFormat="1" s="78"/>
    <row r="303" customFormat="1" s="78"/>
    <row r="304" customFormat="1" s="78"/>
    <row r="305" customFormat="1" s="78"/>
    <row r="306" customFormat="1" s="78"/>
    <row r="307" customFormat="1" s="78"/>
    <row r="308" customFormat="1" s="78"/>
    <row r="309" customFormat="1" s="78"/>
    <row r="310" customFormat="1" s="78"/>
    <row r="311" customFormat="1" s="78"/>
    <row r="312" customFormat="1" s="78"/>
    <row r="313" customFormat="1" s="78"/>
    <row r="314" customFormat="1" s="78"/>
    <row r="315" customFormat="1" s="78"/>
    <row r="316" customFormat="1" s="78"/>
    <row r="317" customFormat="1" s="78"/>
    <row r="318" customFormat="1" s="78"/>
    <row r="319" customFormat="1" s="78"/>
    <row r="320" customFormat="1" s="78"/>
    <row r="321" customFormat="1" s="78"/>
    <row r="322" customFormat="1" s="78"/>
    <row r="323" customFormat="1" s="78"/>
    <row r="324" customFormat="1" s="78"/>
    <row r="325" customFormat="1" s="78"/>
    <row r="326" customFormat="1" s="78"/>
    <row r="327" customFormat="1" s="78"/>
    <row r="328" customFormat="1" s="78"/>
    <row r="329" customFormat="1" s="78"/>
    <row r="330" customFormat="1" s="78"/>
    <row r="331" customFormat="1" s="78"/>
    <row r="332" customFormat="1" s="78"/>
    <row r="333" customFormat="1" s="78"/>
    <row r="334" customFormat="1" s="78"/>
    <row r="335" customFormat="1" s="78"/>
    <row r="336" customFormat="1" s="78"/>
    <row r="337" customFormat="1" s="78"/>
    <row r="338" customFormat="1" s="78"/>
    <row r="339" customFormat="1" s="78"/>
    <row r="340" customFormat="1" s="78"/>
    <row r="341" customFormat="1" s="78"/>
    <row r="342" customFormat="1" s="78"/>
    <row r="343" customFormat="1" s="78"/>
    <row r="344" customFormat="1" s="78"/>
    <row r="345" customFormat="1" s="78"/>
    <row r="346" customFormat="1" s="78"/>
    <row r="347" customFormat="1" s="78"/>
    <row r="348" customFormat="1" s="78"/>
    <row r="349" customFormat="1" s="78"/>
    <row r="350" customFormat="1" s="78"/>
    <row r="351" customFormat="1" s="78"/>
    <row r="352" customFormat="1" s="78"/>
    <row r="353" customFormat="1" s="78"/>
    <row r="354" customFormat="1" s="78"/>
    <row r="355" customFormat="1" s="78"/>
    <row r="356" customFormat="1" s="78"/>
    <row r="357" customFormat="1" s="78"/>
    <row r="358" customFormat="1" s="78"/>
    <row r="359" customFormat="1" s="78"/>
    <row r="360" customFormat="1" s="78"/>
    <row r="361" customFormat="1" s="78"/>
    <row r="362" customFormat="1" s="78"/>
    <row r="363" customFormat="1" s="78"/>
    <row r="364" customFormat="1" s="78"/>
    <row r="365" customFormat="1" s="78"/>
    <row r="366" customFormat="1" s="78"/>
    <row r="367" customFormat="1" s="78"/>
    <row r="368" customFormat="1" s="78"/>
    <row r="369" customFormat="1" s="78"/>
    <row r="370" customFormat="1" s="78"/>
    <row r="371" customFormat="1" s="78"/>
    <row r="372" customFormat="1" s="78"/>
    <row r="373" customFormat="1" s="78"/>
    <row r="374" customFormat="1" s="78"/>
    <row r="375" customFormat="1" s="78"/>
    <row r="376" customFormat="1" s="78"/>
    <row r="377" customFormat="1" s="78"/>
    <row r="378" customFormat="1" s="78"/>
    <row r="379" customFormat="1" s="78"/>
    <row r="380" customFormat="1" s="78"/>
    <row r="381" customFormat="1" s="78"/>
    <row r="382" customFormat="1" s="78"/>
    <row r="383" customFormat="1" s="78"/>
    <row r="384" customFormat="1" s="78"/>
    <row r="385" customFormat="1" s="78"/>
    <row r="386" customFormat="1" s="78"/>
    <row r="387" customFormat="1" s="78"/>
    <row r="388" customFormat="1" s="78"/>
    <row r="389" customFormat="1" s="78"/>
    <row r="390" customFormat="1" s="78"/>
    <row r="391" customFormat="1" s="78"/>
  </sheetData>
  <conditionalFormatting sqref="D24:D58">
    <cfRule type="colorScale" priority="42">
      <colorScale>
        <cfvo type="min"/>
        <cfvo type="percentile" val="50"/>
        <cfvo type="max"/>
        <color rgb="FFF8696B"/>
        <color rgb="FFFFEB84"/>
        <color rgb="FF63BE7B"/>
      </colorScale>
    </cfRule>
  </conditionalFormatting>
  <conditionalFormatting sqref="E24:E58">
    <cfRule type="colorScale" priority="41">
      <colorScale>
        <cfvo type="min"/>
        <cfvo type="percentile" val="50"/>
        <cfvo type="max"/>
        <color rgb="FFF8696B"/>
        <color rgb="FFFFEB84"/>
        <color rgb="FF63BE7B"/>
      </colorScale>
    </cfRule>
  </conditionalFormatting>
  <conditionalFormatting sqref="F24:F58">
    <cfRule type="colorScale" priority="40">
      <colorScale>
        <cfvo type="min"/>
        <cfvo type="percentile" val="50"/>
        <cfvo type="max"/>
        <color rgb="FFF8696B"/>
        <color rgb="FFFFEB84"/>
        <color rgb="FF63BE7B"/>
      </colorScale>
    </cfRule>
  </conditionalFormatting>
  <conditionalFormatting sqref="G24:G58">
    <cfRule type="colorScale" priority="39">
      <colorScale>
        <cfvo type="min"/>
        <cfvo type="percentile" val="50"/>
        <cfvo type="max"/>
        <color rgb="FFF8696B"/>
        <color rgb="FFFFEB84"/>
        <color rgb="FF63BE7B"/>
      </colorScale>
    </cfRule>
  </conditionalFormatting>
  <conditionalFormatting sqref="H24:H58">
    <cfRule type="colorScale" priority="38">
      <colorScale>
        <cfvo type="min"/>
        <cfvo type="percentile" val="50"/>
        <cfvo type="max"/>
        <color rgb="FFF8696B"/>
        <color rgb="FFFFEB84"/>
        <color rgb="FF63BE7B"/>
      </colorScale>
    </cfRule>
  </conditionalFormatting>
  <conditionalFormatting sqref="I24:I58">
    <cfRule type="colorScale" priority="37">
      <colorScale>
        <cfvo type="min"/>
        <cfvo type="percentile" val="50"/>
        <cfvo type="max"/>
        <color rgb="FFF8696B"/>
        <color rgb="FFFFEB84"/>
        <color rgb="FF63BE7B"/>
      </colorScale>
    </cfRule>
  </conditionalFormatting>
  <conditionalFormatting sqref="J24:J58">
    <cfRule type="colorScale" priority="36">
      <colorScale>
        <cfvo type="min"/>
        <cfvo type="percentile" val="50"/>
        <cfvo type="max"/>
        <color rgb="FFF8696B"/>
        <color rgb="FFFFEB84"/>
        <color rgb="FF63BE7B"/>
      </colorScale>
    </cfRule>
  </conditionalFormatting>
  <conditionalFormatting sqref="K24:K58">
    <cfRule type="colorScale" priority="35">
      <colorScale>
        <cfvo type="min"/>
        <cfvo type="percentile" val="50"/>
        <cfvo type="max"/>
        <color rgb="FFF8696B"/>
        <color rgb="FFFFEB84"/>
        <color rgb="FF63BE7B"/>
      </colorScale>
    </cfRule>
  </conditionalFormatting>
  <conditionalFormatting sqref="L24:L58">
    <cfRule type="colorScale" priority="34">
      <colorScale>
        <cfvo type="min"/>
        <cfvo type="percentile" val="50"/>
        <cfvo type="max"/>
        <color rgb="FFF8696B"/>
        <color rgb="FFFFEB84"/>
        <color rgb="FF63BE7B"/>
      </colorScale>
    </cfRule>
  </conditionalFormatting>
  <conditionalFormatting sqref="M24:M58">
    <cfRule type="colorScale" priority="33">
      <colorScale>
        <cfvo type="min"/>
        <cfvo type="percentile" val="50"/>
        <cfvo type="max"/>
        <color rgb="FFF8696B"/>
        <color rgb="FFFFEB84"/>
        <color rgb="FF63BE7B"/>
      </colorScale>
    </cfRule>
  </conditionalFormatting>
  <conditionalFormatting sqref="N24:N58">
    <cfRule type="colorScale" priority="32">
      <colorScale>
        <cfvo type="min"/>
        <cfvo type="percentile" val="50"/>
        <cfvo type="max"/>
        <color rgb="FFF8696B"/>
        <color rgb="FFFFEB84"/>
        <color rgb="FF63BE7B"/>
      </colorScale>
    </cfRule>
  </conditionalFormatting>
  <conditionalFormatting sqref="O24:O58">
    <cfRule type="colorScale" priority="31">
      <colorScale>
        <cfvo type="min"/>
        <cfvo type="percentile" val="50"/>
        <cfvo type="max"/>
        <color rgb="FFF8696B"/>
        <color rgb="FFFFEB84"/>
        <color rgb="FF63BE7B"/>
      </colorScale>
    </cfRule>
  </conditionalFormatting>
  <conditionalFormatting sqref="P24:P58">
    <cfRule type="colorScale" priority="30">
      <colorScale>
        <cfvo type="min"/>
        <cfvo type="percentile" val="50"/>
        <cfvo type="max"/>
        <color rgb="FFF8696B"/>
        <color rgb="FFFFEB84"/>
        <color rgb="FF63BE7B"/>
      </colorScale>
    </cfRule>
  </conditionalFormatting>
  <conditionalFormatting sqref="Q24:Q58">
    <cfRule type="colorScale" priority="29">
      <colorScale>
        <cfvo type="min"/>
        <cfvo type="percentile" val="50"/>
        <cfvo type="max"/>
        <color rgb="FFF8696B"/>
        <color rgb="FFFFEB84"/>
        <color rgb="FF63BE7B"/>
      </colorScale>
    </cfRule>
  </conditionalFormatting>
  <conditionalFormatting sqref="R24:R58">
    <cfRule type="colorScale" priority="28">
      <colorScale>
        <cfvo type="min"/>
        <cfvo type="percentile" val="50"/>
        <cfvo type="max"/>
        <color rgb="FFF8696B"/>
        <color rgb="FFFFEB84"/>
        <color rgb="FF63BE7B"/>
      </colorScale>
    </cfRule>
  </conditionalFormatting>
  <conditionalFormatting sqref="S24:S58">
    <cfRule type="colorScale" priority="27">
      <colorScale>
        <cfvo type="min"/>
        <cfvo type="percentile" val="50"/>
        <cfvo type="max"/>
        <color rgb="FFF8696B"/>
        <color rgb="FFFFEB84"/>
        <color rgb="FF63BE7B"/>
      </colorScale>
    </cfRule>
  </conditionalFormatting>
  <conditionalFormatting sqref="T24:T58">
    <cfRule type="colorScale" priority="26">
      <colorScale>
        <cfvo type="min"/>
        <cfvo type="percentile" val="50"/>
        <cfvo type="max"/>
        <color rgb="FFF8696B"/>
        <color rgb="FFFFEB84"/>
        <color rgb="FF63BE7B"/>
      </colorScale>
    </cfRule>
  </conditionalFormatting>
  <conditionalFormatting sqref="U24:U58">
    <cfRule type="colorScale" priority="25">
      <colorScale>
        <cfvo type="min"/>
        <cfvo type="percentile" val="50"/>
        <cfvo type="max"/>
        <color rgb="FFF8696B"/>
        <color rgb="FFFFEB84"/>
        <color rgb="FF63BE7B"/>
      </colorScale>
    </cfRule>
  </conditionalFormatting>
  <conditionalFormatting sqref="V24:V58">
    <cfRule type="colorScale" priority="24">
      <colorScale>
        <cfvo type="min"/>
        <cfvo type="percentile" val="50"/>
        <cfvo type="max"/>
        <color rgb="FFF8696B"/>
        <color rgb="FFFFEB84"/>
        <color rgb="FF63BE7B"/>
      </colorScale>
    </cfRule>
  </conditionalFormatting>
  <conditionalFormatting sqref="W24:W58">
    <cfRule type="colorScale" priority="23">
      <colorScale>
        <cfvo type="min"/>
        <cfvo type="percentile" val="50"/>
        <cfvo type="max"/>
        <color rgb="FFF8696B"/>
        <color rgb="FFFFEB84"/>
        <color rgb="FF63BE7B"/>
      </colorScale>
    </cfRule>
  </conditionalFormatting>
  <conditionalFormatting sqref="X24:X58">
    <cfRule type="colorScale" priority="22">
      <colorScale>
        <cfvo type="min"/>
        <cfvo type="percentile" val="50"/>
        <cfvo type="max"/>
        <color rgb="FFF8696B"/>
        <color rgb="FFFFEB84"/>
        <color rgb="FF63BE7B"/>
      </colorScale>
    </cfRule>
  </conditionalFormatting>
  <conditionalFormatting sqref="Y24:Y58">
    <cfRule type="colorScale" priority="21">
      <colorScale>
        <cfvo type="min"/>
        <cfvo type="percentile" val="50"/>
        <cfvo type="max"/>
        <color rgb="FFF8696B"/>
        <color rgb="FFFFEB84"/>
        <color rgb="FF63BE7B"/>
      </colorScale>
    </cfRule>
  </conditionalFormatting>
  <conditionalFormatting sqref="Z24:Z58">
    <cfRule type="colorScale" priority="20">
      <colorScale>
        <cfvo type="min"/>
        <cfvo type="percentile" val="50"/>
        <cfvo type="max"/>
        <color rgb="FFF8696B"/>
        <color rgb="FFFFEB84"/>
        <color rgb="FF63BE7B"/>
      </colorScale>
    </cfRule>
  </conditionalFormatting>
  <conditionalFormatting sqref="AA24:AB58 AB59:AB98">
    <cfRule type="colorScale" priority="19">
      <colorScale>
        <cfvo type="min"/>
        <cfvo type="percentile" val="50"/>
        <cfvo type="max"/>
        <color rgb="FFF8696B"/>
        <color rgb="FFFFEB84"/>
        <color rgb="FF63BE7B"/>
      </colorScale>
    </cfRule>
  </conditionalFormatting>
  <conditionalFormatting sqref="C24:C149">
    <cfRule type="colorScale" priority="44">
      <colorScale>
        <cfvo type="min"/>
        <cfvo type="percentile" val="50"/>
        <cfvo type="max"/>
        <color rgb="FFF8696B"/>
        <color rgb="FFFFEB84"/>
        <color rgb="FF63BE7B"/>
      </colorScale>
    </cfRule>
  </conditionalFormatting>
  <conditionalFormatting sqref="D59:D149">
    <cfRule type="colorScale" priority="45">
      <colorScale>
        <cfvo type="min"/>
        <cfvo type="percentile" val="50"/>
        <cfvo type="max"/>
        <color rgb="FFF8696B"/>
        <color rgb="FFFFEB84"/>
        <color rgb="FF63BE7B"/>
      </colorScale>
    </cfRule>
  </conditionalFormatting>
  <conditionalFormatting sqref="E59:AA59 Z60:AA106 E60:Y149">
    <cfRule type="colorScale" priority="46">
      <colorScale>
        <cfvo type="min"/>
        <cfvo type="percentile" val="50"/>
        <cfvo type="max"/>
        <color rgb="FFF8696B"/>
        <color rgb="FFFFEB84"/>
        <color rgb="FF63BE7B"/>
      </colorScale>
    </cfRule>
  </conditionalFormatting>
  <conditionalFormatting sqref="C59:C149">
    <cfRule type="colorScale" priority="16">
      <colorScale>
        <cfvo type="min"/>
        <cfvo type="percentile" val="50"/>
        <cfvo type="max"/>
        <color rgb="FFF8696B"/>
        <color rgb="FFFFEB84"/>
        <color rgb="FF63BE7B"/>
      </colorScale>
    </cfRule>
  </conditionalFormatting>
  <conditionalFormatting sqref="E59:E149">
    <cfRule type="colorScale" priority="15">
      <colorScale>
        <cfvo type="min"/>
        <cfvo type="percentile" val="50"/>
        <cfvo type="max"/>
        <color rgb="FFF8696B"/>
        <color rgb="FFFFEB84"/>
        <color rgb="FF63BE7B"/>
      </colorScale>
    </cfRule>
  </conditionalFormatting>
  <conditionalFormatting sqref="F59:F149">
    <cfRule type="colorScale" priority="14">
      <colorScale>
        <cfvo type="min"/>
        <cfvo type="percentile" val="50"/>
        <cfvo type="max"/>
        <color rgb="FFF8696B"/>
        <color rgb="FFFFEB84"/>
        <color rgb="FF63BE7B"/>
      </colorScale>
    </cfRule>
  </conditionalFormatting>
  <conditionalFormatting sqref="G59:G149">
    <cfRule type="colorScale" priority="13">
      <colorScale>
        <cfvo type="min"/>
        <cfvo type="percentile" val="50"/>
        <cfvo type="max"/>
        <color rgb="FFF8696B"/>
        <color rgb="FFFFEB84"/>
        <color rgb="FF63BE7B"/>
      </colorScale>
    </cfRule>
  </conditionalFormatting>
  <conditionalFormatting sqref="H59:H149">
    <cfRule type="colorScale" priority="12">
      <colorScale>
        <cfvo type="min"/>
        <cfvo type="percentile" val="50"/>
        <cfvo type="max"/>
        <color rgb="FFF8696B"/>
        <color rgb="FFFFEB84"/>
        <color rgb="FF63BE7B"/>
      </colorScale>
    </cfRule>
  </conditionalFormatting>
  <conditionalFormatting sqref="I59:I149">
    <cfRule type="colorScale" priority="11">
      <colorScale>
        <cfvo type="min"/>
        <cfvo type="percentile" val="50"/>
        <cfvo type="max"/>
        <color rgb="FFF8696B"/>
        <color rgb="FFFFEB84"/>
        <color rgb="FF63BE7B"/>
      </colorScale>
    </cfRule>
  </conditionalFormatting>
  <conditionalFormatting sqref="J59:J149">
    <cfRule type="colorScale" priority="10">
      <colorScale>
        <cfvo type="min"/>
        <cfvo type="percentile" val="50"/>
        <cfvo type="max"/>
        <color rgb="FFF8696B"/>
        <color rgb="FFFFEB84"/>
        <color rgb="FF63BE7B"/>
      </colorScale>
    </cfRule>
  </conditionalFormatting>
  <conditionalFormatting sqref="K59:K149">
    <cfRule type="colorScale" priority="9">
      <colorScale>
        <cfvo type="min"/>
        <cfvo type="percentile" val="50"/>
        <cfvo type="max"/>
        <color rgb="FFF8696B"/>
        <color rgb="FFFFEB84"/>
        <color rgb="FF63BE7B"/>
      </colorScale>
    </cfRule>
  </conditionalFormatting>
  <conditionalFormatting sqref="L59:L149">
    <cfRule type="colorScale" priority="8">
      <colorScale>
        <cfvo type="min"/>
        <cfvo type="percentile" val="50"/>
        <cfvo type="max"/>
        <color rgb="FFF8696B"/>
        <color rgb="FFFFEB84"/>
        <color rgb="FF63BE7B"/>
      </colorScale>
    </cfRule>
  </conditionalFormatting>
  <conditionalFormatting sqref="M59:M149">
    <cfRule type="colorScale" priority="7">
      <colorScale>
        <cfvo type="min"/>
        <cfvo type="percentile" val="50"/>
        <cfvo type="max"/>
        <color rgb="FFF8696B"/>
        <color rgb="FFFFEB84"/>
        <color rgb="FF63BE7B"/>
      </colorScale>
    </cfRule>
  </conditionalFormatting>
  <conditionalFormatting sqref="P59:P149">
    <cfRule type="colorScale" priority="6">
      <colorScale>
        <cfvo type="min"/>
        <cfvo type="percentile" val="50"/>
        <cfvo type="max"/>
        <color rgb="FFF8696B"/>
        <color rgb="FFFFEB84"/>
        <color rgb="FF63BE7B"/>
      </colorScale>
    </cfRule>
  </conditionalFormatting>
  <conditionalFormatting sqref="R59:R149">
    <cfRule type="colorScale" priority="5">
      <colorScale>
        <cfvo type="min"/>
        <cfvo type="percentile" val="50"/>
        <cfvo type="max"/>
        <color rgb="FFF8696B"/>
        <color rgb="FFFFEB84"/>
        <color rgb="FF63BE7B"/>
      </colorScale>
    </cfRule>
  </conditionalFormatting>
  <conditionalFormatting sqref="U59:U149">
    <cfRule type="colorScale" priority="4">
      <colorScale>
        <cfvo type="min"/>
        <cfvo type="percentile" val="50"/>
        <cfvo type="max"/>
        <color rgb="FFF8696B"/>
        <color rgb="FFFFEB84"/>
        <color rgb="FF63BE7B"/>
      </colorScale>
    </cfRule>
  </conditionalFormatting>
  <conditionalFormatting sqref="W59:W149">
    <cfRule type="colorScale" priority="3">
      <colorScale>
        <cfvo type="min"/>
        <cfvo type="percentile" val="50"/>
        <cfvo type="max"/>
        <color rgb="FFF8696B"/>
        <color rgb="FFFFEB84"/>
        <color rgb="FF63BE7B"/>
      </colorScale>
    </cfRule>
  </conditionalFormatting>
  <conditionalFormatting sqref="X59:X149">
    <cfRule type="colorScale" priority="2">
      <colorScale>
        <cfvo type="min"/>
        <cfvo type="percentile" val="50"/>
        <cfvo type="max"/>
        <color rgb="FFF8696B"/>
        <color rgb="FFFFEB84"/>
        <color rgb="FF63BE7B"/>
      </colorScale>
    </cfRule>
  </conditionalFormatting>
  <conditionalFormatting sqref="Y59:Y149">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6.xml><?xml version="1.0" encoding="utf-8"?>
<worksheet xmlns="http://schemas.openxmlformats.org/spreadsheetml/2006/main">
  <sheetPr codeName="Sheet3">
    <tabColor rgb="FFFF0000"/>
    <outlinePr summaryBelow="1" summaryRight="1"/>
    <pageSetUpPr/>
  </sheetPr>
  <dimension ref="A2:Q1458"/>
  <sheetViews>
    <sheetView zoomScale="140" zoomScaleNormal="140" workbookViewId="0">
      <pane ySplit="2" topLeftCell="A836" activePane="bottomLeft" state="frozen"/>
      <selection activeCell="M12" sqref="M12"/>
      <selection pane="bottomLeft" activeCell="A844" sqref="A844:I857"/>
    </sheetView>
  </sheetViews>
  <sheetFormatPr baseColWidth="10" defaultColWidth="8.83203125" defaultRowHeight="15"/>
  <cols>
    <col width="11.1640625" customWidth="1" style="32" min="1" max="1"/>
    <col width="12.6640625" customWidth="1" style="2" min="2" max="2"/>
    <col width="11" customWidth="1" style="1" min="3" max="5"/>
    <col width="9.1640625" customWidth="1" style="32" min="6" max="9"/>
    <col width="9.1640625" customWidth="1" style="26" min="10" max="174"/>
  </cols>
  <sheetData>
    <row r="1" ht="16" customHeight="1" s="70" thickBot="1"/>
    <row r="2" ht="33" customHeight="1" s="70" thickBot="1">
      <c r="A2" s="41" t="inlineStr">
        <is>
          <t>Date</t>
        </is>
      </c>
      <c r="B2" s="47" t="inlineStr">
        <is>
          <t>USA</t>
        </is>
      </c>
      <c r="C2" s="42" t="inlineStr">
        <is>
          <t>Monthly Change</t>
        </is>
      </c>
      <c r="D2" s="43" t="inlineStr">
        <is>
          <t>12 Month Change</t>
        </is>
      </c>
      <c r="E2" s="44" t="inlineStr">
        <is>
          <t>CPI YoY</t>
        </is>
      </c>
      <c r="F2" s="44" t="inlineStr">
        <is>
          <t>Core CPI</t>
        </is>
      </c>
      <c r="G2" s="44" t="inlineStr">
        <is>
          <t xml:space="preserve">Monthly Change </t>
        </is>
      </c>
      <c r="H2" s="45" t="inlineStr">
        <is>
          <t>Annualized</t>
        </is>
      </c>
      <c r="I2" s="46" t="inlineStr">
        <is>
          <t xml:space="preserve">CPI core yoy </t>
        </is>
      </c>
      <c r="K2" s="36">
        <f>Table143454[[#Headers],[USA]]</f>
        <v/>
      </c>
      <c r="L2" s="26">
        <f>VLOOKUP(K2,Notes!O13:P246,2,)</f>
        <v/>
      </c>
      <c r="M2" s="26">
        <f>L2&amp;" CPI yoy %"</f>
        <v/>
      </c>
      <c r="N2" s="26">
        <f>L2&amp;" Core CPI yoy %"</f>
        <v/>
      </c>
      <c r="Q2" s="37" t="inlineStr">
        <is>
          <t>Input Country Ticker in B2. Example: DEU for Germany</t>
        </is>
      </c>
    </row>
    <row r="3">
      <c r="A3" s="38">
        <f>IF(Data!A30="",#N/A,Data!A30)</f>
        <v/>
      </c>
      <c r="B3" s="39">
        <f>VLOOKUP(A3,Data!A:AX,MATCH($B$2,Data!$B$1:$AX$1,0),FALSE)</f>
        <v/>
      </c>
      <c r="C3" s="40" t="n"/>
      <c r="D3" s="40" t="n"/>
      <c r="E3" s="40">
        <f>(Table143454[[#This Row],[USA]]-#REF!)/#REF!</f>
        <v/>
      </c>
      <c r="F3" s="39">
        <f>VLOOKUP(Table143454[[#This Row],[Date]],'Data Core CPI'!$A:$AX,MATCH($B$2,'Data Core CPI'!$B$1:$AX$1,0),FALSE)</f>
        <v/>
      </c>
      <c r="G3" s="40">
        <f>(F3/F2)-1</f>
        <v/>
      </c>
      <c r="H3" s="40">
        <f>((1+G3)^12)-1</f>
        <v/>
      </c>
      <c r="I3" s="40">
        <f>(Table143454[[#This Row],[Core CPI]]-#REF!)/#REF!</f>
        <v/>
      </c>
    </row>
    <row r="4">
      <c r="A4" s="33">
        <f>IF(Data!A31="",#N/A,Data!A31)</f>
        <v/>
      </c>
      <c r="B4" s="34">
        <f>VLOOKUP(A4,Data!A:AX,MATCH($B$2,Data!$B$1:$AX$1,0),FALSE)</f>
        <v/>
      </c>
      <c r="C4" s="35">
        <f>(B4/B3)-1</f>
        <v/>
      </c>
      <c r="D4" s="35">
        <f>(Table143454[[#This Row],[USA]]-#REF!)/#REF!</f>
        <v/>
      </c>
      <c r="E4" s="35">
        <f>(Table143454[[#This Row],[USA]]-#REF!)/#REF!</f>
        <v/>
      </c>
      <c r="F4" s="34">
        <f>VLOOKUP(Table143454[[#This Row],[Date]],'Data Core CPI'!$A:$AX,MATCH($B$2,'Data Core CPI'!$B$1:$AX$1,0),FALSE)</f>
        <v/>
      </c>
      <c r="G4" s="35">
        <f>(F4/F3)-1</f>
        <v/>
      </c>
      <c r="H4" s="35">
        <f>((1+G4)^12)-1</f>
        <v/>
      </c>
      <c r="I4" s="35">
        <f>(Table143454[[#This Row],[Core CPI]]-#REF!)/#REF!</f>
        <v/>
      </c>
    </row>
    <row r="5">
      <c r="A5" s="33">
        <f>IF(Data!A32="",#N/A,Data!A32)</f>
        <v/>
      </c>
      <c r="B5" s="34">
        <f>VLOOKUP(A5,Data!A:AX,MATCH($B$2,Data!$B$1:$AX$1,0),FALSE)</f>
        <v/>
      </c>
      <c r="C5" s="35">
        <f>(B5/B4)-1</f>
        <v/>
      </c>
      <c r="D5" s="35">
        <f>(Table143454[[#This Row],[USA]]-#REF!)/#REF!</f>
        <v/>
      </c>
      <c r="E5" s="35">
        <f>(Table143454[[#This Row],[USA]]-#REF!)/#REF!</f>
        <v/>
      </c>
      <c r="F5" s="34">
        <f>VLOOKUP(Table143454[[#This Row],[Date]],'Data Core CPI'!$A:$AX,MATCH($B$2,'Data Core CPI'!$B$1:$AX$1,0),FALSE)</f>
        <v/>
      </c>
      <c r="G5" s="35">
        <f>(F5/F4)-1</f>
        <v/>
      </c>
      <c r="H5" s="35">
        <f>((1+G5)^12)-1</f>
        <v/>
      </c>
      <c r="I5" s="35">
        <f>(Table143454[[#This Row],[Core CPI]]-#REF!)/#REF!</f>
        <v/>
      </c>
    </row>
    <row r="6">
      <c r="A6" s="33">
        <f>IF(Data!A33="",#N/A,Data!A33)</f>
        <v/>
      </c>
      <c r="B6" s="34">
        <f>VLOOKUP(A6,Data!A:AX,MATCH($B$2,Data!$B$1:$AX$1,0),FALSE)</f>
        <v/>
      </c>
      <c r="C6" s="35">
        <f>(B6/B5)-1</f>
        <v/>
      </c>
      <c r="D6" s="35">
        <f>(Table143454[[#This Row],[USA]]-#REF!)/#REF!</f>
        <v/>
      </c>
      <c r="E6" s="35">
        <f>(Table143454[[#This Row],[USA]]-#REF!)/#REF!</f>
        <v/>
      </c>
      <c r="F6" s="34">
        <f>VLOOKUP(Table143454[[#This Row],[Date]],'Data Core CPI'!$A:$AX,MATCH($B$2,'Data Core CPI'!$B$1:$AX$1,0),FALSE)</f>
        <v/>
      </c>
      <c r="G6" s="35">
        <f>(F6/F5)-1</f>
        <v/>
      </c>
      <c r="H6" s="35">
        <f>((1+G6)^12)-1</f>
        <v/>
      </c>
      <c r="I6" s="35">
        <f>(Table143454[[#This Row],[Core CPI]]-#REF!)/#REF!</f>
        <v/>
      </c>
    </row>
    <row r="7">
      <c r="A7" s="33">
        <f>IF(Data!A34="",#N/A,Data!A34)</f>
        <v/>
      </c>
      <c r="B7" s="34">
        <f>VLOOKUP(A7,Data!A:AX,MATCH($B$2,Data!$B$1:$AX$1,0),FALSE)</f>
        <v/>
      </c>
      <c r="C7" s="35">
        <f>(B7/B6)-1</f>
        <v/>
      </c>
      <c r="D7" s="35">
        <f>(Table143454[[#This Row],[USA]]-#REF!)/#REF!</f>
        <v/>
      </c>
      <c r="E7" s="35">
        <f>(Table143454[[#This Row],[USA]]-#REF!)/#REF!</f>
        <v/>
      </c>
      <c r="F7" s="34">
        <f>VLOOKUP(Table143454[[#This Row],[Date]],'Data Core CPI'!$A:$AX,MATCH($B$2,'Data Core CPI'!$B$1:$AX$1,0),FALSE)</f>
        <v/>
      </c>
      <c r="G7" s="35">
        <f>(F7/F6)-1</f>
        <v/>
      </c>
      <c r="H7" s="35">
        <f>((1+G7)^12)-1</f>
        <v/>
      </c>
      <c r="I7" s="35">
        <f>(Table143454[[#This Row],[Core CPI]]-#REF!)/#REF!</f>
        <v/>
      </c>
    </row>
    <row r="8">
      <c r="A8" s="33">
        <f>IF(Data!A35="",#N/A,Data!A35)</f>
        <v/>
      </c>
      <c r="B8" s="34">
        <f>VLOOKUP(A8,Data!A:AX,MATCH($B$2,Data!$B$1:$AX$1,0),FALSE)</f>
        <v/>
      </c>
      <c r="C8" s="35">
        <f>(B8/B7)-1</f>
        <v/>
      </c>
      <c r="D8" s="35">
        <f>(Table143454[[#This Row],[USA]]-#REF!)/#REF!</f>
        <v/>
      </c>
      <c r="E8" s="35">
        <f>(Table143454[[#This Row],[USA]]-#REF!)/#REF!</f>
        <v/>
      </c>
      <c r="F8" s="34">
        <f>VLOOKUP(Table143454[[#This Row],[Date]],'Data Core CPI'!$A:$AX,MATCH($B$2,'Data Core CPI'!$B$1:$AX$1,0),FALSE)</f>
        <v/>
      </c>
      <c r="G8" s="35">
        <f>(F8/F7)-1</f>
        <v/>
      </c>
      <c r="H8" s="35">
        <f>((1+G8)^12)-1</f>
        <v/>
      </c>
      <c r="I8" s="35">
        <f>(Table143454[[#This Row],[Core CPI]]-#REF!)/#REF!</f>
        <v/>
      </c>
    </row>
    <row r="9">
      <c r="A9" s="33">
        <f>IF(Data!A36="",#N/A,Data!A36)</f>
        <v/>
      </c>
      <c r="B9" s="34">
        <f>VLOOKUP(A9,Data!A:AX,MATCH($B$2,Data!$B$1:$AX$1,0),FALSE)</f>
        <v/>
      </c>
      <c r="C9" s="35">
        <f>(B9/B8)-1</f>
        <v/>
      </c>
      <c r="D9" s="35">
        <f>(Table143454[[#This Row],[USA]]-#REF!)/#REF!</f>
        <v/>
      </c>
      <c r="E9" s="35">
        <f>(Table143454[[#This Row],[USA]]-#REF!)/#REF!</f>
        <v/>
      </c>
      <c r="F9" s="34">
        <f>VLOOKUP(Table143454[[#This Row],[Date]],'Data Core CPI'!$A:$AX,MATCH($B$2,'Data Core CPI'!$B$1:$AX$1,0),FALSE)</f>
        <v/>
      </c>
      <c r="G9" s="35">
        <f>(F9/F8)-1</f>
        <v/>
      </c>
      <c r="H9" s="35">
        <f>((1+G9)^12)-1</f>
        <v/>
      </c>
      <c r="I9" s="35">
        <f>(Table143454[[#This Row],[Core CPI]]-#REF!)/#REF!</f>
        <v/>
      </c>
    </row>
    <row r="10">
      <c r="A10" s="33">
        <f>IF(Data!A37="",#N/A,Data!A37)</f>
        <v/>
      </c>
      <c r="B10" s="34">
        <f>VLOOKUP(A10,Data!A:AX,MATCH($B$2,Data!$B$1:$AX$1,0),FALSE)</f>
        <v/>
      </c>
      <c r="C10" s="35">
        <f>(B10/B9)-1</f>
        <v/>
      </c>
      <c r="D10" s="35">
        <f>(Table143454[[#This Row],[USA]]-#REF!)/#REF!</f>
        <v/>
      </c>
      <c r="E10" s="35">
        <f>(Table143454[[#This Row],[USA]]-#REF!)/#REF!</f>
        <v/>
      </c>
      <c r="F10" s="34">
        <f>VLOOKUP(Table143454[[#This Row],[Date]],'Data Core CPI'!$A:$AX,MATCH($B$2,'Data Core CPI'!$B$1:$AX$1,0),FALSE)</f>
        <v/>
      </c>
      <c r="G10" s="35">
        <f>(F10/F9)-1</f>
        <v/>
      </c>
      <c r="H10" s="35">
        <f>((1+G10)^12)-1</f>
        <v/>
      </c>
      <c r="I10" s="35">
        <f>(Table143454[[#This Row],[Core CPI]]-#REF!)/#REF!</f>
        <v/>
      </c>
    </row>
    <row r="11">
      <c r="A11" s="33">
        <f>IF(Data!A38="",#N/A,Data!A38)</f>
        <v/>
      </c>
      <c r="B11" s="34">
        <f>VLOOKUP(A11,Data!A:AX,MATCH($B$2,Data!$B$1:$AX$1,0),FALSE)</f>
        <v/>
      </c>
      <c r="C11" s="35">
        <f>(B11/B10)-1</f>
        <v/>
      </c>
      <c r="D11" s="35">
        <f>(Table143454[[#This Row],[USA]]-#REF!)/#REF!</f>
        <v/>
      </c>
      <c r="E11" s="35">
        <f>(Table143454[[#This Row],[USA]]-#REF!)/#REF!</f>
        <v/>
      </c>
      <c r="F11" s="34">
        <f>VLOOKUP(Table143454[[#This Row],[Date]],'Data Core CPI'!$A:$AX,MATCH($B$2,'Data Core CPI'!$B$1:$AX$1,0),FALSE)</f>
        <v/>
      </c>
      <c r="G11" s="35">
        <f>(F11/F10)-1</f>
        <v/>
      </c>
      <c r="H11" s="35">
        <f>((1+G11)^12)-1</f>
        <v/>
      </c>
      <c r="I11" s="35">
        <f>(Table143454[[#This Row],[Core CPI]]-#REF!)/#REF!</f>
        <v/>
      </c>
    </row>
    <row r="12">
      <c r="A12" s="33">
        <f>IF(Data!A39="",#N/A,Data!A39)</f>
        <v/>
      </c>
      <c r="B12" s="34">
        <f>VLOOKUP(A12,Data!A:AX,MATCH($B$2,Data!$B$1:$AX$1,0),FALSE)</f>
        <v/>
      </c>
      <c r="C12" s="35">
        <f>(B12/B11)-1</f>
        <v/>
      </c>
      <c r="D12" s="35">
        <f>(Table143454[[#This Row],[USA]]-#REF!)/#REF!</f>
        <v/>
      </c>
      <c r="E12" s="35">
        <f>(Table143454[[#This Row],[USA]]-#REF!)/#REF!</f>
        <v/>
      </c>
      <c r="F12" s="34">
        <f>VLOOKUP(Table143454[[#This Row],[Date]],'Data Core CPI'!$A:$AX,MATCH($B$2,'Data Core CPI'!$B$1:$AX$1,0),FALSE)</f>
        <v/>
      </c>
      <c r="G12" s="35">
        <f>(F12/F11)-1</f>
        <v/>
      </c>
      <c r="H12" s="35">
        <f>((1+G12)^12)-1</f>
        <v/>
      </c>
      <c r="I12" s="35">
        <f>(Table143454[[#This Row],[Core CPI]]-#REF!)/#REF!</f>
        <v/>
      </c>
    </row>
    <row r="13">
      <c r="A13" s="33">
        <f>IF(Data!A40="",#N/A,Data!A40)</f>
        <v/>
      </c>
      <c r="B13" s="34">
        <f>VLOOKUP(A13,Data!A:AX,MATCH($B$2,Data!$B$1:$AX$1,0),FALSE)</f>
        <v/>
      </c>
      <c r="C13" s="35">
        <f>(B13/B12)-1</f>
        <v/>
      </c>
      <c r="D13" s="35">
        <f>(Table143454[[#This Row],[USA]]-#REF!)/#REF!</f>
        <v/>
      </c>
      <c r="E13" s="35">
        <f>(Table143454[[#This Row],[USA]]-#REF!)/#REF!</f>
        <v/>
      </c>
      <c r="F13" s="34">
        <f>VLOOKUP(Table143454[[#This Row],[Date]],'Data Core CPI'!$A:$AX,MATCH($B$2,'Data Core CPI'!$B$1:$AX$1,0),FALSE)</f>
        <v/>
      </c>
      <c r="G13" s="35">
        <f>(F13/F12)-1</f>
        <v/>
      </c>
      <c r="H13" s="35">
        <f>((1+G13)^12)-1</f>
        <v/>
      </c>
      <c r="I13" s="35">
        <f>(Table143454[[#This Row],[Core CPI]]-#REF!)/#REF!</f>
        <v/>
      </c>
    </row>
    <row r="14">
      <c r="A14" s="33">
        <f>IF(Data!A41="",#N/A,Data!A41)</f>
        <v/>
      </c>
      <c r="B14" s="34">
        <f>VLOOKUP(A14,Data!A:AX,MATCH($B$2,Data!$B$1:$AX$1,0),FALSE)</f>
        <v/>
      </c>
      <c r="C14" s="35">
        <f>(B14/B13)-1</f>
        <v/>
      </c>
      <c r="D14" s="35">
        <f>(Table143454[[#This Row],[USA]]-B2)/B2</f>
        <v/>
      </c>
      <c r="E14" s="35">
        <f>(Table143454[[#This Row],[USA]]-B2)/B2</f>
        <v/>
      </c>
      <c r="F14" s="34">
        <f>VLOOKUP(Table143454[[#This Row],[Date]],'Data Core CPI'!$A:$AX,MATCH($B$2,'Data Core CPI'!$B$1:$AX$1,0),FALSE)</f>
        <v/>
      </c>
      <c r="G14" s="35">
        <f>(F14/F13)-1</f>
        <v/>
      </c>
      <c r="H14" s="35">
        <f>((1+G14)^12)-1</f>
        <v/>
      </c>
      <c r="I14" s="35">
        <f>(Table143454[[#This Row],[Core CPI]]-F2)/F2</f>
        <v/>
      </c>
    </row>
    <row r="15">
      <c r="A15" s="33">
        <f>IF(Data!A42="",#N/A,Data!A42)</f>
        <v/>
      </c>
      <c r="B15" s="34">
        <f>VLOOKUP(A15,Data!A:AX,MATCH($B$2,Data!$B$1:$AX$1,0),FALSE)</f>
        <v/>
      </c>
      <c r="C15" s="35">
        <f>(B15/B14)-1</f>
        <v/>
      </c>
      <c r="D15" s="35">
        <f>(Table143454[[#This Row],[USA]]-B3)/B3</f>
        <v/>
      </c>
      <c r="E15" s="35">
        <f>(Table143454[[#This Row],[USA]]-B3)/B3</f>
        <v/>
      </c>
      <c r="F15" s="34">
        <f>VLOOKUP(Table143454[[#This Row],[Date]],'Data Core CPI'!$A:$AX,MATCH($B$2,'Data Core CPI'!$B$1:$AX$1,0),FALSE)</f>
        <v/>
      </c>
      <c r="G15" s="35">
        <f>(F15/F14)-1</f>
        <v/>
      </c>
      <c r="H15" s="35">
        <f>((1+G15)^12)-1</f>
        <v/>
      </c>
      <c r="I15" s="35">
        <f>(Table143454[[#This Row],[Core CPI]]-F3)/F3</f>
        <v/>
      </c>
    </row>
    <row r="16">
      <c r="A16" s="33">
        <f>IF(Data!A43="",#N/A,Data!A43)</f>
        <v/>
      </c>
      <c r="B16" s="34">
        <f>VLOOKUP(A16,Data!A:AX,MATCH($B$2,Data!$B$1:$AX$1,0),FALSE)</f>
        <v/>
      </c>
      <c r="C16" s="35">
        <f>(B16/B15)-1</f>
        <v/>
      </c>
      <c r="D16" s="35">
        <f>(Table143454[[#This Row],[USA]]-B4)/B4</f>
        <v/>
      </c>
      <c r="E16" s="35">
        <f>(Table143454[[#This Row],[USA]]-B4)/B4</f>
        <v/>
      </c>
      <c r="F16" s="34">
        <f>VLOOKUP(Table143454[[#This Row],[Date]],'Data Core CPI'!$A:$AX,MATCH($B$2,'Data Core CPI'!$B$1:$AX$1,0),FALSE)</f>
        <v/>
      </c>
      <c r="G16" s="35">
        <f>(F16/F15)-1</f>
        <v/>
      </c>
      <c r="H16" s="35">
        <f>((1+G16)^12)-1</f>
        <v/>
      </c>
      <c r="I16" s="35">
        <f>(Table143454[[#This Row],[Core CPI]]-F4)/F4</f>
        <v/>
      </c>
    </row>
    <row r="17">
      <c r="A17" s="33">
        <f>IF(Data!A44="",#N/A,Data!A44)</f>
        <v/>
      </c>
      <c r="B17" s="34">
        <f>VLOOKUP(A17,Data!A:AX,MATCH($B$2,Data!$B$1:$AX$1,0),FALSE)</f>
        <v/>
      </c>
      <c r="C17" s="35">
        <f>(B17/B16)-1</f>
        <v/>
      </c>
      <c r="D17" s="35">
        <f>(Table143454[[#This Row],[USA]]-B5)/B5</f>
        <v/>
      </c>
      <c r="E17" s="35">
        <f>(Table143454[[#This Row],[USA]]-B5)/B5</f>
        <v/>
      </c>
      <c r="F17" s="34">
        <f>VLOOKUP(Table143454[[#This Row],[Date]],'Data Core CPI'!$A:$AX,MATCH($B$2,'Data Core CPI'!$B$1:$AX$1,0),FALSE)</f>
        <v/>
      </c>
      <c r="G17" s="35">
        <f>(F17/F16)-1</f>
        <v/>
      </c>
      <c r="H17" s="35">
        <f>((1+G17)^12)-1</f>
        <v/>
      </c>
      <c r="I17" s="35">
        <f>(Table143454[[#This Row],[Core CPI]]-F5)/F5</f>
        <v/>
      </c>
    </row>
    <row r="18">
      <c r="A18" s="33">
        <f>IF(Data!A45="",#N/A,Data!A45)</f>
        <v/>
      </c>
      <c r="B18" s="34">
        <f>VLOOKUP(A18,Data!A:AX,MATCH($B$2,Data!$B$1:$AX$1,0),FALSE)</f>
        <v/>
      </c>
      <c r="C18" s="35">
        <f>(B18/B17)-1</f>
        <v/>
      </c>
      <c r="D18" s="35">
        <f>(Table143454[[#This Row],[USA]]-B6)/B6</f>
        <v/>
      </c>
      <c r="E18" s="35">
        <f>(Table143454[[#This Row],[USA]]-B6)/B6</f>
        <v/>
      </c>
      <c r="F18" s="34">
        <f>VLOOKUP(Table143454[[#This Row],[Date]],'Data Core CPI'!$A:$AX,MATCH($B$2,'Data Core CPI'!$B$1:$AX$1,0),FALSE)</f>
        <v/>
      </c>
      <c r="G18" s="35">
        <f>(F18/F17)-1</f>
        <v/>
      </c>
      <c r="H18" s="35">
        <f>((1+G18)^12)-1</f>
        <v/>
      </c>
      <c r="I18" s="35">
        <f>(Table143454[[#This Row],[Core CPI]]-F6)/F6</f>
        <v/>
      </c>
    </row>
    <row r="19">
      <c r="A19" s="33">
        <f>IF(Data!A46="",#N/A,Data!A46)</f>
        <v/>
      </c>
      <c r="B19" s="34">
        <f>VLOOKUP(A19,Data!A:AX,MATCH($B$2,Data!$B$1:$AX$1,0),FALSE)</f>
        <v/>
      </c>
      <c r="C19" s="35">
        <f>(B19/B18)-1</f>
        <v/>
      </c>
      <c r="D19" s="35">
        <f>(Table143454[[#This Row],[USA]]-B7)/B7</f>
        <v/>
      </c>
      <c r="E19" s="35">
        <f>(Table143454[[#This Row],[USA]]-B7)/B7</f>
        <v/>
      </c>
      <c r="F19" s="34">
        <f>VLOOKUP(Table143454[[#This Row],[Date]],'Data Core CPI'!$A:$AX,MATCH($B$2,'Data Core CPI'!$B$1:$AX$1,0),FALSE)</f>
        <v/>
      </c>
      <c r="G19" s="35">
        <f>(F19/F18)-1</f>
        <v/>
      </c>
      <c r="H19" s="35">
        <f>((1+G19)^12)-1</f>
        <v/>
      </c>
      <c r="I19" s="35">
        <f>(Table143454[[#This Row],[Core CPI]]-F7)/F7</f>
        <v/>
      </c>
    </row>
    <row r="20">
      <c r="A20" s="33">
        <f>IF(Data!A47="",#N/A,Data!A47)</f>
        <v/>
      </c>
      <c r="B20" s="34">
        <f>VLOOKUP(A20,Data!A:AX,MATCH($B$2,Data!$B$1:$AX$1,0),FALSE)</f>
        <v/>
      </c>
      <c r="C20" s="35">
        <f>(B20/B19)-1</f>
        <v/>
      </c>
      <c r="D20" s="35">
        <f>(Table143454[[#This Row],[USA]]-B8)/B8</f>
        <v/>
      </c>
      <c r="E20" s="35">
        <f>(Table143454[[#This Row],[USA]]-B8)/B8</f>
        <v/>
      </c>
      <c r="F20" s="34">
        <f>VLOOKUP(Table143454[[#This Row],[Date]],'Data Core CPI'!$A:$AX,MATCH($B$2,'Data Core CPI'!$B$1:$AX$1,0),FALSE)</f>
        <v/>
      </c>
      <c r="G20" s="35">
        <f>(F20/F19)-1</f>
        <v/>
      </c>
      <c r="H20" s="35">
        <f>((1+G20)^12)-1</f>
        <v/>
      </c>
      <c r="I20" s="35">
        <f>(Table143454[[#This Row],[Core CPI]]-F8)/F8</f>
        <v/>
      </c>
    </row>
    <row r="21">
      <c r="A21" s="33">
        <f>IF(Data!A48="",#N/A,Data!A48)</f>
        <v/>
      </c>
      <c r="B21" s="34">
        <f>VLOOKUP(A21,Data!A:AX,MATCH($B$2,Data!$B$1:$AX$1,0),FALSE)</f>
        <v/>
      </c>
      <c r="C21" s="35">
        <f>(B21/B20)-1</f>
        <v/>
      </c>
      <c r="D21" s="35">
        <f>(Table143454[[#This Row],[USA]]-B9)/B9</f>
        <v/>
      </c>
      <c r="E21" s="35">
        <f>(Table143454[[#This Row],[USA]]-B9)/B9</f>
        <v/>
      </c>
      <c r="F21" s="34">
        <f>VLOOKUP(Table143454[[#This Row],[Date]],'Data Core CPI'!$A:$AX,MATCH($B$2,'Data Core CPI'!$B$1:$AX$1,0),FALSE)</f>
        <v/>
      </c>
      <c r="G21" s="35">
        <f>(F21/F20)-1</f>
        <v/>
      </c>
      <c r="H21" s="35">
        <f>((1+G21)^12)-1</f>
        <v/>
      </c>
      <c r="I21" s="35">
        <f>(Table143454[[#This Row],[Core CPI]]-F9)/F9</f>
        <v/>
      </c>
    </row>
    <row r="22">
      <c r="A22" s="33">
        <f>IF(Data!A49="",#N/A,Data!A49)</f>
        <v/>
      </c>
      <c r="B22" s="34">
        <f>VLOOKUP(A22,Data!A:AX,MATCH($B$2,Data!$B$1:$AX$1,0),FALSE)</f>
        <v/>
      </c>
      <c r="C22" s="35">
        <f>(B22/B21)-1</f>
        <v/>
      </c>
      <c r="D22" s="35">
        <f>(Table143454[[#This Row],[USA]]-B10)/B10</f>
        <v/>
      </c>
      <c r="E22" s="35">
        <f>(Table143454[[#This Row],[USA]]-B10)/B10</f>
        <v/>
      </c>
      <c r="F22" s="34">
        <f>VLOOKUP(Table143454[[#This Row],[Date]],'Data Core CPI'!$A:$AX,MATCH($B$2,'Data Core CPI'!$B$1:$AX$1,0),FALSE)</f>
        <v/>
      </c>
      <c r="G22" s="35">
        <f>(F22/F21)-1</f>
        <v/>
      </c>
      <c r="H22" s="35">
        <f>((1+G22)^12)-1</f>
        <v/>
      </c>
      <c r="I22" s="35">
        <f>(Table143454[[#This Row],[Core CPI]]-F10)/F10</f>
        <v/>
      </c>
    </row>
    <row r="23">
      <c r="A23" s="33">
        <f>IF(Data!A50="",#N/A,Data!A50)</f>
        <v/>
      </c>
      <c r="B23" s="34">
        <f>VLOOKUP(A23,Data!A:AX,MATCH($B$2,Data!$B$1:$AX$1,0),FALSE)</f>
        <v/>
      </c>
      <c r="C23" s="35">
        <f>(B23/B22)-1</f>
        <v/>
      </c>
      <c r="D23" s="35">
        <f>(Table143454[[#This Row],[USA]]-B11)/B11</f>
        <v/>
      </c>
      <c r="E23" s="35">
        <f>(Table143454[[#This Row],[USA]]-B11)/B11</f>
        <v/>
      </c>
      <c r="F23" s="34">
        <f>VLOOKUP(Table143454[[#This Row],[Date]],'Data Core CPI'!$A:$AX,MATCH($B$2,'Data Core CPI'!$B$1:$AX$1,0),FALSE)</f>
        <v/>
      </c>
      <c r="G23" s="35">
        <f>(F23/F22)-1</f>
        <v/>
      </c>
      <c r="H23" s="35">
        <f>((1+G23)^12)-1</f>
        <v/>
      </c>
      <c r="I23" s="35">
        <f>(Table143454[[#This Row],[Core CPI]]-F11)/F11</f>
        <v/>
      </c>
    </row>
    <row r="24">
      <c r="A24" s="33">
        <f>IF(Data!A51="",#N/A,Data!A51)</f>
        <v/>
      </c>
      <c r="B24" s="34">
        <f>VLOOKUP(A24,Data!A:AX,MATCH($B$2,Data!$B$1:$AX$1,0),FALSE)</f>
        <v/>
      </c>
      <c r="C24" s="35">
        <f>(B24/B23)-1</f>
        <v/>
      </c>
      <c r="D24" s="35">
        <f>(Table143454[[#This Row],[USA]]-B12)/B12</f>
        <v/>
      </c>
      <c r="E24" s="35">
        <f>(Table143454[[#This Row],[USA]]-B12)/B12</f>
        <v/>
      </c>
      <c r="F24" s="34">
        <f>VLOOKUP(Table143454[[#This Row],[Date]],'Data Core CPI'!$A:$AX,MATCH($B$2,'Data Core CPI'!$B$1:$AX$1,0),FALSE)</f>
        <v/>
      </c>
      <c r="G24" s="35">
        <f>(F24/F23)-1</f>
        <v/>
      </c>
      <c r="H24" s="35">
        <f>((1+G24)^12)-1</f>
        <v/>
      </c>
      <c r="I24" s="35">
        <f>(Table143454[[#This Row],[Core CPI]]-F12)/F12</f>
        <v/>
      </c>
    </row>
    <row r="25">
      <c r="A25" s="33">
        <f>IF(Data!A52="",#N/A,Data!A52)</f>
        <v/>
      </c>
      <c r="B25" s="34">
        <f>VLOOKUP(A25,Data!A:AX,MATCH($B$2,Data!$B$1:$AX$1,0),FALSE)</f>
        <v/>
      </c>
      <c r="C25" s="35">
        <f>(B25/B24)-1</f>
        <v/>
      </c>
      <c r="D25" s="35">
        <f>(Table143454[[#This Row],[USA]]-B13)/B13</f>
        <v/>
      </c>
      <c r="E25" s="35">
        <f>(Table143454[[#This Row],[USA]]-B13)/B13</f>
        <v/>
      </c>
      <c r="F25" s="34">
        <f>VLOOKUP(Table143454[[#This Row],[Date]],'Data Core CPI'!$A:$AX,MATCH($B$2,'Data Core CPI'!$B$1:$AX$1,0),FALSE)</f>
        <v/>
      </c>
      <c r="G25" s="35">
        <f>(F25/F24)-1</f>
        <v/>
      </c>
      <c r="H25" s="35">
        <f>((1+G25)^12)-1</f>
        <v/>
      </c>
      <c r="I25" s="35">
        <f>(Table143454[[#This Row],[Core CPI]]-F13)/F13</f>
        <v/>
      </c>
    </row>
    <row r="26">
      <c r="A26" s="33">
        <f>IF(Data!A53="",#N/A,Data!A53)</f>
        <v/>
      </c>
      <c r="B26" s="34">
        <f>VLOOKUP(A26,Data!A:AX,MATCH($B$2,Data!$B$1:$AX$1,0),FALSE)</f>
        <v/>
      </c>
      <c r="C26" s="35">
        <f>(B26/B25)-1</f>
        <v/>
      </c>
      <c r="D26" s="35">
        <f>(Table143454[[#This Row],[USA]]-B14)/B14</f>
        <v/>
      </c>
      <c r="E26" s="35">
        <f>(Table143454[[#This Row],[USA]]-B14)/B14</f>
        <v/>
      </c>
      <c r="F26" s="34">
        <f>VLOOKUP(Table143454[[#This Row],[Date]],'Data Core CPI'!$A:$AX,MATCH($B$2,'Data Core CPI'!$B$1:$AX$1,0),FALSE)</f>
        <v/>
      </c>
      <c r="G26" s="35">
        <f>(F26/F25)-1</f>
        <v/>
      </c>
      <c r="H26" s="35">
        <f>((1+G26)^12)-1</f>
        <v/>
      </c>
      <c r="I26" s="35">
        <f>(Table143454[[#This Row],[Core CPI]]-F14)/F14</f>
        <v/>
      </c>
    </row>
    <row r="27">
      <c r="A27" s="33">
        <f>IF(Data!A54="",#N/A,Data!A54)</f>
        <v/>
      </c>
      <c r="B27" s="34">
        <f>VLOOKUP(A27,Data!A:AX,MATCH($B$2,Data!$B$1:$AX$1,0),FALSE)</f>
        <v/>
      </c>
      <c r="C27" s="35">
        <f>(B27/B26)-1</f>
        <v/>
      </c>
      <c r="D27" s="35">
        <f>(Table143454[[#This Row],[USA]]-B15)/B15</f>
        <v/>
      </c>
      <c r="E27" s="35">
        <f>(Table143454[[#This Row],[USA]]-B15)/B15</f>
        <v/>
      </c>
      <c r="F27" s="34">
        <f>VLOOKUP(Table143454[[#This Row],[Date]],'Data Core CPI'!$A:$AX,MATCH($B$2,'Data Core CPI'!$B$1:$AX$1,0),FALSE)</f>
        <v/>
      </c>
      <c r="G27" s="35">
        <f>(F27/F26)-1</f>
        <v/>
      </c>
      <c r="H27" s="35">
        <f>((1+G27)^12)-1</f>
        <v/>
      </c>
      <c r="I27" s="35">
        <f>(Table143454[[#This Row],[Core CPI]]-F15)/F15</f>
        <v/>
      </c>
    </row>
    <row r="28">
      <c r="A28" s="33">
        <f>IF(Data!A55="",#N/A,Data!A55)</f>
        <v/>
      </c>
      <c r="B28" s="34">
        <f>VLOOKUP(A28,Data!A:AX,MATCH($B$2,Data!$B$1:$AX$1,0),FALSE)</f>
        <v/>
      </c>
      <c r="C28" s="35">
        <f>(B28/B27)-1</f>
        <v/>
      </c>
      <c r="D28" s="35">
        <f>(Table143454[[#This Row],[USA]]-B16)/B16</f>
        <v/>
      </c>
      <c r="E28" s="35">
        <f>(Table143454[[#This Row],[USA]]-B16)/B16</f>
        <v/>
      </c>
      <c r="F28" s="34">
        <f>VLOOKUP(Table143454[[#This Row],[Date]],'Data Core CPI'!$A:$AX,MATCH($B$2,'Data Core CPI'!$B$1:$AX$1,0),FALSE)</f>
        <v/>
      </c>
      <c r="G28" s="35">
        <f>(F28/F27)-1</f>
        <v/>
      </c>
      <c r="H28" s="35">
        <f>((1+G28)^12)-1</f>
        <v/>
      </c>
      <c r="I28" s="35">
        <f>(Table143454[[#This Row],[Core CPI]]-F16)/F16</f>
        <v/>
      </c>
    </row>
    <row r="29">
      <c r="A29" s="33">
        <f>IF(Data!A56="",#N/A,Data!A56)</f>
        <v/>
      </c>
      <c r="B29" s="34">
        <f>VLOOKUP(A29,Data!A:AX,MATCH($B$2,Data!$B$1:$AX$1,0),FALSE)</f>
        <v/>
      </c>
      <c r="C29" s="35">
        <f>(B29/B28)-1</f>
        <v/>
      </c>
      <c r="D29" s="35">
        <f>(Table143454[[#This Row],[USA]]-B17)/B17</f>
        <v/>
      </c>
      <c r="E29" s="35">
        <f>(Table143454[[#This Row],[USA]]-B17)/B17</f>
        <v/>
      </c>
      <c r="F29" s="34">
        <f>VLOOKUP(Table143454[[#This Row],[Date]],'Data Core CPI'!$A:$AX,MATCH($B$2,'Data Core CPI'!$B$1:$AX$1,0),FALSE)</f>
        <v/>
      </c>
      <c r="G29" s="35">
        <f>(F29/F28)-1</f>
        <v/>
      </c>
      <c r="H29" s="35">
        <f>((1+G29)^12)-1</f>
        <v/>
      </c>
      <c r="I29" s="35">
        <f>(Table143454[[#This Row],[Core CPI]]-F17)/F17</f>
        <v/>
      </c>
    </row>
    <row r="30">
      <c r="A30" s="33">
        <f>IF(Data!A57="",#N/A,Data!A57)</f>
        <v/>
      </c>
      <c r="B30" s="34">
        <f>VLOOKUP(A30,Data!A:AX,MATCH($B$2,Data!$B$1:$AX$1,0),FALSE)</f>
        <v/>
      </c>
      <c r="C30" s="35">
        <f>(B30/B29)-1</f>
        <v/>
      </c>
      <c r="D30" s="35">
        <f>(Table143454[[#This Row],[USA]]-B18)/B18</f>
        <v/>
      </c>
      <c r="E30" s="35">
        <f>(Table143454[[#This Row],[USA]]-B18)/B18</f>
        <v/>
      </c>
      <c r="F30" s="34">
        <f>VLOOKUP(Table143454[[#This Row],[Date]],'Data Core CPI'!$A:$AX,MATCH($B$2,'Data Core CPI'!$B$1:$AX$1,0),FALSE)</f>
        <v/>
      </c>
      <c r="G30" s="35">
        <f>(F30/F29)-1</f>
        <v/>
      </c>
      <c r="H30" s="35">
        <f>((1+G30)^12)-1</f>
        <v/>
      </c>
      <c r="I30" s="35">
        <f>(Table143454[[#This Row],[Core CPI]]-F18)/F18</f>
        <v/>
      </c>
    </row>
    <row r="31">
      <c r="A31" s="33">
        <f>IF(Data!A58="",#N/A,Data!A58)</f>
        <v/>
      </c>
      <c r="B31" s="34">
        <f>VLOOKUP(A31,Data!A:AX,MATCH($B$2,Data!$B$1:$AX$1,0),FALSE)</f>
        <v/>
      </c>
      <c r="C31" s="35">
        <f>(B31/B30)-1</f>
        <v/>
      </c>
      <c r="D31" s="35">
        <f>(Table143454[[#This Row],[USA]]-B19)/B19</f>
        <v/>
      </c>
      <c r="E31" s="35">
        <f>(Table143454[[#This Row],[USA]]-B19)/B19</f>
        <v/>
      </c>
      <c r="F31" s="34">
        <f>VLOOKUP(Table143454[[#This Row],[Date]],'Data Core CPI'!$A:$AX,MATCH($B$2,'Data Core CPI'!$B$1:$AX$1,0),FALSE)</f>
        <v/>
      </c>
      <c r="G31" s="35">
        <f>(F31/F30)-1</f>
        <v/>
      </c>
      <c r="H31" s="35">
        <f>((1+G31)^12)-1</f>
        <v/>
      </c>
      <c r="I31" s="35">
        <f>(Table143454[[#This Row],[Core CPI]]-F19)/F19</f>
        <v/>
      </c>
    </row>
    <row r="32">
      <c r="A32" s="33">
        <f>IF(Data!A59="",#N/A,Data!A59)</f>
        <v/>
      </c>
      <c r="B32" s="34">
        <f>VLOOKUP(A32,Data!A:AX,MATCH($B$2,Data!$B$1:$AX$1,0),FALSE)</f>
        <v/>
      </c>
      <c r="C32" s="35">
        <f>(B32/B31)-1</f>
        <v/>
      </c>
      <c r="D32" s="35">
        <f>(Table143454[[#This Row],[USA]]-B20)/B20</f>
        <v/>
      </c>
      <c r="E32" s="35">
        <f>(Table143454[[#This Row],[USA]]-B20)/B20</f>
        <v/>
      </c>
      <c r="F32" s="34">
        <f>VLOOKUP(Table143454[[#This Row],[Date]],'Data Core CPI'!$A:$AX,MATCH($B$2,'Data Core CPI'!$B$1:$AX$1,0),FALSE)</f>
        <v/>
      </c>
      <c r="G32" s="35">
        <f>(F32/F31)-1</f>
        <v/>
      </c>
      <c r="H32" s="35">
        <f>((1+G32)^12)-1</f>
        <v/>
      </c>
      <c r="I32" s="35">
        <f>(Table143454[[#This Row],[Core CPI]]-F20)/F20</f>
        <v/>
      </c>
    </row>
    <row r="33">
      <c r="A33" s="33">
        <f>IF(Data!A60="",#N/A,Data!A60)</f>
        <v/>
      </c>
      <c r="B33" s="34">
        <f>VLOOKUP(A33,Data!A:AX,MATCH($B$2,Data!$B$1:$AX$1,0),FALSE)</f>
        <v/>
      </c>
      <c r="C33" s="35">
        <f>(B33/B32)-1</f>
        <v/>
      </c>
      <c r="D33" s="35">
        <f>(Table143454[[#This Row],[USA]]-B21)/B21</f>
        <v/>
      </c>
      <c r="E33" s="35">
        <f>(Table143454[[#This Row],[USA]]-B21)/B21</f>
        <v/>
      </c>
      <c r="F33" s="34">
        <f>VLOOKUP(Table143454[[#This Row],[Date]],'Data Core CPI'!$A:$AX,MATCH($B$2,'Data Core CPI'!$B$1:$AX$1,0),FALSE)</f>
        <v/>
      </c>
      <c r="G33" s="35">
        <f>(F33/F32)-1</f>
        <v/>
      </c>
      <c r="H33" s="35">
        <f>((1+G33)^12)-1</f>
        <v/>
      </c>
      <c r="I33" s="35">
        <f>(Table143454[[#This Row],[Core CPI]]-F21)/F21</f>
        <v/>
      </c>
    </row>
    <row r="34">
      <c r="A34" s="33">
        <f>IF(Data!A61="",#N/A,Data!A61)</f>
        <v/>
      </c>
      <c r="B34" s="34">
        <f>VLOOKUP(A34,Data!A:AX,MATCH($B$2,Data!$B$1:$AX$1,0),FALSE)</f>
        <v/>
      </c>
      <c r="C34" s="35">
        <f>(B34/B33)-1</f>
        <v/>
      </c>
      <c r="D34" s="35">
        <f>(Table143454[[#This Row],[USA]]-B22)/B22</f>
        <v/>
      </c>
      <c r="E34" s="35">
        <f>(Table143454[[#This Row],[USA]]-B22)/B22</f>
        <v/>
      </c>
      <c r="F34" s="34">
        <f>VLOOKUP(Table143454[[#This Row],[Date]],'Data Core CPI'!$A:$AX,MATCH($B$2,'Data Core CPI'!$B$1:$AX$1,0),FALSE)</f>
        <v/>
      </c>
      <c r="G34" s="35">
        <f>(F34/F33)-1</f>
        <v/>
      </c>
      <c r="H34" s="35">
        <f>((1+G34)^12)-1</f>
        <v/>
      </c>
      <c r="I34" s="35">
        <f>(Table143454[[#This Row],[Core CPI]]-F22)/F22</f>
        <v/>
      </c>
    </row>
    <row r="35">
      <c r="A35" s="33">
        <f>IF(Data!A62="",#N/A,Data!A62)</f>
        <v/>
      </c>
      <c r="B35" s="34">
        <f>VLOOKUP(A35,Data!A:AX,MATCH($B$2,Data!$B$1:$AX$1,0),FALSE)</f>
        <v/>
      </c>
      <c r="C35" s="35">
        <f>(B35/B34)-1</f>
        <v/>
      </c>
      <c r="D35" s="35">
        <f>(Table143454[[#This Row],[USA]]-B23)/B23</f>
        <v/>
      </c>
      <c r="E35" s="35">
        <f>(Table143454[[#This Row],[USA]]-B23)/B23</f>
        <v/>
      </c>
      <c r="F35" s="34">
        <f>VLOOKUP(Table143454[[#This Row],[Date]],'Data Core CPI'!$A:$AX,MATCH($B$2,'Data Core CPI'!$B$1:$AX$1,0),FALSE)</f>
        <v/>
      </c>
      <c r="G35" s="35">
        <f>(F35/F34)-1</f>
        <v/>
      </c>
      <c r="H35" s="35">
        <f>((1+G35)^12)-1</f>
        <v/>
      </c>
      <c r="I35" s="35">
        <f>(Table143454[[#This Row],[Core CPI]]-F23)/F23</f>
        <v/>
      </c>
    </row>
    <row r="36">
      <c r="A36" s="33">
        <f>IF(Data!A63="",#N/A,Data!A63)</f>
        <v/>
      </c>
      <c r="B36" s="34">
        <f>VLOOKUP(A36,Data!A:AX,MATCH($B$2,Data!$B$1:$AX$1,0),FALSE)</f>
        <v/>
      </c>
      <c r="C36" s="35">
        <f>(B36/B35)-1</f>
        <v/>
      </c>
      <c r="D36" s="35">
        <f>(Table143454[[#This Row],[USA]]-B24)/B24</f>
        <v/>
      </c>
      <c r="E36" s="35">
        <f>(Table143454[[#This Row],[USA]]-B24)/B24</f>
        <v/>
      </c>
      <c r="F36" s="34">
        <f>VLOOKUP(Table143454[[#This Row],[Date]],'Data Core CPI'!$A:$AX,MATCH($B$2,'Data Core CPI'!$B$1:$AX$1,0),FALSE)</f>
        <v/>
      </c>
      <c r="G36" s="35">
        <f>(F36/F35)-1</f>
        <v/>
      </c>
      <c r="H36" s="35">
        <f>((1+G36)^12)-1</f>
        <v/>
      </c>
      <c r="I36" s="35">
        <f>(Table143454[[#This Row],[Core CPI]]-F24)/F24</f>
        <v/>
      </c>
    </row>
    <row r="37">
      <c r="A37" s="33">
        <f>IF(Data!A64="",#N/A,Data!A64)</f>
        <v/>
      </c>
      <c r="B37" s="34">
        <f>VLOOKUP(A37,Data!A:AX,MATCH($B$2,Data!$B$1:$AX$1,0),FALSE)</f>
        <v/>
      </c>
      <c r="C37" s="35">
        <f>(B37/B36)-1</f>
        <v/>
      </c>
      <c r="D37" s="35">
        <f>(Table143454[[#This Row],[USA]]-B25)/B25</f>
        <v/>
      </c>
      <c r="E37" s="35">
        <f>(Table143454[[#This Row],[USA]]-B25)/B25</f>
        <v/>
      </c>
      <c r="F37" s="34">
        <f>VLOOKUP(Table143454[[#This Row],[Date]],'Data Core CPI'!$A:$AX,MATCH($B$2,'Data Core CPI'!$B$1:$AX$1,0),FALSE)</f>
        <v/>
      </c>
      <c r="G37" s="35">
        <f>(F37/F36)-1</f>
        <v/>
      </c>
      <c r="H37" s="35">
        <f>((1+G37)^12)-1</f>
        <v/>
      </c>
      <c r="I37" s="35">
        <f>(Table143454[[#This Row],[Core CPI]]-F25)/F25</f>
        <v/>
      </c>
    </row>
    <row r="38">
      <c r="A38" s="33">
        <f>IF(Data!A65="",#N/A,Data!A65)</f>
        <v/>
      </c>
      <c r="B38" s="34">
        <f>VLOOKUP(A38,Data!A:AX,MATCH($B$2,Data!$B$1:$AX$1,0),FALSE)</f>
        <v/>
      </c>
      <c r="C38" s="35">
        <f>(B38/B37)-1</f>
        <v/>
      </c>
      <c r="D38" s="35">
        <f>(Table143454[[#This Row],[USA]]-B26)/B26</f>
        <v/>
      </c>
      <c r="E38" s="35">
        <f>(Table143454[[#This Row],[USA]]-B26)/B26</f>
        <v/>
      </c>
      <c r="F38" s="34">
        <f>VLOOKUP(Table143454[[#This Row],[Date]],'Data Core CPI'!$A:$AX,MATCH($B$2,'Data Core CPI'!$B$1:$AX$1,0),FALSE)</f>
        <v/>
      </c>
      <c r="G38" s="35">
        <f>(F38/F37)-1</f>
        <v/>
      </c>
      <c r="H38" s="35">
        <f>((1+G38)^12)-1</f>
        <v/>
      </c>
      <c r="I38" s="35">
        <f>(Table143454[[#This Row],[Core CPI]]-F26)/F26</f>
        <v/>
      </c>
    </row>
    <row r="39">
      <c r="A39" s="33">
        <f>IF(Data!A66="",#N/A,Data!A66)</f>
        <v/>
      </c>
      <c r="B39" s="34">
        <f>VLOOKUP(A39,Data!A:AX,MATCH($B$2,Data!$B$1:$AX$1,0),FALSE)</f>
        <v/>
      </c>
      <c r="C39" s="35">
        <f>(B39/B38)-1</f>
        <v/>
      </c>
      <c r="D39" s="35">
        <f>(Table143454[[#This Row],[USA]]-B27)/B27</f>
        <v/>
      </c>
      <c r="E39" s="35">
        <f>(Table143454[[#This Row],[USA]]-B27)/B27</f>
        <v/>
      </c>
      <c r="F39" s="34">
        <f>VLOOKUP(Table143454[[#This Row],[Date]],'Data Core CPI'!$A:$AX,MATCH($B$2,'Data Core CPI'!$B$1:$AX$1,0),FALSE)</f>
        <v/>
      </c>
      <c r="G39" s="35">
        <f>(F39/F38)-1</f>
        <v/>
      </c>
      <c r="H39" s="35">
        <f>((1+G39)^12)-1</f>
        <v/>
      </c>
      <c r="I39" s="35">
        <f>(Table143454[[#This Row],[Core CPI]]-F27)/F27</f>
        <v/>
      </c>
    </row>
    <row r="40">
      <c r="A40" s="33">
        <f>IF(Data!A67="",#N/A,Data!A67)</f>
        <v/>
      </c>
      <c r="B40" s="34">
        <f>VLOOKUP(A40,Data!A:AX,MATCH($B$2,Data!$B$1:$AX$1,0),FALSE)</f>
        <v/>
      </c>
      <c r="C40" s="35">
        <f>(B40/B39)-1</f>
        <v/>
      </c>
      <c r="D40" s="35">
        <f>(Table143454[[#This Row],[USA]]-B28)/B28</f>
        <v/>
      </c>
      <c r="E40" s="35">
        <f>(Table143454[[#This Row],[USA]]-B28)/B28</f>
        <v/>
      </c>
      <c r="F40" s="34">
        <f>VLOOKUP(Table143454[[#This Row],[Date]],'Data Core CPI'!$A:$AX,MATCH($B$2,'Data Core CPI'!$B$1:$AX$1,0),FALSE)</f>
        <v/>
      </c>
      <c r="G40" s="35">
        <f>(F40/F39)-1</f>
        <v/>
      </c>
      <c r="H40" s="35">
        <f>((1+G40)^12)-1</f>
        <v/>
      </c>
      <c r="I40" s="35">
        <f>(Table143454[[#This Row],[Core CPI]]-F28)/F28</f>
        <v/>
      </c>
    </row>
    <row r="41">
      <c r="A41" s="33">
        <f>IF(Data!A68="",#N/A,Data!A68)</f>
        <v/>
      </c>
      <c r="B41" s="34">
        <f>VLOOKUP(A41,Data!A:AX,MATCH($B$2,Data!$B$1:$AX$1,0),FALSE)</f>
        <v/>
      </c>
      <c r="C41" s="35">
        <f>(B41/B40)-1</f>
        <v/>
      </c>
      <c r="D41" s="35">
        <f>(Table143454[[#This Row],[USA]]-B29)/B29</f>
        <v/>
      </c>
      <c r="E41" s="35">
        <f>(Table143454[[#This Row],[USA]]-B29)/B29</f>
        <v/>
      </c>
      <c r="F41" s="34">
        <f>VLOOKUP(Table143454[[#This Row],[Date]],'Data Core CPI'!$A:$AX,MATCH($B$2,'Data Core CPI'!$B$1:$AX$1,0),FALSE)</f>
        <v/>
      </c>
      <c r="G41" s="35">
        <f>(F41/F40)-1</f>
        <v/>
      </c>
      <c r="H41" s="35">
        <f>((1+G41)^12)-1</f>
        <v/>
      </c>
      <c r="I41" s="35">
        <f>(Table143454[[#This Row],[Core CPI]]-F29)/F29</f>
        <v/>
      </c>
    </row>
    <row r="42">
      <c r="A42" s="33">
        <f>IF(Data!A69="",#N/A,Data!A69)</f>
        <v/>
      </c>
      <c r="B42" s="34">
        <f>VLOOKUP(A42,Data!A:AX,MATCH($B$2,Data!$B$1:$AX$1,0),FALSE)</f>
        <v/>
      </c>
      <c r="C42" s="35">
        <f>(B42/B41)-1</f>
        <v/>
      </c>
      <c r="D42" s="35">
        <f>(Table143454[[#This Row],[USA]]-B30)/B30</f>
        <v/>
      </c>
      <c r="E42" s="35">
        <f>(Table143454[[#This Row],[USA]]-B30)/B30</f>
        <v/>
      </c>
      <c r="F42" s="34">
        <f>VLOOKUP(Table143454[[#This Row],[Date]],'Data Core CPI'!$A:$AX,MATCH($B$2,'Data Core CPI'!$B$1:$AX$1,0),FALSE)</f>
        <v/>
      </c>
      <c r="G42" s="35">
        <f>(F42/F41)-1</f>
        <v/>
      </c>
      <c r="H42" s="35">
        <f>((1+G42)^12)-1</f>
        <v/>
      </c>
      <c r="I42" s="35">
        <f>(Table143454[[#This Row],[Core CPI]]-F30)/F30</f>
        <v/>
      </c>
    </row>
    <row r="43">
      <c r="A43" s="33">
        <f>IF(Data!A70="",#N/A,Data!A70)</f>
        <v/>
      </c>
      <c r="B43" s="34">
        <f>VLOOKUP(A43,Data!A:AX,MATCH($B$2,Data!$B$1:$AX$1,0),FALSE)</f>
        <v/>
      </c>
      <c r="C43" s="35">
        <f>(B43/B42)-1</f>
        <v/>
      </c>
      <c r="D43" s="35">
        <f>(Table143454[[#This Row],[USA]]-B31)/B31</f>
        <v/>
      </c>
      <c r="E43" s="35">
        <f>(Table143454[[#This Row],[USA]]-B31)/B31</f>
        <v/>
      </c>
      <c r="F43" s="34">
        <f>VLOOKUP(Table143454[[#This Row],[Date]],'Data Core CPI'!$A:$AX,MATCH($B$2,'Data Core CPI'!$B$1:$AX$1,0),FALSE)</f>
        <v/>
      </c>
      <c r="G43" s="35">
        <f>(F43/F42)-1</f>
        <v/>
      </c>
      <c r="H43" s="35">
        <f>((1+G43)^12)-1</f>
        <v/>
      </c>
      <c r="I43" s="35">
        <f>(Table143454[[#This Row],[Core CPI]]-F31)/F31</f>
        <v/>
      </c>
    </row>
    <row r="44">
      <c r="A44" s="33">
        <f>IF(Data!A71="",#N/A,Data!A71)</f>
        <v/>
      </c>
      <c r="B44" s="34">
        <f>VLOOKUP(A44,Data!A:AX,MATCH($B$2,Data!$B$1:$AX$1,0),FALSE)</f>
        <v/>
      </c>
      <c r="C44" s="35">
        <f>(B44/B43)-1</f>
        <v/>
      </c>
      <c r="D44" s="35">
        <f>(Table143454[[#This Row],[USA]]-B32)/B32</f>
        <v/>
      </c>
      <c r="E44" s="35">
        <f>(Table143454[[#This Row],[USA]]-B32)/B32</f>
        <v/>
      </c>
      <c r="F44" s="34">
        <f>VLOOKUP(Table143454[[#This Row],[Date]],'Data Core CPI'!$A:$AX,MATCH($B$2,'Data Core CPI'!$B$1:$AX$1,0),FALSE)</f>
        <v/>
      </c>
      <c r="G44" s="35">
        <f>(F44/F43)-1</f>
        <v/>
      </c>
      <c r="H44" s="35">
        <f>((1+G44)^12)-1</f>
        <v/>
      </c>
      <c r="I44" s="35">
        <f>(Table143454[[#This Row],[Core CPI]]-F32)/F32</f>
        <v/>
      </c>
    </row>
    <row r="45">
      <c r="A45" s="33">
        <f>IF(Data!A72="",#N/A,Data!A72)</f>
        <v/>
      </c>
      <c r="B45" s="34">
        <f>VLOOKUP(A45,Data!A:AX,MATCH($B$2,Data!$B$1:$AX$1,0),FALSE)</f>
        <v/>
      </c>
      <c r="C45" s="35">
        <f>(B45/B44)-1</f>
        <v/>
      </c>
      <c r="D45" s="35">
        <f>(Table143454[[#This Row],[USA]]-B33)/B33</f>
        <v/>
      </c>
      <c r="E45" s="35">
        <f>(Table143454[[#This Row],[USA]]-B33)/B33</f>
        <v/>
      </c>
      <c r="F45" s="34">
        <f>VLOOKUP(Table143454[[#This Row],[Date]],'Data Core CPI'!$A:$AX,MATCH($B$2,'Data Core CPI'!$B$1:$AX$1,0),FALSE)</f>
        <v/>
      </c>
      <c r="G45" s="35">
        <f>(F45/F44)-1</f>
        <v/>
      </c>
      <c r="H45" s="35">
        <f>((1+G45)^12)-1</f>
        <v/>
      </c>
      <c r="I45" s="35">
        <f>(Table143454[[#This Row],[Core CPI]]-F33)/F33</f>
        <v/>
      </c>
    </row>
    <row r="46">
      <c r="A46" s="33">
        <f>IF(Data!A73="",#N/A,Data!A73)</f>
        <v/>
      </c>
      <c r="B46" s="34">
        <f>VLOOKUP(A46,Data!A:AX,MATCH($B$2,Data!$B$1:$AX$1,0),FALSE)</f>
        <v/>
      </c>
      <c r="C46" s="35">
        <f>(B46/B45)-1</f>
        <v/>
      </c>
      <c r="D46" s="35">
        <f>(Table143454[[#This Row],[USA]]-B34)/B34</f>
        <v/>
      </c>
      <c r="E46" s="35">
        <f>(Table143454[[#This Row],[USA]]-B34)/B34</f>
        <v/>
      </c>
      <c r="F46" s="34">
        <f>VLOOKUP(Table143454[[#This Row],[Date]],'Data Core CPI'!$A:$AX,MATCH($B$2,'Data Core CPI'!$B$1:$AX$1,0),FALSE)</f>
        <v/>
      </c>
      <c r="G46" s="35">
        <f>(F46/F45)-1</f>
        <v/>
      </c>
      <c r="H46" s="35">
        <f>((1+G46)^12)-1</f>
        <v/>
      </c>
      <c r="I46" s="35">
        <f>(Table143454[[#This Row],[Core CPI]]-F34)/F34</f>
        <v/>
      </c>
    </row>
    <row r="47">
      <c r="A47" s="33">
        <f>IF(Data!A74="",#N/A,Data!A74)</f>
        <v/>
      </c>
      <c r="B47" s="34">
        <f>VLOOKUP(A47,Data!A:AX,MATCH($B$2,Data!$B$1:$AX$1,0),FALSE)</f>
        <v/>
      </c>
      <c r="C47" s="35">
        <f>(B47/B46)-1</f>
        <v/>
      </c>
      <c r="D47" s="35">
        <f>(Table143454[[#This Row],[USA]]-B35)/B35</f>
        <v/>
      </c>
      <c r="E47" s="35">
        <f>(Table143454[[#This Row],[USA]]-B35)/B35</f>
        <v/>
      </c>
      <c r="F47" s="34">
        <f>VLOOKUP(Table143454[[#This Row],[Date]],'Data Core CPI'!$A:$AX,MATCH($B$2,'Data Core CPI'!$B$1:$AX$1,0),FALSE)</f>
        <v/>
      </c>
      <c r="G47" s="35">
        <f>(F47/F46)-1</f>
        <v/>
      </c>
      <c r="H47" s="35">
        <f>((1+G47)^12)-1</f>
        <v/>
      </c>
      <c r="I47" s="35">
        <f>(Table143454[[#This Row],[Core CPI]]-F35)/F35</f>
        <v/>
      </c>
    </row>
    <row r="48">
      <c r="A48" s="33">
        <f>IF(Data!A75="",#N/A,Data!A75)</f>
        <v/>
      </c>
      <c r="B48" s="34">
        <f>VLOOKUP(A48,Data!A:AX,MATCH($B$2,Data!$B$1:$AX$1,0),FALSE)</f>
        <v/>
      </c>
      <c r="C48" s="35">
        <f>(B48/B47)-1</f>
        <v/>
      </c>
      <c r="D48" s="35">
        <f>(Table143454[[#This Row],[USA]]-B36)/B36</f>
        <v/>
      </c>
      <c r="E48" s="35">
        <f>(Table143454[[#This Row],[USA]]-B36)/B36</f>
        <v/>
      </c>
      <c r="F48" s="34">
        <f>VLOOKUP(Table143454[[#This Row],[Date]],'Data Core CPI'!$A:$AX,MATCH($B$2,'Data Core CPI'!$B$1:$AX$1,0),FALSE)</f>
        <v/>
      </c>
      <c r="G48" s="35">
        <f>(F48/F47)-1</f>
        <v/>
      </c>
      <c r="H48" s="35">
        <f>((1+G48)^12)-1</f>
        <v/>
      </c>
      <c r="I48" s="35">
        <f>(Table143454[[#This Row],[Core CPI]]-F36)/F36</f>
        <v/>
      </c>
    </row>
    <row r="49">
      <c r="A49" s="33">
        <f>IF(Data!A76="",#N/A,Data!A76)</f>
        <v/>
      </c>
      <c r="B49" s="34">
        <f>VLOOKUP(A49,Data!A:AX,MATCH($B$2,Data!$B$1:$AX$1,0),FALSE)</f>
        <v/>
      </c>
      <c r="C49" s="35">
        <f>(B49/B48)-1</f>
        <v/>
      </c>
      <c r="D49" s="35">
        <f>(Table143454[[#This Row],[USA]]-B37)/B37</f>
        <v/>
      </c>
      <c r="E49" s="35">
        <f>(Table143454[[#This Row],[USA]]-B37)/B37</f>
        <v/>
      </c>
      <c r="F49" s="34">
        <f>VLOOKUP(Table143454[[#This Row],[Date]],'Data Core CPI'!$A:$AX,MATCH($B$2,'Data Core CPI'!$B$1:$AX$1,0),FALSE)</f>
        <v/>
      </c>
      <c r="G49" s="35">
        <f>(F49/F48)-1</f>
        <v/>
      </c>
      <c r="H49" s="35">
        <f>((1+G49)^12)-1</f>
        <v/>
      </c>
      <c r="I49" s="35">
        <f>(Table143454[[#This Row],[Core CPI]]-F37)/F37</f>
        <v/>
      </c>
    </row>
    <row r="50">
      <c r="A50" s="33">
        <f>IF(Data!A77="",#N/A,Data!A77)</f>
        <v/>
      </c>
      <c r="B50" s="34">
        <f>VLOOKUP(A50,Data!A:AX,MATCH($B$2,Data!$B$1:$AX$1,0),FALSE)</f>
        <v/>
      </c>
      <c r="C50" s="35">
        <f>(B50/B49)-1</f>
        <v/>
      </c>
      <c r="D50" s="35">
        <f>(Table143454[[#This Row],[USA]]-B38)/B38</f>
        <v/>
      </c>
      <c r="E50" s="35">
        <f>(Table143454[[#This Row],[USA]]-B38)/B38</f>
        <v/>
      </c>
      <c r="F50" s="34">
        <f>VLOOKUP(Table143454[[#This Row],[Date]],'Data Core CPI'!$A:$AX,MATCH($B$2,'Data Core CPI'!$B$1:$AX$1,0),FALSE)</f>
        <v/>
      </c>
      <c r="G50" s="35">
        <f>(F50/F49)-1</f>
        <v/>
      </c>
      <c r="H50" s="35">
        <f>((1+G50)^12)-1</f>
        <v/>
      </c>
      <c r="I50" s="35">
        <f>(Table143454[[#This Row],[Core CPI]]-F38)/F38</f>
        <v/>
      </c>
    </row>
    <row r="51">
      <c r="A51" s="33">
        <f>IF(Data!A78="",#N/A,Data!A78)</f>
        <v/>
      </c>
      <c r="B51" s="34">
        <f>VLOOKUP(A51,Data!A:AX,MATCH($B$2,Data!$B$1:$AX$1,0),FALSE)</f>
        <v/>
      </c>
      <c r="C51" s="35">
        <f>(B51/B50)-1</f>
        <v/>
      </c>
      <c r="D51" s="35">
        <f>(Table143454[[#This Row],[USA]]-B39)/B39</f>
        <v/>
      </c>
      <c r="E51" s="35">
        <f>(Table143454[[#This Row],[USA]]-B39)/B39</f>
        <v/>
      </c>
      <c r="F51" s="34">
        <f>VLOOKUP(Table143454[[#This Row],[Date]],'Data Core CPI'!$A:$AX,MATCH($B$2,'Data Core CPI'!$B$1:$AX$1,0),FALSE)</f>
        <v/>
      </c>
      <c r="G51" s="35">
        <f>(F51/F50)-1</f>
        <v/>
      </c>
      <c r="H51" s="35">
        <f>((1+G51)^12)-1</f>
        <v/>
      </c>
      <c r="I51" s="35">
        <f>(Table143454[[#This Row],[Core CPI]]-F39)/F39</f>
        <v/>
      </c>
    </row>
    <row r="52">
      <c r="A52" s="33">
        <f>IF(Data!A79="",#N/A,Data!A79)</f>
        <v/>
      </c>
      <c r="B52" s="34">
        <f>VLOOKUP(A52,Data!A:AX,MATCH($B$2,Data!$B$1:$AX$1,0),FALSE)</f>
        <v/>
      </c>
      <c r="C52" s="35">
        <f>(B52/B51)-1</f>
        <v/>
      </c>
      <c r="D52" s="35">
        <f>(Table143454[[#This Row],[USA]]-B40)/B40</f>
        <v/>
      </c>
      <c r="E52" s="35">
        <f>(Table143454[[#This Row],[USA]]-B40)/B40</f>
        <v/>
      </c>
      <c r="F52" s="34">
        <f>VLOOKUP(Table143454[[#This Row],[Date]],'Data Core CPI'!$A:$AX,MATCH($B$2,'Data Core CPI'!$B$1:$AX$1,0),FALSE)</f>
        <v/>
      </c>
      <c r="G52" s="35">
        <f>(F52/F51)-1</f>
        <v/>
      </c>
      <c r="H52" s="35">
        <f>((1+G52)^12)-1</f>
        <v/>
      </c>
      <c r="I52" s="35">
        <f>(Table143454[[#This Row],[Core CPI]]-F40)/F40</f>
        <v/>
      </c>
    </row>
    <row r="53">
      <c r="A53" s="33">
        <f>IF(Data!A80="",#N/A,Data!A80)</f>
        <v/>
      </c>
      <c r="B53" s="34">
        <f>VLOOKUP(A53,Data!A:AX,MATCH($B$2,Data!$B$1:$AX$1,0),FALSE)</f>
        <v/>
      </c>
      <c r="C53" s="35">
        <f>(B53/B52)-1</f>
        <v/>
      </c>
      <c r="D53" s="35">
        <f>(Table143454[[#This Row],[USA]]-B41)/B41</f>
        <v/>
      </c>
      <c r="E53" s="35">
        <f>(Table143454[[#This Row],[USA]]-B41)/B41</f>
        <v/>
      </c>
      <c r="F53" s="34">
        <f>VLOOKUP(Table143454[[#This Row],[Date]],'Data Core CPI'!$A:$AX,MATCH($B$2,'Data Core CPI'!$B$1:$AX$1,0),FALSE)</f>
        <v/>
      </c>
      <c r="G53" s="35">
        <f>(F53/F52)-1</f>
        <v/>
      </c>
      <c r="H53" s="35">
        <f>((1+G53)^12)-1</f>
        <v/>
      </c>
      <c r="I53" s="35">
        <f>(Table143454[[#This Row],[Core CPI]]-F41)/F41</f>
        <v/>
      </c>
    </row>
    <row r="54">
      <c r="A54" s="33">
        <f>IF(Data!A81="",#N/A,Data!A81)</f>
        <v/>
      </c>
      <c r="B54" s="34">
        <f>VLOOKUP(A54,Data!A:AX,MATCH($B$2,Data!$B$1:$AX$1,0),FALSE)</f>
        <v/>
      </c>
      <c r="C54" s="35">
        <f>(B54/B53)-1</f>
        <v/>
      </c>
      <c r="D54" s="35">
        <f>(Table143454[[#This Row],[USA]]-B42)/B42</f>
        <v/>
      </c>
      <c r="E54" s="35">
        <f>(Table143454[[#This Row],[USA]]-B42)/B42</f>
        <v/>
      </c>
      <c r="F54" s="34">
        <f>VLOOKUP(Table143454[[#This Row],[Date]],'Data Core CPI'!$A:$AX,MATCH($B$2,'Data Core CPI'!$B$1:$AX$1,0),FALSE)</f>
        <v/>
      </c>
      <c r="G54" s="35">
        <f>(F54/F53)-1</f>
        <v/>
      </c>
      <c r="H54" s="35">
        <f>((1+G54)^12)-1</f>
        <v/>
      </c>
      <c r="I54" s="35">
        <f>(Table143454[[#This Row],[Core CPI]]-F42)/F42</f>
        <v/>
      </c>
    </row>
    <row r="55">
      <c r="A55" s="33">
        <f>IF(Data!A82="",#N/A,Data!A82)</f>
        <v/>
      </c>
      <c r="B55" s="34">
        <f>VLOOKUP(A55,Data!A:AX,MATCH($B$2,Data!$B$1:$AX$1,0),FALSE)</f>
        <v/>
      </c>
      <c r="C55" s="35">
        <f>(B55/B54)-1</f>
        <v/>
      </c>
      <c r="D55" s="35">
        <f>(Table143454[[#This Row],[USA]]-B43)/B43</f>
        <v/>
      </c>
      <c r="E55" s="35">
        <f>(Table143454[[#This Row],[USA]]-B43)/B43</f>
        <v/>
      </c>
      <c r="F55" s="34">
        <f>VLOOKUP(Table143454[[#This Row],[Date]],'Data Core CPI'!$A:$AX,MATCH($B$2,'Data Core CPI'!$B$1:$AX$1,0),FALSE)</f>
        <v/>
      </c>
      <c r="G55" s="35">
        <f>(F55/F54)-1</f>
        <v/>
      </c>
      <c r="H55" s="35">
        <f>((1+G55)^12)-1</f>
        <v/>
      </c>
      <c r="I55" s="35">
        <f>(Table143454[[#This Row],[Core CPI]]-F43)/F43</f>
        <v/>
      </c>
    </row>
    <row r="56">
      <c r="A56" s="33">
        <f>IF(Data!A83="",#N/A,Data!A83)</f>
        <v/>
      </c>
      <c r="B56" s="34">
        <f>VLOOKUP(A56,Data!A:AX,MATCH($B$2,Data!$B$1:$AX$1,0),FALSE)</f>
        <v/>
      </c>
      <c r="C56" s="35">
        <f>(B56/B55)-1</f>
        <v/>
      </c>
      <c r="D56" s="35">
        <f>(Table143454[[#This Row],[USA]]-B44)/B44</f>
        <v/>
      </c>
      <c r="E56" s="35">
        <f>(Table143454[[#This Row],[USA]]-B44)/B44</f>
        <v/>
      </c>
      <c r="F56" s="34">
        <f>VLOOKUP(Table143454[[#This Row],[Date]],'Data Core CPI'!$A:$AX,MATCH($B$2,'Data Core CPI'!$B$1:$AX$1,0),FALSE)</f>
        <v/>
      </c>
      <c r="G56" s="35">
        <f>(F56/F55)-1</f>
        <v/>
      </c>
      <c r="H56" s="35">
        <f>((1+G56)^12)-1</f>
        <v/>
      </c>
      <c r="I56" s="35">
        <f>(Table143454[[#This Row],[Core CPI]]-F44)/F44</f>
        <v/>
      </c>
    </row>
    <row r="57">
      <c r="A57" s="33">
        <f>IF(Data!A84="",#N/A,Data!A84)</f>
        <v/>
      </c>
      <c r="B57" s="34">
        <f>VLOOKUP(A57,Data!A:AX,MATCH($B$2,Data!$B$1:$AX$1,0),FALSE)</f>
        <v/>
      </c>
      <c r="C57" s="35">
        <f>(B57/B56)-1</f>
        <v/>
      </c>
      <c r="D57" s="35">
        <f>(Table143454[[#This Row],[USA]]-B45)/B45</f>
        <v/>
      </c>
      <c r="E57" s="35">
        <f>(Table143454[[#This Row],[USA]]-B45)/B45</f>
        <v/>
      </c>
      <c r="F57" s="34">
        <f>VLOOKUP(Table143454[[#This Row],[Date]],'Data Core CPI'!$A:$AX,MATCH($B$2,'Data Core CPI'!$B$1:$AX$1,0),FALSE)</f>
        <v/>
      </c>
      <c r="G57" s="35">
        <f>(F57/F56)-1</f>
        <v/>
      </c>
      <c r="H57" s="35">
        <f>((1+G57)^12)-1</f>
        <v/>
      </c>
      <c r="I57" s="35">
        <f>(Table143454[[#This Row],[Core CPI]]-F45)/F45</f>
        <v/>
      </c>
    </row>
    <row r="58">
      <c r="A58" s="33">
        <f>IF(Data!A85="",#N/A,Data!A85)</f>
        <v/>
      </c>
      <c r="B58" s="34">
        <f>VLOOKUP(A58,Data!A:AX,MATCH($B$2,Data!$B$1:$AX$1,0),FALSE)</f>
        <v/>
      </c>
      <c r="C58" s="35">
        <f>(B58/B57)-1</f>
        <v/>
      </c>
      <c r="D58" s="35">
        <f>(Table143454[[#This Row],[USA]]-B46)/B46</f>
        <v/>
      </c>
      <c r="E58" s="35">
        <f>(Table143454[[#This Row],[USA]]-B46)/B46</f>
        <v/>
      </c>
      <c r="F58" s="34">
        <f>VLOOKUP(Table143454[[#This Row],[Date]],'Data Core CPI'!$A:$AX,MATCH($B$2,'Data Core CPI'!$B$1:$AX$1,0),FALSE)</f>
        <v/>
      </c>
      <c r="G58" s="35">
        <f>(F58/F57)-1</f>
        <v/>
      </c>
      <c r="H58" s="35">
        <f>((1+G58)^12)-1</f>
        <v/>
      </c>
      <c r="I58" s="35">
        <f>(Table143454[[#This Row],[Core CPI]]-F46)/F46</f>
        <v/>
      </c>
    </row>
    <row r="59">
      <c r="A59" s="33">
        <f>IF(Data!A86="",#N/A,Data!A86)</f>
        <v/>
      </c>
      <c r="B59" s="34">
        <f>VLOOKUP(A59,Data!A:AX,MATCH($B$2,Data!$B$1:$AX$1,0),FALSE)</f>
        <v/>
      </c>
      <c r="C59" s="35">
        <f>(B59/B58)-1</f>
        <v/>
      </c>
      <c r="D59" s="35">
        <f>((1+C59)^12)-1</f>
        <v/>
      </c>
      <c r="E59" s="35">
        <f>(Table143454[[#This Row],[USA]]-B47)/B47</f>
        <v/>
      </c>
      <c r="F59" s="34">
        <f>VLOOKUP(Table143454[[#This Row],[Date]],'Data Core CPI'!$A:$AX,MATCH($B$2,'Data Core CPI'!$B$1:$AX$1,0),FALSE)</f>
        <v/>
      </c>
      <c r="G59" s="35">
        <f>(F59/F58)-1</f>
        <v/>
      </c>
      <c r="H59" s="35">
        <f>((1+G59)^12)-1</f>
        <v/>
      </c>
      <c r="I59" s="35">
        <f>(Table143454[[#This Row],[Core CPI]]-F47)/F47</f>
        <v/>
      </c>
    </row>
    <row r="60">
      <c r="A60" s="33">
        <f>IF(Data!A87="",#N/A,Data!A87)</f>
        <v/>
      </c>
      <c r="B60" s="34">
        <f>VLOOKUP(A60,Data!A:AX,MATCH($B$2,Data!$B$1:$AX$1,0),FALSE)</f>
        <v/>
      </c>
      <c r="C60" s="35">
        <f>(B60/B59)-1</f>
        <v/>
      </c>
      <c r="D60" s="35">
        <f>((1+C60)^12)-1</f>
        <v/>
      </c>
      <c r="E60" s="35">
        <f>(Table143454[[#This Row],[USA]]-B48)/B48</f>
        <v/>
      </c>
      <c r="F60" s="34">
        <f>VLOOKUP(Table143454[[#This Row],[Date]],'Data Core CPI'!$A:$AX,MATCH($B$2,'Data Core CPI'!$B$1:$AX$1,0),FALSE)</f>
        <v/>
      </c>
      <c r="G60" s="35">
        <f>(F60/F59)-1</f>
        <v/>
      </c>
      <c r="H60" s="35">
        <f>((1+G60)^12)-1</f>
        <v/>
      </c>
      <c r="I60" s="35">
        <f>(Table143454[[#This Row],[Core CPI]]-F48)/F48</f>
        <v/>
      </c>
    </row>
    <row r="61">
      <c r="A61" s="33">
        <f>IF(Data!A88="",#N/A,Data!A88)</f>
        <v/>
      </c>
      <c r="B61" s="34">
        <f>VLOOKUP(A61,Data!A:AX,MATCH($B$2,Data!$B$1:$AX$1,0),FALSE)</f>
        <v/>
      </c>
      <c r="C61" s="35">
        <f>(B61/B60)-1</f>
        <v/>
      </c>
      <c r="D61" s="35">
        <f>((1+C61)^12)-1</f>
        <v/>
      </c>
      <c r="E61" s="35">
        <f>(Table143454[[#This Row],[USA]]-B49)/B49</f>
        <v/>
      </c>
      <c r="F61" s="34">
        <f>VLOOKUP(Table143454[[#This Row],[Date]],'Data Core CPI'!$A:$AX,MATCH($B$2,'Data Core CPI'!$B$1:$AX$1,0),FALSE)</f>
        <v/>
      </c>
      <c r="G61" s="35">
        <f>(F61/F60)-1</f>
        <v/>
      </c>
      <c r="H61" s="35">
        <f>((1+G61)^12)-1</f>
        <v/>
      </c>
      <c r="I61" s="35">
        <f>(Table143454[[#This Row],[Core CPI]]-F49)/F49</f>
        <v/>
      </c>
    </row>
    <row r="62">
      <c r="A62" s="33">
        <f>IF(Data!A89="",#N/A,Data!A89)</f>
        <v/>
      </c>
      <c r="B62" s="34">
        <f>VLOOKUP(A62,Data!A:AX,MATCH($B$2,Data!$B$1:$AX$1,0),FALSE)</f>
        <v/>
      </c>
      <c r="C62" s="35">
        <f>(B62/B61)-1</f>
        <v/>
      </c>
      <c r="D62" s="35">
        <f>((1+C62)^12)-1</f>
        <v/>
      </c>
      <c r="E62" s="35">
        <f>(Table143454[[#This Row],[USA]]-B50)/B50</f>
        <v/>
      </c>
      <c r="F62" s="34">
        <f>VLOOKUP(Table143454[[#This Row],[Date]],'Data Core CPI'!$A:$AX,MATCH($B$2,'Data Core CPI'!$B$1:$AX$1,0),FALSE)</f>
        <v/>
      </c>
      <c r="G62" s="35">
        <f>(F62/F61)-1</f>
        <v/>
      </c>
      <c r="H62" s="35">
        <f>((1+G62)^12)-1</f>
        <v/>
      </c>
      <c r="I62" s="35">
        <f>(Table143454[[#This Row],[Core CPI]]-F50)/F50</f>
        <v/>
      </c>
    </row>
    <row r="63">
      <c r="A63" s="33">
        <f>IF(Data!A90="",#N/A,Data!A90)</f>
        <v/>
      </c>
      <c r="B63" s="34">
        <f>VLOOKUP(A63,Data!A:AX,MATCH($B$2,Data!$B$1:$AX$1,0),FALSE)</f>
        <v/>
      </c>
      <c r="C63" s="35">
        <f>(B63/B62)-1</f>
        <v/>
      </c>
      <c r="D63" s="35">
        <f>((1+C63)^12)-1</f>
        <v/>
      </c>
      <c r="E63" s="35">
        <f>(Table143454[[#This Row],[USA]]-B51)/B51</f>
        <v/>
      </c>
      <c r="F63" s="34">
        <f>VLOOKUP(Table143454[[#This Row],[Date]],'Data Core CPI'!$A:$AX,MATCH($B$2,'Data Core CPI'!$B$1:$AX$1,0),FALSE)</f>
        <v/>
      </c>
      <c r="G63" s="35">
        <f>(F63/F62)-1</f>
        <v/>
      </c>
      <c r="H63" s="35">
        <f>((1+G63)^12)-1</f>
        <v/>
      </c>
      <c r="I63" s="35">
        <f>(Table143454[[#This Row],[Core CPI]]-F51)/F51</f>
        <v/>
      </c>
    </row>
    <row r="64">
      <c r="A64" s="33">
        <f>IF(Data!A91="",#N/A,Data!A91)</f>
        <v/>
      </c>
      <c r="B64" s="34">
        <f>VLOOKUP(A64,Data!A:AX,MATCH($B$2,Data!$B$1:$AX$1,0),FALSE)</f>
        <v/>
      </c>
      <c r="C64" s="35">
        <f>(B64/B63)-1</f>
        <v/>
      </c>
      <c r="D64" s="35">
        <f>((1+C64)^12)-1</f>
        <v/>
      </c>
      <c r="E64" s="35">
        <f>(Table143454[[#This Row],[USA]]-B52)/B52</f>
        <v/>
      </c>
      <c r="F64" s="34">
        <f>VLOOKUP(Table143454[[#This Row],[Date]],'Data Core CPI'!$A:$AX,MATCH($B$2,'Data Core CPI'!$B$1:$AX$1,0),FALSE)</f>
        <v/>
      </c>
      <c r="G64" s="35">
        <f>(F64/F63)-1</f>
        <v/>
      </c>
      <c r="H64" s="35">
        <f>((1+G64)^12)-1</f>
        <v/>
      </c>
      <c r="I64" s="35">
        <f>(Table143454[[#This Row],[Core CPI]]-F52)/F52</f>
        <v/>
      </c>
    </row>
    <row r="65">
      <c r="A65" s="33">
        <f>IF(Data!A92="",#N/A,Data!A92)</f>
        <v/>
      </c>
      <c r="B65" s="34">
        <f>VLOOKUP(A65,Data!A:AX,MATCH($B$2,Data!$B$1:$AX$1,0),FALSE)</f>
        <v/>
      </c>
      <c r="C65" s="35">
        <f>(B65/B64)-1</f>
        <v/>
      </c>
      <c r="D65" s="35">
        <f>((1+C65)^12)-1</f>
        <v/>
      </c>
      <c r="E65" s="35">
        <f>(Table143454[[#This Row],[USA]]-B53)/B53</f>
        <v/>
      </c>
      <c r="F65" s="34">
        <f>VLOOKUP(Table143454[[#This Row],[Date]],'Data Core CPI'!$A:$AX,MATCH($B$2,'Data Core CPI'!$B$1:$AX$1,0),FALSE)</f>
        <v/>
      </c>
      <c r="G65" s="35">
        <f>(F65/F64)-1</f>
        <v/>
      </c>
      <c r="H65" s="35">
        <f>((1+G65)^12)-1</f>
        <v/>
      </c>
      <c r="I65" s="35">
        <f>(Table143454[[#This Row],[Core CPI]]-F53)/F53</f>
        <v/>
      </c>
    </row>
    <row r="66">
      <c r="A66" s="33">
        <f>IF(Data!A93="",#N/A,Data!A93)</f>
        <v/>
      </c>
      <c r="B66" s="34">
        <f>VLOOKUP(A66,Data!A:AX,MATCH($B$2,Data!$B$1:$AX$1,0),FALSE)</f>
        <v/>
      </c>
      <c r="C66" s="35">
        <f>(B66/B65)-1</f>
        <v/>
      </c>
      <c r="D66" s="35">
        <f>((1+C66)^12)-1</f>
        <v/>
      </c>
      <c r="E66" s="35">
        <f>(Table143454[[#This Row],[USA]]-B54)/B54</f>
        <v/>
      </c>
      <c r="F66" s="34">
        <f>VLOOKUP(Table143454[[#This Row],[Date]],'Data Core CPI'!$A:$AX,MATCH($B$2,'Data Core CPI'!$B$1:$AX$1,0),FALSE)</f>
        <v/>
      </c>
      <c r="G66" s="35">
        <f>(F66/F65)-1</f>
        <v/>
      </c>
      <c r="H66" s="35">
        <f>((1+G66)^12)-1</f>
        <v/>
      </c>
      <c r="I66" s="35">
        <f>(Table143454[[#This Row],[Core CPI]]-F54)/F54</f>
        <v/>
      </c>
    </row>
    <row r="67">
      <c r="A67" s="33">
        <f>IF(Data!A94="",#N/A,Data!A94)</f>
        <v/>
      </c>
      <c r="B67" s="34">
        <f>VLOOKUP(A67,Data!A:AX,MATCH($B$2,Data!$B$1:$AX$1,0),FALSE)</f>
        <v/>
      </c>
      <c r="C67" s="35">
        <f>(B67/B66)-1</f>
        <v/>
      </c>
      <c r="D67" s="35">
        <f>((1+C67)^12)-1</f>
        <v/>
      </c>
      <c r="E67" s="35">
        <f>(Table143454[[#This Row],[USA]]-B55)/B55</f>
        <v/>
      </c>
      <c r="F67" s="34">
        <f>VLOOKUP(Table143454[[#This Row],[Date]],'Data Core CPI'!$A:$AX,MATCH($B$2,'Data Core CPI'!$B$1:$AX$1,0),FALSE)</f>
        <v/>
      </c>
      <c r="G67" s="35">
        <f>(F67/F66)-1</f>
        <v/>
      </c>
      <c r="H67" s="35">
        <f>((1+G67)^12)-1</f>
        <v/>
      </c>
      <c r="I67" s="35">
        <f>(Table143454[[#This Row],[Core CPI]]-F55)/F55</f>
        <v/>
      </c>
    </row>
    <row r="68">
      <c r="A68" s="33">
        <f>IF(Data!A95="",#N/A,Data!A95)</f>
        <v/>
      </c>
      <c r="B68" s="34">
        <f>VLOOKUP(A68,Data!A:AX,MATCH($B$2,Data!$B$1:$AX$1,0),FALSE)</f>
        <v/>
      </c>
      <c r="C68" s="35">
        <f>(B68/B67)-1</f>
        <v/>
      </c>
      <c r="D68" s="35">
        <f>((1+C68)^12)-1</f>
        <v/>
      </c>
      <c r="E68" s="35">
        <f>(Table143454[[#This Row],[USA]]-B56)/B56</f>
        <v/>
      </c>
      <c r="F68" s="34">
        <f>VLOOKUP(Table143454[[#This Row],[Date]],'Data Core CPI'!$A:$AX,MATCH($B$2,'Data Core CPI'!$B$1:$AX$1,0),FALSE)</f>
        <v/>
      </c>
      <c r="G68" s="35">
        <f>(F68/F67)-1</f>
        <v/>
      </c>
      <c r="H68" s="35">
        <f>((1+G68)^12)-1</f>
        <v/>
      </c>
      <c r="I68" s="35">
        <f>(Table143454[[#This Row],[Core CPI]]-F56)/F56</f>
        <v/>
      </c>
    </row>
    <row r="69">
      <c r="A69" s="33">
        <f>IF(Data!A96="",#N/A,Data!A96)</f>
        <v/>
      </c>
      <c r="B69" s="34">
        <f>VLOOKUP(A69,Data!A:AX,MATCH($B$2,Data!$B$1:$AX$1,0),FALSE)</f>
        <v/>
      </c>
      <c r="C69" s="35">
        <f>(B69/B68)-1</f>
        <v/>
      </c>
      <c r="D69" s="35">
        <f>((1+C69)^12)-1</f>
        <v/>
      </c>
      <c r="E69" s="35">
        <f>(Table143454[[#This Row],[USA]]-B57)/B57</f>
        <v/>
      </c>
      <c r="F69" s="34">
        <f>VLOOKUP(Table143454[[#This Row],[Date]],'Data Core CPI'!$A:$AX,MATCH($B$2,'Data Core CPI'!$B$1:$AX$1,0),FALSE)</f>
        <v/>
      </c>
      <c r="G69" s="35">
        <f>(F69/F68)-1</f>
        <v/>
      </c>
      <c r="H69" s="35">
        <f>((1+G69)^12)-1</f>
        <v/>
      </c>
      <c r="I69" s="35">
        <f>(Table143454[[#This Row],[Core CPI]]-F57)/F57</f>
        <v/>
      </c>
    </row>
    <row r="70">
      <c r="A70" s="33">
        <f>IF(Data!A97="",#N/A,Data!A97)</f>
        <v/>
      </c>
      <c r="B70" s="34">
        <f>VLOOKUP(A70,Data!A:AX,MATCH($B$2,Data!$B$1:$AX$1,0),FALSE)</f>
        <v/>
      </c>
      <c r="C70" s="35">
        <f>(B70/B69)-1</f>
        <v/>
      </c>
      <c r="D70" s="35">
        <f>((1+C70)^12)-1</f>
        <v/>
      </c>
      <c r="E70" s="35">
        <f>(Table143454[[#This Row],[USA]]-B58)/B58</f>
        <v/>
      </c>
      <c r="F70" s="34">
        <f>VLOOKUP(Table143454[[#This Row],[Date]],'Data Core CPI'!$A:$AX,MATCH($B$2,'Data Core CPI'!$B$1:$AX$1,0),FALSE)</f>
        <v/>
      </c>
      <c r="G70" s="35">
        <f>(F70/F69)-1</f>
        <v/>
      </c>
      <c r="H70" s="35">
        <f>((1+G70)^12)-1</f>
        <v/>
      </c>
      <c r="I70" s="35">
        <f>(Table143454[[#This Row],[Core CPI]]-F58)/F58</f>
        <v/>
      </c>
    </row>
    <row r="71">
      <c r="A71" s="33">
        <f>IF(Data!A98="",#N/A,Data!A98)</f>
        <v/>
      </c>
      <c r="B71" s="34">
        <f>VLOOKUP(A71,Data!A:AX,MATCH($B$2,Data!$B$1:$AX$1,0),FALSE)</f>
        <v/>
      </c>
      <c r="C71" s="35">
        <f>(B71/B70)-1</f>
        <v/>
      </c>
      <c r="D71" s="35">
        <f>((1+C71)^12)-1</f>
        <v/>
      </c>
      <c r="E71" s="35">
        <f>(Table143454[[#This Row],[USA]]-B59)/B59</f>
        <v/>
      </c>
      <c r="F71" s="34">
        <f>VLOOKUP(Table143454[[#This Row],[Date]],'Data Core CPI'!$A:$AX,MATCH($B$2,'Data Core CPI'!$B$1:$AX$1,0),FALSE)</f>
        <v/>
      </c>
      <c r="G71" s="35">
        <f>(F71/F70)-1</f>
        <v/>
      </c>
      <c r="H71" s="35">
        <f>((1+G71)^12)-1</f>
        <v/>
      </c>
      <c r="I71" s="35">
        <f>(Table143454[[#This Row],[Core CPI]]-F59)/F59</f>
        <v/>
      </c>
    </row>
    <row r="72">
      <c r="A72" s="33">
        <f>IF(Data!A99="",#N/A,Data!A99)</f>
        <v/>
      </c>
      <c r="B72" s="34">
        <f>VLOOKUP(A72,Data!A:AX,MATCH($B$2,Data!$B$1:$AX$1,0),FALSE)</f>
        <v/>
      </c>
      <c r="C72" s="35">
        <f>(B72/B71)-1</f>
        <v/>
      </c>
      <c r="D72" s="35">
        <f>((1+C72)^12)-1</f>
        <v/>
      </c>
      <c r="E72" s="35">
        <f>(Table143454[[#This Row],[USA]]-B60)/B60</f>
        <v/>
      </c>
      <c r="F72" s="34">
        <f>VLOOKUP(Table143454[[#This Row],[Date]],'Data Core CPI'!$A:$AX,MATCH($B$2,'Data Core CPI'!$B$1:$AX$1,0),FALSE)</f>
        <v/>
      </c>
      <c r="G72" s="35">
        <f>(F72/F71)-1</f>
        <v/>
      </c>
      <c r="H72" s="35">
        <f>((1+G72)^12)-1</f>
        <v/>
      </c>
      <c r="I72" s="35">
        <f>(Table143454[[#This Row],[Core CPI]]-F60)/F60</f>
        <v/>
      </c>
    </row>
    <row r="73">
      <c r="A73" s="33">
        <f>IF(Data!A100="",#N/A,Data!A100)</f>
        <v/>
      </c>
      <c r="B73" s="34">
        <f>VLOOKUP(A73,Data!A:AX,MATCH($B$2,Data!$B$1:$AX$1,0),FALSE)</f>
        <v/>
      </c>
      <c r="C73" s="35">
        <f>(B73/B72)-1</f>
        <v/>
      </c>
      <c r="D73" s="35">
        <f>((1+C73)^12)-1</f>
        <v/>
      </c>
      <c r="E73" s="35">
        <f>(Table143454[[#This Row],[USA]]-B61)/B61</f>
        <v/>
      </c>
      <c r="F73" s="34">
        <f>VLOOKUP(Table143454[[#This Row],[Date]],'Data Core CPI'!$A:$AX,MATCH($B$2,'Data Core CPI'!$B$1:$AX$1,0),FALSE)</f>
        <v/>
      </c>
      <c r="G73" s="35">
        <f>(F73/F72)-1</f>
        <v/>
      </c>
      <c r="H73" s="35">
        <f>((1+G73)^12)-1</f>
        <v/>
      </c>
      <c r="I73" s="35">
        <f>(Table143454[[#This Row],[Core CPI]]-F61)/F61</f>
        <v/>
      </c>
    </row>
    <row r="74">
      <c r="A74" s="33">
        <f>IF(Data!A101="",#N/A,Data!A101)</f>
        <v/>
      </c>
      <c r="B74" s="34">
        <f>VLOOKUP(A74,Data!A:AX,MATCH($B$2,Data!$B$1:$AX$1,0),FALSE)</f>
        <v/>
      </c>
      <c r="C74" s="35">
        <f>(B74/B73)-1</f>
        <v/>
      </c>
      <c r="D74" s="35">
        <f>((1+C74)^12)-1</f>
        <v/>
      </c>
      <c r="E74" s="35">
        <f>(Table143454[[#This Row],[USA]]-B62)/B62</f>
        <v/>
      </c>
      <c r="F74" s="34">
        <f>VLOOKUP(Table143454[[#This Row],[Date]],'Data Core CPI'!$A:$AX,MATCH($B$2,'Data Core CPI'!$B$1:$AX$1,0),FALSE)</f>
        <v/>
      </c>
      <c r="G74" s="35">
        <f>(F74/F73)-1</f>
        <v/>
      </c>
      <c r="H74" s="35">
        <f>((1+G74)^12)-1</f>
        <v/>
      </c>
      <c r="I74" s="35">
        <f>(Table143454[[#This Row],[Core CPI]]-F62)/F62</f>
        <v/>
      </c>
    </row>
    <row r="75">
      <c r="A75" s="33">
        <f>IF(Data!A102="",#N/A,Data!A102)</f>
        <v/>
      </c>
      <c r="B75" s="34">
        <f>VLOOKUP(A75,Data!A:AX,MATCH($B$2,Data!$B$1:$AX$1,0),FALSE)</f>
        <v/>
      </c>
      <c r="C75" s="35">
        <f>(B75/B74)-1</f>
        <v/>
      </c>
      <c r="D75" s="35">
        <f>((1+C75)^12)-1</f>
        <v/>
      </c>
      <c r="E75" s="35">
        <f>(Table143454[[#This Row],[USA]]-B63)/B63</f>
        <v/>
      </c>
      <c r="F75" s="34">
        <f>VLOOKUP(Table143454[[#This Row],[Date]],'Data Core CPI'!$A:$AX,MATCH($B$2,'Data Core CPI'!$B$1:$AX$1,0),FALSE)</f>
        <v/>
      </c>
      <c r="G75" s="35">
        <f>(F75/F74)-1</f>
        <v/>
      </c>
      <c r="H75" s="35">
        <f>((1+G75)^12)-1</f>
        <v/>
      </c>
      <c r="I75" s="35">
        <f>(Table143454[[#This Row],[Core CPI]]-F63)/F63</f>
        <v/>
      </c>
    </row>
    <row r="76">
      <c r="A76" s="33">
        <f>IF(Data!A103="",#N/A,Data!A103)</f>
        <v/>
      </c>
      <c r="B76" s="34">
        <f>VLOOKUP(A76,Data!A:AX,MATCH($B$2,Data!$B$1:$AX$1,0),FALSE)</f>
        <v/>
      </c>
      <c r="C76" s="35">
        <f>(B76/B75)-1</f>
        <v/>
      </c>
      <c r="D76" s="35">
        <f>((1+C76)^12)-1</f>
        <v/>
      </c>
      <c r="E76" s="35">
        <f>(Table143454[[#This Row],[USA]]-B64)/B64</f>
        <v/>
      </c>
      <c r="F76" s="34">
        <f>VLOOKUP(Table143454[[#This Row],[Date]],'Data Core CPI'!$A:$AX,MATCH($B$2,'Data Core CPI'!$B$1:$AX$1,0),FALSE)</f>
        <v/>
      </c>
      <c r="G76" s="35">
        <f>(F76/F75)-1</f>
        <v/>
      </c>
      <c r="H76" s="35">
        <f>((1+G76)^12)-1</f>
        <v/>
      </c>
      <c r="I76" s="35">
        <f>(Table143454[[#This Row],[Core CPI]]-F64)/F64</f>
        <v/>
      </c>
    </row>
    <row r="77">
      <c r="A77" s="33">
        <f>IF(Data!A104="",#N/A,Data!A104)</f>
        <v/>
      </c>
      <c r="B77" s="34">
        <f>VLOOKUP(A77,Data!A:AX,MATCH($B$2,Data!$B$1:$AX$1,0),FALSE)</f>
        <v/>
      </c>
      <c r="C77" s="35">
        <f>(B77/B76)-1</f>
        <v/>
      </c>
      <c r="D77" s="35">
        <f>((1+C77)^12)-1</f>
        <v/>
      </c>
      <c r="E77" s="35">
        <f>(Table143454[[#This Row],[USA]]-B65)/B65</f>
        <v/>
      </c>
      <c r="F77" s="34">
        <f>VLOOKUP(Table143454[[#This Row],[Date]],'Data Core CPI'!$A:$AX,MATCH($B$2,'Data Core CPI'!$B$1:$AX$1,0),FALSE)</f>
        <v/>
      </c>
      <c r="G77" s="35">
        <f>(F77/F76)-1</f>
        <v/>
      </c>
      <c r="H77" s="35">
        <f>((1+G77)^12)-1</f>
        <v/>
      </c>
      <c r="I77" s="35">
        <f>(Table143454[[#This Row],[Core CPI]]-F65)/F65</f>
        <v/>
      </c>
    </row>
    <row r="78">
      <c r="A78" s="33">
        <f>IF(Data!A105="",#N/A,Data!A105)</f>
        <v/>
      </c>
      <c r="B78" s="34">
        <f>VLOOKUP(A78,Data!A:AX,MATCH($B$2,Data!$B$1:$AX$1,0),FALSE)</f>
        <v/>
      </c>
      <c r="C78" s="35">
        <f>(B78/B77)-1</f>
        <v/>
      </c>
      <c r="D78" s="35">
        <f>((1+C78)^12)-1</f>
        <v/>
      </c>
      <c r="E78" s="35">
        <f>(Table143454[[#This Row],[USA]]-B66)/B66</f>
        <v/>
      </c>
      <c r="F78" s="34">
        <f>VLOOKUP(Table143454[[#This Row],[Date]],'Data Core CPI'!$A:$AX,MATCH($B$2,'Data Core CPI'!$B$1:$AX$1,0),FALSE)</f>
        <v/>
      </c>
      <c r="G78" s="35">
        <f>(F78/F77)-1</f>
        <v/>
      </c>
      <c r="H78" s="35">
        <f>((1+G78)^12)-1</f>
        <v/>
      </c>
      <c r="I78" s="35">
        <f>(Table143454[[#This Row],[Core CPI]]-F66)/F66</f>
        <v/>
      </c>
    </row>
    <row r="79">
      <c r="A79" s="33">
        <f>IF(Data!A106="",#N/A,Data!A106)</f>
        <v/>
      </c>
      <c r="B79" s="34">
        <f>VLOOKUP(A79,Data!A:AX,MATCH($B$2,Data!$B$1:$AX$1,0),FALSE)</f>
        <v/>
      </c>
      <c r="C79" s="35">
        <f>(B79/B78)-1</f>
        <v/>
      </c>
      <c r="D79" s="35">
        <f>((1+C79)^12)-1</f>
        <v/>
      </c>
      <c r="E79" s="35">
        <f>(Table143454[[#This Row],[USA]]-B67)/B67</f>
        <v/>
      </c>
      <c r="F79" s="34">
        <f>VLOOKUP(Table143454[[#This Row],[Date]],'Data Core CPI'!$A:$AX,MATCH($B$2,'Data Core CPI'!$B$1:$AX$1,0),FALSE)</f>
        <v/>
      </c>
      <c r="G79" s="35">
        <f>(F79/F78)-1</f>
        <v/>
      </c>
      <c r="H79" s="35">
        <f>((1+G79)^12)-1</f>
        <v/>
      </c>
      <c r="I79" s="35">
        <f>(Table143454[[#This Row],[Core CPI]]-F67)/F67</f>
        <v/>
      </c>
    </row>
    <row r="80">
      <c r="A80" s="33">
        <f>IF(Data!A107="",#N/A,Data!A107)</f>
        <v/>
      </c>
      <c r="B80" s="34">
        <f>VLOOKUP(A80,Data!A:AX,MATCH($B$2,Data!$B$1:$AX$1,0),FALSE)</f>
        <v/>
      </c>
      <c r="C80" s="35">
        <f>(B80/B79)-1</f>
        <v/>
      </c>
      <c r="D80" s="35">
        <f>((1+C80)^12)-1</f>
        <v/>
      </c>
      <c r="E80" s="35">
        <f>(Table143454[[#This Row],[USA]]-B68)/B68</f>
        <v/>
      </c>
      <c r="F80" s="34">
        <f>VLOOKUP(Table143454[[#This Row],[Date]],'Data Core CPI'!$A:$AX,MATCH($B$2,'Data Core CPI'!$B$1:$AX$1,0),FALSE)</f>
        <v/>
      </c>
      <c r="G80" s="35">
        <f>(F80/F79)-1</f>
        <v/>
      </c>
      <c r="H80" s="35">
        <f>((1+G80)^12)-1</f>
        <v/>
      </c>
      <c r="I80" s="35">
        <f>(Table143454[[#This Row],[Core CPI]]-F68)/F68</f>
        <v/>
      </c>
    </row>
    <row r="81">
      <c r="A81" s="33">
        <f>IF(Data!A108="",#N/A,Data!A108)</f>
        <v/>
      </c>
      <c r="B81" s="34">
        <f>VLOOKUP(A81,Data!A:AX,MATCH($B$2,Data!$B$1:$AX$1,0),FALSE)</f>
        <v/>
      </c>
      <c r="C81" s="35">
        <f>(B81/B80)-1</f>
        <v/>
      </c>
      <c r="D81" s="35">
        <f>((1+C81)^12)-1</f>
        <v/>
      </c>
      <c r="E81" s="35">
        <f>(Table143454[[#This Row],[USA]]-B69)/B69</f>
        <v/>
      </c>
      <c r="F81" s="34">
        <f>VLOOKUP(Table143454[[#This Row],[Date]],'Data Core CPI'!$A:$AX,MATCH($B$2,'Data Core CPI'!$B$1:$AX$1,0),FALSE)</f>
        <v/>
      </c>
      <c r="G81" s="35">
        <f>(F81/F80)-1</f>
        <v/>
      </c>
      <c r="H81" s="35">
        <f>((1+G81)^12)-1</f>
        <v/>
      </c>
      <c r="I81" s="35">
        <f>(Table143454[[#This Row],[Core CPI]]-F69)/F69</f>
        <v/>
      </c>
    </row>
    <row r="82">
      <c r="A82" s="33">
        <f>IF(Data!A109="",#N/A,Data!A109)</f>
        <v/>
      </c>
      <c r="B82" s="34">
        <f>VLOOKUP(A82,Data!A:AX,MATCH($B$2,Data!$B$1:$AX$1,0),FALSE)</f>
        <v/>
      </c>
      <c r="C82" s="35">
        <f>(B82/B81)-1</f>
        <v/>
      </c>
      <c r="D82" s="35">
        <f>((1+C82)^12)-1</f>
        <v/>
      </c>
      <c r="E82" s="35">
        <f>(Table143454[[#This Row],[USA]]-B70)/B70</f>
        <v/>
      </c>
      <c r="F82" s="34">
        <f>VLOOKUP(Table143454[[#This Row],[Date]],'Data Core CPI'!$A:$AX,MATCH($B$2,'Data Core CPI'!$B$1:$AX$1,0),FALSE)</f>
        <v/>
      </c>
      <c r="G82" s="35">
        <f>(F82/F81)-1</f>
        <v/>
      </c>
      <c r="H82" s="35">
        <f>((1+G82)^12)-1</f>
        <v/>
      </c>
      <c r="I82" s="35">
        <f>(Table143454[[#This Row],[Core CPI]]-F70)/F70</f>
        <v/>
      </c>
    </row>
    <row r="83">
      <c r="A83" s="33">
        <f>IF(Data!A110="",#N/A,Data!A110)</f>
        <v/>
      </c>
      <c r="B83" s="34">
        <f>VLOOKUP(A83,Data!A:AX,MATCH($B$2,Data!$B$1:$AX$1,0),FALSE)</f>
        <v/>
      </c>
      <c r="C83" s="35">
        <f>(B83/B82)-1</f>
        <v/>
      </c>
      <c r="D83" s="35">
        <f>((1+C83)^12)-1</f>
        <v/>
      </c>
      <c r="E83" s="35">
        <f>(Table143454[[#This Row],[USA]]-B71)/B71</f>
        <v/>
      </c>
      <c r="F83" s="34">
        <f>VLOOKUP(Table143454[[#This Row],[Date]],'Data Core CPI'!$A:$AX,MATCH($B$2,'Data Core CPI'!$B$1:$AX$1,0),FALSE)</f>
        <v/>
      </c>
      <c r="G83" s="35">
        <f>(F83/F82)-1</f>
        <v/>
      </c>
      <c r="H83" s="35">
        <f>((1+G83)^12)-1</f>
        <v/>
      </c>
      <c r="I83" s="35">
        <f>(Table143454[[#This Row],[Core CPI]]-F71)/F71</f>
        <v/>
      </c>
    </row>
    <row r="84">
      <c r="A84" s="33">
        <f>IF(Data!A111="",#N/A,Data!A111)</f>
        <v/>
      </c>
      <c r="B84" s="34">
        <f>VLOOKUP(A84,Data!A:AX,MATCH($B$2,Data!$B$1:$AX$1,0),FALSE)</f>
        <v/>
      </c>
      <c r="C84" s="35">
        <f>(B84/B83)-1</f>
        <v/>
      </c>
      <c r="D84" s="35">
        <f>((1+C84)^12)-1</f>
        <v/>
      </c>
      <c r="E84" s="35">
        <f>(Table143454[[#This Row],[USA]]-B72)/B72</f>
        <v/>
      </c>
      <c r="F84" s="34">
        <f>VLOOKUP(Table143454[[#This Row],[Date]],'Data Core CPI'!$A:$AX,MATCH($B$2,'Data Core CPI'!$B$1:$AX$1,0),FALSE)</f>
        <v/>
      </c>
      <c r="G84" s="35">
        <f>(F84/F83)-1</f>
        <v/>
      </c>
      <c r="H84" s="35">
        <f>((1+G84)^12)-1</f>
        <v/>
      </c>
      <c r="I84" s="35">
        <f>(Table143454[[#This Row],[Core CPI]]-F72)/F72</f>
        <v/>
      </c>
    </row>
    <row r="85">
      <c r="A85" s="33">
        <f>IF(Data!A112="",#N/A,Data!A112)</f>
        <v/>
      </c>
      <c r="B85" s="34">
        <f>VLOOKUP(A85,Data!A:AX,MATCH($B$2,Data!$B$1:$AX$1,0),FALSE)</f>
        <v/>
      </c>
      <c r="C85" s="35">
        <f>(B85/B84)-1</f>
        <v/>
      </c>
      <c r="D85" s="35">
        <f>((1+C85)^12)-1</f>
        <v/>
      </c>
      <c r="E85" s="35">
        <f>(Table143454[[#This Row],[USA]]-B73)/B73</f>
        <v/>
      </c>
      <c r="F85" s="34">
        <f>VLOOKUP(Table143454[[#This Row],[Date]],'Data Core CPI'!$A:$AX,MATCH($B$2,'Data Core CPI'!$B$1:$AX$1,0),FALSE)</f>
        <v/>
      </c>
      <c r="G85" s="35">
        <f>(F85/F84)-1</f>
        <v/>
      </c>
      <c r="H85" s="35">
        <f>((1+G85)^12)-1</f>
        <v/>
      </c>
      <c r="I85" s="35">
        <f>(Table143454[[#This Row],[Core CPI]]-F73)/F73</f>
        <v/>
      </c>
    </row>
    <row r="86">
      <c r="A86" s="33">
        <f>IF(Data!A113="",#N/A,Data!A113)</f>
        <v/>
      </c>
      <c r="B86" s="34">
        <f>VLOOKUP(A86,Data!A:AX,MATCH($B$2,Data!$B$1:$AX$1,0),FALSE)</f>
        <v/>
      </c>
      <c r="C86" s="35">
        <f>(B86/B85)-1</f>
        <v/>
      </c>
      <c r="D86" s="35">
        <f>((1+C86)^12)-1</f>
        <v/>
      </c>
      <c r="E86" s="35">
        <f>(Table143454[[#This Row],[USA]]-B74)/B74</f>
        <v/>
      </c>
      <c r="F86" s="34">
        <f>VLOOKUP(Table143454[[#This Row],[Date]],'Data Core CPI'!$A:$AX,MATCH($B$2,'Data Core CPI'!$B$1:$AX$1,0),FALSE)</f>
        <v/>
      </c>
      <c r="G86" s="35">
        <f>(F86/F85)-1</f>
        <v/>
      </c>
      <c r="H86" s="35">
        <f>((1+G86)^12)-1</f>
        <v/>
      </c>
      <c r="I86" s="35">
        <f>(Table143454[[#This Row],[Core CPI]]-F74)/F74</f>
        <v/>
      </c>
    </row>
    <row r="87">
      <c r="A87" s="33">
        <f>IF(Data!A114="",#N/A,Data!A114)</f>
        <v/>
      </c>
      <c r="B87" s="34">
        <f>VLOOKUP(A87,Data!A:AX,MATCH($B$2,Data!$B$1:$AX$1,0),FALSE)</f>
        <v/>
      </c>
      <c r="C87" s="35">
        <f>(B87/B86)-1</f>
        <v/>
      </c>
      <c r="D87" s="35">
        <f>((1+C87)^12)-1</f>
        <v/>
      </c>
      <c r="E87" s="35">
        <f>(Table143454[[#This Row],[USA]]-B75)/B75</f>
        <v/>
      </c>
      <c r="F87" s="34">
        <f>VLOOKUP(Table143454[[#This Row],[Date]],'Data Core CPI'!$A:$AX,MATCH($B$2,'Data Core CPI'!$B$1:$AX$1,0),FALSE)</f>
        <v/>
      </c>
      <c r="G87" s="35">
        <f>(F87/F86)-1</f>
        <v/>
      </c>
      <c r="H87" s="35">
        <f>((1+G87)^12)-1</f>
        <v/>
      </c>
      <c r="I87" s="35">
        <f>(Table143454[[#This Row],[Core CPI]]-F75)/F75</f>
        <v/>
      </c>
    </row>
    <row r="88">
      <c r="A88" s="33">
        <f>IF(Data!A115="",#N/A,Data!A115)</f>
        <v/>
      </c>
      <c r="B88" s="34">
        <f>VLOOKUP(A88,Data!A:AX,MATCH($B$2,Data!$B$1:$AX$1,0),FALSE)</f>
        <v/>
      </c>
      <c r="C88" s="35">
        <f>(B88/B87)-1</f>
        <v/>
      </c>
      <c r="D88" s="35">
        <f>((1+C88)^12)-1</f>
        <v/>
      </c>
      <c r="E88" s="35">
        <f>(Table143454[[#This Row],[USA]]-B76)/B76</f>
        <v/>
      </c>
      <c r="F88" s="34">
        <f>VLOOKUP(Table143454[[#This Row],[Date]],'Data Core CPI'!$A:$AX,MATCH($B$2,'Data Core CPI'!$B$1:$AX$1,0),FALSE)</f>
        <v/>
      </c>
      <c r="G88" s="35">
        <f>(F88/F87)-1</f>
        <v/>
      </c>
      <c r="H88" s="35">
        <f>((1+G88)^12)-1</f>
        <v/>
      </c>
      <c r="I88" s="35">
        <f>(Table143454[[#This Row],[Core CPI]]-F76)/F76</f>
        <v/>
      </c>
    </row>
    <row r="89">
      <c r="A89" s="33">
        <f>IF(Data!A116="",#N/A,Data!A116)</f>
        <v/>
      </c>
      <c r="B89" s="34">
        <f>VLOOKUP(A89,Data!A:AX,MATCH($B$2,Data!$B$1:$AX$1,0),FALSE)</f>
        <v/>
      </c>
      <c r="C89" s="35">
        <f>(B89/B88)-1</f>
        <v/>
      </c>
      <c r="D89" s="35">
        <f>((1+C89)^12)-1</f>
        <v/>
      </c>
      <c r="E89" s="35">
        <f>(Table143454[[#This Row],[USA]]-B77)/B77</f>
        <v/>
      </c>
      <c r="F89" s="34">
        <f>VLOOKUP(Table143454[[#This Row],[Date]],'Data Core CPI'!$A:$AX,MATCH($B$2,'Data Core CPI'!$B$1:$AX$1,0),FALSE)</f>
        <v/>
      </c>
      <c r="G89" s="35">
        <f>(F89/F88)-1</f>
        <v/>
      </c>
      <c r="H89" s="35">
        <f>((1+G89)^12)-1</f>
        <v/>
      </c>
      <c r="I89" s="35">
        <f>(Table143454[[#This Row],[Core CPI]]-F77)/F77</f>
        <v/>
      </c>
    </row>
    <row r="90">
      <c r="A90" s="33">
        <f>IF(Data!A117="",#N/A,Data!A117)</f>
        <v/>
      </c>
      <c r="B90" s="34">
        <f>VLOOKUP(A90,Data!A:AX,MATCH($B$2,Data!$B$1:$AX$1,0),FALSE)</f>
        <v/>
      </c>
      <c r="C90" s="35">
        <f>(B90/B89)-1</f>
        <v/>
      </c>
      <c r="D90" s="35">
        <f>((1+C90)^12)-1</f>
        <v/>
      </c>
      <c r="E90" s="35">
        <f>(Table143454[[#This Row],[USA]]-B78)/B78</f>
        <v/>
      </c>
      <c r="F90" s="34">
        <f>VLOOKUP(Table143454[[#This Row],[Date]],'Data Core CPI'!$A:$AX,MATCH($B$2,'Data Core CPI'!$B$1:$AX$1,0),FALSE)</f>
        <v/>
      </c>
      <c r="G90" s="35">
        <f>(F90/F89)-1</f>
        <v/>
      </c>
      <c r="H90" s="35">
        <f>((1+G90)^12)-1</f>
        <v/>
      </c>
      <c r="I90" s="35">
        <f>(Table143454[[#This Row],[Core CPI]]-F78)/F78</f>
        <v/>
      </c>
    </row>
    <row r="91">
      <c r="A91" s="33">
        <f>IF(Data!A118="",#N/A,Data!A118)</f>
        <v/>
      </c>
      <c r="B91" s="34">
        <f>VLOOKUP(A91,Data!A:AX,MATCH($B$2,Data!$B$1:$AX$1,0),FALSE)</f>
        <v/>
      </c>
      <c r="C91" s="35">
        <f>(B91/B90)-1</f>
        <v/>
      </c>
      <c r="D91" s="35">
        <f>((1+C91)^12)-1</f>
        <v/>
      </c>
      <c r="E91" s="35">
        <f>(Table143454[[#This Row],[USA]]-B79)/B79</f>
        <v/>
      </c>
      <c r="F91" s="34">
        <f>VLOOKUP(Table143454[[#This Row],[Date]],'Data Core CPI'!$A:$AX,MATCH($B$2,'Data Core CPI'!$B$1:$AX$1,0),FALSE)</f>
        <v/>
      </c>
      <c r="G91" s="35">
        <f>(F91/F90)-1</f>
        <v/>
      </c>
      <c r="H91" s="35">
        <f>((1+G91)^12)-1</f>
        <v/>
      </c>
      <c r="I91" s="35">
        <f>(Table143454[[#This Row],[Core CPI]]-F79)/F79</f>
        <v/>
      </c>
    </row>
    <row r="92">
      <c r="A92" s="33">
        <f>IF(Data!A119="",#N/A,Data!A119)</f>
        <v/>
      </c>
      <c r="B92" s="34">
        <f>VLOOKUP(A92,Data!A:AX,MATCH($B$2,Data!$B$1:$AX$1,0),FALSE)</f>
        <v/>
      </c>
      <c r="C92" s="35">
        <f>(B92/B91)-1</f>
        <v/>
      </c>
      <c r="D92" s="35">
        <f>((1+C92)^12)-1</f>
        <v/>
      </c>
      <c r="E92" s="35">
        <f>(Table143454[[#This Row],[USA]]-B80)/B80</f>
        <v/>
      </c>
      <c r="F92" s="34">
        <f>VLOOKUP(Table143454[[#This Row],[Date]],'Data Core CPI'!$A:$AX,MATCH($B$2,'Data Core CPI'!$B$1:$AX$1,0),FALSE)</f>
        <v/>
      </c>
      <c r="G92" s="35">
        <f>(F92/F91)-1</f>
        <v/>
      </c>
      <c r="H92" s="35">
        <f>((1+G92)^12)-1</f>
        <v/>
      </c>
      <c r="I92" s="35">
        <f>(Table143454[[#This Row],[Core CPI]]-F80)/F80</f>
        <v/>
      </c>
    </row>
    <row r="93">
      <c r="A93" s="33">
        <f>IF(Data!A120="",#N/A,Data!A120)</f>
        <v/>
      </c>
      <c r="B93" s="34">
        <f>VLOOKUP(A93,Data!A:AX,MATCH($B$2,Data!$B$1:$AX$1,0),FALSE)</f>
        <v/>
      </c>
      <c r="C93" s="35">
        <f>(B93/B92)-1</f>
        <v/>
      </c>
      <c r="D93" s="35">
        <f>((1+C93)^12)-1</f>
        <v/>
      </c>
      <c r="E93" s="35">
        <f>(Table143454[[#This Row],[USA]]-B81)/B81</f>
        <v/>
      </c>
      <c r="F93" s="34">
        <f>VLOOKUP(Table143454[[#This Row],[Date]],'Data Core CPI'!$A:$AX,MATCH($B$2,'Data Core CPI'!$B$1:$AX$1,0),FALSE)</f>
        <v/>
      </c>
      <c r="G93" s="35">
        <f>(F93/F92)-1</f>
        <v/>
      </c>
      <c r="H93" s="35">
        <f>((1+G93)^12)-1</f>
        <v/>
      </c>
      <c r="I93" s="35">
        <f>(Table143454[[#This Row],[Core CPI]]-F81)/F81</f>
        <v/>
      </c>
    </row>
    <row r="94">
      <c r="A94" s="33">
        <f>IF(Data!A121="",#N/A,Data!A121)</f>
        <v/>
      </c>
      <c r="B94" s="34">
        <f>VLOOKUP(A94,Data!A:AX,MATCH($B$2,Data!$B$1:$AX$1,0),FALSE)</f>
        <v/>
      </c>
      <c r="C94" s="35">
        <f>(B94/B93)-1</f>
        <v/>
      </c>
      <c r="D94" s="35">
        <f>((1+C94)^12)-1</f>
        <v/>
      </c>
      <c r="E94" s="35">
        <f>(Table143454[[#This Row],[USA]]-B82)/B82</f>
        <v/>
      </c>
      <c r="F94" s="34">
        <f>VLOOKUP(Table143454[[#This Row],[Date]],'Data Core CPI'!$A:$AX,MATCH($B$2,'Data Core CPI'!$B$1:$AX$1,0),FALSE)</f>
        <v/>
      </c>
      <c r="G94" s="35">
        <f>(F94/F93)-1</f>
        <v/>
      </c>
      <c r="H94" s="35">
        <f>((1+G94)^12)-1</f>
        <v/>
      </c>
      <c r="I94" s="35">
        <f>(Table143454[[#This Row],[Core CPI]]-F82)/F82</f>
        <v/>
      </c>
    </row>
    <row r="95">
      <c r="A95" s="33">
        <f>IF(Data!A122="",#N/A,Data!A122)</f>
        <v/>
      </c>
      <c r="B95" s="34">
        <f>VLOOKUP(A95,Data!A:AX,MATCH($B$2,Data!$B$1:$AX$1,0),FALSE)</f>
        <v/>
      </c>
      <c r="C95" s="35">
        <f>(B95/B94)-1</f>
        <v/>
      </c>
      <c r="D95" s="35">
        <f>((1+C95)^12)-1</f>
        <v/>
      </c>
      <c r="E95" s="35">
        <f>(Table143454[[#This Row],[USA]]-B83)/B83</f>
        <v/>
      </c>
      <c r="F95" s="34">
        <f>VLOOKUP(Table143454[[#This Row],[Date]],'Data Core CPI'!$A:$AX,MATCH($B$2,'Data Core CPI'!$B$1:$AX$1,0),FALSE)</f>
        <v/>
      </c>
      <c r="G95" s="35">
        <f>(F95/F94)-1</f>
        <v/>
      </c>
      <c r="H95" s="35">
        <f>((1+G95)^12)-1</f>
        <v/>
      </c>
      <c r="I95" s="35">
        <f>(Table143454[[#This Row],[Core CPI]]-F83)/F83</f>
        <v/>
      </c>
    </row>
    <row r="96">
      <c r="A96" s="33">
        <f>IF(Data!A123="",#N/A,Data!A123)</f>
        <v/>
      </c>
      <c r="B96" s="34">
        <f>VLOOKUP(A96,Data!A:AX,MATCH($B$2,Data!$B$1:$AX$1,0),FALSE)</f>
        <v/>
      </c>
      <c r="C96" s="35">
        <f>(B96/B95)-1</f>
        <v/>
      </c>
      <c r="D96" s="35">
        <f>((1+C96)^12)-1</f>
        <v/>
      </c>
      <c r="E96" s="35">
        <f>(Table143454[[#This Row],[USA]]-B84)/B84</f>
        <v/>
      </c>
      <c r="F96" s="34">
        <f>VLOOKUP(Table143454[[#This Row],[Date]],'Data Core CPI'!$A:$AX,MATCH($B$2,'Data Core CPI'!$B$1:$AX$1,0),FALSE)</f>
        <v/>
      </c>
      <c r="G96" s="35">
        <f>(F96/F95)-1</f>
        <v/>
      </c>
      <c r="H96" s="35">
        <f>((1+G96)^12)-1</f>
        <v/>
      </c>
      <c r="I96" s="35">
        <f>(Table143454[[#This Row],[Core CPI]]-F84)/F84</f>
        <v/>
      </c>
    </row>
    <row r="97">
      <c r="A97" s="33">
        <f>IF(Data!A124="",#N/A,Data!A124)</f>
        <v/>
      </c>
      <c r="B97" s="34">
        <f>VLOOKUP(A97,Data!A:AX,MATCH($B$2,Data!$B$1:$AX$1,0),FALSE)</f>
        <v/>
      </c>
      <c r="C97" s="35">
        <f>(B97/B96)-1</f>
        <v/>
      </c>
      <c r="D97" s="35">
        <f>((1+C97)^12)-1</f>
        <v/>
      </c>
      <c r="E97" s="35">
        <f>(Table143454[[#This Row],[USA]]-B85)/B85</f>
        <v/>
      </c>
      <c r="F97" s="34">
        <f>VLOOKUP(Table143454[[#This Row],[Date]],'Data Core CPI'!$A:$AX,MATCH($B$2,'Data Core CPI'!$B$1:$AX$1,0),FALSE)</f>
        <v/>
      </c>
      <c r="G97" s="35">
        <f>(F97/F96)-1</f>
        <v/>
      </c>
      <c r="H97" s="35">
        <f>((1+G97)^12)-1</f>
        <v/>
      </c>
      <c r="I97" s="35">
        <f>(Table143454[[#This Row],[Core CPI]]-F85)/F85</f>
        <v/>
      </c>
    </row>
    <row r="98">
      <c r="A98" s="33">
        <f>IF(Data!A125="",#N/A,Data!A125)</f>
        <v/>
      </c>
      <c r="B98" s="34">
        <f>VLOOKUP(A98,Data!A:AX,MATCH($B$2,Data!$B$1:$AX$1,0),FALSE)</f>
        <v/>
      </c>
      <c r="C98" s="35">
        <f>(B98/B97)-1</f>
        <v/>
      </c>
      <c r="D98" s="35">
        <f>((1+C98)^12)-1</f>
        <v/>
      </c>
      <c r="E98" s="35">
        <f>(Table143454[[#This Row],[USA]]-B86)/B86</f>
        <v/>
      </c>
      <c r="F98" s="34">
        <f>VLOOKUP(Table143454[[#This Row],[Date]],'Data Core CPI'!$A:$AX,MATCH($B$2,'Data Core CPI'!$B$1:$AX$1,0),FALSE)</f>
        <v/>
      </c>
      <c r="G98" s="35">
        <f>(F98/F97)-1</f>
        <v/>
      </c>
      <c r="H98" s="35">
        <f>((1+G98)^12)-1</f>
        <v/>
      </c>
      <c r="I98" s="35">
        <f>(Table143454[[#This Row],[Core CPI]]-F86)/F86</f>
        <v/>
      </c>
    </row>
    <row r="99">
      <c r="A99" s="33">
        <f>IF(Data!A126="",#N/A,Data!A126)</f>
        <v/>
      </c>
      <c r="B99" s="34">
        <f>VLOOKUP(A99,Data!A:AX,MATCH($B$2,Data!$B$1:$AX$1,0),FALSE)</f>
        <v/>
      </c>
      <c r="C99" s="35">
        <f>(B99/B98)-1</f>
        <v/>
      </c>
      <c r="D99" s="35">
        <f>((1+C99)^12)-1</f>
        <v/>
      </c>
      <c r="E99" s="35">
        <f>(Table143454[[#This Row],[USA]]-B87)/B87</f>
        <v/>
      </c>
      <c r="F99" s="34">
        <f>VLOOKUP(Table143454[[#This Row],[Date]],'Data Core CPI'!$A:$AX,MATCH($B$2,'Data Core CPI'!$B$1:$AX$1,0),FALSE)</f>
        <v/>
      </c>
      <c r="G99" s="35">
        <f>(F99/F98)-1</f>
        <v/>
      </c>
      <c r="H99" s="35">
        <f>((1+G99)^12)-1</f>
        <v/>
      </c>
      <c r="I99" s="35">
        <f>(Table143454[[#This Row],[Core CPI]]-F87)/F87</f>
        <v/>
      </c>
    </row>
    <row r="100">
      <c r="A100" s="33">
        <f>IF(Data!A127="",#N/A,Data!A127)</f>
        <v/>
      </c>
      <c r="B100" s="34">
        <f>VLOOKUP(A100,Data!A:AX,MATCH($B$2,Data!$B$1:$AX$1,0),FALSE)</f>
        <v/>
      </c>
      <c r="C100" s="35">
        <f>(B100/B99)-1</f>
        <v/>
      </c>
      <c r="D100" s="35">
        <f>((1+C100)^12)-1</f>
        <v/>
      </c>
      <c r="E100" s="35">
        <f>(Table143454[[#This Row],[USA]]-B88)/B88</f>
        <v/>
      </c>
      <c r="F100" s="34">
        <f>VLOOKUP(Table143454[[#This Row],[Date]],'Data Core CPI'!$A:$AX,MATCH($B$2,'Data Core CPI'!$B$1:$AX$1,0),FALSE)</f>
        <v/>
      </c>
      <c r="G100" s="35">
        <f>(F100/F99)-1</f>
        <v/>
      </c>
      <c r="H100" s="35">
        <f>((1+G100)^12)-1</f>
        <v/>
      </c>
      <c r="I100" s="35">
        <f>(Table143454[[#This Row],[Core CPI]]-F88)/F88</f>
        <v/>
      </c>
    </row>
    <row r="101">
      <c r="A101" s="33">
        <f>IF(Data!A128="",#N/A,Data!A128)</f>
        <v/>
      </c>
      <c r="B101" s="34">
        <f>VLOOKUP(A101,Data!A:AX,MATCH($B$2,Data!$B$1:$AX$1,0),FALSE)</f>
        <v/>
      </c>
      <c r="C101" s="35">
        <f>(B101/B100)-1</f>
        <v/>
      </c>
      <c r="D101" s="35">
        <f>((1+C101)^12)-1</f>
        <v/>
      </c>
      <c r="E101" s="35">
        <f>(Table143454[[#This Row],[USA]]-B89)/B89</f>
        <v/>
      </c>
      <c r="F101" s="34">
        <f>VLOOKUP(Table143454[[#This Row],[Date]],'Data Core CPI'!$A:$AX,MATCH($B$2,'Data Core CPI'!$B$1:$AX$1,0),FALSE)</f>
        <v/>
      </c>
      <c r="G101" s="35">
        <f>(F101/F100)-1</f>
        <v/>
      </c>
      <c r="H101" s="35">
        <f>((1+G101)^12)-1</f>
        <v/>
      </c>
      <c r="I101" s="35">
        <f>(Table143454[[#This Row],[Core CPI]]-F89)/F89</f>
        <v/>
      </c>
    </row>
    <row r="102">
      <c r="A102" s="33">
        <f>IF(Data!A129="",#N/A,Data!A129)</f>
        <v/>
      </c>
      <c r="B102" s="34">
        <f>VLOOKUP(A102,Data!A:AX,MATCH($B$2,Data!$B$1:$AX$1,0),FALSE)</f>
        <v/>
      </c>
      <c r="C102" s="35">
        <f>(B102/B101)-1</f>
        <v/>
      </c>
      <c r="D102" s="35">
        <f>((1+C102)^12)-1</f>
        <v/>
      </c>
      <c r="E102" s="35">
        <f>(Table143454[[#This Row],[USA]]-B90)/B90</f>
        <v/>
      </c>
      <c r="F102" s="34">
        <f>VLOOKUP(Table143454[[#This Row],[Date]],'Data Core CPI'!$A:$AX,MATCH($B$2,'Data Core CPI'!$B$1:$AX$1,0),FALSE)</f>
        <v/>
      </c>
      <c r="G102" s="35">
        <f>(F102/F101)-1</f>
        <v/>
      </c>
      <c r="H102" s="35">
        <f>((1+G102)^12)-1</f>
        <v/>
      </c>
      <c r="I102" s="35">
        <f>(Table143454[[#This Row],[Core CPI]]-F90)/F90</f>
        <v/>
      </c>
    </row>
    <row r="103">
      <c r="A103" s="33">
        <f>IF(Data!A130="",#N/A,Data!A130)</f>
        <v/>
      </c>
      <c r="B103" s="34">
        <f>VLOOKUP(A103,Data!A:AX,MATCH($B$2,Data!$B$1:$AX$1,0),FALSE)</f>
        <v/>
      </c>
      <c r="C103" s="35">
        <f>(B103/B102)-1</f>
        <v/>
      </c>
      <c r="D103" s="35">
        <f>((1+C103)^12)-1</f>
        <v/>
      </c>
      <c r="E103" s="35">
        <f>(Table143454[[#This Row],[USA]]-B91)/B91</f>
        <v/>
      </c>
      <c r="F103" s="34">
        <f>VLOOKUP(Table143454[[#This Row],[Date]],'Data Core CPI'!$A:$AX,MATCH($B$2,'Data Core CPI'!$B$1:$AX$1,0),FALSE)</f>
        <v/>
      </c>
      <c r="G103" s="35">
        <f>(F103/F102)-1</f>
        <v/>
      </c>
      <c r="H103" s="35">
        <f>((1+G103)^12)-1</f>
        <v/>
      </c>
      <c r="I103" s="35">
        <f>(Table143454[[#This Row],[Core CPI]]-F91)/F91</f>
        <v/>
      </c>
    </row>
    <row r="104">
      <c r="A104" s="33">
        <f>IF(Data!A131="",#N/A,Data!A131)</f>
        <v/>
      </c>
      <c r="B104" s="34">
        <f>VLOOKUP(A104,Data!A:AX,MATCH($B$2,Data!$B$1:$AX$1,0),FALSE)</f>
        <v/>
      </c>
      <c r="C104" s="35">
        <f>(B104/B103)-1</f>
        <v/>
      </c>
      <c r="D104" s="35">
        <f>((1+C104)^12)-1</f>
        <v/>
      </c>
      <c r="E104" s="35">
        <f>(Table143454[[#This Row],[USA]]-B92)/B92</f>
        <v/>
      </c>
      <c r="F104" s="34">
        <f>VLOOKUP(Table143454[[#This Row],[Date]],'Data Core CPI'!$A:$AX,MATCH($B$2,'Data Core CPI'!$B$1:$AX$1,0),FALSE)</f>
        <v/>
      </c>
      <c r="G104" s="35">
        <f>(F104/F103)-1</f>
        <v/>
      </c>
      <c r="H104" s="35">
        <f>((1+G104)^12)-1</f>
        <v/>
      </c>
      <c r="I104" s="35">
        <f>(Table143454[[#This Row],[Core CPI]]-F92)/F92</f>
        <v/>
      </c>
    </row>
    <row r="105">
      <c r="A105" s="33">
        <f>IF(Data!A132="",#N/A,Data!A132)</f>
        <v/>
      </c>
      <c r="B105" s="34">
        <f>VLOOKUP(A105,Data!A:AX,MATCH($B$2,Data!$B$1:$AX$1,0),FALSE)</f>
        <v/>
      </c>
      <c r="C105" s="35">
        <f>(B105/B104)-1</f>
        <v/>
      </c>
      <c r="D105" s="35">
        <f>((1+C105)^12)-1</f>
        <v/>
      </c>
      <c r="E105" s="35">
        <f>(Table143454[[#This Row],[USA]]-B93)/B93</f>
        <v/>
      </c>
      <c r="F105" s="34">
        <f>VLOOKUP(Table143454[[#This Row],[Date]],'Data Core CPI'!$A:$AX,MATCH($B$2,'Data Core CPI'!$B$1:$AX$1,0),FALSE)</f>
        <v/>
      </c>
      <c r="G105" s="35">
        <f>(F105/F104)-1</f>
        <v/>
      </c>
      <c r="H105" s="35">
        <f>((1+G105)^12)-1</f>
        <v/>
      </c>
      <c r="I105" s="35">
        <f>(Table143454[[#This Row],[Core CPI]]-F93)/F93</f>
        <v/>
      </c>
    </row>
    <row r="106">
      <c r="A106" s="33">
        <f>IF(Data!A133="",#N/A,Data!A133)</f>
        <v/>
      </c>
      <c r="B106" s="34">
        <f>VLOOKUP(A106,Data!A:AX,MATCH($B$2,Data!$B$1:$AX$1,0),FALSE)</f>
        <v/>
      </c>
      <c r="C106" s="35">
        <f>(B106/B105)-1</f>
        <v/>
      </c>
      <c r="D106" s="35">
        <f>((1+C106)^12)-1</f>
        <v/>
      </c>
      <c r="E106" s="35">
        <f>(Table143454[[#This Row],[USA]]-B94)/B94</f>
        <v/>
      </c>
      <c r="F106" s="34">
        <f>VLOOKUP(Table143454[[#This Row],[Date]],'Data Core CPI'!$A:$AX,MATCH($B$2,'Data Core CPI'!$B$1:$AX$1,0),FALSE)</f>
        <v/>
      </c>
      <c r="G106" s="35">
        <f>(F106/F105)-1</f>
        <v/>
      </c>
      <c r="H106" s="35">
        <f>((1+G106)^12)-1</f>
        <v/>
      </c>
      <c r="I106" s="35">
        <f>(Table143454[[#This Row],[Core CPI]]-F94)/F94</f>
        <v/>
      </c>
    </row>
    <row r="107">
      <c r="A107" s="33">
        <f>IF(Data!A134="",#N/A,Data!A134)</f>
        <v/>
      </c>
      <c r="B107" s="34">
        <f>VLOOKUP(A107,Data!A:AX,MATCH($B$2,Data!$B$1:$AX$1,0),FALSE)</f>
        <v/>
      </c>
      <c r="C107" s="35">
        <f>(B107/B106)-1</f>
        <v/>
      </c>
      <c r="D107" s="35">
        <f>((1+C107)^12)-1</f>
        <v/>
      </c>
      <c r="E107" s="35">
        <f>(Table143454[[#This Row],[USA]]-B95)/B95</f>
        <v/>
      </c>
      <c r="F107" s="34">
        <f>VLOOKUP(Table143454[[#This Row],[Date]],'Data Core CPI'!$A:$AX,MATCH($B$2,'Data Core CPI'!$B$1:$AX$1,0),FALSE)</f>
        <v/>
      </c>
      <c r="G107" s="35">
        <f>(F107/F106)-1</f>
        <v/>
      </c>
      <c r="H107" s="35">
        <f>((1+G107)^12)-1</f>
        <v/>
      </c>
      <c r="I107" s="35">
        <f>(Table143454[[#This Row],[Core CPI]]-F95)/F95</f>
        <v/>
      </c>
    </row>
    <row r="108">
      <c r="A108" s="33">
        <f>IF(Data!A135="",#N/A,Data!A135)</f>
        <v/>
      </c>
      <c r="B108" s="34">
        <f>VLOOKUP(A108,Data!A:AX,MATCH($B$2,Data!$B$1:$AX$1,0),FALSE)</f>
        <v/>
      </c>
      <c r="C108" s="35">
        <f>(B108/B107)-1</f>
        <v/>
      </c>
      <c r="D108" s="35">
        <f>((1+C108)^12)-1</f>
        <v/>
      </c>
      <c r="E108" s="35">
        <f>(Table143454[[#This Row],[USA]]-B96)/B96</f>
        <v/>
      </c>
      <c r="F108" s="34">
        <f>VLOOKUP(Table143454[[#This Row],[Date]],'Data Core CPI'!$A:$AX,MATCH($B$2,'Data Core CPI'!$B$1:$AX$1,0),FALSE)</f>
        <v/>
      </c>
      <c r="G108" s="35">
        <f>(F108/F107)-1</f>
        <v/>
      </c>
      <c r="H108" s="35">
        <f>((1+G108)^12)-1</f>
        <v/>
      </c>
      <c r="I108" s="35">
        <f>(Table143454[[#This Row],[Core CPI]]-F96)/F96</f>
        <v/>
      </c>
    </row>
    <row r="109">
      <c r="A109" s="33">
        <f>IF(Data!A136="",#N/A,Data!A136)</f>
        <v/>
      </c>
      <c r="B109" s="34">
        <f>VLOOKUP(A109,Data!A:AX,MATCH($B$2,Data!$B$1:$AX$1,0),FALSE)</f>
        <v/>
      </c>
      <c r="C109" s="35">
        <f>(B109/B108)-1</f>
        <v/>
      </c>
      <c r="D109" s="35">
        <f>((1+C109)^12)-1</f>
        <v/>
      </c>
      <c r="E109" s="35">
        <f>(Table143454[[#This Row],[USA]]-B97)/B97</f>
        <v/>
      </c>
      <c r="F109" s="34">
        <f>VLOOKUP(Table143454[[#This Row],[Date]],'Data Core CPI'!$A:$AX,MATCH($B$2,'Data Core CPI'!$B$1:$AX$1,0),FALSE)</f>
        <v/>
      </c>
      <c r="G109" s="35">
        <f>(F109/F108)-1</f>
        <v/>
      </c>
      <c r="H109" s="35">
        <f>((1+G109)^12)-1</f>
        <v/>
      </c>
      <c r="I109" s="35">
        <f>(Table143454[[#This Row],[Core CPI]]-F97)/F97</f>
        <v/>
      </c>
    </row>
    <row r="110">
      <c r="A110" s="33">
        <f>IF(Data!A137="",#N/A,Data!A137)</f>
        <v/>
      </c>
      <c r="B110" s="34">
        <f>VLOOKUP(A110,Data!A:AX,MATCH($B$2,Data!$B$1:$AX$1,0),FALSE)</f>
        <v/>
      </c>
      <c r="C110" s="35">
        <f>(B110/B109)-1</f>
        <v/>
      </c>
      <c r="D110" s="35">
        <f>((1+C110)^12)-1</f>
        <v/>
      </c>
      <c r="E110" s="35">
        <f>(Table143454[[#This Row],[USA]]-B98)/B98</f>
        <v/>
      </c>
      <c r="F110" s="34">
        <f>VLOOKUP(Table143454[[#This Row],[Date]],'Data Core CPI'!$A:$AX,MATCH($B$2,'Data Core CPI'!$B$1:$AX$1,0),FALSE)</f>
        <v/>
      </c>
      <c r="G110" s="35">
        <f>(F110/F109)-1</f>
        <v/>
      </c>
      <c r="H110" s="35">
        <f>((1+G110)^12)-1</f>
        <v/>
      </c>
      <c r="I110" s="35">
        <f>(Table143454[[#This Row],[Core CPI]]-F98)/F98</f>
        <v/>
      </c>
    </row>
    <row r="111">
      <c r="A111" s="33">
        <f>IF(Data!A138="",#N/A,Data!A138)</f>
        <v/>
      </c>
      <c r="B111" s="34">
        <f>VLOOKUP(A111,Data!A:AX,MATCH($B$2,Data!$B$1:$AX$1,0),FALSE)</f>
        <v/>
      </c>
      <c r="C111" s="35">
        <f>(B111/B110)-1</f>
        <v/>
      </c>
      <c r="D111" s="35">
        <f>((1+C111)^12)-1</f>
        <v/>
      </c>
      <c r="E111" s="35">
        <f>(Table143454[[#This Row],[USA]]-B99)/B99</f>
        <v/>
      </c>
      <c r="F111" s="34">
        <f>VLOOKUP(Table143454[[#This Row],[Date]],'Data Core CPI'!$A:$AX,MATCH($B$2,'Data Core CPI'!$B$1:$AX$1,0),FALSE)</f>
        <v/>
      </c>
      <c r="G111" s="35">
        <f>(F111/F110)-1</f>
        <v/>
      </c>
      <c r="H111" s="35">
        <f>((1+G111)^12)-1</f>
        <v/>
      </c>
      <c r="I111" s="35">
        <f>(Table143454[[#This Row],[Core CPI]]-F99)/F99</f>
        <v/>
      </c>
    </row>
    <row r="112">
      <c r="A112" s="33">
        <f>IF(Data!A139="",#N/A,Data!A139)</f>
        <v/>
      </c>
      <c r="B112" s="34">
        <f>VLOOKUP(A112,Data!A:AX,MATCH($B$2,Data!$B$1:$AX$1,0),FALSE)</f>
        <v/>
      </c>
      <c r="C112" s="35">
        <f>(B112/B111)-1</f>
        <v/>
      </c>
      <c r="D112" s="35">
        <f>((1+C112)^12)-1</f>
        <v/>
      </c>
      <c r="E112" s="35">
        <f>(Table143454[[#This Row],[USA]]-B100)/B100</f>
        <v/>
      </c>
      <c r="F112" s="34">
        <f>VLOOKUP(Table143454[[#This Row],[Date]],'Data Core CPI'!$A:$AX,MATCH($B$2,'Data Core CPI'!$B$1:$AX$1,0),FALSE)</f>
        <v/>
      </c>
      <c r="G112" s="35">
        <f>(F112/F111)-1</f>
        <v/>
      </c>
      <c r="H112" s="35">
        <f>((1+G112)^12)-1</f>
        <v/>
      </c>
      <c r="I112" s="35">
        <f>(Table143454[[#This Row],[Core CPI]]-F100)/F100</f>
        <v/>
      </c>
    </row>
    <row r="113">
      <c r="A113" s="33">
        <f>IF(Data!A140="",#N/A,Data!A140)</f>
        <v/>
      </c>
      <c r="B113" s="34">
        <f>VLOOKUP(A113,Data!A:AX,MATCH($B$2,Data!$B$1:$AX$1,0),FALSE)</f>
        <v/>
      </c>
      <c r="C113" s="35">
        <f>(B113/B112)-1</f>
        <v/>
      </c>
      <c r="D113" s="35">
        <f>((1+C113)^12)-1</f>
        <v/>
      </c>
      <c r="E113" s="35">
        <f>(Table143454[[#This Row],[USA]]-B101)/B101</f>
        <v/>
      </c>
      <c r="F113" s="34">
        <f>VLOOKUP(Table143454[[#This Row],[Date]],'Data Core CPI'!$A:$AX,MATCH($B$2,'Data Core CPI'!$B$1:$AX$1,0),FALSE)</f>
        <v/>
      </c>
      <c r="G113" s="35">
        <f>(F113/F112)-1</f>
        <v/>
      </c>
      <c r="H113" s="35">
        <f>((1+G113)^12)-1</f>
        <v/>
      </c>
      <c r="I113" s="35">
        <f>(Table143454[[#This Row],[Core CPI]]-F101)/F101</f>
        <v/>
      </c>
    </row>
    <row r="114">
      <c r="A114" s="33">
        <f>IF(Data!A141="",#N/A,Data!A141)</f>
        <v/>
      </c>
      <c r="B114" s="34">
        <f>VLOOKUP(A114,Data!A:AX,MATCH($B$2,Data!$B$1:$AX$1,0),FALSE)</f>
        <v/>
      </c>
      <c r="C114" s="35">
        <f>(B114/B113)-1</f>
        <v/>
      </c>
      <c r="D114" s="35">
        <f>((1+C114)^12)-1</f>
        <v/>
      </c>
      <c r="E114" s="35">
        <f>(Table143454[[#This Row],[USA]]-B102)/B102</f>
        <v/>
      </c>
      <c r="F114" s="34">
        <f>VLOOKUP(Table143454[[#This Row],[Date]],'Data Core CPI'!$A:$AX,MATCH($B$2,'Data Core CPI'!$B$1:$AX$1,0),FALSE)</f>
        <v/>
      </c>
      <c r="G114" s="35">
        <f>(F114/F113)-1</f>
        <v/>
      </c>
      <c r="H114" s="35">
        <f>((1+G114)^12)-1</f>
        <v/>
      </c>
      <c r="I114" s="35">
        <f>(Table143454[[#This Row],[Core CPI]]-F102)/F102</f>
        <v/>
      </c>
    </row>
    <row r="115">
      <c r="A115" s="33">
        <f>IF(Data!A142="",#N/A,Data!A142)</f>
        <v/>
      </c>
      <c r="B115" s="34">
        <f>VLOOKUP(A115,Data!A:AX,MATCH($B$2,Data!$B$1:$AX$1,0),FALSE)</f>
        <v/>
      </c>
      <c r="C115" s="35">
        <f>(B115/B114)-1</f>
        <v/>
      </c>
      <c r="D115" s="35">
        <f>((1+C115)^12)-1</f>
        <v/>
      </c>
      <c r="E115" s="35">
        <f>(Table143454[[#This Row],[USA]]-B103)/B103</f>
        <v/>
      </c>
      <c r="F115" s="34">
        <f>VLOOKUP(Table143454[[#This Row],[Date]],'Data Core CPI'!$A:$AX,MATCH($B$2,'Data Core CPI'!$B$1:$AX$1,0),FALSE)</f>
        <v/>
      </c>
      <c r="G115" s="35">
        <f>(F115/F114)-1</f>
        <v/>
      </c>
      <c r="H115" s="35">
        <f>((1+G115)^12)-1</f>
        <v/>
      </c>
      <c r="I115" s="35">
        <f>(Table143454[[#This Row],[Core CPI]]-F103)/F103</f>
        <v/>
      </c>
    </row>
    <row r="116">
      <c r="A116" s="33">
        <f>IF(Data!A143="",#N/A,Data!A143)</f>
        <v/>
      </c>
      <c r="B116" s="34">
        <f>VLOOKUP(A116,Data!A:AX,MATCH($B$2,Data!$B$1:$AX$1,0),FALSE)</f>
        <v/>
      </c>
      <c r="C116" s="35">
        <f>(B116/B115)-1</f>
        <v/>
      </c>
      <c r="D116" s="35">
        <f>((1+C116)^12)-1</f>
        <v/>
      </c>
      <c r="E116" s="35">
        <f>(Table143454[[#This Row],[USA]]-B104)/B104</f>
        <v/>
      </c>
      <c r="F116" s="34">
        <f>VLOOKUP(Table143454[[#This Row],[Date]],'Data Core CPI'!$A:$AX,MATCH($B$2,'Data Core CPI'!$B$1:$AX$1,0),FALSE)</f>
        <v/>
      </c>
      <c r="G116" s="35">
        <f>(F116/F115)-1</f>
        <v/>
      </c>
      <c r="H116" s="35">
        <f>((1+G116)^12)-1</f>
        <v/>
      </c>
      <c r="I116" s="35">
        <f>(Table143454[[#This Row],[Core CPI]]-F104)/F104</f>
        <v/>
      </c>
    </row>
    <row r="117">
      <c r="A117" s="33">
        <f>IF(Data!A144="",#N/A,Data!A144)</f>
        <v/>
      </c>
      <c r="B117" s="34">
        <f>VLOOKUP(A117,Data!A:AX,MATCH($B$2,Data!$B$1:$AX$1,0),FALSE)</f>
        <v/>
      </c>
      <c r="C117" s="35">
        <f>(B117/B116)-1</f>
        <v/>
      </c>
      <c r="D117" s="35">
        <f>((1+C117)^12)-1</f>
        <v/>
      </c>
      <c r="E117" s="35">
        <f>(Table143454[[#This Row],[USA]]-B105)/B105</f>
        <v/>
      </c>
      <c r="F117" s="34">
        <f>VLOOKUP(Table143454[[#This Row],[Date]],'Data Core CPI'!$A:$AX,MATCH($B$2,'Data Core CPI'!$B$1:$AX$1,0),FALSE)</f>
        <v/>
      </c>
      <c r="G117" s="35">
        <f>(F117/F116)-1</f>
        <v/>
      </c>
      <c r="H117" s="35">
        <f>((1+G117)^12)-1</f>
        <v/>
      </c>
      <c r="I117" s="35">
        <f>(Table143454[[#This Row],[Core CPI]]-F105)/F105</f>
        <v/>
      </c>
    </row>
    <row r="118">
      <c r="A118" s="33">
        <f>IF(Data!A145="",#N/A,Data!A145)</f>
        <v/>
      </c>
      <c r="B118" s="34">
        <f>VLOOKUP(A118,Data!A:AX,MATCH($B$2,Data!$B$1:$AX$1,0),FALSE)</f>
        <v/>
      </c>
      <c r="C118" s="35">
        <f>(B118/B117)-1</f>
        <v/>
      </c>
      <c r="D118" s="35">
        <f>((1+C118)^12)-1</f>
        <v/>
      </c>
      <c r="E118" s="35">
        <f>(Table143454[[#This Row],[USA]]-B106)/B106</f>
        <v/>
      </c>
      <c r="F118" s="34">
        <f>VLOOKUP(Table143454[[#This Row],[Date]],'Data Core CPI'!$A:$AX,MATCH($B$2,'Data Core CPI'!$B$1:$AX$1,0),FALSE)</f>
        <v/>
      </c>
      <c r="G118" s="35">
        <f>(F118/F117)-1</f>
        <v/>
      </c>
      <c r="H118" s="35">
        <f>((1+G118)^12)-1</f>
        <v/>
      </c>
      <c r="I118" s="35">
        <f>(Table143454[[#This Row],[Core CPI]]-F106)/F106</f>
        <v/>
      </c>
    </row>
    <row r="119">
      <c r="A119" s="33">
        <f>IF(Data!A146="",#N/A,Data!A146)</f>
        <v/>
      </c>
      <c r="B119" s="34">
        <f>VLOOKUP(A119,Data!A:AX,MATCH($B$2,Data!$B$1:$AX$1,0),FALSE)</f>
        <v/>
      </c>
      <c r="C119" s="35">
        <f>(B119/B118)-1</f>
        <v/>
      </c>
      <c r="D119" s="35">
        <f>((1+C119)^12)-1</f>
        <v/>
      </c>
      <c r="E119" s="35">
        <f>(Table143454[[#This Row],[USA]]-B107)/B107</f>
        <v/>
      </c>
      <c r="F119" s="34">
        <f>VLOOKUP(Table143454[[#This Row],[Date]],'Data Core CPI'!$A:$AX,MATCH($B$2,'Data Core CPI'!$B$1:$AX$1,0),FALSE)</f>
        <v/>
      </c>
      <c r="G119" s="35">
        <f>(F119/F118)-1</f>
        <v/>
      </c>
      <c r="H119" s="35">
        <f>((1+G119)^12)-1</f>
        <v/>
      </c>
      <c r="I119" s="35">
        <f>(Table143454[[#This Row],[Core CPI]]-F107)/F107</f>
        <v/>
      </c>
    </row>
    <row r="120">
      <c r="A120" s="33">
        <f>IF(Data!A147="",#N/A,Data!A147)</f>
        <v/>
      </c>
      <c r="B120" s="34">
        <f>VLOOKUP(A120,Data!A:AX,MATCH($B$2,Data!$B$1:$AX$1,0),FALSE)</f>
        <v/>
      </c>
      <c r="C120" s="35">
        <f>(B120/B119)-1</f>
        <v/>
      </c>
      <c r="D120" s="35">
        <f>((1+C120)^12)-1</f>
        <v/>
      </c>
      <c r="E120" s="35">
        <f>(Table143454[[#This Row],[USA]]-B108)/B108</f>
        <v/>
      </c>
      <c r="F120" s="34">
        <f>VLOOKUP(Table143454[[#This Row],[Date]],'Data Core CPI'!$A:$AX,MATCH($B$2,'Data Core CPI'!$B$1:$AX$1,0),FALSE)</f>
        <v/>
      </c>
      <c r="G120" s="35">
        <f>(F120/F119)-1</f>
        <v/>
      </c>
      <c r="H120" s="35">
        <f>((1+G120)^12)-1</f>
        <v/>
      </c>
      <c r="I120" s="35">
        <f>(Table143454[[#This Row],[Core CPI]]-F108)/F108</f>
        <v/>
      </c>
    </row>
    <row r="121">
      <c r="A121" s="33">
        <f>IF(Data!A148="",#N/A,Data!A148)</f>
        <v/>
      </c>
      <c r="B121" s="34">
        <f>VLOOKUP(A121,Data!A:AX,MATCH($B$2,Data!$B$1:$AX$1,0),FALSE)</f>
        <v/>
      </c>
      <c r="C121" s="35">
        <f>(B121/B120)-1</f>
        <v/>
      </c>
      <c r="D121" s="35">
        <f>((1+C121)^12)-1</f>
        <v/>
      </c>
      <c r="E121" s="35">
        <f>(Table143454[[#This Row],[USA]]-B109)/B109</f>
        <v/>
      </c>
      <c r="F121" s="34">
        <f>VLOOKUP(Table143454[[#This Row],[Date]],'Data Core CPI'!$A:$AX,MATCH($B$2,'Data Core CPI'!$B$1:$AX$1,0),FALSE)</f>
        <v/>
      </c>
      <c r="G121" s="35">
        <f>(F121/F120)-1</f>
        <v/>
      </c>
      <c r="H121" s="35">
        <f>((1+G121)^12)-1</f>
        <v/>
      </c>
      <c r="I121" s="35">
        <f>(Table143454[[#This Row],[Core CPI]]-F109)/F109</f>
        <v/>
      </c>
    </row>
    <row r="122">
      <c r="A122" s="33">
        <f>IF(Data!A149="",#N/A,Data!A149)</f>
        <v/>
      </c>
      <c r="B122" s="34">
        <f>VLOOKUP(A122,Data!A:AX,MATCH($B$2,Data!$B$1:$AX$1,0),FALSE)</f>
        <v/>
      </c>
      <c r="C122" s="35">
        <f>(B122/B121)-1</f>
        <v/>
      </c>
      <c r="D122" s="35">
        <f>((1+C122)^12)-1</f>
        <v/>
      </c>
      <c r="E122" s="35">
        <f>(Table143454[[#This Row],[USA]]-B110)/B110</f>
        <v/>
      </c>
      <c r="F122" s="34">
        <f>VLOOKUP(Table143454[[#This Row],[Date]],'Data Core CPI'!$A:$AX,MATCH($B$2,'Data Core CPI'!$B$1:$AX$1,0),FALSE)</f>
        <v/>
      </c>
      <c r="G122" s="35">
        <f>(F122/F121)-1</f>
        <v/>
      </c>
      <c r="H122" s="35">
        <f>((1+G122)^12)-1</f>
        <v/>
      </c>
      <c r="I122" s="35">
        <f>(Table143454[[#This Row],[Core CPI]]-F110)/F110</f>
        <v/>
      </c>
    </row>
    <row r="123">
      <c r="A123" s="33">
        <f>IF(Data!A150="",#N/A,Data!A150)</f>
        <v/>
      </c>
      <c r="B123" s="34">
        <f>VLOOKUP(A123,Data!A:AX,MATCH($B$2,Data!$B$1:$AX$1,0),FALSE)</f>
        <v/>
      </c>
      <c r="C123" s="35">
        <f>(B123/B122)-1</f>
        <v/>
      </c>
      <c r="D123" s="35">
        <f>((1+C123)^12)-1</f>
        <v/>
      </c>
      <c r="E123" s="35">
        <f>(Table143454[[#This Row],[USA]]-B111)/B111</f>
        <v/>
      </c>
      <c r="F123" s="34">
        <f>VLOOKUP(Table143454[[#This Row],[Date]],'Data Core CPI'!$A:$AX,MATCH($B$2,'Data Core CPI'!$B$1:$AX$1,0),FALSE)</f>
        <v/>
      </c>
      <c r="G123" s="35">
        <f>(F123/F122)-1</f>
        <v/>
      </c>
      <c r="H123" s="35">
        <f>((1+G123)^12)-1</f>
        <v/>
      </c>
      <c r="I123" s="35">
        <f>(Table143454[[#This Row],[Core CPI]]-F111)/F111</f>
        <v/>
      </c>
    </row>
    <row r="124">
      <c r="A124" s="33">
        <f>IF(Data!A151="",#N/A,Data!A151)</f>
        <v/>
      </c>
      <c r="B124" s="34">
        <f>VLOOKUP(A124,Data!A:AX,MATCH($B$2,Data!$B$1:$AX$1,0),FALSE)</f>
        <v/>
      </c>
      <c r="C124" s="35">
        <f>(B124/B123)-1</f>
        <v/>
      </c>
      <c r="D124" s="35">
        <f>((1+C124)^12)-1</f>
        <v/>
      </c>
      <c r="E124" s="35">
        <f>(Table143454[[#This Row],[USA]]-B112)/B112</f>
        <v/>
      </c>
      <c r="F124" s="34">
        <f>VLOOKUP(Table143454[[#This Row],[Date]],'Data Core CPI'!$A:$AX,MATCH($B$2,'Data Core CPI'!$B$1:$AX$1,0),FALSE)</f>
        <v/>
      </c>
      <c r="G124" s="35">
        <f>(F124/F123)-1</f>
        <v/>
      </c>
      <c r="H124" s="35">
        <f>((1+G124)^12)-1</f>
        <v/>
      </c>
      <c r="I124" s="35">
        <f>(Table143454[[#This Row],[Core CPI]]-F112)/F112</f>
        <v/>
      </c>
    </row>
    <row r="125">
      <c r="A125" s="33">
        <f>IF(Data!A152="",#N/A,Data!A152)</f>
        <v/>
      </c>
      <c r="B125" s="34">
        <f>VLOOKUP(A125,Data!A:AX,MATCH($B$2,Data!$B$1:$AX$1,0),FALSE)</f>
        <v/>
      </c>
      <c r="C125" s="35">
        <f>(B125/B124)-1</f>
        <v/>
      </c>
      <c r="D125" s="35">
        <f>((1+C125)^12)-1</f>
        <v/>
      </c>
      <c r="E125" s="35">
        <f>(Table143454[[#This Row],[USA]]-B113)/B113</f>
        <v/>
      </c>
      <c r="F125" s="34">
        <f>VLOOKUP(Table143454[[#This Row],[Date]],'Data Core CPI'!$A:$AX,MATCH($B$2,'Data Core CPI'!$B$1:$AX$1,0),FALSE)</f>
        <v/>
      </c>
      <c r="G125" s="35">
        <f>(F125/F124)-1</f>
        <v/>
      </c>
      <c r="H125" s="35">
        <f>((1+G125)^12)-1</f>
        <v/>
      </c>
      <c r="I125" s="35">
        <f>(Table143454[[#This Row],[Core CPI]]-F113)/F113</f>
        <v/>
      </c>
    </row>
    <row r="126">
      <c r="A126" s="33">
        <f>IF(Data!A153="",#N/A,Data!A153)</f>
        <v/>
      </c>
      <c r="B126" s="34">
        <f>VLOOKUP(A126,Data!A:AX,MATCH($B$2,Data!$B$1:$AX$1,0),FALSE)</f>
        <v/>
      </c>
      <c r="C126" s="35">
        <f>(B126/B125)-1</f>
        <v/>
      </c>
      <c r="D126" s="35">
        <f>((1+C126)^12)-1</f>
        <v/>
      </c>
      <c r="E126" s="35">
        <f>(Table143454[[#This Row],[USA]]-B114)/B114</f>
        <v/>
      </c>
      <c r="F126" s="34">
        <f>VLOOKUP(Table143454[[#This Row],[Date]],'Data Core CPI'!$A:$AX,MATCH($B$2,'Data Core CPI'!$B$1:$AX$1,0),FALSE)</f>
        <v/>
      </c>
      <c r="G126" s="35">
        <f>(F126/F125)-1</f>
        <v/>
      </c>
      <c r="H126" s="35">
        <f>((1+G126)^12)-1</f>
        <v/>
      </c>
      <c r="I126" s="35">
        <f>(Table143454[[#This Row],[Core CPI]]-F114)/F114</f>
        <v/>
      </c>
    </row>
    <row r="127">
      <c r="A127" s="33">
        <f>IF(Data!A154="",#N/A,Data!A154)</f>
        <v/>
      </c>
      <c r="B127" s="34">
        <f>VLOOKUP(A127,Data!A:AX,MATCH($B$2,Data!$B$1:$AX$1,0),FALSE)</f>
        <v/>
      </c>
      <c r="C127" s="35">
        <f>(B127/B126)-1</f>
        <v/>
      </c>
      <c r="D127" s="35">
        <f>((1+C127)^12)-1</f>
        <v/>
      </c>
      <c r="E127" s="35">
        <f>(Table143454[[#This Row],[USA]]-B115)/B115</f>
        <v/>
      </c>
      <c r="F127" s="34">
        <f>VLOOKUP(Table143454[[#This Row],[Date]],'Data Core CPI'!$A:$AX,MATCH($B$2,'Data Core CPI'!$B$1:$AX$1,0),FALSE)</f>
        <v/>
      </c>
      <c r="G127" s="35">
        <f>(F127/F126)-1</f>
        <v/>
      </c>
      <c r="H127" s="35">
        <f>((1+G127)^12)-1</f>
        <v/>
      </c>
      <c r="I127" s="35">
        <f>(Table143454[[#This Row],[Core CPI]]-F115)/F115</f>
        <v/>
      </c>
    </row>
    <row r="128">
      <c r="A128" s="33">
        <f>IF(Data!A155="",#N/A,Data!A155)</f>
        <v/>
      </c>
      <c r="B128" s="34">
        <f>VLOOKUP(A128,Data!A:AX,MATCH($B$2,Data!$B$1:$AX$1,0),FALSE)</f>
        <v/>
      </c>
      <c r="C128" s="35">
        <f>(B128/B127)-1</f>
        <v/>
      </c>
      <c r="D128" s="35">
        <f>((1+C128)^12)-1</f>
        <v/>
      </c>
      <c r="E128" s="35">
        <f>(Table143454[[#This Row],[USA]]-B116)/B116</f>
        <v/>
      </c>
      <c r="F128" s="34">
        <f>VLOOKUP(Table143454[[#This Row],[Date]],'Data Core CPI'!$A:$AX,MATCH($B$2,'Data Core CPI'!$B$1:$AX$1,0),FALSE)</f>
        <v/>
      </c>
      <c r="G128" s="35">
        <f>(F128/F127)-1</f>
        <v/>
      </c>
      <c r="H128" s="35">
        <f>((1+G128)^12)-1</f>
        <v/>
      </c>
      <c r="I128" s="35">
        <f>(Table143454[[#This Row],[Core CPI]]-F116)/F116</f>
        <v/>
      </c>
    </row>
    <row r="129">
      <c r="A129" s="33">
        <f>IF(Data!A156="",#N/A,Data!A156)</f>
        <v/>
      </c>
      <c r="B129" s="34">
        <f>VLOOKUP(A129,Data!A:AX,MATCH($B$2,Data!$B$1:$AX$1,0),FALSE)</f>
        <v/>
      </c>
      <c r="C129" s="35">
        <f>(B129/B128)-1</f>
        <v/>
      </c>
      <c r="D129" s="35">
        <f>((1+C129)^12)-1</f>
        <v/>
      </c>
      <c r="E129" s="35">
        <f>(Table143454[[#This Row],[USA]]-B117)/B117</f>
        <v/>
      </c>
      <c r="F129" s="34">
        <f>VLOOKUP(Table143454[[#This Row],[Date]],'Data Core CPI'!$A:$AX,MATCH($B$2,'Data Core CPI'!$B$1:$AX$1,0),FALSE)</f>
        <v/>
      </c>
      <c r="G129" s="35">
        <f>(F129/F128)-1</f>
        <v/>
      </c>
      <c r="H129" s="35">
        <f>((1+G129)^12)-1</f>
        <v/>
      </c>
      <c r="I129" s="35">
        <f>(Table143454[[#This Row],[Core CPI]]-F117)/F117</f>
        <v/>
      </c>
    </row>
    <row r="130">
      <c r="A130" s="33">
        <f>IF(Data!A157="",#N/A,Data!A157)</f>
        <v/>
      </c>
      <c r="B130" s="34">
        <f>VLOOKUP(A130,Data!A:AX,MATCH($B$2,Data!$B$1:$AX$1,0),FALSE)</f>
        <v/>
      </c>
      <c r="C130" s="35">
        <f>(B130/B129)-1</f>
        <v/>
      </c>
      <c r="D130" s="35">
        <f>((1+C130)^12)-1</f>
        <v/>
      </c>
      <c r="E130" s="35">
        <f>(Table143454[[#This Row],[USA]]-B118)/B118</f>
        <v/>
      </c>
      <c r="F130" s="34">
        <f>VLOOKUP(Table143454[[#This Row],[Date]],'Data Core CPI'!$A:$AX,MATCH($B$2,'Data Core CPI'!$B$1:$AX$1,0),FALSE)</f>
        <v/>
      </c>
      <c r="G130" s="35">
        <f>(F130/F129)-1</f>
        <v/>
      </c>
      <c r="H130" s="35">
        <f>((1+G130)^12)-1</f>
        <v/>
      </c>
      <c r="I130" s="35">
        <f>(Table143454[[#This Row],[Core CPI]]-F118)/F118</f>
        <v/>
      </c>
    </row>
    <row r="131">
      <c r="A131" s="33">
        <f>IF(Data!A158="",#N/A,Data!A158)</f>
        <v/>
      </c>
      <c r="B131" s="34">
        <f>VLOOKUP(A131,Data!A:AX,MATCH($B$2,Data!$B$1:$AX$1,0),FALSE)</f>
        <v/>
      </c>
      <c r="C131" s="35">
        <f>(B131/B130)-1</f>
        <v/>
      </c>
      <c r="D131" s="35">
        <f>((1+C131)^12)-1</f>
        <v/>
      </c>
      <c r="E131" s="35">
        <f>(Table143454[[#This Row],[USA]]-B119)/B119</f>
        <v/>
      </c>
      <c r="F131" s="34">
        <f>VLOOKUP(Table143454[[#This Row],[Date]],'Data Core CPI'!$A:$AX,MATCH($B$2,'Data Core CPI'!$B$1:$AX$1,0),FALSE)</f>
        <v/>
      </c>
      <c r="G131" s="35">
        <f>(F131/F130)-1</f>
        <v/>
      </c>
      <c r="H131" s="35">
        <f>((1+G131)^12)-1</f>
        <v/>
      </c>
      <c r="I131" s="35">
        <f>(Table143454[[#This Row],[Core CPI]]-F119)/F119</f>
        <v/>
      </c>
    </row>
    <row r="132">
      <c r="A132" s="33">
        <f>IF(Data!A159="",#N/A,Data!A159)</f>
        <v/>
      </c>
      <c r="B132" s="34">
        <f>VLOOKUP(A132,Data!A:AX,MATCH($B$2,Data!$B$1:$AX$1,0),FALSE)</f>
        <v/>
      </c>
      <c r="C132" s="35">
        <f>(B132/B131)-1</f>
        <v/>
      </c>
      <c r="D132" s="35">
        <f>((1+C132)^12)-1</f>
        <v/>
      </c>
      <c r="E132" s="35">
        <f>(Table143454[[#This Row],[USA]]-B120)/B120</f>
        <v/>
      </c>
      <c r="F132" s="34">
        <f>VLOOKUP(Table143454[[#This Row],[Date]],'Data Core CPI'!$A:$AX,MATCH($B$2,'Data Core CPI'!$B$1:$AX$1,0),FALSE)</f>
        <v/>
      </c>
      <c r="G132" s="35">
        <f>(F132/F131)-1</f>
        <v/>
      </c>
      <c r="H132" s="35">
        <f>((1+G132)^12)-1</f>
        <v/>
      </c>
      <c r="I132" s="35">
        <f>(Table143454[[#This Row],[Core CPI]]-F120)/F120</f>
        <v/>
      </c>
    </row>
    <row r="133">
      <c r="A133" s="33">
        <f>IF(Data!A160="",#N/A,Data!A160)</f>
        <v/>
      </c>
      <c r="B133" s="34">
        <f>VLOOKUP(A133,Data!A:AX,MATCH($B$2,Data!$B$1:$AX$1,0),FALSE)</f>
        <v/>
      </c>
      <c r="C133" s="35">
        <f>(B133/B132)-1</f>
        <v/>
      </c>
      <c r="D133" s="35">
        <f>((1+C133)^12)-1</f>
        <v/>
      </c>
      <c r="E133" s="35">
        <f>(Table143454[[#This Row],[USA]]-B121)/B121</f>
        <v/>
      </c>
      <c r="F133" s="34">
        <f>VLOOKUP(Table143454[[#This Row],[Date]],'Data Core CPI'!$A:$AX,MATCH($B$2,'Data Core CPI'!$B$1:$AX$1,0),FALSE)</f>
        <v/>
      </c>
      <c r="G133" s="35">
        <f>(F133/F132)-1</f>
        <v/>
      </c>
      <c r="H133" s="35">
        <f>((1+G133)^12)-1</f>
        <v/>
      </c>
      <c r="I133" s="35">
        <f>(Table143454[[#This Row],[Core CPI]]-F121)/F121</f>
        <v/>
      </c>
    </row>
    <row r="134">
      <c r="A134" s="33">
        <f>IF(Data!A161="",#N/A,Data!A161)</f>
        <v/>
      </c>
      <c r="B134" s="34">
        <f>VLOOKUP(A134,Data!A:AX,MATCH($B$2,Data!$B$1:$AX$1,0),FALSE)</f>
        <v/>
      </c>
      <c r="C134" s="35">
        <f>(B134/B133)-1</f>
        <v/>
      </c>
      <c r="D134" s="35">
        <f>((1+C134)^12)-1</f>
        <v/>
      </c>
      <c r="E134" s="35">
        <f>(Table143454[[#This Row],[USA]]-B122)/B122</f>
        <v/>
      </c>
      <c r="F134" s="34">
        <f>VLOOKUP(Table143454[[#This Row],[Date]],'Data Core CPI'!$A:$AX,MATCH($B$2,'Data Core CPI'!$B$1:$AX$1,0),FALSE)</f>
        <v/>
      </c>
      <c r="G134" s="35">
        <f>(F134/F133)-1</f>
        <v/>
      </c>
      <c r="H134" s="35">
        <f>((1+G134)^12)-1</f>
        <v/>
      </c>
      <c r="I134" s="35">
        <f>(Table143454[[#This Row],[Core CPI]]-F122)/F122</f>
        <v/>
      </c>
    </row>
    <row r="135">
      <c r="A135" s="33">
        <f>IF(Data!A162="",#N/A,Data!A162)</f>
        <v/>
      </c>
      <c r="B135" s="34">
        <f>VLOOKUP(A135,Data!A:AX,MATCH($B$2,Data!$B$1:$AX$1,0),FALSE)</f>
        <v/>
      </c>
      <c r="C135" s="35">
        <f>(B135/B134)-1</f>
        <v/>
      </c>
      <c r="D135" s="35">
        <f>((1+C135)^12)-1</f>
        <v/>
      </c>
      <c r="E135" s="35">
        <f>(Table143454[[#This Row],[USA]]-B123)/B123</f>
        <v/>
      </c>
      <c r="F135" s="34">
        <f>VLOOKUP(Table143454[[#This Row],[Date]],'Data Core CPI'!$A:$AX,MATCH($B$2,'Data Core CPI'!$B$1:$AX$1,0),FALSE)</f>
        <v/>
      </c>
      <c r="G135" s="35">
        <f>(F135/F134)-1</f>
        <v/>
      </c>
      <c r="H135" s="35">
        <f>((1+G135)^12)-1</f>
        <v/>
      </c>
      <c r="I135" s="35">
        <f>(Table143454[[#This Row],[Core CPI]]-F123)/F123</f>
        <v/>
      </c>
    </row>
    <row r="136">
      <c r="A136" s="33">
        <f>IF(Data!A163="",#N/A,Data!A163)</f>
        <v/>
      </c>
      <c r="B136" s="34">
        <f>VLOOKUP(A136,Data!A:AX,MATCH($B$2,Data!$B$1:$AX$1,0),FALSE)</f>
        <v/>
      </c>
      <c r="C136" s="35">
        <f>(B136/B135)-1</f>
        <v/>
      </c>
      <c r="D136" s="35">
        <f>((1+C136)^12)-1</f>
        <v/>
      </c>
      <c r="E136" s="35">
        <f>(Table143454[[#This Row],[USA]]-B124)/B124</f>
        <v/>
      </c>
      <c r="F136" s="34">
        <f>VLOOKUP(Table143454[[#This Row],[Date]],'Data Core CPI'!$A:$AX,MATCH($B$2,'Data Core CPI'!$B$1:$AX$1,0),FALSE)</f>
        <v/>
      </c>
      <c r="G136" s="35">
        <f>(F136/F135)-1</f>
        <v/>
      </c>
      <c r="H136" s="35">
        <f>((1+G136)^12)-1</f>
        <v/>
      </c>
      <c r="I136" s="35">
        <f>(Table143454[[#This Row],[Core CPI]]-F124)/F124</f>
        <v/>
      </c>
    </row>
    <row r="137">
      <c r="A137" s="33">
        <f>IF(Data!A164="",#N/A,Data!A164)</f>
        <v/>
      </c>
      <c r="B137" s="34">
        <f>VLOOKUP(A137,Data!A:AX,MATCH($B$2,Data!$B$1:$AX$1,0),FALSE)</f>
        <v/>
      </c>
      <c r="C137" s="35">
        <f>(B137/B136)-1</f>
        <v/>
      </c>
      <c r="D137" s="35">
        <f>((1+C137)^12)-1</f>
        <v/>
      </c>
      <c r="E137" s="35">
        <f>(Table143454[[#This Row],[USA]]-B125)/B125</f>
        <v/>
      </c>
      <c r="F137" s="34">
        <f>VLOOKUP(Table143454[[#This Row],[Date]],'Data Core CPI'!$A:$AX,MATCH($B$2,'Data Core CPI'!$B$1:$AX$1,0),FALSE)</f>
        <v/>
      </c>
      <c r="G137" s="35">
        <f>(F137/F136)-1</f>
        <v/>
      </c>
      <c r="H137" s="35">
        <f>((1+G137)^12)-1</f>
        <v/>
      </c>
      <c r="I137" s="35">
        <f>(Table143454[[#This Row],[Core CPI]]-F125)/F125</f>
        <v/>
      </c>
    </row>
    <row r="138">
      <c r="A138" s="33">
        <f>IF(Data!A165="",#N/A,Data!A165)</f>
        <v/>
      </c>
      <c r="B138" s="34">
        <f>VLOOKUP(A138,Data!A:AX,MATCH($B$2,Data!$B$1:$AX$1,0),FALSE)</f>
        <v/>
      </c>
      <c r="C138" s="35">
        <f>(B138/B137)-1</f>
        <v/>
      </c>
      <c r="D138" s="35">
        <f>((1+C138)^12)-1</f>
        <v/>
      </c>
      <c r="E138" s="35">
        <f>(Table143454[[#This Row],[USA]]-B126)/B126</f>
        <v/>
      </c>
      <c r="F138" s="34">
        <f>VLOOKUP(Table143454[[#This Row],[Date]],'Data Core CPI'!$A:$AX,MATCH($B$2,'Data Core CPI'!$B$1:$AX$1,0),FALSE)</f>
        <v/>
      </c>
      <c r="G138" s="35">
        <f>(F138/F137)-1</f>
        <v/>
      </c>
      <c r="H138" s="35">
        <f>((1+G138)^12)-1</f>
        <v/>
      </c>
      <c r="I138" s="35">
        <f>(Table143454[[#This Row],[Core CPI]]-F126)/F126</f>
        <v/>
      </c>
    </row>
    <row r="139">
      <c r="A139" s="33">
        <f>IF(Data!A166="",#N/A,Data!A166)</f>
        <v/>
      </c>
      <c r="B139" s="34">
        <f>VLOOKUP(A139,Data!A:AX,MATCH($B$2,Data!$B$1:$AX$1,0),FALSE)</f>
        <v/>
      </c>
      <c r="C139" s="35">
        <f>(B139/B138)-1</f>
        <v/>
      </c>
      <c r="D139" s="35">
        <f>((1+C139)^12)-1</f>
        <v/>
      </c>
      <c r="E139" s="35">
        <f>(Table143454[[#This Row],[USA]]-B127)/B127</f>
        <v/>
      </c>
      <c r="F139" s="34">
        <f>VLOOKUP(Table143454[[#This Row],[Date]],'Data Core CPI'!$A:$AX,MATCH($B$2,'Data Core CPI'!$B$1:$AX$1,0),FALSE)</f>
        <v/>
      </c>
      <c r="G139" s="35">
        <f>(F139/F138)-1</f>
        <v/>
      </c>
      <c r="H139" s="35">
        <f>((1+G139)^12)-1</f>
        <v/>
      </c>
      <c r="I139" s="35">
        <f>(Table143454[[#This Row],[Core CPI]]-F127)/F127</f>
        <v/>
      </c>
    </row>
    <row r="140">
      <c r="A140" s="33">
        <f>IF(Data!A167="",#N/A,Data!A167)</f>
        <v/>
      </c>
      <c r="B140" s="34">
        <f>VLOOKUP(A140,Data!A:AX,MATCH($B$2,Data!$B$1:$AX$1,0),FALSE)</f>
        <v/>
      </c>
      <c r="C140" s="35">
        <f>(B140/B139)-1</f>
        <v/>
      </c>
      <c r="D140" s="35">
        <f>((1+C140)^12)-1</f>
        <v/>
      </c>
      <c r="E140" s="35">
        <f>(Table143454[[#This Row],[USA]]-B128)/B128</f>
        <v/>
      </c>
      <c r="F140" s="34">
        <f>VLOOKUP(Table143454[[#This Row],[Date]],'Data Core CPI'!$A:$AX,MATCH($B$2,'Data Core CPI'!$B$1:$AX$1,0),FALSE)</f>
        <v/>
      </c>
      <c r="G140" s="35">
        <f>(F140/F139)-1</f>
        <v/>
      </c>
      <c r="H140" s="35">
        <f>((1+G140)^12)-1</f>
        <v/>
      </c>
      <c r="I140" s="35">
        <f>(Table143454[[#This Row],[Core CPI]]-F128)/F128</f>
        <v/>
      </c>
    </row>
    <row r="141">
      <c r="A141" s="33">
        <f>IF(Data!A168="",#N/A,Data!A168)</f>
        <v/>
      </c>
      <c r="B141" s="34">
        <f>VLOOKUP(A141,Data!A:AX,MATCH($B$2,Data!$B$1:$AX$1,0),FALSE)</f>
        <v/>
      </c>
      <c r="C141" s="35">
        <f>(B141/B140)-1</f>
        <v/>
      </c>
      <c r="D141" s="35">
        <f>((1+C141)^12)-1</f>
        <v/>
      </c>
      <c r="E141" s="35">
        <f>(Table143454[[#This Row],[USA]]-B129)/B129</f>
        <v/>
      </c>
      <c r="F141" s="34">
        <f>VLOOKUP(Table143454[[#This Row],[Date]],'Data Core CPI'!$A:$AX,MATCH($B$2,'Data Core CPI'!$B$1:$AX$1,0),FALSE)</f>
        <v/>
      </c>
      <c r="G141" s="35">
        <f>(F141/F140)-1</f>
        <v/>
      </c>
      <c r="H141" s="35">
        <f>((1+G141)^12)-1</f>
        <v/>
      </c>
      <c r="I141" s="35">
        <f>(Table143454[[#This Row],[Core CPI]]-F129)/F129</f>
        <v/>
      </c>
    </row>
    <row r="142">
      <c r="A142" s="33">
        <f>IF(Data!A169="",#N/A,Data!A169)</f>
        <v/>
      </c>
      <c r="B142" s="34">
        <f>VLOOKUP(A142,Data!A:AX,MATCH($B$2,Data!$B$1:$AX$1,0),FALSE)</f>
        <v/>
      </c>
      <c r="C142" s="35">
        <f>(B142/B141)-1</f>
        <v/>
      </c>
      <c r="D142" s="35">
        <f>((1+C142)^12)-1</f>
        <v/>
      </c>
      <c r="E142" s="35">
        <f>(Table143454[[#This Row],[USA]]-B130)/B130</f>
        <v/>
      </c>
      <c r="F142" s="34">
        <f>VLOOKUP(Table143454[[#This Row],[Date]],'Data Core CPI'!$A:$AX,MATCH($B$2,'Data Core CPI'!$B$1:$AX$1,0),FALSE)</f>
        <v/>
      </c>
      <c r="G142" s="35">
        <f>(F142/F141)-1</f>
        <v/>
      </c>
      <c r="H142" s="35">
        <f>((1+G142)^12)-1</f>
        <v/>
      </c>
      <c r="I142" s="35">
        <f>(Table143454[[#This Row],[Core CPI]]-F130)/F130</f>
        <v/>
      </c>
    </row>
    <row r="143">
      <c r="A143" s="33">
        <f>IF(Data!A170="",#N/A,Data!A170)</f>
        <v/>
      </c>
      <c r="B143" s="34">
        <f>VLOOKUP(A143,Data!A:AX,MATCH($B$2,Data!$B$1:$AX$1,0),FALSE)</f>
        <v/>
      </c>
      <c r="C143" s="35">
        <f>(B143/B142)-1</f>
        <v/>
      </c>
      <c r="D143" s="35">
        <f>((1+C143)^12)-1</f>
        <v/>
      </c>
      <c r="E143" s="35">
        <f>(Table143454[[#This Row],[USA]]-B131)/B131</f>
        <v/>
      </c>
      <c r="F143" s="34">
        <f>VLOOKUP(Table143454[[#This Row],[Date]],'Data Core CPI'!$A:$AX,MATCH($B$2,'Data Core CPI'!$B$1:$AX$1,0),FALSE)</f>
        <v/>
      </c>
      <c r="G143" s="35">
        <f>(F143/F142)-1</f>
        <v/>
      </c>
      <c r="H143" s="35">
        <f>((1+G143)^12)-1</f>
        <v/>
      </c>
      <c r="I143" s="35">
        <f>(Table143454[[#This Row],[Core CPI]]-F131)/F131</f>
        <v/>
      </c>
    </row>
    <row r="144">
      <c r="A144" s="33">
        <f>IF(Data!A171="",#N/A,Data!A171)</f>
        <v/>
      </c>
      <c r="B144" s="34">
        <f>VLOOKUP(A144,Data!A:AX,MATCH($B$2,Data!$B$1:$AX$1,0),FALSE)</f>
        <v/>
      </c>
      <c r="C144" s="35">
        <f>(B144/B143)-1</f>
        <v/>
      </c>
      <c r="D144" s="35">
        <f>((1+C144)^12)-1</f>
        <v/>
      </c>
      <c r="E144" s="35">
        <f>(Table143454[[#This Row],[USA]]-B132)/B132</f>
        <v/>
      </c>
      <c r="F144" s="34">
        <f>VLOOKUP(Table143454[[#This Row],[Date]],'Data Core CPI'!$A:$AX,MATCH($B$2,'Data Core CPI'!$B$1:$AX$1,0),FALSE)</f>
        <v/>
      </c>
      <c r="G144" s="35">
        <f>(F144/F143)-1</f>
        <v/>
      </c>
      <c r="H144" s="35">
        <f>((1+G144)^12)-1</f>
        <v/>
      </c>
      <c r="I144" s="35">
        <f>(Table143454[[#This Row],[Core CPI]]-F132)/F132</f>
        <v/>
      </c>
    </row>
    <row r="145">
      <c r="A145" s="33">
        <f>IF(Data!A172="",#N/A,Data!A172)</f>
        <v/>
      </c>
      <c r="B145" s="34">
        <f>VLOOKUP(A145,Data!A:AX,MATCH($B$2,Data!$B$1:$AX$1,0),FALSE)</f>
        <v/>
      </c>
      <c r="C145" s="35">
        <f>(B145/B144)-1</f>
        <v/>
      </c>
      <c r="D145" s="35">
        <f>((1+C145)^12)-1</f>
        <v/>
      </c>
      <c r="E145" s="35">
        <f>(Table143454[[#This Row],[USA]]-B133)/B133</f>
        <v/>
      </c>
      <c r="F145" s="34">
        <f>VLOOKUP(Table143454[[#This Row],[Date]],'Data Core CPI'!$A:$AX,MATCH($B$2,'Data Core CPI'!$B$1:$AX$1,0),FALSE)</f>
        <v/>
      </c>
      <c r="G145" s="35">
        <f>(F145/F144)-1</f>
        <v/>
      </c>
      <c r="H145" s="35">
        <f>((1+G145)^12)-1</f>
        <v/>
      </c>
      <c r="I145" s="35">
        <f>(Table143454[[#This Row],[Core CPI]]-F133)/F133</f>
        <v/>
      </c>
    </row>
    <row r="146">
      <c r="A146" s="33">
        <f>IF(Data!A173="",#N/A,Data!A173)</f>
        <v/>
      </c>
      <c r="B146" s="34">
        <f>VLOOKUP(A146,Data!A:AX,MATCH($B$2,Data!$B$1:$AX$1,0),FALSE)</f>
        <v/>
      </c>
      <c r="C146" s="35">
        <f>(B146/B145)-1</f>
        <v/>
      </c>
      <c r="D146" s="35">
        <f>((1+C146)^12)-1</f>
        <v/>
      </c>
      <c r="E146" s="35">
        <f>(Table143454[[#This Row],[USA]]-B134)/B134</f>
        <v/>
      </c>
      <c r="F146" s="34">
        <f>VLOOKUP(Table143454[[#This Row],[Date]],'Data Core CPI'!$A:$AX,MATCH($B$2,'Data Core CPI'!$B$1:$AX$1,0),FALSE)</f>
        <v/>
      </c>
      <c r="G146" s="35">
        <f>(F146/F145)-1</f>
        <v/>
      </c>
      <c r="H146" s="35">
        <f>((1+G146)^12)-1</f>
        <v/>
      </c>
      <c r="I146" s="35">
        <f>(Table143454[[#This Row],[Core CPI]]-F134)/F134</f>
        <v/>
      </c>
    </row>
    <row r="147">
      <c r="A147" s="33">
        <f>IF(Data!A174="",#N/A,Data!A174)</f>
        <v/>
      </c>
      <c r="B147" s="34">
        <f>VLOOKUP(A147,Data!A:AX,MATCH($B$2,Data!$B$1:$AX$1,0),FALSE)</f>
        <v/>
      </c>
      <c r="C147" s="35">
        <f>(B147/B146)-1</f>
        <v/>
      </c>
      <c r="D147" s="35">
        <f>((1+C147)^12)-1</f>
        <v/>
      </c>
      <c r="E147" s="35">
        <f>(Table143454[[#This Row],[USA]]-B135)/B135</f>
        <v/>
      </c>
      <c r="F147" s="34">
        <f>VLOOKUP(Table143454[[#This Row],[Date]],'Data Core CPI'!$A:$AX,MATCH($B$2,'Data Core CPI'!$B$1:$AX$1,0),FALSE)</f>
        <v/>
      </c>
      <c r="G147" s="35">
        <f>(F147/F146)-1</f>
        <v/>
      </c>
      <c r="H147" s="35">
        <f>((1+G147)^12)-1</f>
        <v/>
      </c>
      <c r="I147" s="35">
        <f>(Table143454[[#This Row],[Core CPI]]-F135)/F135</f>
        <v/>
      </c>
    </row>
    <row r="148">
      <c r="A148" s="33">
        <f>IF(Data!A175="",#N/A,Data!A175)</f>
        <v/>
      </c>
      <c r="B148" s="34">
        <f>VLOOKUP(A148,Data!A:AX,MATCH($B$2,Data!$B$1:$AX$1,0),FALSE)</f>
        <v/>
      </c>
      <c r="C148" s="35">
        <f>(B148/B147)-1</f>
        <v/>
      </c>
      <c r="D148" s="35">
        <f>((1+C148)^12)-1</f>
        <v/>
      </c>
      <c r="E148" s="35">
        <f>(Table143454[[#This Row],[USA]]-B136)/B136</f>
        <v/>
      </c>
      <c r="F148" s="34">
        <f>VLOOKUP(Table143454[[#This Row],[Date]],'Data Core CPI'!$A:$AX,MATCH($B$2,'Data Core CPI'!$B$1:$AX$1,0),FALSE)</f>
        <v/>
      </c>
      <c r="G148" s="35">
        <f>(F148/F147)-1</f>
        <v/>
      </c>
      <c r="H148" s="35">
        <f>((1+G148)^12)-1</f>
        <v/>
      </c>
      <c r="I148" s="35">
        <f>(Table143454[[#This Row],[Core CPI]]-F136)/F136</f>
        <v/>
      </c>
    </row>
    <row r="149">
      <c r="A149" s="33">
        <f>IF(Data!A176="",#N/A,Data!A176)</f>
        <v/>
      </c>
      <c r="B149" s="34">
        <f>VLOOKUP(A149,Data!A:AX,MATCH($B$2,Data!$B$1:$AX$1,0),FALSE)</f>
        <v/>
      </c>
      <c r="C149" s="35">
        <f>(B149/B148)-1</f>
        <v/>
      </c>
      <c r="D149" s="35">
        <f>((1+C149)^12)-1</f>
        <v/>
      </c>
      <c r="E149" s="35">
        <f>(Table143454[[#This Row],[USA]]-B137)/B137</f>
        <v/>
      </c>
      <c r="F149" s="34">
        <f>VLOOKUP(Table143454[[#This Row],[Date]],'Data Core CPI'!$A:$AX,MATCH($B$2,'Data Core CPI'!$B$1:$AX$1,0),FALSE)</f>
        <v/>
      </c>
      <c r="G149" s="35">
        <f>(F149/F148)-1</f>
        <v/>
      </c>
      <c r="H149" s="35">
        <f>((1+G149)^12)-1</f>
        <v/>
      </c>
      <c r="I149" s="35">
        <f>(Table143454[[#This Row],[Core CPI]]-F137)/F137</f>
        <v/>
      </c>
    </row>
    <row r="150">
      <c r="A150" s="33">
        <f>IF(Data!A177="",#N/A,Data!A177)</f>
        <v/>
      </c>
      <c r="B150" s="34">
        <f>VLOOKUP(A150,Data!A:AX,MATCH($B$2,Data!$B$1:$AX$1,0),FALSE)</f>
        <v/>
      </c>
      <c r="C150" s="35">
        <f>(B150/B149)-1</f>
        <v/>
      </c>
      <c r="D150" s="35">
        <f>((1+C150)^12)-1</f>
        <v/>
      </c>
      <c r="E150" s="35">
        <f>(Table143454[[#This Row],[USA]]-B138)/B138</f>
        <v/>
      </c>
      <c r="F150" s="34">
        <f>VLOOKUP(Table143454[[#This Row],[Date]],'Data Core CPI'!$A:$AX,MATCH($B$2,'Data Core CPI'!$B$1:$AX$1,0),FALSE)</f>
        <v/>
      </c>
      <c r="G150" s="35">
        <f>(F150/F149)-1</f>
        <v/>
      </c>
      <c r="H150" s="35">
        <f>((1+G150)^12)-1</f>
        <v/>
      </c>
      <c r="I150" s="35">
        <f>(Table143454[[#This Row],[Core CPI]]-F138)/F138</f>
        <v/>
      </c>
    </row>
    <row r="151">
      <c r="A151" s="33">
        <f>IF(Data!A178="",#N/A,Data!A178)</f>
        <v/>
      </c>
      <c r="B151" s="34">
        <f>VLOOKUP(A151,Data!A:AX,MATCH($B$2,Data!$B$1:$AX$1,0),FALSE)</f>
        <v/>
      </c>
      <c r="C151" s="35">
        <f>(B151/B150)-1</f>
        <v/>
      </c>
      <c r="D151" s="35">
        <f>((1+C151)^12)-1</f>
        <v/>
      </c>
      <c r="E151" s="35">
        <f>(Table143454[[#This Row],[USA]]-B139)/B139</f>
        <v/>
      </c>
      <c r="F151" s="34">
        <f>VLOOKUP(Table143454[[#This Row],[Date]],'Data Core CPI'!$A:$AX,MATCH($B$2,'Data Core CPI'!$B$1:$AX$1,0),FALSE)</f>
        <v/>
      </c>
      <c r="G151" s="35">
        <f>(F151/F150)-1</f>
        <v/>
      </c>
      <c r="H151" s="35">
        <f>((1+G151)^12)-1</f>
        <v/>
      </c>
      <c r="I151" s="35">
        <f>(Table143454[[#This Row],[Core CPI]]-F139)/F139</f>
        <v/>
      </c>
    </row>
    <row r="152">
      <c r="A152" s="33">
        <f>IF(Data!A179="",#N/A,Data!A179)</f>
        <v/>
      </c>
      <c r="B152" s="34">
        <f>VLOOKUP(A152,Data!A:AX,MATCH($B$2,Data!$B$1:$AX$1,0),FALSE)</f>
        <v/>
      </c>
      <c r="C152" s="35">
        <f>(B152/B151)-1</f>
        <v/>
      </c>
      <c r="D152" s="35">
        <f>((1+C152)^12)-1</f>
        <v/>
      </c>
      <c r="E152" s="35">
        <f>(Table143454[[#This Row],[USA]]-B140)/B140</f>
        <v/>
      </c>
      <c r="F152" s="34">
        <f>VLOOKUP(Table143454[[#This Row],[Date]],'Data Core CPI'!$A:$AX,MATCH($B$2,'Data Core CPI'!$B$1:$AX$1,0),FALSE)</f>
        <v/>
      </c>
      <c r="G152" s="35">
        <f>(F152/F151)-1</f>
        <v/>
      </c>
      <c r="H152" s="35">
        <f>((1+G152)^12)-1</f>
        <v/>
      </c>
      <c r="I152" s="35">
        <f>(Table143454[[#This Row],[Core CPI]]-F140)/F140</f>
        <v/>
      </c>
    </row>
    <row r="153">
      <c r="A153" s="33">
        <f>IF(Data!A180="",#N/A,Data!A180)</f>
        <v/>
      </c>
      <c r="B153" s="34">
        <f>VLOOKUP(A153,Data!A:AX,MATCH($B$2,Data!$B$1:$AX$1,0),FALSE)</f>
        <v/>
      </c>
      <c r="C153" s="35">
        <f>(B153/B152)-1</f>
        <v/>
      </c>
      <c r="D153" s="35">
        <f>((1+C153)^12)-1</f>
        <v/>
      </c>
      <c r="E153" s="35">
        <f>(Table143454[[#This Row],[USA]]-B141)/B141</f>
        <v/>
      </c>
      <c r="F153" s="34">
        <f>VLOOKUP(Table143454[[#This Row],[Date]],'Data Core CPI'!$A:$AX,MATCH($B$2,'Data Core CPI'!$B$1:$AX$1,0),FALSE)</f>
        <v/>
      </c>
      <c r="G153" s="35">
        <f>(F153/F152)-1</f>
        <v/>
      </c>
      <c r="H153" s="35">
        <f>((1+G153)^12)-1</f>
        <v/>
      </c>
      <c r="I153" s="35">
        <f>(Table143454[[#This Row],[Core CPI]]-F141)/F141</f>
        <v/>
      </c>
    </row>
    <row r="154">
      <c r="A154" s="33">
        <f>IF(Data!A181="",#N/A,Data!A181)</f>
        <v/>
      </c>
      <c r="B154" s="34">
        <f>VLOOKUP(A154,Data!A:AX,MATCH($B$2,Data!$B$1:$AX$1,0),FALSE)</f>
        <v/>
      </c>
      <c r="C154" s="35">
        <f>(B154/B153)-1</f>
        <v/>
      </c>
      <c r="D154" s="35">
        <f>((1+C154)^12)-1</f>
        <v/>
      </c>
      <c r="E154" s="35">
        <f>(Table143454[[#This Row],[USA]]-B142)/B142</f>
        <v/>
      </c>
      <c r="F154" s="34">
        <f>VLOOKUP(Table143454[[#This Row],[Date]],'Data Core CPI'!$A:$AX,MATCH($B$2,'Data Core CPI'!$B$1:$AX$1,0),FALSE)</f>
        <v/>
      </c>
      <c r="G154" s="35">
        <f>(F154/F153)-1</f>
        <v/>
      </c>
      <c r="H154" s="35">
        <f>((1+G154)^12)-1</f>
        <v/>
      </c>
      <c r="I154" s="35">
        <f>(Table143454[[#This Row],[Core CPI]]-F142)/F142</f>
        <v/>
      </c>
    </row>
    <row r="155">
      <c r="A155" s="33">
        <f>IF(Data!A182="",#N/A,Data!A182)</f>
        <v/>
      </c>
      <c r="B155" s="34">
        <f>VLOOKUP(A155,Data!A:AX,MATCH($B$2,Data!$B$1:$AX$1,0),FALSE)</f>
        <v/>
      </c>
      <c r="C155" s="35">
        <f>(B155/B154)-1</f>
        <v/>
      </c>
      <c r="D155" s="35">
        <f>((1+C155)^12)-1</f>
        <v/>
      </c>
      <c r="E155" s="35">
        <f>(Table143454[[#This Row],[USA]]-B143)/B143</f>
        <v/>
      </c>
      <c r="F155" s="34">
        <f>VLOOKUP(Table143454[[#This Row],[Date]],'Data Core CPI'!$A:$AX,MATCH($B$2,'Data Core CPI'!$B$1:$AX$1,0),FALSE)</f>
        <v/>
      </c>
      <c r="G155" s="35">
        <f>(F155/F154)-1</f>
        <v/>
      </c>
      <c r="H155" s="35">
        <f>((1+G155)^12)-1</f>
        <v/>
      </c>
      <c r="I155" s="35">
        <f>(Table143454[[#This Row],[Core CPI]]-F143)/F143</f>
        <v/>
      </c>
    </row>
    <row r="156">
      <c r="A156" s="33">
        <f>IF(Data!A183="",#N/A,Data!A183)</f>
        <v/>
      </c>
      <c r="B156" s="34">
        <f>VLOOKUP(A156,Data!A:AX,MATCH($B$2,Data!$B$1:$AX$1,0),FALSE)</f>
        <v/>
      </c>
      <c r="C156" s="35">
        <f>(B156/B155)-1</f>
        <v/>
      </c>
      <c r="D156" s="35">
        <f>((1+C156)^12)-1</f>
        <v/>
      </c>
      <c r="E156" s="35">
        <f>(Table143454[[#This Row],[USA]]-B144)/B144</f>
        <v/>
      </c>
      <c r="F156" s="34">
        <f>VLOOKUP(Table143454[[#This Row],[Date]],'Data Core CPI'!$A:$AX,MATCH($B$2,'Data Core CPI'!$B$1:$AX$1,0),FALSE)</f>
        <v/>
      </c>
      <c r="G156" s="35">
        <f>(F156/F155)-1</f>
        <v/>
      </c>
      <c r="H156" s="35">
        <f>((1+G156)^12)-1</f>
        <v/>
      </c>
      <c r="I156" s="35">
        <f>(Table143454[[#This Row],[Core CPI]]-F144)/F144</f>
        <v/>
      </c>
    </row>
    <row r="157">
      <c r="A157" s="33">
        <f>IF(Data!A184="",#N/A,Data!A184)</f>
        <v/>
      </c>
      <c r="B157" s="34">
        <f>VLOOKUP(A157,Data!A:AX,MATCH($B$2,Data!$B$1:$AX$1,0),FALSE)</f>
        <v/>
      </c>
      <c r="C157" s="35">
        <f>(B157/B156)-1</f>
        <v/>
      </c>
      <c r="D157" s="35">
        <f>((1+C157)^12)-1</f>
        <v/>
      </c>
      <c r="E157" s="35">
        <f>(Table143454[[#This Row],[USA]]-B145)/B145</f>
        <v/>
      </c>
      <c r="F157" s="34">
        <f>VLOOKUP(Table143454[[#This Row],[Date]],'Data Core CPI'!$A:$AX,MATCH($B$2,'Data Core CPI'!$B$1:$AX$1,0),FALSE)</f>
        <v/>
      </c>
      <c r="G157" s="35">
        <f>(F157/F156)-1</f>
        <v/>
      </c>
      <c r="H157" s="35">
        <f>((1+G157)^12)-1</f>
        <v/>
      </c>
      <c r="I157" s="35">
        <f>(Table143454[[#This Row],[Core CPI]]-F145)/F145</f>
        <v/>
      </c>
    </row>
    <row r="158">
      <c r="A158" s="33">
        <f>IF(Data!A185="",#N/A,Data!A185)</f>
        <v/>
      </c>
      <c r="B158" s="34">
        <f>VLOOKUP(A158,Data!A:AX,MATCH($B$2,Data!$B$1:$AX$1,0),FALSE)</f>
        <v/>
      </c>
      <c r="C158" s="35">
        <f>(B158/B157)-1</f>
        <v/>
      </c>
      <c r="D158" s="35">
        <f>((1+C158)^12)-1</f>
        <v/>
      </c>
      <c r="E158" s="35">
        <f>(Table143454[[#This Row],[USA]]-B146)/B146</f>
        <v/>
      </c>
      <c r="F158" s="34">
        <f>VLOOKUP(Table143454[[#This Row],[Date]],'Data Core CPI'!$A:$AX,MATCH($B$2,'Data Core CPI'!$B$1:$AX$1,0),FALSE)</f>
        <v/>
      </c>
      <c r="G158" s="35">
        <f>(F158/F157)-1</f>
        <v/>
      </c>
      <c r="H158" s="35">
        <f>((1+G158)^12)-1</f>
        <v/>
      </c>
      <c r="I158" s="35">
        <f>(Table143454[[#This Row],[Core CPI]]-F146)/F146</f>
        <v/>
      </c>
    </row>
    <row r="159">
      <c r="A159" s="33">
        <f>IF(Data!A186="",#N/A,Data!A186)</f>
        <v/>
      </c>
      <c r="B159" s="34">
        <f>VLOOKUP(A159,Data!A:AX,MATCH($B$2,Data!$B$1:$AX$1,0),FALSE)</f>
        <v/>
      </c>
      <c r="C159" s="35">
        <f>(B159/B158)-1</f>
        <v/>
      </c>
      <c r="D159" s="35">
        <f>((1+C159)^12)-1</f>
        <v/>
      </c>
      <c r="E159" s="35">
        <f>(Table143454[[#This Row],[USA]]-B147)/B147</f>
        <v/>
      </c>
      <c r="F159" s="34">
        <f>VLOOKUP(Table143454[[#This Row],[Date]],'Data Core CPI'!$A:$AX,MATCH($B$2,'Data Core CPI'!$B$1:$AX$1,0),FALSE)</f>
        <v/>
      </c>
      <c r="G159" s="35">
        <f>(F159/F158)-1</f>
        <v/>
      </c>
      <c r="H159" s="35">
        <f>((1+G159)^12)-1</f>
        <v/>
      </c>
      <c r="I159" s="35">
        <f>(Table143454[[#This Row],[Core CPI]]-F147)/F147</f>
        <v/>
      </c>
    </row>
    <row r="160">
      <c r="A160" s="33">
        <f>IF(Data!A187="",#N/A,Data!A187)</f>
        <v/>
      </c>
      <c r="B160" s="34">
        <f>VLOOKUP(A160,Data!A:AX,MATCH($B$2,Data!$B$1:$AX$1,0),FALSE)</f>
        <v/>
      </c>
      <c r="C160" s="35">
        <f>(B160/B159)-1</f>
        <v/>
      </c>
      <c r="D160" s="35">
        <f>((1+C160)^12)-1</f>
        <v/>
      </c>
      <c r="E160" s="35">
        <f>(Table143454[[#This Row],[USA]]-B148)/B148</f>
        <v/>
      </c>
      <c r="F160" s="34">
        <f>VLOOKUP(Table143454[[#This Row],[Date]],'Data Core CPI'!$A:$AX,MATCH($B$2,'Data Core CPI'!$B$1:$AX$1,0),FALSE)</f>
        <v/>
      </c>
      <c r="G160" s="35">
        <f>(F160/F159)-1</f>
        <v/>
      </c>
      <c r="H160" s="35">
        <f>((1+G160)^12)-1</f>
        <v/>
      </c>
      <c r="I160" s="35">
        <f>(Table143454[[#This Row],[Core CPI]]-F148)/F148</f>
        <v/>
      </c>
    </row>
    <row r="161">
      <c r="A161" s="33">
        <f>IF(Data!A188="",#N/A,Data!A188)</f>
        <v/>
      </c>
      <c r="B161" s="34">
        <f>VLOOKUP(A161,Data!A:AX,MATCH($B$2,Data!$B$1:$AX$1,0),FALSE)</f>
        <v/>
      </c>
      <c r="C161" s="35">
        <f>(B161/B160)-1</f>
        <v/>
      </c>
      <c r="D161" s="35">
        <f>((1+C161)^12)-1</f>
        <v/>
      </c>
      <c r="E161" s="35">
        <f>(Table143454[[#This Row],[USA]]-B149)/B149</f>
        <v/>
      </c>
      <c r="F161" s="34">
        <f>VLOOKUP(Table143454[[#This Row],[Date]],'Data Core CPI'!$A:$AX,MATCH($B$2,'Data Core CPI'!$B$1:$AX$1,0),FALSE)</f>
        <v/>
      </c>
      <c r="G161" s="35">
        <f>(F161/F160)-1</f>
        <v/>
      </c>
      <c r="H161" s="35">
        <f>((1+G161)^12)-1</f>
        <v/>
      </c>
      <c r="I161" s="35">
        <f>(Table143454[[#This Row],[Core CPI]]-F149)/F149</f>
        <v/>
      </c>
    </row>
    <row r="162">
      <c r="A162" s="33">
        <f>IF(Data!A189="",#N/A,Data!A189)</f>
        <v/>
      </c>
      <c r="B162" s="34">
        <f>VLOOKUP(A162,Data!A:AX,MATCH($B$2,Data!$B$1:$AX$1,0),FALSE)</f>
        <v/>
      </c>
      <c r="C162" s="35">
        <f>(B162/B161)-1</f>
        <v/>
      </c>
      <c r="D162" s="35">
        <f>((1+C162)^12)-1</f>
        <v/>
      </c>
      <c r="E162" s="35">
        <f>(Table143454[[#This Row],[USA]]-B150)/B150</f>
        <v/>
      </c>
      <c r="F162" s="34">
        <f>VLOOKUP(Table143454[[#This Row],[Date]],'Data Core CPI'!$A:$AX,MATCH($B$2,'Data Core CPI'!$B$1:$AX$1,0),FALSE)</f>
        <v/>
      </c>
      <c r="G162" s="35">
        <f>(F162/F161)-1</f>
        <v/>
      </c>
      <c r="H162" s="35">
        <f>((1+G162)^12)-1</f>
        <v/>
      </c>
      <c r="I162" s="35">
        <f>(Table143454[[#This Row],[Core CPI]]-F150)/F150</f>
        <v/>
      </c>
    </row>
    <row r="163">
      <c r="A163" s="33">
        <f>IF(Data!A190="",#N/A,Data!A190)</f>
        <v/>
      </c>
      <c r="B163" s="34">
        <f>VLOOKUP(A163,Data!A:AX,MATCH($B$2,Data!$B$1:$AX$1,0),FALSE)</f>
        <v/>
      </c>
      <c r="C163" s="35">
        <f>(B163/B162)-1</f>
        <v/>
      </c>
      <c r="D163" s="35">
        <f>((1+C163)^12)-1</f>
        <v/>
      </c>
      <c r="E163" s="35">
        <f>(Table143454[[#This Row],[USA]]-B151)/B151</f>
        <v/>
      </c>
      <c r="F163" s="34">
        <f>VLOOKUP(Table143454[[#This Row],[Date]],'Data Core CPI'!$A:$AX,MATCH($B$2,'Data Core CPI'!$B$1:$AX$1,0),FALSE)</f>
        <v/>
      </c>
      <c r="G163" s="35">
        <f>(F163/F162)-1</f>
        <v/>
      </c>
      <c r="H163" s="35">
        <f>((1+G163)^12)-1</f>
        <v/>
      </c>
      <c r="I163" s="35">
        <f>(Table143454[[#This Row],[Core CPI]]-F151)/F151</f>
        <v/>
      </c>
    </row>
    <row r="164">
      <c r="A164" s="33">
        <f>IF(Data!A191="",#N/A,Data!A191)</f>
        <v/>
      </c>
      <c r="B164" s="34">
        <f>VLOOKUP(A164,Data!A:AX,MATCH($B$2,Data!$B$1:$AX$1,0),FALSE)</f>
        <v/>
      </c>
      <c r="C164" s="35">
        <f>(B164/B163)-1</f>
        <v/>
      </c>
      <c r="D164" s="35">
        <f>((1+C164)^12)-1</f>
        <v/>
      </c>
      <c r="E164" s="35">
        <f>(Table143454[[#This Row],[USA]]-B152)/B152</f>
        <v/>
      </c>
      <c r="F164" s="34">
        <f>VLOOKUP(Table143454[[#This Row],[Date]],'Data Core CPI'!$A:$AX,MATCH($B$2,'Data Core CPI'!$B$1:$AX$1,0),FALSE)</f>
        <v/>
      </c>
      <c r="G164" s="35">
        <f>(F164/F163)-1</f>
        <v/>
      </c>
      <c r="H164" s="35">
        <f>((1+G164)^12)-1</f>
        <v/>
      </c>
      <c r="I164" s="35">
        <f>(Table143454[[#This Row],[Core CPI]]-F152)/F152</f>
        <v/>
      </c>
    </row>
    <row r="165">
      <c r="A165" s="33">
        <f>IF(Data!A192="",#N/A,Data!A192)</f>
        <v/>
      </c>
      <c r="B165" s="34">
        <f>VLOOKUP(A165,Data!A:AX,MATCH($B$2,Data!$B$1:$AX$1,0),FALSE)</f>
        <v/>
      </c>
      <c r="C165" s="35">
        <f>(B165/B164)-1</f>
        <v/>
      </c>
      <c r="D165" s="35">
        <f>((1+C165)^12)-1</f>
        <v/>
      </c>
      <c r="E165" s="35">
        <f>(Table143454[[#This Row],[USA]]-B153)/B153</f>
        <v/>
      </c>
      <c r="F165" s="34">
        <f>VLOOKUP(Table143454[[#This Row],[Date]],'Data Core CPI'!$A:$AX,MATCH($B$2,'Data Core CPI'!$B$1:$AX$1,0),FALSE)</f>
        <v/>
      </c>
      <c r="G165" s="35">
        <f>(F165/F164)-1</f>
        <v/>
      </c>
      <c r="H165" s="35">
        <f>((1+G165)^12)-1</f>
        <v/>
      </c>
      <c r="I165" s="35">
        <f>(Table143454[[#This Row],[Core CPI]]-F153)/F153</f>
        <v/>
      </c>
    </row>
    <row r="166">
      <c r="A166" s="33">
        <f>IF(Data!A193="",#N/A,Data!A193)</f>
        <v/>
      </c>
      <c r="B166" s="34">
        <f>VLOOKUP(A166,Data!A:AX,MATCH($B$2,Data!$B$1:$AX$1,0),FALSE)</f>
        <v/>
      </c>
      <c r="C166" s="35">
        <f>(B166/B165)-1</f>
        <v/>
      </c>
      <c r="D166" s="35">
        <f>((1+C166)^12)-1</f>
        <v/>
      </c>
      <c r="E166" s="35">
        <f>(Table143454[[#This Row],[USA]]-B154)/B154</f>
        <v/>
      </c>
      <c r="F166" s="34">
        <f>VLOOKUP(Table143454[[#This Row],[Date]],'Data Core CPI'!$A:$AX,MATCH($B$2,'Data Core CPI'!$B$1:$AX$1,0),FALSE)</f>
        <v/>
      </c>
      <c r="G166" s="35">
        <f>(F166/F165)-1</f>
        <v/>
      </c>
      <c r="H166" s="35">
        <f>((1+G166)^12)-1</f>
        <v/>
      </c>
      <c r="I166" s="35">
        <f>(Table143454[[#This Row],[Core CPI]]-F154)/F154</f>
        <v/>
      </c>
    </row>
    <row r="167">
      <c r="A167" s="33">
        <f>IF(Data!A194="",#N/A,Data!A194)</f>
        <v/>
      </c>
      <c r="B167" s="34">
        <f>VLOOKUP(A167,Data!A:AX,MATCH($B$2,Data!$B$1:$AX$1,0),FALSE)</f>
        <v/>
      </c>
      <c r="C167" s="35">
        <f>(B167/B166)-1</f>
        <v/>
      </c>
      <c r="D167" s="35">
        <f>((1+C167)^12)-1</f>
        <v/>
      </c>
      <c r="E167" s="35">
        <f>(Table143454[[#This Row],[USA]]-B155)/B155</f>
        <v/>
      </c>
      <c r="F167" s="34">
        <f>VLOOKUP(Table143454[[#This Row],[Date]],'Data Core CPI'!$A:$AX,MATCH($B$2,'Data Core CPI'!$B$1:$AX$1,0),FALSE)</f>
        <v/>
      </c>
      <c r="G167" s="35">
        <f>(F167/F166)-1</f>
        <v/>
      </c>
      <c r="H167" s="35">
        <f>((1+G167)^12)-1</f>
        <v/>
      </c>
      <c r="I167" s="35">
        <f>(Table143454[[#This Row],[Core CPI]]-F155)/F155</f>
        <v/>
      </c>
    </row>
    <row r="168">
      <c r="A168" s="33">
        <f>IF(Data!A195="",#N/A,Data!A195)</f>
        <v/>
      </c>
      <c r="B168" s="34">
        <f>VLOOKUP(A168,Data!A:AX,MATCH($B$2,Data!$B$1:$AX$1,0),FALSE)</f>
        <v/>
      </c>
      <c r="C168" s="35">
        <f>(B168/B167)-1</f>
        <v/>
      </c>
      <c r="D168" s="35">
        <f>((1+C168)^12)-1</f>
        <v/>
      </c>
      <c r="E168" s="35">
        <f>(Table143454[[#This Row],[USA]]-B156)/B156</f>
        <v/>
      </c>
      <c r="F168" s="34">
        <f>VLOOKUP(Table143454[[#This Row],[Date]],'Data Core CPI'!$A:$AX,MATCH($B$2,'Data Core CPI'!$B$1:$AX$1,0),FALSE)</f>
        <v/>
      </c>
      <c r="G168" s="35">
        <f>(F168/F167)-1</f>
        <v/>
      </c>
      <c r="H168" s="35">
        <f>((1+G168)^12)-1</f>
        <v/>
      </c>
      <c r="I168" s="35">
        <f>(Table143454[[#This Row],[Core CPI]]-F156)/F156</f>
        <v/>
      </c>
    </row>
    <row r="169">
      <c r="A169" s="33">
        <f>IF(Data!A196="",#N/A,Data!A196)</f>
        <v/>
      </c>
      <c r="B169" s="34">
        <f>VLOOKUP(A169,Data!A:AX,MATCH($B$2,Data!$B$1:$AX$1,0),FALSE)</f>
        <v/>
      </c>
      <c r="C169" s="35">
        <f>(B169/B168)-1</f>
        <v/>
      </c>
      <c r="D169" s="35">
        <f>((1+C169)^12)-1</f>
        <v/>
      </c>
      <c r="E169" s="35">
        <f>(Table143454[[#This Row],[USA]]-B157)/B157</f>
        <v/>
      </c>
      <c r="F169" s="34">
        <f>VLOOKUP(Table143454[[#This Row],[Date]],'Data Core CPI'!$A:$AX,MATCH($B$2,'Data Core CPI'!$B$1:$AX$1,0),FALSE)</f>
        <v/>
      </c>
      <c r="G169" s="35">
        <f>(F169/F168)-1</f>
        <v/>
      </c>
      <c r="H169" s="35">
        <f>((1+G169)^12)-1</f>
        <v/>
      </c>
      <c r="I169" s="35">
        <f>(Table143454[[#This Row],[Core CPI]]-F157)/F157</f>
        <v/>
      </c>
    </row>
    <row r="170">
      <c r="A170" s="33">
        <f>IF(Data!A197="",#N/A,Data!A197)</f>
        <v/>
      </c>
      <c r="B170" s="34">
        <f>VLOOKUP(A170,Data!A:AX,MATCH($B$2,Data!$B$1:$AX$1,0),FALSE)</f>
        <v/>
      </c>
      <c r="C170" s="35">
        <f>(B170/B169)-1</f>
        <v/>
      </c>
      <c r="D170" s="35">
        <f>((1+C170)^12)-1</f>
        <v/>
      </c>
      <c r="E170" s="35">
        <f>(Table143454[[#This Row],[USA]]-B158)/B158</f>
        <v/>
      </c>
      <c r="F170" s="34">
        <f>VLOOKUP(Table143454[[#This Row],[Date]],'Data Core CPI'!$A:$AX,MATCH($B$2,'Data Core CPI'!$B$1:$AX$1,0),FALSE)</f>
        <v/>
      </c>
      <c r="G170" s="35">
        <f>(F170/F169)-1</f>
        <v/>
      </c>
      <c r="H170" s="35">
        <f>((1+G170)^12)-1</f>
        <v/>
      </c>
      <c r="I170" s="35">
        <f>(Table143454[[#This Row],[Core CPI]]-F158)/F158</f>
        <v/>
      </c>
    </row>
    <row r="171">
      <c r="A171" s="33">
        <f>IF(Data!A198="",#N/A,Data!A198)</f>
        <v/>
      </c>
      <c r="B171" s="34">
        <f>VLOOKUP(A171,Data!A:AX,MATCH($B$2,Data!$B$1:$AX$1,0),FALSE)</f>
        <v/>
      </c>
      <c r="C171" s="35">
        <f>(B171/B170)-1</f>
        <v/>
      </c>
      <c r="D171" s="35">
        <f>((1+C171)^12)-1</f>
        <v/>
      </c>
      <c r="E171" s="35">
        <f>(Table143454[[#This Row],[USA]]-B159)/B159</f>
        <v/>
      </c>
      <c r="F171" s="34">
        <f>VLOOKUP(Table143454[[#This Row],[Date]],'Data Core CPI'!$A:$AX,MATCH($B$2,'Data Core CPI'!$B$1:$AX$1,0),FALSE)</f>
        <v/>
      </c>
      <c r="G171" s="35">
        <f>(F171/F170)-1</f>
        <v/>
      </c>
      <c r="H171" s="35">
        <f>((1+G171)^12)-1</f>
        <v/>
      </c>
      <c r="I171" s="35">
        <f>(Table143454[[#This Row],[Core CPI]]-F159)/F159</f>
        <v/>
      </c>
    </row>
    <row r="172">
      <c r="A172" s="33">
        <f>IF(Data!A199="",#N/A,Data!A199)</f>
        <v/>
      </c>
      <c r="B172" s="34">
        <f>VLOOKUP(A172,Data!A:AX,MATCH($B$2,Data!$B$1:$AX$1,0),FALSE)</f>
        <v/>
      </c>
      <c r="C172" s="35">
        <f>(B172/B171)-1</f>
        <v/>
      </c>
      <c r="D172" s="35">
        <f>((1+C172)^12)-1</f>
        <v/>
      </c>
      <c r="E172" s="35">
        <f>(Table143454[[#This Row],[USA]]-B160)/B160</f>
        <v/>
      </c>
      <c r="F172" s="34">
        <f>VLOOKUP(Table143454[[#This Row],[Date]],'Data Core CPI'!$A:$AX,MATCH($B$2,'Data Core CPI'!$B$1:$AX$1,0),FALSE)</f>
        <v/>
      </c>
      <c r="G172" s="35">
        <f>(F172/F171)-1</f>
        <v/>
      </c>
      <c r="H172" s="35">
        <f>((1+G172)^12)-1</f>
        <v/>
      </c>
      <c r="I172" s="35">
        <f>(Table143454[[#This Row],[Core CPI]]-F160)/F160</f>
        <v/>
      </c>
    </row>
    <row r="173">
      <c r="A173" s="33">
        <f>IF(Data!A200="",#N/A,Data!A200)</f>
        <v/>
      </c>
      <c r="B173" s="34">
        <f>VLOOKUP(A173,Data!A:AX,MATCH($B$2,Data!$B$1:$AX$1,0),FALSE)</f>
        <v/>
      </c>
      <c r="C173" s="35">
        <f>(B173/B172)-1</f>
        <v/>
      </c>
      <c r="D173" s="35">
        <f>((1+C173)^12)-1</f>
        <v/>
      </c>
      <c r="E173" s="35">
        <f>(Table143454[[#This Row],[USA]]-B161)/B161</f>
        <v/>
      </c>
      <c r="F173" s="34">
        <f>VLOOKUP(Table143454[[#This Row],[Date]],'Data Core CPI'!$A:$AX,MATCH($B$2,'Data Core CPI'!$B$1:$AX$1,0),FALSE)</f>
        <v/>
      </c>
      <c r="G173" s="35">
        <f>(F173/F172)-1</f>
        <v/>
      </c>
      <c r="H173" s="35">
        <f>((1+G173)^12)-1</f>
        <v/>
      </c>
      <c r="I173" s="35">
        <f>(Table143454[[#This Row],[Core CPI]]-F161)/F161</f>
        <v/>
      </c>
    </row>
    <row r="174">
      <c r="A174" s="33">
        <f>IF(Data!A201="",#N/A,Data!A201)</f>
        <v/>
      </c>
      <c r="B174" s="34">
        <f>VLOOKUP(A174,Data!A:AX,MATCH($B$2,Data!$B$1:$AX$1,0),FALSE)</f>
        <v/>
      </c>
      <c r="C174" s="35">
        <f>(B174/B173)-1</f>
        <v/>
      </c>
      <c r="D174" s="35">
        <f>((1+C174)^12)-1</f>
        <v/>
      </c>
      <c r="E174" s="35">
        <f>(Table143454[[#This Row],[USA]]-B162)/B162</f>
        <v/>
      </c>
      <c r="F174" s="34">
        <f>VLOOKUP(Table143454[[#This Row],[Date]],'Data Core CPI'!$A:$AX,MATCH($B$2,'Data Core CPI'!$B$1:$AX$1,0),FALSE)</f>
        <v/>
      </c>
      <c r="G174" s="35">
        <f>(F174/F173)-1</f>
        <v/>
      </c>
      <c r="H174" s="35">
        <f>((1+G174)^12)-1</f>
        <v/>
      </c>
      <c r="I174" s="35">
        <f>(Table143454[[#This Row],[Core CPI]]-F162)/F162</f>
        <v/>
      </c>
    </row>
    <row r="175">
      <c r="A175" s="33">
        <f>IF(Data!A202="",#N/A,Data!A202)</f>
        <v/>
      </c>
      <c r="B175" s="34">
        <f>VLOOKUP(A175,Data!A:AX,MATCH($B$2,Data!$B$1:$AX$1,0),FALSE)</f>
        <v/>
      </c>
      <c r="C175" s="35">
        <f>(B175/B174)-1</f>
        <v/>
      </c>
      <c r="D175" s="35">
        <f>((1+C175)^12)-1</f>
        <v/>
      </c>
      <c r="E175" s="35">
        <f>(Table143454[[#This Row],[USA]]-B163)/B163</f>
        <v/>
      </c>
      <c r="F175" s="34">
        <f>VLOOKUP(Table143454[[#This Row],[Date]],'Data Core CPI'!$A:$AX,MATCH($B$2,'Data Core CPI'!$B$1:$AX$1,0),FALSE)</f>
        <v/>
      </c>
      <c r="G175" s="35">
        <f>(F175/F174)-1</f>
        <v/>
      </c>
      <c r="H175" s="35">
        <f>((1+G175)^12)-1</f>
        <v/>
      </c>
      <c r="I175" s="35">
        <f>(Table143454[[#This Row],[Core CPI]]-F163)/F163</f>
        <v/>
      </c>
    </row>
    <row r="176">
      <c r="A176" s="33">
        <f>IF(Data!A203="",#N/A,Data!A203)</f>
        <v/>
      </c>
      <c r="B176" s="34">
        <f>VLOOKUP(A176,Data!A:AX,MATCH($B$2,Data!$B$1:$AX$1,0),FALSE)</f>
        <v/>
      </c>
      <c r="C176" s="35">
        <f>(B176/B175)-1</f>
        <v/>
      </c>
      <c r="D176" s="35">
        <f>((1+C176)^12)-1</f>
        <v/>
      </c>
      <c r="E176" s="35">
        <f>(Table143454[[#This Row],[USA]]-B164)/B164</f>
        <v/>
      </c>
      <c r="F176" s="34">
        <f>VLOOKUP(Table143454[[#This Row],[Date]],'Data Core CPI'!$A:$AX,MATCH($B$2,'Data Core CPI'!$B$1:$AX$1,0),FALSE)</f>
        <v/>
      </c>
      <c r="G176" s="35">
        <f>(F176/F175)-1</f>
        <v/>
      </c>
      <c r="H176" s="35">
        <f>((1+G176)^12)-1</f>
        <v/>
      </c>
      <c r="I176" s="35">
        <f>(Table143454[[#This Row],[Core CPI]]-F164)/F164</f>
        <v/>
      </c>
    </row>
    <row r="177">
      <c r="A177" s="33">
        <f>IF(Data!A204="",#N/A,Data!A204)</f>
        <v/>
      </c>
      <c r="B177" s="34">
        <f>VLOOKUP(A177,Data!A:AX,MATCH($B$2,Data!$B$1:$AX$1,0),FALSE)</f>
        <v/>
      </c>
      <c r="C177" s="35">
        <f>(B177/B176)-1</f>
        <v/>
      </c>
      <c r="D177" s="35">
        <f>((1+C177)^12)-1</f>
        <v/>
      </c>
      <c r="E177" s="35">
        <f>(Table143454[[#This Row],[USA]]-B165)/B165</f>
        <v/>
      </c>
      <c r="F177" s="34">
        <f>VLOOKUP(Table143454[[#This Row],[Date]],'Data Core CPI'!$A:$AX,MATCH($B$2,'Data Core CPI'!$B$1:$AX$1,0),FALSE)</f>
        <v/>
      </c>
      <c r="G177" s="35">
        <f>(F177/F176)-1</f>
        <v/>
      </c>
      <c r="H177" s="35">
        <f>((1+G177)^12)-1</f>
        <v/>
      </c>
      <c r="I177" s="35">
        <f>(Table143454[[#This Row],[Core CPI]]-F165)/F165</f>
        <v/>
      </c>
    </row>
    <row r="178">
      <c r="A178" s="33">
        <f>IF(Data!A205="",#N/A,Data!A205)</f>
        <v/>
      </c>
      <c r="B178" s="34">
        <f>VLOOKUP(A178,Data!A:AX,MATCH($B$2,Data!$B$1:$AX$1,0),FALSE)</f>
        <v/>
      </c>
      <c r="C178" s="35">
        <f>(B178/B177)-1</f>
        <v/>
      </c>
      <c r="D178" s="35">
        <f>((1+C178)^12)-1</f>
        <v/>
      </c>
      <c r="E178" s="35">
        <f>(Table143454[[#This Row],[USA]]-B166)/B166</f>
        <v/>
      </c>
      <c r="F178" s="34">
        <f>VLOOKUP(Table143454[[#This Row],[Date]],'Data Core CPI'!$A:$AX,MATCH($B$2,'Data Core CPI'!$B$1:$AX$1,0),FALSE)</f>
        <v/>
      </c>
      <c r="G178" s="35">
        <f>(F178/F177)-1</f>
        <v/>
      </c>
      <c r="H178" s="35">
        <f>((1+G178)^12)-1</f>
        <v/>
      </c>
      <c r="I178" s="35">
        <f>(Table143454[[#This Row],[Core CPI]]-F166)/F166</f>
        <v/>
      </c>
    </row>
    <row r="179">
      <c r="A179" s="33">
        <f>IF(Data!A206="",#N/A,Data!A206)</f>
        <v/>
      </c>
      <c r="B179" s="34">
        <f>VLOOKUP(A179,Data!A:AX,MATCH($B$2,Data!$B$1:$AX$1,0),FALSE)</f>
        <v/>
      </c>
      <c r="C179" s="35">
        <f>(B179/B178)-1</f>
        <v/>
      </c>
      <c r="D179" s="35">
        <f>((1+C179)^12)-1</f>
        <v/>
      </c>
      <c r="E179" s="35">
        <f>(Table143454[[#This Row],[USA]]-B167)/B167</f>
        <v/>
      </c>
      <c r="F179" s="34">
        <f>VLOOKUP(Table143454[[#This Row],[Date]],'Data Core CPI'!$A:$AX,MATCH($B$2,'Data Core CPI'!$B$1:$AX$1,0),FALSE)</f>
        <v/>
      </c>
      <c r="G179" s="35">
        <f>(F179/F178)-1</f>
        <v/>
      </c>
      <c r="H179" s="35">
        <f>((1+G179)^12)-1</f>
        <v/>
      </c>
      <c r="I179" s="35">
        <f>(Table143454[[#This Row],[Core CPI]]-F167)/F167</f>
        <v/>
      </c>
    </row>
    <row r="180">
      <c r="A180" s="33">
        <f>IF(Data!A207="",#N/A,Data!A207)</f>
        <v/>
      </c>
      <c r="B180" s="34">
        <f>VLOOKUP(A180,Data!A:AX,MATCH($B$2,Data!$B$1:$AX$1,0),FALSE)</f>
        <v/>
      </c>
      <c r="C180" s="35">
        <f>(B180/B179)-1</f>
        <v/>
      </c>
      <c r="D180" s="35">
        <f>((1+C180)^12)-1</f>
        <v/>
      </c>
      <c r="E180" s="35">
        <f>(Table143454[[#This Row],[USA]]-B168)/B168</f>
        <v/>
      </c>
      <c r="F180" s="34">
        <f>VLOOKUP(Table143454[[#This Row],[Date]],'Data Core CPI'!$A:$AX,MATCH($B$2,'Data Core CPI'!$B$1:$AX$1,0),FALSE)</f>
        <v/>
      </c>
      <c r="G180" s="35">
        <f>(F180/F179)-1</f>
        <v/>
      </c>
      <c r="H180" s="35">
        <f>((1+G180)^12)-1</f>
        <v/>
      </c>
      <c r="I180" s="35">
        <f>(Table143454[[#This Row],[Core CPI]]-F168)/F168</f>
        <v/>
      </c>
    </row>
    <row r="181">
      <c r="A181" s="33">
        <f>IF(Data!A208="",#N/A,Data!A208)</f>
        <v/>
      </c>
      <c r="B181" s="34">
        <f>VLOOKUP(A181,Data!A:AX,MATCH($B$2,Data!$B$1:$AX$1,0),FALSE)</f>
        <v/>
      </c>
      <c r="C181" s="35">
        <f>(B181/B180)-1</f>
        <v/>
      </c>
      <c r="D181" s="35">
        <f>((1+C181)^12)-1</f>
        <v/>
      </c>
      <c r="E181" s="35">
        <f>(Table143454[[#This Row],[USA]]-B169)/B169</f>
        <v/>
      </c>
      <c r="F181" s="34">
        <f>VLOOKUP(Table143454[[#This Row],[Date]],'Data Core CPI'!$A:$AX,MATCH($B$2,'Data Core CPI'!$B$1:$AX$1,0),FALSE)</f>
        <v/>
      </c>
      <c r="G181" s="35">
        <f>(F181/F180)-1</f>
        <v/>
      </c>
      <c r="H181" s="35">
        <f>((1+G181)^12)-1</f>
        <v/>
      </c>
      <c r="I181" s="35">
        <f>(Table143454[[#This Row],[Core CPI]]-F169)/F169</f>
        <v/>
      </c>
    </row>
    <row r="182">
      <c r="A182" s="33">
        <f>IF(Data!A209="",#N/A,Data!A209)</f>
        <v/>
      </c>
      <c r="B182" s="34">
        <f>VLOOKUP(A182,Data!A:AX,MATCH($B$2,Data!$B$1:$AX$1,0),FALSE)</f>
        <v/>
      </c>
      <c r="C182" s="35">
        <f>(B182/B181)-1</f>
        <v/>
      </c>
      <c r="D182" s="35">
        <f>((1+C182)^12)-1</f>
        <v/>
      </c>
      <c r="E182" s="35">
        <f>(Table143454[[#This Row],[USA]]-B170)/B170</f>
        <v/>
      </c>
      <c r="F182" s="34">
        <f>VLOOKUP(Table143454[[#This Row],[Date]],'Data Core CPI'!$A:$AX,MATCH($B$2,'Data Core CPI'!$B$1:$AX$1,0),FALSE)</f>
        <v/>
      </c>
      <c r="G182" s="35">
        <f>(F182/F181)-1</f>
        <v/>
      </c>
      <c r="H182" s="35">
        <f>((1+G182)^12)-1</f>
        <v/>
      </c>
      <c r="I182" s="35">
        <f>(Table143454[[#This Row],[Core CPI]]-F170)/F170</f>
        <v/>
      </c>
    </row>
    <row r="183">
      <c r="A183" s="33">
        <f>IF(Data!A210="",#N/A,Data!A210)</f>
        <v/>
      </c>
      <c r="B183" s="34">
        <f>VLOOKUP(A183,Data!A:AX,MATCH($B$2,Data!$B$1:$AX$1,0),FALSE)</f>
        <v/>
      </c>
      <c r="C183" s="35">
        <f>(B183/B182)-1</f>
        <v/>
      </c>
      <c r="D183" s="35">
        <f>((1+C183)^12)-1</f>
        <v/>
      </c>
      <c r="E183" s="35">
        <f>(Table143454[[#This Row],[USA]]-B171)/B171</f>
        <v/>
      </c>
      <c r="F183" s="34">
        <f>VLOOKUP(Table143454[[#This Row],[Date]],'Data Core CPI'!$A:$AX,MATCH($B$2,'Data Core CPI'!$B$1:$AX$1,0),FALSE)</f>
        <v/>
      </c>
      <c r="G183" s="35">
        <f>(F183/F182)-1</f>
        <v/>
      </c>
      <c r="H183" s="35">
        <f>((1+G183)^12)-1</f>
        <v/>
      </c>
      <c r="I183" s="35">
        <f>(Table143454[[#This Row],[Core CPI]]-F171)/F171</f>
        <v/>
      </c>
    </row>
    <row r="184">
      <c r="A184" s="33">
        <f>IF(Data!A211="",#N/A,Data!A211)</f>
        <v/>
      </c>
      <c r="B184" s="34">
        <f>VLOOKUP(A184,Data!A:AX,MATCH($B$2,Data!$B$1:$AX$1,0),FALSE)</f>
        <v/>
      </c>
      <c r="C184" s="35">
        <f>(B184/B183)-1</f>
        <v/>
      </c>
      <c r="D184" s="35">
        <f>((1+C184)^12)-1</f>
        <v/>
      </c>
      <c r="E184" s="35">
        <f>(Table143454[[#This Row],[USA]]-B172)/B172</f>
        <v/>
      </c>
      <c r="F184" s="34">
        <f>VLOOKUP(Table143454[[#This Row],[Date]],'Data Core CPI'!$A:$AX,MATCH($B$2,'Data Core CPI'!$B$1:$AX$1,0),FALSE)</f>
        <v/>
      </c>
      <c r="G184" s="35">
        <f>(F184/F183)-1</f>
        <v/>
      </c>
      <c r="H184" s="35">
        <f>((1+G184)^12)-1</f>
        <v/>
      </c>
      <c r="I184" s="35">
        <f>(Table143454[[#This Row],[Core CPI]]-F172)/F172</f>
        <v/>
      </c>
    </row>
    <row r="185">
      <c r="A185" s="33">
        <f>IF(Data!A212="",#N/A,Data!A212)</f>
        <v/>
      </c>
      <c r="B185" s="34">
        <f>VLOOKUP(A185,Data!A:AX,MATCH($B$2,Data!$B$1:$AX$1,0),FALSE)</f>
        <v/>
      </c>
      <c r="C185" s="35">
        <f>(B185/B184)-1</f>
        <v/>
      </c>
      <c r="D185" s="35">
        <f>((1+C185)^12)-1</f>
        <v/>
      </c>
      <c r="E185" s="35">
        <f>(Table143454[[#This Row],[USA]]-B173)/B173</f>
        <v/>
      </c>
      <c r="F185" s="34">
        <f>VLOOKUP(Table143454[[#This Row],[Date]],'Data Core CPI'!$A:$AX,MATCH($B$2,'Data Core CPI'!$B$1:$AX$1,0),FALSE)</f>
        <v/>
      </c>
      <c r="G185" s="35">
        <f>(F185/F184)-1</f>
        <v/>
      </c>
      <c r="H185" s="35">
        <f>((1+G185)^12)-1</f>
        <v/>
      </c>
      <c r="I185" s="35">
        <f>(Table143454[[#This Row],[Core CPI]]-F173)/F173</f>
        <v/>
      </c>
    </row>
    <row r="186">
      <c r="A186" s="33">
        <f>IF(Data!A213="",#N/A,Data!A213)</f>
        <v/>
      </c>
      <c r="B186" s="34">
        <f>VLOOKUP(A186,Data!A:AX,MATCH($B$2,Data!$B$1:$AX$1,0),FALSE)</f>
        <v/>
      </c>
      <c r="C186" s="35">
        <f>(B186/B185)-1</f>
        <v/>
      </c>
      <c r="D186" s="35">
        <f>((1+C186)^12)-1</f>
        <v/>
      </c>
      <c r="E186" s="35">
        <f>(Table143454[[#This Row],[USA]]-B174)/B174</f>
        <v/>
      </c>
      <c r="F186" s="34">
        <f>VLOOKUP(Table143454[[#This Row],[Date]],'Data Core CPI'!$A:$AX,MATCH($B$2,'Data Core CPI'!$B$1:$AX$1,0),FALSE)</f>
        <v/>
      </c>
      <c r="G186" s="35">
        <f>(F186/F185)-1</f>
        <v/>
      </c>
      <c r="H186" s="35">
        <f>((1+G186)^12)-1</f>
        <v/>
      </c>
      <c r="I186" s="35">
        <f>(Table143454[[#This Row],[Core CPI]]-F174)/F174</f>
        <v/>
      </c>
    </row>
    <row r="187">
      <c r="A187" s="33">
        <f>IF(Data!A214="",#N/A,Data!A214)</f>
        <v/>
      </c>
      <c r="B187" s="34">
        <f>VLOOKUP(A187,Data!A:AX,MATCH($B$2,Data!$B$1:$AX$1,0),FALSE)</f>
        <v/>
      </c>
      <c r="C187" s="35">
        <f>(B187/B186)-1</f>
        <v/>
      </c>
      <c r="D187" s="35">
        <f>((1+C187)^12)-1</f>
        <v/>
      </c>
      <c r="E187" s="35">
        <f>(Table143454[[#This Row],[USA]]-B175)/B175</f>
        <v/>
      </c>
      <c r="F187" s="34">
        <f>VLOOKUP(Table143454[[#This Row],[Date]],'Data Core CPI'!$A:$AX,MATCH($B$2,'Data Core CPI'!$B$1:$AX$1,0),FALSE)</f>
        <v/>
      </c>
      <c r="G187" s="35">
        <f>(F187/F186)-1</f>
        <v/>
      </c>
      <c r="H187" s="35">
        <f>((1+G187)^12)-1</f>
        <v/>
      </c>
      <c r="I187" s="35">
        <f>(Table143454[[#This Row],[Core CPI]]-F175)/F175</f>
        <v/>
      </c>
    </row>
    <row r="188">
      <c r="A188" s="33">
        <f>IF(Data!A215="",#N/A,Data!A215)</f>
        <v/>
      </c>
      <c r="B188" s="34">
        <f>VLOOKUP(A188,Data!A:AX,MATCH($B$2,Data!$B$1:$AX$1,0),FALSE)</f>
        <v/>
      </c>
      <c r="C188" s="35">
        <f>(B188/B187)-1</f>
        <v/>
      </c>
      <c r="D188" s="35">
        <f>((1+C188)^12)-1</f>
        <v/>
      </c>
      <c r="E188" s="35">
        <f>(Table143454[[#This Row],[USA]]-B176)/B176</f>
        <v/>
      </c>
      <c r="F188" s="34">
        <f>VLOOKUP(Table143454[[#This Row],[Date]],'Data Core CPI'!$A:$AX,MATCH($B$2,'Data Core CPI'!$B$1:$AX$1,0),FALSE)</f>
        <v/>
      </c>
      <c r="G188" s="35">
        <f>(F188/F187)-1</f>
        <v/>
      </c>
      <c r="H188" s="35">
        <f>((1+G188)^12)-1</f>
        <v/>
      </c>
      <c r="I188" s="35">
        <f>(Table143454[[#This Row],[Core CPI]]-F176)/F176</f>
        <v/>
      </c>
    </row>
    <row r="189">
      <c r="A189" s="33">
        <f>IF(Data!A216="",#N/A,Data!A216)</f>
        <v/>
      </c>
      <c r="B189" s="34">
        <f>VLOOKUP(A189,Data!A:AX,MATCH($B$2,Data!$B$1:$AX$1,0),FALSE)</f>
        <v/>
      </c>
      <c r="C189" s="35">
        <f>(B189/B188)-1</f>
        <v/>
      </c>
      <c r="D189" s="35">
        <f>((1+C189)^12)-1</f>
        <v/>
      </c>
      <c r="E189" s="35">
        <f>(Table143454[[#This Row],[USA]]-B177)/B177</f>
        <v/>
      </c>
      <c r="F189" s="34">
        <f>VLOOKUP(Table143454[[#This Row],[Date]],'Data Core CPI'!$A:$AX,MATCH($B$2,'Data Core CPI'!$B$1:$AX$1,0),FALSE)</f>
        <v/>
      </c>
      <c r="G189" s="35">
        <f>(F189/F188)-1</f>
        <v/>
      </c>
      <c r="H189" s="35">
        <f>((1+G189)^12)-1</f>
        <v/>
      </c>
      <c r="I189" s="35">
        <f>(Table143454[[#This Row],[Core CPI]]-F177)/F177</f>
        <v/>
      </c>
    </row>
    <row r="190">
      <c r="A190" s="33">
        <f>IF(Data!A217="",#N/A,Data!A217)</f>
        <v/>
      </c>
      <c r="B190" s="34">
        <f>VLOOKUP(A190,Data!A:AX,MATCH($B$2,Data!$B$1:$AX$1,0),FALSE)</f>
        <v/>
      </c>
      <c r="C190" s="35">
        <f>(B190/B189)-1</f>
        <v/>
      </c>
      <c r="D190" s="35">
        <f>((1+C190)^12)-1</f>
        <v/>
      </c>
      <c r="E190" s="35">
        <f>(Table143454[[#This Row],[USA]]-B178)/B178</f>
        <v/>
      </c>
      <c r="F190" s="34">
        <f>VLOOKUP(Table143454[[#This Row],[Date]],'Data Core CPI'!$A:$AX,MATCH($B$2,'Data Core CPI'!$B$1:$AX$1,0),FALSE)</f>
        <v/>
      </c>
      <c r="G190" s="35">
        <f>(F190/F189)-1</f>
        <v/>
      </c>
      <c r="H190" s="35">
        <f>((1+G190)^12)-1</f>
        <v/>
      </c>
      <c r="I190" s="35">
        <f>(Table143454[[#This Row],[Core CPI]]-F178)/F178</f>
        <v/>
      </c>
    </row>
    <row r="191">
      <c r="A191" s="33">
        <f>IF(Data!A218="",#N/A,Data!A218)</f>
        <v/>
      </c>
      <c r="B191" s="34">
        <f>VLOOKUP(A191,Data!A:AX,MATCH($B$2,Data!$B$1:$AX$1,0),FALSE)</f>
        <v/>
      </c>
      <c r="C191" s="35">
        <f>(B191/B190)-1</f>
        <v/>
      </c>
      <c r="D191" s="35">
        <f>((1+C191)^12)-1</f>
        <v/>
      </c>
      <c r="E191" s="35">
        <f>(Table143454[[#This Row],[USA]]-B179)/B179</f>
        <v/>
      </c>
      <c r="F191" s="34">
        <f>VLOOKUP(Table143454[[#This Row],[Date]],'Data Core CPI'!$A:$AX,MATCH($B$2,'Data Core CPI'!$B$1:$AX$1,0),FALSE)</f>
        <v/>
      </c>
      <c r="G191" s="35">
        <f>(F191/F190)-1</f>
        <v/>
      </c>
      <c r="H191" s="35">
        <f>((1+G191)^12)-1</f>
        <v/>
      </c>
      <c r="I191" s="35">
        <f>(Table143454[[#This Row],[Core CPI]]-F179)/F179</f>
        <v/>
      </c>
    </row>
    <row r="192">
      <c r="A192" s="33">
        <f>IF(Data!A219="",#N/A,Data!A219)</f>
        <v/>
      </c>
      <c r="B192" s="34">
        <f>VLOOKUP(A192,Data!A:AX,MATCH($B$2,Data!$B$1:$AX$1,0),FALSE)</f>
        <v/>
      </c>
      <c r="C192" s="35">
        <f>(B192/B191)-1</f>
        <v/>
      </c>
      <c r="D192" s="35">
        <f>((1+C192)^12)-1</f>
        <v/>
      </c>
      <c r="E192" s="35">
        <f>(Table143454[[#This Row],[USA]]-B180)/B180</f>
        <v/>
      </c>
      <c r="F192" s="34">
        <f>VLOOKUP(Table143454[[#This Row],[Date]],'Data Core CPI'!$A:$AX,MATCH($B$2,'Data Core CPI'!$B$1:$AX$1,0),FALSE)</f>
        <v/>
      </c>
      <c r="G192" s="35">
        <f>(F192/F191)-1</f>
        <v/>
      </c>
      <c r="H192" s="35">
        <f>((1+G192)^12)-1</f>
        <v/>
      </c>
      <c r="I192" s="35">
        <f>(Table143454[[#This Row],[Core CPI]]-F180)/F180</f>
        <v/>
      </c>
    </row>
    <row r="193">
      <c r="A193" s="33">
        <f>IF(Data!A220="",#N/A,Data!A220)</f>
        <v/>
      </c>
      <c r="B193" s="34">
        <f>VLOOKUP(A193,Data!A:AX,MATCH($B$2,Data!$B$1:$AX$1,0),FALSE)</f>
        <v/>
      </c>
      <c r="C193" s="35">
        <f>(B193/B192)-1</f>
        <v/>
      </c>
      <c r="D193" s="35">
        <f>((1+C193)^12)-1</f>
        <v/>
      </c>
      <c r="E193" s="35">
        <f>(Table143454[[#This Row],[USA]]-B181)/B181</f>
        <v/>
      </c>
      <c r="F193" s="34">
        <f>VLOOKUP(Table143454[[#This Row],[Date]],'Data Core CPI'!$A:$AX,MATCH($B$2,'Data Core CPI'!$B$1:$AX$1,0),FALSE)</f>
        <v/>
      </c>
      <c r="G193" s="35">
        <f>(F193/F192)-1</f>
        <v/>
      </c>
      <c r="H193" s="35">
        <f>((1+G193)^12)-1</f>
        <v/>
      </c>
      <c r="I193" s="35">
        <f>(Table143454[[#This Row],[Core CPI]]-F181)/F181</f>
        <v/>
      </c>
    </row>
    <row r="194">
      <c r="A194" s="33">
        <f>IF(Data!A221="",#N/A,Data!A221)</f>
        <v/>
      </c>
      <c r="B194" s="34">
        <f>VLOOKUP(A194,Data!A:AX,MATCH($B$2,Data!$B$1:$AX$1,0),FALSE)</f>
        <v/>
      </c>
      <c r="C194" s="35">
        <f>(B194/B193)-1</f>
        <v/>
      </c>
      <c r="D194" s="35">
        <f>((1+C194)^12)-1</f>
        <v/>
      </c>
      <c r="E194" s="35">
        <f>(Table143454[[#This Row],[USA]]-B182)/B182</f>
        <v/>
      </c>
      <c r="F194" s="34">
        <f>VLOOKUP(Table143454[[#This Row],[Date]],'Data Core CPI'!$A:$AX,MATCH($B$2,'Data Core CPI'!$B$1:$AX$1,0),FALSE)</f>
        <v/>
      </c>
      <c r="G194" s="35">
        <f>(F194/F193)-1</f>
        <v/>
      </c>
      <c r="H194" s="35">
        <f>((1+G194)^12)-1</f>
        <v/>
      </c>
      <c r="I194" s="35">
        <f>(Table143454[[#This Row],[Core CPI]]-F182)/F182</f>
        <v/>
      </c>
    </row>
    <row r="195">
      <c r="A195" s="33">
        <f>IF(Data!A222="",#N/A,Data!A222)</f>
        <v/>
      </c>
      <c r="B195" s="34">
        <f>VLOOKUP(A195,Data!A:AX,MATCH($B$2,Data!$B$1:$AX$1,0),FALSE)</f>
        <v/>
      </c>
      <c r="C195" s="35">
        <f>(B195/B194)-1</f>
        <v/>
      </c>
      <c r="D195" s="35">
        <f>((1+C195)^12)-1</f>
        <v/>
      </c>
      <c r="E195" s="35">
        <f>(Table143454[[#This Row],[USA]]-B183)/B183</f>
        <v/>
      </c>
      <c r="F195" s="34">
        <f>VLOOKUP(Table143454[[#This Row],[Date]],'Data Core CPI'!$A:$AX,MATCH($B$2,'Data Core CPI'!$B$1:$AX$1,0),FALSE)</f>
        <v/>
      </c>
      <c r="G195" s="35">
        <f>(F195/F194)-1</f>
        <v/>
      </c>
      <c r="H195" s="35">
        <f>((1+G195)^12)-1</f>
        <v/>
      </c>
      <c r="I195" s="35">
        <f>(Table143454[[#This Row],[Core CPI]]-F183)/F183</f>
        <v/>
      </c>
    </row>
    <row r="196">
      <c r="A196" s="33">
        <f>IF(Data!A223="",#N/A,Data!A223)</f>
        <v/>
      </c>
      <c r="B196" s="34">
        <f>VLOOKUP(A196,Data!A:AX,MATCH($B$2,Data!$B$1:$AX$1,0),FALSE)</f>
        <v/>
      </c>
      <c r="C196" s="35">
        <f>(B196/B195)-1</f>
        <v/>
      </c>
      <c r="D196" s="35">
        <f>((1+C196)^12)-1</f>
        <v/>
      </c>
      <c r="E196" s="35">
        <f>(Table143454[[#This Row],[USA]]-B184)/B184</f>
        <v/>
      </c>
      <c r="F196" s="34">
        <f>VLOOKUP(Table143454[[#This Row],[Date]],'Data Core CPI'!$A:$AX,MATCH($B$2,'Data Core CPI'!$B$1:$AX$1,0),FALSE)</f>
        <v/>
      </c>
      <c r="G196" s="35">
        <f>(F196/F195)-1</f>
        <v/>
      </c>
      <c r="H196" s="35">
        <f>((1+G196)^12)-1</f>
        <v/>
      </c>
      <c r="I196" s="35">
        <f>(Table143454[[#This Row],[Core CPI]]-F184)/F184</f>
        <v/>
      </c>
    </row>
    <row r="197">
      <c r="A197" s="33">
        <f>IF(Data!A224="",#N/A,Data!A224)</f>
        <v/>
      </c>
      <c r="B197" s="34">
        <f>VLOOKUP(A197,Data!A:AX,MATCH($B$2,Data!$B$1:$AX$1,0),FALSE)</f>
        <v/>
      </c>
      <c r="C197" s="35">
        <f>(B197/B196)-1</f>
        <v/>
      </c>
      <c r="D197" s="35">
        <f>((1+C197)^12)-1</f>
        <v/>
      </c>
      <c r="E197" s="35">
        <f>(Table143454[[#This Row],[USA]]-B185)/B185</f>
        <v/>
      </c>
      <c r="F197" s="34">
        <f>VLOOKUP(Table143454[[#This Row],[Date]],'Data Core CPI'!$A:$AX,MATCH($B$2,'Data Core CPI'!$B$1:$AX$1,0),FALSE)</f>
        <v/>
      </c>
      <c r="G197" s="35">
        <f>(F197/F196)-1</f>
        <v/>
      </c>
      <c r="H197" s="35">
        <f>((1+G197)^12)-1</f>
        <v/>
      </c>
      <c r="I197" s="35">
        <f>(Table143454[[#This Row],[Core CPI]]-F185)/F185</f>
        <v/>
      </c>
    </row>
    <row r="198">
      <c r="A198" s="33">
        <f>IF(Data!A225="",#N/A,Data!A225)</f>
        <v/>
      </c>
      <c r="B198" s="34">
        <f>VLOOKUP(A198,Data!A:AX,MATCH($B$2,Data!$B$1:$AX$1,0),FALSE)</f>
        <v/>
      </c>
      <c r="C198" s="35">
        <f>(B198/B197)-1</f>
        <v/>
      </c>
      <c r="D198" s="35">
        <f>((1+C198)^12)-1</f>
        <v/>
      </c>
      <c r="E198" s="35">
        <f>(Table143454[[#This Row],[USA]]-B186)/B186</f>
        <v/>
      </c>
      <c r="F198" s="34">
        <f>VLOOKUP(Table143454[[#This Row],[Date]],'Data Core CPI'!$A:$AX,MATCH($B$2,'Data Core CPI'!$B$1:$AX$1,0),FALSE)</f>
        <v/>
      </c>
      <c r="G198" s="35">
        <f>(F198/F197)-1</f>
        <v/>
      </c>
      <c r="H198" s="35">
        <f>((1+G198)^12)-1</f>
        <v/>
      </c>
      <c r="I198" s="35">
        <f>(Table143454[[#This Row],[Core CPI]]-F186)/F186</f>
        <v/>
      </c>
    </row>
    <row r="199">
      <c r="A199" s="33">
        <f>IF(Data!A226="",#N/A,Data!A226)</f>
        <v/>
      </c>
      <c r="B199" s="34">
        <f>VLOOKUP(A199,Data!A:AX,MATCH($B$2,Data!$B$1:$AX$1,0),FALSE)</f>
        <v/>
      </c>
      <c r="C199" s="35">
        <f>(B199/B198)-1</f>
        <v/>
      </c>
      <c r="D199" s="35">
        <f>((1+C199)^12)-1</f>
        <v/>
      </c>
      <c r="E199" s="35">
        <f>(Table143454[[#This Row],[USA]]-B187)/B187</f>
        <v/>
      </c>
      <c r="F199" s="34">
        <f>VLOOKUP(Table143454[[#This Row],[Date]],'Data Core CPI'!$A:$AX,MATCH($B$2,'Data Core CPI'!$B$1:$AX$1,0),FALSE)</f>
        <v/>
      </c>
      <c r="G199" s="35">
        <f>(F199/F198)-1</f>
        <v/>
      </c>
      <c r="H199" s="35">
        <f>((1+G199)^12)-1</f>
        <v/>
      </c>
      <c r="I199" s="35">
        <f>(Table143454[[#This Row],[Core CPI]]-F187)/F187</f>
        <v/>
      </c>
    </row>
    <row r="200">
      <c r="A200" s="33">
        <f>IF(Data!A227="",#N/A,Data!A227)</f>
        <v/>
      </c>
      <c r="B200" s="34">
        <f>VLOOKUP(A200,Data!A:AX,MATCH($B$2,Data!$B$1:$AX$1,0),FALSE)</f>
        <v/>
      </c>
      <c r="C200" s="35">
        <f>(B200/B199)-1</f>
        <v/>
      </c>
      <c r="D200" s="35">
        <f>((1+C200)^12)-1</f>
        <v/>
      </c>
      <c r="E200" s="35">
        <f>(Table143454[[#This Row],[USA]]-B188)/B188</f>
        <v/>
      </c>
      <c r="F200" s="34">
        <f>VLOOKUP(Table143454[[#This Row],[Date]],'Data Core CPI'!$A:$AX,MATCH($B$2,'Data Core CPI'!$B$1:$AX$1,0),FALSE)</f>
        <v/>
      </c>
      <c r="G200" s="35">
        <f>(F200/F199)-1</f>
        <v/>
      </c>
      <c r="H200" s="35">
        <f>((1+G200)^12)-1</f>
        <v/>
      </c>
      <c r="I200" s="35">
        <f>(Table143454[[#This Row],[Core CPI]]-F188)/F188</f>
        <v/>
      </c>
    </row>
    <row r="201">
      <c r="A201" s="33">
        <f>IF(Data!A228="",#N/A,Data!A228)</f>
        <v/>
      </c>
      <c r="B201" s="34">
        <f>VLOOKUP(A201,Data!A:AX,MATCH($B$2,Data!$B$1:$AX$1,0),FALSE)</f>
        <v/>
      </c>
      <c r="C201" s="35">
        <f>(B201/B200)-1</f>
        <v/>
      </c>
      <c r="D201" s="35">
        <f>((1+C201)^12)-1</f>
        <v/>
      </c>
      <c r="E201" s="35">
        <f>(Table143454[[#This Row],[USA]]-B189)/B189</f>
        <v/>
      </c>
      <c r="F201" s="34">
        <f>VLOOKUP(Table143454[[#This Row],[Date]],'Data Core CPI'!$A:$AX,MATCH($B$2,'Data Core CPI'!$B$1:$AX$1,0),FALSE)</f>
        <v/>
      </c>
      <c r="G201" s="35">
        <f>(F201/F200)-1</f>
        <v/>
      </c>
      <c r="H201" s="35">
        <f>((1+G201)^12)-1</f>
        <v/>
      </c>
      <c r="I201" s="35">
        <f>(Table143454[[#This Row],[Core CPI]]-F189)/F189</f>
        <v/>
      </c>
    </row>
    <row r="202">
      <c r="A202" s="33">
        <f>IF(Data!A229="",#N/A,Data!A229)</f>
        <v/>
      </c>
      <c r="B202" s="34">
        <f>VLOOKUP(A202,Data!A:AX,MATCH($B$2,Data!$B$1:$AX$1,0),FALSE)</f>
        <v/>
      </c>
      <c r="C202" s="35">
        <f>(B202/B201)-1</f>
        <v/>
      </c>
      <c r="D202" s="35">
        <f>((1+C202)^12)-1</f>
        <v/>
      </c>
      <c r="E202" s="35">
        <f>(Table143454[[#This Row],[USA]]-B190)/B190</f>
        <v/>
      </c>
      <c r="F202" s="34">
        <f>VLOOKUP(Table143454[[#This Row],[Date]],'Data Core CPI'!$A:$AX,MATCH($B$2,'Data Core CPI'!$B$1:$AX$1,0),FALSE)</f>
        <v/>
      </c>
      <c r="G202" s="35">
        <f>(F202/F201)-1</f>
        <v/>
      </c>
      <c r="H202" s="35">
        <f>((1+G202)^12)-1</f>
        <v/>
      </c>
      <c r="I202" s="35">
        <f>(Table143454[[#This Row],[Core CPI]]-F190)/F190</f>
        <v/>
      </c>
    </row>
    <row r="203">
      <c r="A203" s="33">
        <f>IF(Data!A230="",#N/A,Data!A230)</f>
        <v/>
      </c>
      <c r="B203" s="34">
        <f>VLOOKUP(A203,Data!A:AX,MATCH($B$2,Data!$B$1:$AX$1,0),FALSE)</f>
        <v/>
      </c>
      <c r="C203" s="35">
        <f>(B203/B202)-1</f>
        <v/>
      </c>
      <c r="D203" s="35">
        <f>((1+C203)^12)-1</f>
        <v/>
      </c>
      <c r="E203" s="35">
        <f>(Table143454[[#This Row],[USA]]-B191)/B191</f>
        <v/>
      </c>
      <c r="F203" s="34">
        <f>VLOOKUP(Table143454[[#This Row],[Date]],'Data Core CPI'!$A:$AX,MATCH($B$2,'Data Core CPI'!$B$1:$AX$1,0),FALSE)</f>
        <v/>
      </c>
      <c r="G203" s="35">
        <f>(F203/F202)-1</f>
        <v/>
      </c>
      <c r="H203" s="35">
        <f>((1+G203)^12)-1</f>
        <v/>
      </c>
      <c r="I203" s="35">
        <f>(Table143454[[#This Row],[Core CPI]]-F191)/F191</f>
        <v/>
      </c>
    </row>
    <row r="204">
      <c r="A204" s="33">
        <f>IF(Data!A231="",#N/A,Data!A231)</f>
        <v/>
      </c>
      <c r="B204" s="34">
        <f>VLOOKUP(A204,Data!A:AX,MATCH($B$2,Data!$B$1:$AX$1,0),FALSE)</f>
        <v/>
      </c>
      <c r="C204" s="35">
        <f>(B204/B203)-1</f>
        <v/>
      </c>
      <c r="D204" s="35">
        <f>((1+C204)^12)-1</f>
        <v/>
      </c>
      <c r="E204" s="35">
        <f>(Table143454[[#This Row],[USA]]-B192)/B192</f>
        <v/>
      </c>
      <c r="F204" s="34">
        <f>VLOOKUP(Table143454[[#This Row],[Date]],'Data Core CPI'!$A:$AX,MATCH($B$2,'Data Core CPI'!$B$1:$AX$1,0),FALSE)</f>
        <v/>
      </c>
      <c r="G204" s="35">
        <f>(F204/F203)-1</f>
        <v/>
      </c>
      <c r="H204" s="35">
        <f>((1+G204)^12)-1</f>
        <v/>
      </c>
      <c r="I204" s="35">
        <f>(Table143454[[#This Row],[Core CPI]]-F192)/F192</f>
        <v/>
      </c>
    </row>
    <row r="205">
      <c r="A205" s="33">
        <f>IF(Data!A232="",#N/A,Data!A232)</f>
        <v/>
      </c>
      <c r="B205" s="34">
        <f>VLOOKUP(A205,Data!A:AX,MATCH($B$2,Data!$B$1:$AX$1,0),FALSE)</f>
        <v/>
      </c>
      <c r="C205" s="35">
        <f>(B205/B204)-1</f>
        <v/>
      </c>
      <c r="D205" s="35">
        <f>((1+C205)^12)-1</f>
        <v/>
      </c>
      <c r="E205" s="35">
        <f>(Table143454[[#This Row],[USA]]-B193)/B193</f>
        <v/>
      </c>
      <c r="F205" s="34">
        <f>VLOOKUP(Table143454[[#This Row],[Date]],'Data Core CPI'!$A:$AX,MATCH($B$2,'Data Core CPI'!$B$1:$AX$1,0),FALSE)</f>
        <v/>
      </c>
      <c r="G205" s="35">
        <f>(F205/F204)-1</f>
        <v/>
      </c>
      <c r="H205" s="35">
        <f>((1+G205)^12)-1</f>
        <v/>
      </c>
      <c r="I205" s="35">
        <f>(Table143454[[#This Row],[Core CPI]]-F193)/F193</f>
        <v/>
      </c>
    </row>
    <row r="206">
      <c r="A206" s="33">
        <f>IF(Data!A233="",#N/A,Data!A233)</f>
        <v/>
      </c>
      <c r="B206" s="34">
        <f>VLOOKUP(A206,Data!A:AX,MATCH($B$2,Data!$B$1:$AX$1,0),FALSE)</f>
        <v/>
      </c>
      <c r="C206" s="35">
        <f>(B206/B205)-1</f>
        <v/>
      </c>
      <c r="D206" s="35">
        <f>((1+C206)^12)-1</f>
        <v/>
      </c>
      <c r="E206" s="35">
        <f>(Table143454[[#This Row],[USA]]-B194)/B194</f>
        <v/>
      </c>
      <c r="F206" s="34">
        <f>VLOOKUP(Table143454[[#This Row],[Date]],'Data Core CPI'!$A:$AX,MATCH($B$2,'Data Core CPI'!$B$1:$AX$1,0),FALSE)</f>
        <v/>
      </c>
      <c r="G206" s="35">
        <f>(F206/F205)-1</f>
        <v/>
      </c>
      <c r="H206" s="35">
        <f>((1+G206)^12)-1</f>
        <v/>
      </c>
      <c r="I206" s="35">
        <f>(Table143454[[#This Row],[Core CPI]]-F194)/F194</f>
        <v/>
      </c>
    </row>
    <row r="207">
      <c r="A207" s="33">
        <f>IF(Data!A234="",#N/A,Data!A234)</f>
        <v/>
      </c>
      <c r="B207" s="34">
        <f>VLOOKUP(A207,Data!A:AX,MATCH($B$2,Data!$B$1:$AX$1,0),FALSE)</f>
        <v/>
      </c>
      <c r="C207" s="35">
        <f>(B207/B206)-1</f>
        <v/>
      </c>
      <c r="D207" s="35">
        <f>((1+C207)^12)-1</f>
        <v/>
      </c>
      <c r="E207" s="35">
        <f>(Table143454[[#This Row],[USA]]-B195)/B195</f>
        <v/>
      </c>
      <c r="F207" s="34">
        <f>VLOOKUP(Table143454[[#This Row],[Date]],'Data Core CPI'!$A:$AX,MATCH($B$2,'Data Core CPI'!$B$1:$AX$1,0),FALSE)</f>
        <v/>
      </c>
      <c r="G207" s="35">
        <f>(F207/F206)-1</f>
        <v/>
      </c>
      <c r="H207" s="35">
        <f>((1+G207)^12)-1</f>
        <v/>
      </c>
      <c r="I207" s="35">
        <f>(Table143454[[#This Row],[Core CPI]]-F195)/F195</f>
        <v/>
      </c>
    </row>
    <row r="208">
      <c r="A208" s="33">
        <f>IF(Data!A235="",#N/A,Data!A235)</f>
        <v/>
      </c>
      <c r="B208" s="34">
        <f>VLOOKUP(A208,Data!A:AX,MATCH($B$2,Data!$B$1:$AX$1,0),FALSE)</f>
        <v/>
      </c>
      <c r="C208" s="35">
        <f>(B208/B207)-1</f>
        <v/>
      </c>
      <c r="D208" s="35">
        <f>((1+C208)^12)-1</f>
        <v/>
      </c>
      <c r="E208" s="35">
        <f>(Table143454[[#This Row],[USA]]-B196)/B196</f>
        <v/>
      </c>
      <c r="F208" s="34">
        <f>VLOOKUP(Table143454[[#This Row],[Date]],'Data Core CPI'!$A:$AX,MATCH($B$2,'Data Core CPI'!$B$1:$AX$1,0),FALSE)</f>
        <v/>
      </c>
      <c r="G208" s="35">
        <f>(F208/F207)-1</f>
        <v/>
      </c>
      <c r="H208" s="35">
        <f>((1+G208)^12)-1</f>
        <v/>
      </c>
      <c r="I208" s="35">
        <f>(Table143454[[#This Row],[Core CPI]]-F196)/F196</f>
        <v/>
      </c>
    </row>
    <row r="209">
      <c r="A209" s="33">
        <f>IF(Data!A236="",#N/A,Data!A236)</f>
        <v/>
      </c>
      <c r="B209" s="34">
        <f>VLOOKUP(A209,Data!A:AX,MATCH($B$2,Data!$B$1:$AX$1,0),FALSE)</f>
        <v/>
      </c>
      <c r="C209" s="35">
        <f>(B209/B208)-1</f>
        <v/>
      </c>
      <c r="D209" s="35">
        <f>((1+C209)^12)-1</f>
        <v/>
      </c>
      <c r="E209" s="35">
        <f>(Table143454[[#This Row],[USA]]-B197)/B197</f>
        <v/>
      </c>
      <c r="F209" s="34">
        <f>VLOOKUP(Table143454[[#This Row],[Date]],'Data Core CPI'!$A:$AX,MATCH($B$2,'Data Core CPI'!$B$1:$AX$1,0),FALSE)</f>
        <v/>
      </c>
      <c r="G209" s="35">
        <f>(F209/F208)-1</f>
        <v/>
      </c>
      <c r="H209" s="35">
        <f>((1+G209)^12)-1</f>
        <v/>
      </c>
      <c r="I209" s="35">
        <f>(Table143454[[#This Row],[Core CPI]]-F197)/F197</f>
        <v/>
      </c>
    </row>
    <row r="210">
      <c r="A210" s="33">
        <f>IF(Data!A237="",#N/A,Data!A237)</f>
        <v/>
      </c>
      <c r="B210" s="34">
        <f>VLOOKUP(A210,Data!A:AX,MATCH($B$2,Data!$B$1:$AX$1,0),FALSE)</f>
        <v/>
      </c>
      <c r="C210" s="35">
        <f>(B210/B209)-1</f>
        <v/>
      </c>
      <c r="D210" s="35">
        <f>((1+C210)^12)-1</f>
        <v/>
      </c>
      <c r="E210" s="35">
        <f>(Table143454[[#This Row],[USA]]-B198)/B198</f>
        <v/>
      </c>
      <c r="F210" s="34">
        <f>VLOOKUP(Table143454[[#This Row],[Date]],'Data Core CPI'!$A:$AX,MATCH($B$2,'Data Core CPI'!$B$1:$AX$1,0),FALSE)</f>
        <v/>
      </c>
      <c r="G210" s="35">
        <f>(F210/F209)-1</f>
        <v/>
      </c>
      <c r="H210" s="35">
        <f>((1+G210)^12)-1</f>
        <v/>
      </c>
      <c r="I210" s="35">
        <f>(Table143454[[#This Row],[Core CPI]]-F198)/F198</f>
        <v/>
      </c>
    </row>
    <row r="211">
      <c r="A211" s="33">
        <f>IF(Data!A238="",#N/A,Data!A238)</f>
        <v/>
      </c>
      <c r="B211" s="34">
        <f>VLOOKUP(A211,Data!A:AX,MATCH($B$2,Data!$B$1:$AX$1,0),FALSE)</f>
        <v/>
      </c>
      <c r="C211" s="35">
        <f>(B211/B210)-1</f>
        <v/>
      </c>
      <c r="D211" s="35">
        <f>((1+C211)^12)-1</f>
        <v/>
      </c>
      <c r="E211" s="35">
        <f>(Table143454[[#This Row],[USA]]-B199)/B199</f>
        <v/>
      </c>
      <c r="F211" s="34">
        <f>VLOOKUP(Table143454[[#This Row],[Date]],'Data Core CPI'!$A:$AX,MATCH($B$2,'Data Core CPI'!$B$1:$AX$1,0),FALSE)</f>
        <v/>
      </c>
      <c r="G211" s="35">
        <f>(F211/F210)-1</f>
        <v/>
      </c>
      <c r="H211" s="35">
        <f>((1+G211)^12)-1</f>
        <v/>
      </c>
      <c r="I211" s="35">
        <f>(Table143454[[#This Row],[Core CPI]]-F199)/F199</f>
        <v/>
      </c>
    </row>
    <row r="212">
      <c r="A212" s="33">
        <f>IF(Data!A239="",#N/A,Data!A239)</f>
        <v/>
      </c>
      <c r="B212" s="34">
        <f>VLOOKUP(A212,Data!A:AX,MATCH($B$2,Data!$B$1:$AX$1,0),FALSE)</f>
        <v/>
      </c>
      <c r="C212" s="35">
        <f>(B212/B211)-1</f>
        <v/>
      </c>
      <c r="D212" s="35">
        <f>((1+C212)^12)-1</f>
        <v/>
      </c>
      <c r="E212" s="35">
        <f>(Table143454[[#This Row],[USA]]-B200)/B200</f>
        <v/>
      </c>
      <c r="F212" s="34">
        <f>VLOOKUP(Table143454[[#This Row],[Date]],'Data Core CPI'!$A:$AX,MATCH($B$2,'Data Core CPI'!$B$1:$AX$1,0),FALSE)</f>
        <v/>
      </c>
      <c r="G212" s="35">
        <f>(F212/F211)-1</f>
        <v/>
      </c>
      <c r="H212" s="35">
        <f>((1+G212)^12)-1</f>
        <v/>
      </c>
      <c r="I212" s="35">
        <f>(Table143454[[#This Row],[Core CPI]]-F200)/F200</f>
        <v/>
      </c>
    </row>
    <row r="213">
      <c r="A213" s="33">
        <f>IF(Data!A240="",#N/A,Data!A240)</f>
        <v/>
      </c>
      <c r="B213" s="34">
        <f>VLOOKUP(A213,Data!A:AX,MATCH($B$2,Data!$B$1:$AX$1,0),FALSE)</f>
        <v/>
      </c>
      <c r="C213" s="35">
        <f>(B213/B212)-1</f>
        <v/>
      </c>
      <c r="D213" s="35">
        <f>((1+C213)^12)-1</f>
        <v/>
      </c>
      <c r="E213" s="35">
        <f>(Table143454[[#This Row],[USA]]-B201)/B201</f>
        <v/>
      </c>
      <c r="F213" s="34">
        <f>VLOOKUP(Table143454[[#This Row],[Date]],'Data Core CPI'!$A:$AX,MATCH($B$2,'Data Core CPI'!$B$1:$AX$1,0),FALSE)</f>
        <v/>
      </c>
      <c r="G213" s="35">
        <f>(F213/F212)-1</f>
        <v/>
      </c>
      <c r="H213" s="35">
        <f>((1+G213)^12)-1</f>
        <v/>
      </c>
      <c r="I213" s="35">
        <f>(Table143454[[#This Row],[Core CPI]]-F201)/F201</f>
        <v/>
      </c>
    </row>
    <row r="214">
      <c r="A214" s="33">
        <f>IF(Data!A241="",#N/A,Data!A241)</f>
        <v/>
      </c>
      <c r="B214" s="34">
        <f>VLOOKUP(A214,Data!A:AX,MATCH($B$2,Data!$B$1:$AX$1,0),FALSE)</f>
        <v/>
      </c>
      <c r="C214" s="35">
        <f>(B214/B213)-1</f>
        <v/>
      </c>
      <c r="D214" s="35">
        <f>((1+C214)^12)-1</f>
        <v/>
      </c>
      <c r="E214" s="35">
        <f>(Table143454[[#This Row],[USA]]-B202)/B202</f>
        <v/>
      </c>
      <c r="F214" s="34">
        <f>VLOOKUP(Table143454[[#This Row],[Date]],'Data Core CPI'!$A:$AX,MATCH($B$2,'Data Core CPI'!$B$1:$AX$1,0),FALSE)</f>
        <v/>
      </c>
      <c r="G214" s="35">
        <f>(F214/F213)-1</f>
        <v/>
      </c>
      <c r="H214" s="35">
        <f>((1+G214)^12)-1</f>
        <v/>
      </c>
      <c r="I214" s="35">
        <f>(Table143454[[#This Row],[Core CPI]]-F202)/F202</f>
        <v/>
      </c>
    </row>
    <row r="215">
      <c r="A215" s="33">
        <f>IF(Data!A242="",#N/A,Data!A242)</f>
        <v/>
      </c>
      <c r="B215" s="34">
        <f>VLOOKUP(A215,Data!A:AX,MATCH($B$2,Data!$B$1:$AX$1,0),FALSE)</f>
        <v/>
      </c>
      <c r="C215" s="35">
        <f>(B215/B214)-1</f>
        <v/>
      </c>
      <c r="D215" s="35">
        <f>((1+C215)^12)-1</f>
        <v/>
      </c>
      <c r="E215" s="35">
        <f>(Table143454[[#This Row],[USA]]-B203)/B203</f>
        <v/>
      </c>
      <c r="F215" s="34">
        <f>VLOOKUP(Table143454[[#This Row],[Date]],'Data Core CPI'!$A:$AX,MATCH($B$2,'Data Core CPI'!$B$1:$AX$1,0),FALSE)</f>
        <v/>
      </c>
      <c r="G215" s="35">
        <f>(F215/F214)-1</f>
        <v/>
      </c>
      <c r="H215" s="35">
        <f>((1+G215)^12)-1</f>
        <v/>
      </c>
      <c r="I215" s="35">
        <f>(Table143454[[#This Row],[Core CPI]]-F203)/F203</f>
        <v/>
      </c>
    </row>
    <row r="216">
      <c r="A216" s="33">
        <f>IF(Data!A243="",#N/A,Data!A243)</f>
        <v/>
      </c>
      <c r="B216" s="34">
        <f>VLOOKUP(A216,Data!A:AX,MATCH($B$2,Data!$B$1:$AX$1,0),FALSE)</f>
        <v/>
      </c>
      <c r="C216" s="35">
        <f>(B216/B215)-1</f>
        <v/>
      </c>
      <c r="D216" s="35">
        <f>((1+C216)^12)-1</f>
        <v/>
      </c>
      <c r="E216" s="35">
        <f>(Table143454[[#This Row],[USA]]-B204)/B204</f>
        <v/>
      </c>
      <c r="F216" s="34">
        <f>VLOOKUP(Table143454[[#This Row],[Date]],'Data Core CPI'!$A:$AX,MATCH($B$2,'Data Core CPI'!$B$1:$AX$1,0),FALSE)</f>
        <v/>
      </c>
      <c r="G216" s="35">
        <f>(F216/F215)-1</f>
        <v/>
      </c>
      <c r="H216" s="35">
        <f>((1+G216)^12)-1</f>
        <v/>
      </c>
      <c r="I216" s="35">
        <f>(Table143454[[#This Row],[Core CPI]]-F204)/F204</f>
        <v/>
      </c>
    </row>
    <row r="217">
      <c r="A217" s="33">
        <f>IF(Data!A244="",#N/A,Data!A244)</f>
        <v/>
      </c>
      <c r="B217" s="34">
        <f>VLOOKUP(A217,Data!A:AX,MATCH($B$2,Data!$B$1:$AX$1,0),FALSE)</f>
        <v/>
      </c>
      <c r="C217" s="35">
        <f>(B217/B216)-1</f>
        <v/>
      </c>
      <c r="D217" s="35">
        <f>((1+C217)^12)-1</f>
        <v/>
      </c>
      <c r="E217" s="35">
        <f>(Table143454[[#This Row],[USA]]-B205)/B205</f>
        <v/>
      </c>
      <c r="F217" s="34">
        <f>VLOOKUP(Table143454[[#This Row],[Date]],'Data Core CPI'!$A:$AX,MATCH($B$2,'Data Core CPI'!$B$1:$AX$1,0),FALSE)</f>
        <v/>
      </c>
      <c r="G217" s="35">
        <f>(F217/F216)-1</f>
        <v/>
      </c>
      <c r="H217" s="35">
        <f>((1+G217)^12)-1</f>
        <v/>
      </c>
      <c r="I217" s="35">
        <f>(Table143454[[#This Row],[Core CPI]]-F205)/F205</f>
        <v/>
      </c>
    </row>
    <row r="218">
      <c r="A218" s="33">
        <f>IF(Data!A245="",#N/A,Data!A245)</f>
        <v/>
      </c>
      <c r="B218" s="34">
        <f>VLOOKUP(A218,Data!A:AX,MATCH($B$2,Data!$B$1:$AX$1,0),FALSE)</f>
        <v/>
      </c>
      <c r="C218" s="35">
        <f>(B218/B217)-1</f>
        <v/>
      </c>
      <c r="D218" s="35">
        <f>((1+C218)^12)-1</f>
        <v/>
      </c>
      <c r="E218" s="35">
        <f>(Table143454[[#This Row],[USA]]-B206)/B206</f>
        <v/>
      </c>
      <c r="F218" s="34">
        <f>VLOOKUP(Table143454[[#This Row],[Date]],'Data Core CPI'!$A:$AX,MATCH($B$2,'Data Core CPI'!$B$1:$AX$1,0),FALSE)</f>
        <v/>
      </c>
      <c r="G218" s="35">
        <f>(F218/F217)-1</f>
        <v/>
      </c>
      <c r="H218" s="35">
        <f>((1+G218)^12)-1</f>
        <v/>
      </c>
      <c r="I218" s="35">
        <f>(Table143454[[#This Row],[Core CPI]]-F206)/F206</f>
        <v/>
      </c>
    </row>
    <row r="219">
      <c r="A219" s="33">
        <f>IF(Data!A246="",#N/A,Data!A246)</f>
        <v/>
      </c>
      <c r="B219" s="34">
        <f>VLOOKUP(A219,Data!A:AX,MATCH($B$2,Data!$B$1:$AX$1,0),FALSE)</f>
        <v/>
      </c>
      <c r="C219" s="35">
        <f>(B219/B218)-1</f>
        <v/>
      </c>
      <c r="D219" s="35">
        <f>((1+C219)^12)-1</f>
        <v/>
      </c>
      <c r="E219" s="35">
        <f>(Table143454[[#This Row],[USA]]-B207)/B207</f>
        <v/>
      </c>
      <c r="F219" s="34">
        <f>VLOOKUP(Table143454[[#This Row],[Date]],'Data Core CPI'!$A:$AX,MATCH($B$2,'Data Core CPI'!$B$1:$AX$1,0),FALSE)</f>
        <v/>
      </c>
      <c r="G219" s="35">
        <f>(F219/F218)-1</f>
        <v/>
      </c>
      <c r="H219" s="35">
        <f>((1+G219)^12)-1</f>
        <v/>
      </c>
      <c r="I219" s="35">
        <f>(Table143454[[#This Row],[Core CPI]]-F207)/F207</f>
        <v/>
      </c>
    </row>
    <row r="220">
      <c r="A220" s="33">
        <f>IF(Data!A247="",#N/A,Data!A247)</f>
        <v/>
      </c>
      <c r="B220" s="34">
        <f>VLOOKUP(A220,Data!A:AX,MATCH($B$2,Data!$B$1:$AX$1,0),FALSE)</f>
        <v/>
      </c>
      <c r="C220" s="35">
        <f>(B220/B219)-1</f>
        <v/>
      </c>
      <c r="D220" s="35">
        <f>((1+C220)^12)-1</f>
        <v/>
      </c>
      <c r="E220" s="35">
        <f>(Table143454[[#This Row],[USA]]-B208)/B208</f>
        <v/>
      </c>
      <c r="F220" s="34">
        <f>VLOOKUP(Table143454[[#This Row],[Date]],'Data Core CPI'!$A:$AX,MATCH($B$2,'Data Core CPI'!$B$1:$AX$1,0),FALSE)</f>
        <v/>
      </c>
      <c r="G220" s="35">
        <f>(F220/F219)-1</f>
        <v/>
      </c>
      <c r="H220" s="35">
        <f>((1+G220)^12)-1</f>
        <v/>
      </c>
      <c r="I220" s="35">
        <f>(Table143454[[#This Row],[Core CPI]]-F208)/F208</f>
        <v/>
      </c>
    </row>
    <row r="221">
      <c r="A221" s="33">
        <f>IF(Data!A248="",#N/A,Data!A248)</f>
        <v/>
      </c>
      <c r="B221" s="34">
        <f>VLOOKUP(A221,Data!A:AX,MATCH($B$2,Data!$B$1:$AX$1,0),FALSE)</f>
        <v/>
      </c>
      <c r="C221" s="35">
        <f>(B221/B220)-1</f>
        <v/>
      </c>
      <c r="D221" s="35">
        <f>((1+C221)^12)-1</f>
        <v/>
      </c>
      <c r="E221" s="35">
        <f>(Table143454[[#This Row],[USA]]-B209)/B209</f>
        <v/>
      </c>
      <c r="F221" s="34">
        <f>VLOOKUP(Table143454[[#This Row],[Date]],'Data Core CPI'!$A:$AX,MATCH($B$2,'Data Core CPI'!$B$1:$AX$1,0),FALSE)</f>
        <v/>
      </c>
      <c r="G221" s="35">
        <f>(F221/F220)-1</f>
        <v/>
      </c>
      <c r="H221" s="35">
        <f>((1+G221)^12)-1</f>
        <v/>
      </c>
      <c r="I221" s="35">
        <f>(Table143454[[#This Row],[Core CPI]]-F209)/F209</f>
        <v/>
      </c>
    </row>
    <row r="222">
      <c r="A222" s="33">
        <f>IF(Data!A249="",#N/A,Data!A249)</f>
        <v/>
      </c>
      <c r="B222" s="34">
        <f>VLOOKUP(A222,Data!A:AX,MATCH($B$2,Data!$B$1:$AX$1,0),FALSE)</f>
        <v/>
      </c>
      <c r="C222" s="35">
        <f>(B222/B221)-1</f>
        <v/>
      </c>
      <c r="D222" s="35">
        <f>((1+C222)^12)-1</f>
        <v/>
      </c>
      <c r="E222" s="35">
        <f>(Table143454[[#This Row],[USA]]-B210)/B210</f>
        <v/>
      </c>
      <c r="F222" s="34">
        <f>VLOOKUP(Table143454[[#This Row],[Date]],'Data Core CPI'!$A:$AX,MATCH($B$2,'Data Core CPI'!$B$1:$AX$1,0),FALSE)</f>
        <v/>
      </c>
      <c r="G222" s="35">
        <f>(F222/F221)-1</f>
        <v/>
      </c>
      <c r="H222" s="35">
        <f>((1+G222)^12)-1</f>
        <v/>
      </c>
      <c r="I222" s="35">
        <f>(Table143454[[#This Row],[Core CPI]]-F210)/F210</f>
        <v/>
      </c>
    </row>
    <row r="223">
      <c r="A223" s="33">
        <f>IF(Data!A250="",#N/A,Data!A250)</f>
        <v/>
      </c>
      <c r="B223" s="34">
        <f>VLOOKUP(A223,Data!A:AX,MATCH($B$2,Data!$B$1:$AX$1,0),FALSE)</f>
        <v/>
      </c>
      <c r="C223" s="35">
        <f>(B223/B222)-1</f>
        <v/>
      </c>
      <c r="D223" s="35">
        <f>((1+C223)^12)-1</f>
        <v/>
      </c>
      <c r="E223" s="35">
        <f>(Table143454[[#This Row],[USA]]-B211)/B211</f>
        <v/>
      </c>
      <c r="F223" s="34">
        <f>VLOOKUP(Table143454[[#This Row],[Date]],'Data Core CPI'!$A:$AX,MATCH($B$2,'Data Core CPI'!$B$1:$AX$1,0),FALSE)</f>
        <v/>
      </c>
      <c r="G223" s="35">
        <f>(F223/F222)-1</f>
        <v/>
      </c>
      <c r="H223" s="35">
        <f>((1+G223)^12)-1</f>
        <v/>
      </c>
      <c r="I223" s="35">
        <f>(Table143454[[#This Row],[Core CPI]]-F211)/F211</f>
        <v/>
      </c>
    </row>
    <row r="224">
      <c r="A224" s="33">
        <f>IF(Data!A251="",#N/A,Data!A251)</f>
        <v/>
      </c>
      <c r="B224" s="34">
        <f>VLOOKUP(A224,Data!A:AX,MATCH($B$2,Data!$B$1:$AX$1,0),FALSE)</f>
        <v/>
      </c>
      <c r="C224" s="35">
        <f>(B224/B223)-1</f>
        <v/>
      </c>
      <c r="D224" s="35">
        <f>((1+C224)^12)-1</f>
        <v/>
      </c>
      <c r="E224" s="35">
        <f>(Table143454[[#This Row],[USA]]-B212)/B212</f>
        <v/>
      </c>
      <c r="F224" s="34">
        <f>VLOOKUP(Table143454[[#This Row],[Date]],'Data Core CPI'!$A:$AX,MATCH($B$2,'Data Core CPI'!$B$1:$AX$1,0),FALSE)</f>
        <v/>
      </c>
      <c r="G224" s="35">
        <f>(F224/F223)-1</f>
        <v/>
      </c>
      <c r="H224" s="35">
        <f>((1+G224)^12)-1</f>
        <v/>
      </c>
      <c r="I224" s="35">
        <f>(Table143454[[#This Row],[Core CPI]]-F212)/F212</f>
        <v/>
      </c>
    </row>
    <row r="225">
      <c r="A225" s="33">
        <f>IF(Data!A252="",#N/A,Data!A252)</f>
        <v/>
      </c>
      <c r="B225" s="34">
        <f>VLOOKUP(A225,Data!A:AX,MATCH($B$2,Data!$B$1:$AX$1,0),FALSE)</f>
        <v/>
      </c>
      <c r="C225" s="35">
        <f>(B225/B224)-1</f>
        <v/>
      </c>
      <c r="D225" s="35">
        <f>((1+C225)^12)-1</f>
        <v/>
      </c>
      <c r="E225" s="35">
        <f>(Table143454[[#This Row],[USA]]-B213)/B213</f>
        <v/>
      </c>
      <c r="F225" s="34">
        <f>VLOOKUP(Table143454[[#This Row],[Date]],'Data Core CPI'!$A:$AX,MATCH($B$2,'Data Core CPI'!$B$1:$AX$1,0),FALSE)</f>
        <v/>
      </c>
      <c r="G225" s="35">
        <f>(F225/F224)-1</f>
        <v/>
      </c>
      <c r="H225" s="35">
        <f>((1+G225)^12)-1</f>
        <v/>
      </c>
      <c r="I225" s="35">
        <f>(Table143454[[#This Row],[Core CPI]]-F213)/F213</f>
        <v/>
      </c>
    </row>
    <row r="226">
      <c r="A226" s="33">
        <f>IF(Data!A253="",#N/A,Data!A253)</f>
        <v/>
      </c>
      <c r="B226" s="34">
        <f>VLOOKUP(A226,Data!A:AX,MATCH($B$2,Data!$B$1:$AX$1,0),FALSE)</f>
        <v/>
      </c>
      <c r="C226" s="35">
        <f>(B226/B225)-1</f>
        <v/>
      </c>
      <c r="D226" s="35">
        <f>((1+C226)^12)-1</f>
        <v/>
      </c>
      <c r="E226" s="35">
        <f>(Table143454[[#This Row],[USA]]-B214)/B214</f>
        <v/>
      </c>
      <c r="F226" s="34">
        <f>VLOOKUP(Table143454[[#This Row],[Date]],'Data Core CPI'!$A:$AX,MATCH($B$2,'Data Core CPI'!$B$1:$AX$1,0),FALSE)</f>
        <v/>
      </c>
      <c r="G226" s="35">
        <f>(F226/F225)-1</f>
        <v/>
      </c>
      <c r="H226" s="35">
        <f>((1+G226)^12)-1</f>
        <v/>
      </c>
      <c r="I226" s="35">
        <f>(Table143454[[#This Row],[Core CPI]]-F214)/F214</f>
        <v/>
      </c>
    </row>
    <row r="227">
      <c r="A227" s="33">
        <f>IF(Data!A254="",#N/A,Data!A254)</f>
        <v/>
      </c>
      <c r="B227" s="34">
        <f>VLOOKUP(A227,Data!A:AX,MATCH($B$2,Data!$B$1:$AX$1,0),FALSE)</f>
        <v/>
      </c>
      <c r="C227" s="35">
        <f>(B227/B226)-1</f>
        <v/>
      </c>
      <c r="D227" s="35">
        <f>((1+C227)^12)-1</f>
        <v/>
      </c>
      <c r="E227" s="35">
        <f>(Table143454[[#This Row],[USA]]-B215)/B215</f>
        <v/>
      </c>
      <c r="F227" s="34">
        <f>VLOOKUP(Table143454[[#This Row],[Date]],'Data Core CPI'!$A:$AX,MATCH($B$2,'Data Core CPI'!$B$1:$AX$1,0),FALSE)</f>
        <v/>
      </c>
      <c r="G227" s="35">
        <f>(F227/F226)-1</f>
        <v/>
      </c>
      <c r="H227" s="35">
        <f>((1+G227)^12)-1</f>
        <v/>
      </c>
      <c r="I227" s="35">
        <f>(Table143454[[#This Row],[Core CPI]]-F215)/F215</f>
        <v/>
      </c>
    </row>
    <row r="228">
      <c r="A228" s="33">
        <f>IF(Data!A255="",#N/A,Data!A255)</f>
        <v/>
      </c>
      <c r="B228" s="34">
        <f>VLOOKUP(A228,Data!A:AX,MATCH($B$2,Data!$B$1:$AX$1,0),FALSE)</f>
        <v/>
      </c>
      <c r="C228" s="35">
        <f>(B228/B227)-1</f>
        <v/>
      </c>
      <c r="D228" s="35">
        <f>((1+C228)^12)-1</f>
        <v/>
      </c>
      <c r="E228" s="35">
        <f>(Table143454[[#This Row],[USA]]-B216)/B216</f>
        <v/>
      </c>
      <c r="F228" s="34">
        <f>VLOOKUP(Table143454[[#This Row],[Date]],'Data Core CPI'!$A:$AX,MATCH($B$2,'Data Core CPI'!$B$1:$AX$1,0),FALSE)</f>
        <v/>
      </c>
      <c r="G228" s="35">
        <f>(F228/F227)-1</f>
        <v/>
      </c>
      <c r="H228" s="35">
        <f>((1+G228)^12)-1</f>
        <v/>
      </c>
      <c r="I228" s="35">
        <f>(Table143454[[#This Row],[Core CPI]]-F216)/F216</f>
        <v/>
      </c>
    </row>
    <row r="229">
      <c r="A229" s="33">
        <f>IF(Data!A256="",#N/A,Data!A256)</f>
        <v/>
      </c>
      <c r="B229" s="34">
        <f>VLOOKUP(A229,Data!A:AX,MATCH($B$2,Data!$B$1:$AX$1,0),FALSE)</f>
        <v/>
      </c>
      <c r="C229" s="35">
        <f>(B229/B228)-1</f>
        <v/>
      </c>
      <c r="D229" s="35">
        <f>((1+C229)^12)-1</f>
        <v/>
      </c>
      <c r="E229" s="35">
        <f>(Table143454[[#This Row],[USA]]-B217)/B217</f>
        <v/>
      </c>
      <c r="F229" s="34">
        <f>VLOOKUP(Table143454[[#This Row],[Date]],'Data Core CPI'!$A:$AX,MATCH($B$2,'Data Core CPI'!$B$1:$AX$1,0),FALSE)</f>
        <v/>
      </c>
      <c r="G229" s="35">
        <f>(F229/F228)-1</f>
        <v/>
      </c>
      <c r="H229" s="35">
        <f>((1+G229)^12)-1</f>
        <v/>
      </c>
      <c r="I229" s="35">
        <f>(Table143454[[#This Row],[Core CPI]]-F217)/F217</f>
        <v/>
      </c>
    </row>
    <row r="230">
      <c r="A230" s="33">
        <f>IF(Data!A257="",#N/A,Data!A257)</f>
        <v/>
      </c>
      <c r="B230" s="34">
        <f>VLOOKUP(A230,Data!A:AX,MATCH($B$2,Data!$B$1:$AX$1,0),FALSE)</f>
        <v/>
      </c>
      <c r="C230" s="35">
        <f>(B230/B229)-1</f>
        <v/>
      </c>
      <c r="D230" s="35">
        <f>((1+C230)^12)-1</f>
        <v/>
      </c>
      <c r="E230" s="35">
        <f>(Table143454[[#This Row],[USA]]-B218)/B218</f>
        <v/>
      </c>
      <c r="F230" s="34">
        <f>VLOOKUP(Table143454[[#This Row],[Date]],'Data Core CPI'!$A:$AX,MATCH($B$2,'Data Core CPI'!$B$1:$AX$1,0),FALSE)</f>
        <v/>
      </c>
      <c r="G230" s="35">
        <f>(F230/F229)-1</f>
        <v/>
      </c>
      <c r="H230" s="35">
        <f>((1+G230)^12)-1</f>
        <v/>
      </c>
      <c r="I230" s="35">
        <f>(Table143454[[#This Row],[Core CPI]]-F218)/F218</f>
        <v/>
      </c>
    </row>
    <row r="231">
      <c r="A231" s="33">
        <f>IF(Data!A258="",#N/A,Data!A258)</f>
        <v/>
      </c>
      <c r="B231" s="34">
        <f>VLOOKUP(A231,Data!A:AX,MATCH($B$2,Data!$B$1:$AX$1,0),FALSE)</f>
        <v/>
      </c>
      <c r="C231" s="35">
        <f>(B231/B230)-1</f>
        <v/>
      </c>
      <c r="D231" s="35">
        <f>((1+C231)^12)-1</f>
        <v/>
      </c>
      <c r="E231" s="35">
        <f>(Table143454[[#This Row],[USA]]-B219)/B219</f>
        <v/>
      </c>
      <c r="F231" s="34">
        <f>VLOOKUP(Table143454[[#This Row],[Date]],'Data Core CPI'!$A:$AX,MATCH($B$2,'Data Core CPI'!$B$1:$AX$1,0),FALSE)</f>
        <v/>
      </c>
      <c r="G231" s="35">
        <f>(F231/F230)-1</f>
        <v/>
      </c>
      <c r="H231" s="35">
        <f>((1+G231)^12)-1</f>
        <v/>
      </c>
      <c r="I231" s="35">
        <f>(Table143454[[#This Row],[Core CPI]]-F219)/F219</f>
        <v/>
      </c>
    </row>
    <row r="232">
      <c r="A232" s="33">
        <f>IF(Data!A259="",#N/A,Data!A259)</f>
        <v/>
      </c>
      <c r="B232" s="34">
        <f>VLOOKUP(A232,Data!A:AX,MATCH($B$2,Data!$B$1:$AX$1,0),FALSE)</f>
        <v/>
      </c>
      <c r="C232" s="35">
        <f>(B232/B231)-1</f>
        <v/>
      </c>
      <c r="D232" s="35">
        <f>((1+C232)^12)-1</f>
        <v/>
      </c>
      <c r="E232" s="35">
        <f>(Table143454[[#This Row],[USA]]-B220)/B220</f>
        <v/>
      </c>
      <c r="F232" s="34">
        <f>VLOOKUP(Table143454[[#This Row],[Date]],'Data Core CPI'!$A:$AX,MATCH($B$2,'Data Core CPI'!$B$1:$AX$1,0),FALSE)</f>
        <v/>
      </c>
      <c r="G232" s="35">
        <f>(F232/F231)-1</f>
        <v/>
      </c>
      <c r="H232" s="35">
        <f>((1+G232)^12)-1</f>
        <v/>
      </c>
      <c r="I232" s="35">
        <f>(Table143454[[#This Row],[Core CPI]]-F220)/F220</f>
        <v/>
      </c>
    </row>
    <row r="233">
      <c r="A233" s="33">
        <f>IF(Data!A260="",#N/A,Data!A260)</f>
        <v/>
      </c>
      <c r="B233" s="34">
        <f>VLOOKUP(A233,Data!A:AX,MATCH($B$2,Data!$B$1:$AX$1,0),FALSE)</f>
        <v/>
      </c>
      <c r="C233" s="35">
        <f>(B233/B232)-1</f>
        <v/>
      </c>
      <c r="D233" s="35">
        <f>((1+C233)^12)-1</f>
        <v/>
      </c>
      <c r="E233" s="35">
        <f>(Table143454[[#This Row],[USA]]-B221)/B221</f>
        <v/>
      </c>
      <c r="F233" s="34">
        <f>VLOOKUP(Table143454[[#This Row],[Date]],'Data Core CPI'!$A:$AX,MATCH($B$2,'Data Core CPI'!$B$1:$AX$1,0),FALSE)</f>
        <v/>
      </c>
      <c r="G233" s="35">
        <f>(F233/F232)-1</f>
        <v/>
      </c>
      <c r="H233" s="35">
        <f>((1+G233)^12)-1</f>
        <v/>
      </c>
      <c r="I233" s="35">
        <f>(Table143454[[#This Row],[Core CPI]]-F221)/F221</f>
        <v/>
      </c>
    </row>
    <row r="234">
      <c r="A234" s="33">
        <f>IF(Data!A261="",#N/A,Data!A261)</f>
        <v/>
      </c>
      <c r="B234" s="34">
        <f>VLOOKUP(A234,Data!A:AX,MATCH($B$2,Data!$B$1:$AX$1,0),FALSE)</f>
        <v/>
      </c>
      <c r="C234" s="35">
        <f>(B234/B233)-1</f>
        <v/>
      </c>
      <c r="D234" s="35">
        <f>((1+C234)^12)-1</f>
        <v/>
      </c>
      <c r="E234" s="35">
        <f>(Table143454[[#This Row],[USA]]-B222)/B222</f>
        <v/>
      </c>
      <c r="F234" s="34">
        <f>VLOOKUP(Table143454[[#This Row],[Date]],'Data Core CPI'!$A:$AX,MATCH($B$2,'Data Core CPI'!$B$1:$AX$1,0),FALSE)</f>
        <v/>
      </c>
      <c r="G234" s="35">
        <f>(F234/F233)-1</f>
        <v/>
      </c>
      <c r="H234" s="35">
        <f>((1+G234)^12)-1</f>
        <v/>
      </c>
      <c r="I234" s="35">
        <f>(Table143454[[#This Row],[Core CPI]]-F222)/F222</f>
        <v/>
      </c>
    </row>
    <row r="235">
      <c r="A235" s="33">
        <f>IF(Data!A262="",#N/A,Data!A262)</f>
        <v/>
      </c>
      <c r="B235" s="34">
        <f>VLOOKUP(A235,Data!A:AX,MATCH($B$2,Data!$B$1:$AX$1,0),FALSE)</f>
        <v/>
      </c>
      <c r="C235" s="35">
        <f>(B235/B234)-1</f>
        <v/>
      </c>
      <c r="D235" s="35">
        <f>((1+C235)^12)-1</f>
        <v/>
      </c>
      <c r="E235" s="35">
        <f>(Table143454[[#This Row],[USA]]-B223)/B223</f>
        <v/>
      </c>
      <c r="F235" s="34">
        <f>VLOOKUP(Table143454[[#This Row],[Date]],'Data Core CPI'!$A:$AX,MATCH($B$2,'Data Core CPI'!$B$1:$AX$1,0),FALSE)</f>
        <v/>
      </c>
      <c r="G235" s="35">
        <f>(F235/F234)-1</f>
        <v/>
      </c>
      <c r="H235" s="35">
        <f>((1+G235)^12)-1</f>
        <v/>
      </c>
      <c r="I235" s="35">
        <f>(Table143454[[#This Row],[Core CPI]]-F223)/F223</f>
        <v/>
      </c>
    </row>
    <row r="236">
      <c r="A236" s="33">
        <f>IF(Data!A263="",#N/A,Data!A263)</f>
        <v/>
      </c>
      <c r="B236" s="34">
        <f>VLOOKUP(A236,Data!A:AX,MATCH($B$2,Data!$B$1:$AX$1,0),FALSE)</f>
        <v/>
      </c>
      <c r="C236" s="35">
        <f>(B236/B235)-1</f>
        <v/>
      </c>
      <c r="D236" s="35">
        <f>((1+C236)^12)-1</f>
        <v/>
      </c>
      <c r="E236" s="35">
        <f>(Table143454[[#This Row],[USA]]-B224)/B224</f>
        <v/>
      </c>
      <c r="F236" s="34">
        <f>VLOOKUP(Table143454[[#This Row],[Date]],'Data Core CPI'!$A:$AX,MATCH($B$2,'Data Core CPI'!$B$1:$AX$1,0),FALSE)</f>
        <v/>
      </c>
      <c r="G236" s="35">
        <f>(F236/F235)-1</f>
        <v/>
      </c>
      <c r="H236" s="35">
        <f>((1+G236)^12)-1</f>
        <v/>
      </c>
      <c r="I236" s="35">
        <f>(Table143454[[#This Row],[Core CPI]]-F224)/F224</f>
        <v/>
      </c>
    </row>
    <row r="237">
      <c r="A237" s="33">
        <f>IF(Data!A264="",#N/A,Data!A264)</f>
        <v/>
      </c>
      <c r="B237" s="34">
        <f>VLOOKUP(A237,Data!A:AX,MATCH($B$2,Data!$B$1:$AX$1,0),FALSE)</f>
        <v/>
      </c>
      <c r="C237" s="35">
        <f>(B237/B236)-1</f>
        <v/>
      </c>
      <c r="D237" s="35">
        <f>((1+C237)^12)-1</f>
        <v/>
      </c>
      <c r="E237" s="35">
        <f>(Table143454[[#This Row],[USA]]-B225)/B225</f>
        <v/>
      </c>
      <c r="F237" s="34">
        <f>VLOOKUP(Table143454[[#This Row],[Date]],'Data Core CPI'!$A:$AX,MATCH($B$2,'Data Core CPI'!$B$1:$AX$1,0),FALSE)</f>
        <v/>
      </c>
      <c r="G237" s="35">
        <f>(F237/F236)-1</f>
        <v/>
      </c>
      <c r="H237" s="35">
        <f>((1+G237)^12)-1</f>
        <v/>
      </c>
      <c r="I237" s="35">
        <f>(Table143454[[#This Row],[Core CPI]]-F225)/F225</f>
        <v/>
      </c>
    </row>
    <row r="238">
      <c r="A238" s="33">
        <f>IF(Data!A265="",#N/A,Data!A265)</f>
        <v/>
      </c>
      <c r="B238" s="34">
        <f>VLOOKUP(A238,Data!A:AX,MATCH($B$2,Data!$B$1:$AX$1,0),FALSE)</f>
        <v/>
      </c>
      <c r="C238" s="35">
        <f>(B238/B237)-1</f>
        <v/>
      </c>
      <c r="D238" s="35">
        <f>((1+C238)^12)-1</f>
        <v/>
      </c>
      <c r="E238" s="35">
        <f>(Table143454[[#This Row],[USA]]-B226)/B226</f>
        <v/>
      </c>
      <c r="F238" s="34">
        <f>VLOOKUP(Table143454[[#This Row],[Date]],'Data Core CPI'!$A:$AX,MATCH($B$2,'Data Core CPI'!$B$1:$AX$1,0),FALSE)</f>
        <v/>
      </c>
      <c r="G238" s="35">
        <f>(F238/F237)-1</f>
        <v/>
      </c>
      <c r="H238" s="35">
        <f>((1+G238)^12)-1</f>
        <v/>
      </c>
      <c r="I238" s="35">
        <f>(Table143454[[#This Row],[Core CPI]]-F226)/F226</f>
        <v/>
      </c>
    </row>
    <row r="239">
      <c r="A239" s="33">
        <f>IF(Data!A266="",#N/A,Data!A266)</f>
        <v/>
      </c>
      <c r="B239" s="34">
        <f>VLOOKUP(A239,Data!A:AX,MATCH($B$2,Data!$B$1:$AX$1,0),FALSE)</f>
        <v/>
      </c>
      <c r="C239" s="35">
        <f>(B239/B238)-1</f>
        <v/>
      </c>
      <c r="D239" s="35">
        <f>((1+C239)^12)-1</f>
        <v/>
      </c>
      <c r="E239" s="35">
        <f>(Table143454[[#This Row],[USA]]-B227)/B227</f>
        <v/>
      </c>
      <c r="F239" s="34">
        <f>VLOOKUP(Table143454[[#This Row],[Date]],'Data Core CPI'!$A:$AX,MATCH($B$2,'Data Core CPI'!$B$1:$AX$1,0),FALSE)</f>
        <v/>
      </c>
      <c r="G239" s="35">
        <f>(F239/F238)-1</f>
        <v/>
      </c>
      <c r="H239" s="35">
        <f>((1+G239)^12)-1</f>
        <v/>
      </c>
      <c r="I239" s="35">
        <f>(Table143454[[#This Row],[Core CPI]]-F227)/F227</f>
        <v/>
      </c>
    </row>
    <row r="240">
      <c r="A240" s="33">
        <f>IF(Data!A267="",#N/A,Data!A267)</f>
        <v/>
      </c>
      <c r="B240" s="34">
        <f>VLOOKUP(A240,Data!A:AX,MATCH($B$2,Data!$B$1:$AX$1,0),FALSE)</f>
        <v/>
      </c>
      <c r="C240" s="35">
        <f>(B240/B239)-1</f>
        <v/>
      </c>
      <c r="D240" s="35">
        <f>((1+C240)^12)-1</f>
        <v/>
      </c>
      <c r="E240" s="35">
        <f>(Table143454[[#This Row],[USA]]-B228)/B228</f>
        <v/>
      </c>
      <c r="F240" s="34">
        <f>VLOOKUP(Table143454[[#This Row],[Date]],'Data Core CPI'!$A:$AX,MATCH($B$2,'Data Core CPI'!$B$1:$AX$1,0),FALSE)</f>
        <v/>
      </c>
      <c r="G240" s="35">
        <f>(F240/F239)-1</f>
        <v/>
      </c>
      <c r="H240" s="35">
        <f>((1+G240)^12)-1</f>
        <v/>
      </c>
      <c r="I240" s="35">
        <f>(Table143454[[#This Row],[Core CPI]]-F228)/F228</f>
        <v/>
      </c>
    </row>
    <row r="241">
      <c r="A241" s="33">
        <f>IF(Data!A268="",#N/A,Data!A268)</f>
        <v/>
      </c>
      <c r="B241" s="34">
        <f>VLOOKUP(A241,Data!A:AX,MATCH($B$2,Data!$B$1:$AX$1,0),FALSE)</f>
        <v/>
      </c>
      <c r="C241" s="35">
        <f>(B241/B240)-1</f>
        <v/>
      </c>
      <c r="D241" s="35">
        <f>((1+C241)^12)-1</f>
        <v/>
      </c>
      <c r="E241" s="35">
        <f>(Table143454[[#This Row],[USA]]-B229)/B229</f>
        <v/>
      </c>
      <c r="F241" s="34">
        <f>VLOOKUP(Table143454[[#This Row],[Date]],'Data Core CPI'!$A:$AX,MATCH($B$2,'Data Core CPI'!$B$1:$AX$1,0),FALSE)</f>
        <v/>
      </c>
      <c r="G241" s="35">
        <f>(F241/F240)-1</f>
        <v/>
      </c>
      <c r="H241" s="35">
        <f>((1+G241)^12)-1</f>
        <v/>
      </c>
      <c r="I241" s="35">
        <f>(Table143454[[#This Row],[Core CPI]]-F229)/F229</f>
        <v/>
      </c>
    </row>
    <row r="242">
      <c r="A242" s="33">
        <f>IF(Data!A269="",#N/A,Data!A269)</f>
        <v/>
      </c>
      <c r="B242" s="34">
        <f>VLOOKUP(A242,Data!A:AX,MATCH($B$2,Data!$B$1:$AX$1,0),FALSE)</f>
        <v/>
      </c>
      <c r="C242" s="35">
        <f>(B242/B241)-1</f>
        <v/>
      </c>
      <c r="D242" s="35">
        <f>((1+C242)^12)-1</f>
        <v/>
      </c>
      <c r="E242" s="35">
        <f>(Table143454[[#This Row],[USA]]-B230)/B230</f>
        <v/>
      </c>
      <c r="F242" s="34">
        <f>VLOOKUP(Table143454[[#This Row],[Date]],'Data Core CPI'!$A:$AX,MATCH($B$2,'Data Core CPI'!$B$1:$AX$1,0),FALSE)</f>
        <v/>
      </c>
      <c r="G242" s="35">
        <f>(F242/F241)-1</f>
        <v/>
      </c>
      <c r="H242" s="35">
        <f>((1+G242)^12)-1</f>
        <v/>
      </c>
      <c r="I242" s="35">
        <f>(Table143454[[#This Row],[Core CPI]]-F230)/F230</f>
        <v/>
      </c>
    </row>
    <row r="243">
      <c r="A243" s="33">
        <f>IF(Data!A270="",#N/A,Data!A270)</f>
        <v/>
      </c>
      <c r="B243" s="34">
        <f>VLOOKUP(A243,Data!A:AX,MATCH($B$2,Data!$B$1:$AX$1,0),FALSE)</f>
        <v/>
      </c>
      <c r="C243" s="35">
        <f>(B243/B242)-1</f>
        <v/>
      </c>
      <c r="D243" s="35">
        <f>((1+C243)^12)-1</f>
        <v/>
      </c>
      <c r="E243" s="35">
        <f>(Table143454[[#This Row],[USA]]-B231)/B231</f>
        <v/>
      </c>
      <c r="F243" s="34">
        <f>VLOOKUP(Table143454[[#This Row],[Date]],'Data Core CPI'!$A:$AX,MATCH($B$2,'Data Core CPI'!$B$1:$AX$1,0),FALSE)</f>
        <v/>
      </c>
      <c r="G243" s="35">
        <f>(F243/F242)-1</f>
        <v/>
      </c>
      <c r="H243" s="35">
        <f>((1+G243)^12)-1</f>
        <v/>
      </c>
      <c r="I243" s="35">
        <f>(Table143454[[#This Row],[Core CPI]]-F231)/F231</f>
        <v/>
      </c>
    </row>
    <row r="244">
      <c r="A244" s="33">
        <f>IF(Data!A271="",#N/A,Data!A271)</f>
        <v/>
      </c>
      <c r="B244" s="34">
        <f>VLOOKUP(A244,Data!A:AX,MATCH($B$2,Data!$B$1:$AX$1,0),FALSE)</f>
        <v/>
      </c>
      <c r="C244" s="35">
        <f>(B244/B243)-1</f>
        <v/>
      </c>
      <c r="D244" s="35">
        <f>((1+C244)^12)-1</f>
        <v/>
      </c>
      <c r="E244" s="35">
        <f>(Table143454[[#This Row],[USA]]-B232)/B232</f>
        <v/>
      </c>
      <c r="F244" s="34">
        <f>VLOOKUP(Table143454[[#This Row],[Date]],'Data Core CPI'!$A:$AX,MATCH($B$2,'Data Core CPI'!$B$1:$AX$1,0),FALSE)</f>
        <v/>
      </c>
      <c r="G244" s="35">
        <f>(F244/F243)-1</f>
        <v/>
      </c>
      <c r="H244" s="35">
        <f>((1+G244)^12)-1</f>
        <v/>
      </c>
      <c r="I244" s="35">
        <f>(Table143454[[#This Row],[Core CPI]]-F232)/F232</f>
        <v/>
      </c>
    </row>
    <row r="245">
      <c r="A245" s="33">
        <f>IF(Data!A272="",#N/A,Data!A272)</f>
        <v/>
      </c>
      <c r="B245" s="34">
        <f>VLOOKUP(A245,Data!A:AX,MATCH($B$2,Data!$B$1:$AX$1,0),FALSE)</f>
        <v/>
      </c>
      <c r="C245" s="35">
        <f>(B245/B244)-1</f>
        <v/>
      </c>
      <c r="D245" s="35">
        <f>((1+C245)^12)-1</f>
        <v/>
      </c>
      <c r="E245" s="35">
        <f>(Table143454[[#This Row],[USA]]-B233)/B233</f>
        <v/>
      </c>
      <c r="F245" s="34">
        <f>VLOOKUP(Table143454[[#This Row],[Date]],'Data Core CPI'!$A:$AX,MATCH($B$2,'Data Core CPI'!$B$1:$AX$1,0),FALSE)</f>
        <v/>
      </c>
      <c r="G245" s="35">
        <f>(F245/F244)-1</f>
        <v/>
      </c>
      <c r="H245" s="35">
        <f>((1+G245)^12)-1</f>
        <v/>
      </c>
      <c r="I245" s="35">
        <f>(Table143454[[#This Row],[Core CPI]]-F233)/F233</f>
        <v/>
      </c>
    </row>
    <row r="246">
      <c r="A246" s="33">
        <f>IF(Data!A273="",#N/A,Data!A273)</f>
        <v/>
      </c>
      <c r="B246" s="34">
        <f>VLOOKUP(A246,Data!A:AX,MATCH($B$2,Data!$B$1:$AX$1,0),FALSE)</f>
        <v/>
      </c>
      <c r="C246" s="35">
        <f>(B246/B245)-1</f>
        <v/>
      </c>
      <c r="D246" s="35">
        <f>((1+C246)^12)-1</f>
        <v/>
      </c>
      <c r="E246" s="35">
        <f>(Table143454[[#This Row],[USA]]-B234)/B234</f>
        <v/>
      </c>
      <c r="F246" s="34">
        <f>VLOOKUP(Table143454[[#This Row],[Date]],'Data Core CPI'!$A:$AX,MATCH($B$2,'Data Core CPI'!$B$1:$AX$1,0),FALSE)</f>
        <v/>
      </c>
      <c r="G246" s="35">
        <f>(F246/F245)-1</f>
        <v/>
      </c>
      <c r="H246" s="35">
        <f>((1+G246)^12)-1</f>
        <v/>
      </c>
      <c r="I246" s="35">
        <f>(Table143454[[#This Row],[Core CPI]]-F234)/F234</f>
        <v/>
      </c>
    </row>
    <row r="247">
      <c r="A247" s="33">
        <f>IF(Data!A274="",#N/A,Data!A274)</f>
        <v/>
      </c>
      <c r="B247" s="34">
        <f>VLOOKUP(A247,Data!A:AX,MATCH($B$2,Data!$B$1:$AX$1,0),FALSE)</f>
        <v/>
      </c>
      <c r="C247" s="35">
        <f>(B247/B246)-1</f>
        <v/>
      </c>
      <c r="D247" s="35">
        <f>((1+C247)^12)-1</f>
        <v/>
      </c>
      <c r="E247" s="35">
        <f>(Table143454[[#This Row],[USA]]-B235)/B235</f>
        <v/>
      </c>
      <c r="F247" s="34">
        <f>VLOOKUP(Table143454[[#This Row],[Date]],'Data Core CPI'!$A:$AX,MATCH($B$2,'Data Core CPI'!$B$1:$AX$1,0),FALSE)</f>
        <v/>
      </c>
      <c r="G247" s="35">
        <f>(F247/F246)-1</f>
        <v/>
      </c>
      <c r="H247" s="35">
        <f>((1+G247)^12)-1</f>
        <v/>
      </c>
      <c r="I247" s="35">
        <f>(Table143454[[#This Row],[Core CPI]]-F235)/F235</f>
        <v/>
      </c>
    </row>
    <row r="248">
      <c r="A248" s="33">
        <f>IF(Data!A275="",#N/A,Data!A275)</f>
        <v/>
      </c>
      <c r="B248" s="34">
        <f>VLOOKUP(A248,Data!A:AX,MATCH($B$2,Data!$B$1:$AX$1,0),FALSE)</f>
        <v/>
      </c>
      <c r="C248" s="35">
        <f>(B248/B247)-1</f>
        <v/>
      </c>
      <c r="D248" s="35">
        <f>((1+C248)^12)-1</f>
        <v/>
      </c>
      <c r="E248" s="35">
        <f>(Table143454[[#This Row],[USA]]-B236)/B236</f>
        <v/>
      </c>
      <c r="F248" s="34">
        <f>VLOOKUP(Table143454[[#This Row],[Date]],'Data Core CPI'!$A:$AX,MATCH($B$2,'Data Core CPI'!$B$1:$AX$1,0),FALSE)</f>
        <v/>
      </c>
      <c r="G248" s="35">
        <f>(F248/F247)-1</f>
        <v/>
      </c>
      <c r="H248" s="35">
        <f>((1+G248)^12)-1</f>
        <v/>
      </c>
      <c r="I248" s="35">
        <f>(Table143454[[#This Row],[Core CPI]]-F236)/F236</f>
        <v/>
      </c>
    </row>
    <row r="249">
      <c r="A249" s="33">
        <f>IF(Data!A276="",#N/A,Data!A276)</f>
        <v/>
      </c>
      <c r="B249" s="34">
        <f>VLOOKUP(A249,Data!A:AX,MATCH($B$2,Data!$B$1:$AX$1,0),FALSE)</f>
        <v/>
      </c>
      <c r="C249" s="35">
        <f>(B249/B248)-1</f>
        <v/>
      </c>
      <c r="D249" s="35">
        <f>((1+C249)^12)-1</f>
        <v/>
      </c>
      <c r="E249" s="35">
        <f>(Table143454[[#This Row],[USA]]-B237)/B237</f>
        <v/>
      </c>
      <c r="F249" s="34">
        <f>VLOOKUP(Table143454[[#This Row],[Date]],'Data Core CPI'!$A:$AX,MATCH($B$2,'Data Core CPI'!$B$1:$AX$1,0),FALSE)</f>
        <v/>
      </c>
      <c r="G249" s="35">
        <f>(F249/F248)-1</f>
        <v/>
      </c>
      <c r="H249" s="35">
        <f>((1+G249)^12)-1</f>
        <v/>
      </c>
      <c r="I249" s="35">
        <f>(Table143454[[#This Row],[Core CPI]]-F237)/F237</f>
        <v/>
      </c>
    </row>
    <row r="250">
      <c r="A250" s="33">
        <f>IF(Data!A277="",#N/A,Data!A277)</f>
        <v/>
      </c>
      <c r="B250" s="34">
        <f>VLOOKUP(A250,Data!A:AX,MATCH($B$2,Data!$B$1:$AX$1,0),FALSE)</f>
        <v/>
      </c>
      <c r="C250" s="35">
        <f>(B250/B249)-1</f>
        <v/>
      </c>
      <c r="D250" s="35">
        <f>((1+C250)^12)-1</f>
        <v/>
      </c>
      <c r="E250" s="35">
        <f>(Table143454[[#This Row],[USA]]-B238)/B238</f>
        <v/>
      </c>
      <c r="F250" s="34">
        <f>VLOOKUP(Table143454[[#This Row],[Date]],'Data Core CPI'!$A:$AX,MATCH($B$2,'Data Core CPI'!$B$1:$AX$1,0),FALSE)</f>
        <v/>
      </c>
      <c r="G250" s="35">
        <f>(F250/F249)-1</f>
        <v/>
      </c>
      <c r="H250" s="35">
        <f>((1+G250)^12)-1</f>
        <v/>
      </c>
      <c r="I250" s="35">
        <f>(Table143454[[#This Row],[Core CPI]]-F238)/F238</f>
        <v/>
      </c>
    </row>
    <row r="251">
      <c r="A251" s="33">
        <f>IF(Data!A278="",#N/A,Data!A278)</f>
        <v/>
      </c>
      <c r="B251" s="34">
        <f>VLOOKUP(A251,Data!A:AX,MATCH($B$2,Data!$B$1:$AX$1,0),FALSE)</f>
        <v/>
      </c>
      <c r="C251" s="35">
        <f>(B251/B250)-1</f>
        <v/>
      </c>
      <c r="D251" s="35">
        <f>((1+C251)^12)-1</f>
        <v/>
      </c>
      <c r="E251" s="35">
        <f>(Table143454[[#This Row],[USA]]-B239)/B239</f>
        <v/>
      </c>
      <c r="F251" s="34">
        <f>VLOOKUP(Table143454[[#This Row],[Date]],'Data Core CPI'!$A:$AX,MATCH($B$2,'Data Core CPI'!$B$1:$AX$1,0),FALSE)</f>
        <v/>
      </c>
      <c r="G251" s="35">
        <f>(F251/F250)-1</f>
        <v/>
      </c>
      <c r="H251" s="35">
        <f>((1+G251)^12)-1</f>
        <v/>
      </c>
      <c r="I251" s="35">
        <f>(Table143454[[#This Row],[Core CPI]]-F239)/F239</f>
        <v/>
      </c>
    </row>
    <row r="252">
      <c r="A252" s="33">
        <f>IF(Data!A279="",#N/A,Data!A279)</f>
        <v/>
      </c>
      <c r="B252" s="34">
        <f>VLOOKUP(A252,Data!A:AX,MATCH($B$2,Data!$B$1:$AX$1,0),FALSE)</f>
        <v/>
      </c>
      <c r="C252" s="35">
        <f>(B252/B251)-1</f>
        <v/>
      </c>
      <c r="D252" s="35">
        <f>((1+C252)^12)-1</f>
        <v/>
      </c>
      <c r="E252" s="35">
        <f>(Table143454[[#This Row],[USA]]-B240)/B240</f>
        <v/>
      </c>
      <c r="F252" s="34">
        <f>VLOOKUP(Table143454[[#This Row],[Date]],'Data Core CPI'!$A:$AX,MATCH($B$2,'Data Core CPI'!$B$1:$AX$1,0),FALSE)</f>
        <v/>
      </c>
      <c r="G252" s="35">
        <f>(F252/F251)-1</f>
        <v/>
      </c>
      <c r="H252" s="35">
        <f>((1+G252)^12)-1</f>
        <v/>
      </c>
      <c r="I252" s="35">
        <f>(Table143454[[#This Row],[Core CPI]]-F240)/F240</f>
        <v/>
      </c>
    </row>
    <row r="253">
      <c r="A253" s="33">
        <f>IF(Data!A280="",#N/A,Data!A280)</f>
        <v/>
      </c>
      <c r="B253" s="34">
        <f>VLOOKUP(A253,Data!A:AX,MATCH($B$2,Data!$B$1:$AX$1,0),FALSE)</f>
        <v/>
      </c>
      <c r="C253" s="35">
        <f>(B253/B252)-1</f>
        <v/>
      </c>
      <c r="D253" s="35">
        <f>((1+C253)^12)-1</f>
        <v/>
      </c>
      <c r="E253" s="35">
        <f>(Table143454[[#This Row],[USA]]-B241)/B241</f>
        <v/>
      </c>
      <c r="F253" s="34">
        <f>VLOOKUP(Table143454[[#This Row],[Date]],'Data Core CPI'!$A:$AX,MATCH($B$2,'Data Core CPI'!$B$1:$AX$1,0),FALSE)</f>
        <v/>
      </c>
      <c r="G253" s="35">
        <f>(F253/F252)-1</f>
        <v/>
      </c>
      <c r="H253" s="35">
        <f>((1+G253)^12)-1</f>
        <v/>
      </c>
      <c r="I253" s="35">
        <f>(Table143454[[#This Row],[Core CPI]]-F241)/F241</f>
        <v/>
      </c>
    </row>
    <row r="254">
      <c r="A254" s="33">
        <f>IF(Data!A281="",#N/A,Data!A281)</f>
        <v/>
      </c>
      <c r="B254" s="34">
        <f>VLOOKUP(A254,Data!A:AX,MATCH($B$2,Data!$B$1:$AX$1,0),FALSE)</f>
        <v/>
      </c>
      <c r="C254" s="35">
        <f>(B254/B253)-1</f>
        <v/>
      </c>
      <c r="D254" s="35">
        <f>((1+C254)^12)-1</f>
        <v/>
      </c>
      <c r="E254" s="35">
        <f>(Table143454[[#This Row],[USA]]-B242)/B242</f>
        <v/>
      </c>
      <c r="F254" s="34">
        <f>VLOOKUP(Table143454[[#This Row],[Date]],'Data Core CPI'!$A:$AX,MATCH($B$2,'Data Core CPI'!$B$1:$AX$1,0),FALSE)</f>
        <v/>
      </c>
      <c r="G254" s="35">
        <f>(F254/F253)-1</f>
        <v/>
      </c>
      <c r="H254" s="35">
        <f>((1+G254)^12)-1</f>
        <v/>
      </c>
      <c r="I254" s="35">
        <f>(Table143454[[#This Row],[Core CPI]]-F242)/F242</f>
        <v/>
      </c>
    </row>
    <row r="255">
      <c r="A255" s="33">
        <f>IF(Data!A282="",#N/A,Data!A282)</f>
        <v/>
      </c>
      <c r="B255" s="34">
        <f>VLOOKUP(A255,Data!A:AX,MATCH($B$2,Data!$B$1:$AX$1,0),FALSE)</f>
        <v/>
      </c>
      <c r="C255" s="35">
        <f>(B255/B254)-1</f>
        <v/>
      </c>
      <c r="D255" s="35">
        <f>((1+C255)^12)-1</f>
        <v/>
      </c>
      <c r="E255" s="35">
        <f>(Table143454[[#This Row],[USA]]-B243)/B243</f>
        <v/>
      </c>
      <c r="F255" s="34">
        <f>VLOOKUP(Table143454[[#This Row],[Date]],'Data Core CPI'!$A:$AX,MATCH($B$2,'Data Core CPI'!$B$1:$AX$1,0),FALSE)</f>
        <v/>
      </c>
      <c r="G255" s="35">
        <f>(F255/F254)-1</f>
        <v/>
      </c>
      <c r="H255" s="35">
        <f>((1+G255)^12)-1</f>
        <v/>
      </c>
      <c r="I255" s="35">
        <f>(Table143454[[#This Row],[Core CPI]]-F243)/F243</f>
        <v/>
      </c>
    </row>
    <row r="256">
      <c r="A256" s="33">
        <f>IF(Data!A283="",#N/A,Data!A283)</f>
        <v/>
      </c>
      <c r="B256" s="34">
        <f>VLOOKUP(A256,Data!A:AX,MATCH($B$2,Data!$B$1:$AX$1,0),FALSE)</f>
        <v/>
      </c>
      <c r="C256" s="35">
        <f>(B256/B255)-1</f>
        <v/>
      </c>
      <c r="D256" s="35">
        <f>((1+C256)^12)-1</f>
        <v/>
      </c>
      <c r="E256" s="35">
        <f>(Table143454[[#This Row],[USA]]-B244)/B244</f>
        <v/>
      </c>
      <c r="F256" s="34">
        <f>VLOOKUP(Table143454[[#This Row],[Date]],'Data Core CPI'!$A:$AX,MATCH($B$2,'Data Core CPI'!$B$1:$AX$1,0),FALSE)</f>
        <v/>
      </c>
      <c r="G256" s="35">
        <f>(F256/F255)-1</f>
        <v/>
      </c>
      <c r="H256" s="35">
        <f>((1+G256)^12)-1</f>
        <v/>
      </c>
      <c r="I256" s="35">
        <f>(Table143454[[#This Row],[Core CPI]]-F244)/F244</f>
        <v/>
      </c>
    </row>
    <row r="257">
      <c r="A257" s="33">
        <f>IF(Data!A284="",#N/A,Data!A284)</f>
        <v/>
      </c>
      <c r="B257" s="34">
        <f>VLOOKUP(A257,Data!A:AX,MATCH($B$2,Data!$B$1:$AX$1,0),FALSE)</f>
        <v/>
      </c>
      <c r="C257" s="35">
        <f>(B257/B256)-1</f>
        <v/>
      </c>
      <c r="D257" s="35">
        <f>((1+C257)^12)-1</f>
        <v/>
      </c>
      <c r="E257" s="35">
        <f>(Table143454[[#This Row],[USA]]-B245)/B245</f>
        <v/>
      </c>
      <c r="F257" s="34">
        <f>VLOOKUP(Table143454[[#This Row],[Date]],'Data Core CPI'!$A:$AX,MATCH($B$2,'Data Core CPI'!$B$1:$AX$1,0),FALSE)</f>
        <v/>
      </c>
      <c r="G257" s="35">
        <f>(F257/F256)-1</f>
        <v/>
      </c>
      <c r="H257" s="35">
        <f>((1+G257)^12)-1</f>
        <v/>
      </c>
      <c r="I257" s="35">
        <f>(Table143454[[#This Row],[Core CPI]]-F245)/F245</f>
        <v/>
      </c>
    </row>
    <row r="258">
      <c r="A258" s="33">
        <f>IF(Data!A285="",#N/A,Data!A285)</f>
        <v/>
      </c>
      <c r="B258" s="34">
        <f>VLOOKUP(A258,Data!A:AX,MATCH($B$2,Data!$B$1:$AX$1,0),FALSE)</f>
        <v/>
      </c>
      <c r="C258" s="35">
        <f>(B258/B257)-1</f>
        <v/>
      </c>
      <c r="D258" s="35">
        <f>((1+C258)^12)-1</f>
        <v/>
      </c>
      <c r="E258" s="35">
        <f>(Table143454[[#This Row],[USA]]-B246)/B246</f>
        <v/>
      </c>
      <c r="F258" s="34">
        <f>VLOOKUP(Table143454[[#This Row],[Date]],'Data Core CPI'!$A:$AX,MATCH($B$2,'Data Core CPI'!$B$1:$AX$1,0),FALSE)</f>
        <v/>
      </c>
      <c r="G258" s="35">
        <f>(F258/F257)-1</f>
        <v/>
      </c>
      <c r="H258" s="35">
        <f>((1+G258)^12)-1</f>
        <v/>
      </c>
      <c r="I258" s="35">
        <f>(Table143454[[#This Row],[Core CPI]]-F246)/F246</f>
        <v/>
      </c>
    </row>
    <row r="259">
      <c r="A259" s="33">
        <f>IF(Data!A286="",#N/A,Data!A286)</f>
        <v/>
      </c>
      <c r="B259" s="34">
        <f>VLOOKUP(A259,Data!A:AX,MATCH($B$2,Data!$B$1:$AX$1,0),FALSE)</f>
        <v/>
      </c>
      <c r="C259" s="35">
        <f>(B259/B258)-1</f>
        <v/>
      </c>
      <c r="D259" s="35">
        <f>((1+C259)^12)-1</f>
        <v/>
      </c>
      <c r="E259" s="35">
        <f>(Table143454[[#This Row],[USA]]-B247)/B247</f>
        <v/>
      </c>
      <c r="F259" s="34">
        <f>VLOOKUP(Table143454[[#This Row],[Date]],'Data Core CPI'!$A:$AX,MATCH($B$2,'Data Core CPI'!$B$1:$AX$1,0),FALSE)</f>
        <v/>
      </c>
      <c r="G259" s="35">
        <f>(F259/F258)-1</f>
        <v/>
      </c>
      <c r="H259" s="35">
        <f>((1+G259)^12)-1</f>
        <v/>
      </c>
      <c r="I259" s="35">
        <f>(Table143454[[#This Row],[Core CPI]]-F247)/F247</f>
        <v/>
      </c>
    </row>
    <row r="260">
      <c r="A260" s="33">
        <f>IF(Data!A287="",#N/A,Data!A287)</f>
        <v/>
      </c>
      <c r="B260" s="34">
        <f>VLOOKUP(A260,Data!A:AX,MATCH($B$2,Data!$B$1:$AX$1,0),FALSE)</f>
        <v/>
      </c>
      <c r="C260" s="35">
        <f>(B260/B259)-1</f>
        <v/>
      </c>
      <c r="D260" s="35">
        <f>((1+C260)^12)-1</f>
        <v/>
      </c>
      <c r="E260" s="35">
        <f>(Table143454[[#This Row],[USA]]-B248)/B248</f>
        <v/>
      </c>
      <c r="F260" s="34">
        <f>VLOOKUP(Table143454[[#This Row],[Date]],'Data Core CPI'!$A:$AX,MATCH($B$2,'Data Core CPI'!$B$1:$AX$1,0),FALSE)</f>
        <v/>
      </c>
      <c r="G260" s="35">
        <f>(F260/F259)-1</f>
        <v/>
      </c>
      <c r="H260" s="35">
        <f>((1+G260)^12)-1</f>
        <v/>
      </c>
      <c r="I260" s="35">
        <f>(Table143454[[#This Row],[Core CPI]]-F248)/F248</f>
        <v/>
      </c>
    </row>
    <row r="261">
      <c r="A261" s="33">
        <f>IF(Data!A288="",#N/A,Data!A288)</f>
        <v/>
      </c>
      <c r="B261" s="34">
        <f>VLOOKUP(A261,Data!A:AX,MATCH($B$2,Data!$B$1:$AX$1,0),FALSE)</f>
        <v/>
      </c>
      <c r="C261" s="35">
        <f>(B261/B260)-1</f>
        <v/>
      </c>
      <c r="D261" s="35">
        <f>((1+C261)^12)-1</f>
        <v/>
      </c>
      <c r="E261" s="35">
        <f>(Table143454[[#This Row],[USA]]-B249)/B249</f>
        <v/>
      </c>
      <c r="F261" s="34">
        <f>VLOOKUP(Table143454[[#This Row],[Date]],'Data Core CPI'!$A:$AX,MATCH($B$2,'Data Core CPI'!$B$1:$AX$1,0),FALSE)</f>
        <v/>
      </c>
      <c r="G261" s="35">
        <f>(F261/F260)-1</f>
        <v/>
      </c>
      <c r="H261" s="35">
        <f>((1+G261)^12)-1</f>
        <v/>
      </c>
      <c r="I261" s="35">
        <f>(Table143454[[#This Row],[Core CPI]]-F249)/F249</f>
        <v/>
      </c>
    </row>
    <row r="262">
      <c r="A262" s="33">
        <f>IF(Data!A289="",#N/A,Data!A289)</f>
        <v/>
      </c>
      <c r="B262" s="34">
        <f>VLOOKUP(A262,Data!A:AX,MATCH($B$2,Data!$B$1:$AX$1,0),FALSE)</f>
        <v/>
      </c>
      <c r="C262" s="35">
        <f>(B262/B261)-1</f>
        <v/>
      </c>
      <c r="D262" s="35">
        <f>((1+C262)^12)-1</f>
        <v/>
      </c>
      <c r="E262" s="35">
        <f>(Table143454[[#This Row],[USA]]-B250)/B250</f>
        <v/>
      </c>
      <c r="F262" s="34">
        <f>VLOOKUP(Table143454[[#This Row],[Date]],'Data Core CPI'!$A:$AX,MATCH($B$2,'Data Core CPI'!$B$1:$AX$1,0),FALSE)</f>
        <v/>
      </c>
      <c r="G262" s="35">
        <f>(F262/F261)-1</f>
        <v/>
      </c>
      <c r="H262" s="35">
        <f>((1+G262)^12)-1</f>
        <v/>
      </c>
      <c r="I262" s="35">
        <f>(Table143454[[#This Row],[Core CPI]]-F250)/F250</f>
        <v/>
      </c>
    </row>
    <row r="263">
      <c r="A263" s="33">
        <f>IF(Data!A290="",#N/A,Data!A290)</f>
        <v/>
      </c>
      <c r="B263" s="34">
        <f>VLOOKUP(A263,Data!A:AX,MATCH($B$2,Data!$B$1:$AX$1,0),FALSE)</f>
        <v/>
      </c>
      <c r="C263" s="35">
        <f>(B263/B262)-1</f>
        <v/>
      </c>
      <c r="D263" s="35">
        <f>((1+C263)^12)-1</f>
        <v/>
      </c>
      <c r="E263" s="35">
        <f>(Table143454[[#This Row],[USA]]-B251)/B251</f>
        <v/>
      </c>
      <c r="F263" s="34">
        <f>VLOOKUP(Table143454[[#This Row],[Date]],'Data Core CPI'!$A:$AX,MATCH($B$2,'Data Core CPI'!$B$1:$AX$1,0),FALSE)</f>
        <v/>
      </c>
      <c r="G263" s="35">
        <f>(F263/F262)-1</f>
        <v/>
      </c>
      <c r="H263" s="35">
        <f>((1+G263)^12)-1</f>
        <v/>
      </c>
      <c r="I263" s="35">
        <f>(Table143454[[#This Row],[Core CPI]]-F251)/F251</f>
        <v/>
      </c>
    </row>
    <row r="264">
      <c r="A264" s="33">
        <f>IF(Data!A291="",#N/A,Data!A291)</f>
        <v/>
      </c>
      <c r="B264" s="34">
        <f>VLOOKUP(A264,Data!A:AX,MATCH($B$2,Data!$B$1:$AX$1,0),FALSE)</f>
        <v/>
      </c>
      <c r="C264" s="35">
        <f>(B264/B263)-1</f>
        <v/>
      </c>
      <c r="D264" s="35">
        <f>((1+C264)^12)-1</f>
        <v/>
      </c>
      <c r="E264" s="35">
        <f>(Table143454[[#This Row],[USA]]-B252)/B252</f>
        <v/>
      </c>
      <c r="F264" s="34">
        <f>VLOOKUP(Table143454[[#This Row],[Date]],'Data Core CPI'!$A:$AX,MATCH($B$2,'Data Core CPI'!$B$1:$AX$1,0),FALSE)</f>
        <v/>
      </c>
      <c r="G264" s="35">
        <f>(F264/F263)-1</f>
        <v/>
      </c>
      <c r="H264" s="35">
        <f>((1+G264)^12)-1</f>
        <v/>
      </c>
      <c r="I264" s="35">
        <f>(Table143454[[#This Row],[Core CPI]]-F252)/F252</f>
        <v/>
      </c>
    </row>
    <row r="265">
      <c r="A265" s="33">
        <f>IF(Data!A292="",#N/A,Data!A292)</f>
        <v/>
      </c>
      <c r="B265" s="34">
        <f>VLOOKUP(A265,Data!A:AX,MATCH($B$2,Data!$B$1:$AX$1,0),FALSE)</f>
        <v/>
      </c>
      <c r="C265" s="35">
        <f>(B265/B264)-1</f>
        <v/>
      </c>
      <c r="D265" s="35">
        <f>((1+C265)^12)-1</f>
        <v/>
      </c>
      <c r="E265" s="35">
        <f>(Table143454[[#This Row],[USA]]-B253)/B253</f>
        <v/>
      </c>
      <c r="F265" s="34">
        <f>VLOOKUP(Table143454[[#This Row],[Date]],'Data Core CPI'!$A:$AX,MATCH($B$2,'Data Core CPI'!$B$1:$AX$1,0),FALSE)</f>
        <v/>
      </c>
      <c r="G265" s="35">
        <f>(F265/F264)-1</f>
        <v/>
      </c>
      <c r="H265" s="35">
        <f>((1+G265)^12)-1</f>
        <v/>
      </c>
      <c r="I265" s="35">
        <f>(Table143454[[#This Row],[Core CPI]]-F253)/F253</f>
        <v/>
      </c>
    </row>
    <row r="266">
      <c r="A266" s="33">
        <f>IF(Data!A293="",#N/A,Data!A293)</f>
        <v/>
      </c>
      <c r="B266" s="34">
        <f>VLOOKUP(A266,Data!A:AX,MATCH($B$2,Data!$B$1:$AX$1,0),FALSE)</f>
        <v/>
      </c>
      <c r="C266" s="35">
        <f>(B266/B265)-1</f>
        <v/>
      </c>
      <c r="D266" s="35">
        <f>((1+C266)^12)-1</f>
        <v/>
      </c>
      <c r="E266" s="35">
        <f>(Table143454[[#This Row],[USA]]-B254)/B254</f>
        <v/>
      </c>
      <c r="F266" s="34">
        <f>VLOOKUP(Table143454[[#This Row],[Date]],'Data Core CPI'!$A:$AX,MATCH($B$2,'Data Core CPI'!$B$1:$AX$1,0),FALSE)</f>
        <v/>
      </c>
      <c r="G266" s="35">
        <f>(F266/F265)-1</f>
        <v/>
      </c>
      <c r="H266" s="35">
        <f>((1+G266)^12)-1</f>
        <v/>
      </c>
      <c r="I266" s="35">
        <f>(Table143454[[#This Row],[Core CPI]]-F254)/F254</f>
        <v/>
      </c>
    </row>
    <row r="267">
      <c r="A267" s="33">
        <f>IF(Data!A294="",#N/A,Data!A294)</f>
        <v/>
      </c>
      <c r="B267" s="34">
        <f>VLOOKUP(A267,Data!A:AX,MATCH($B$2,Data!$B$1:$AX$1,0),FALSE)</f>
        <v/>
      </c>
      <c r="C267" s="35">
        <f>(B267/B266)-1</f>
        <v/>
      </c>
      <c r="D267" s="35">
        <f>((1+C267)^12)-1</f>
        <v/>
      </c>
      <c r="E267" s="35">
        <f>(Table143454[[#This Row],[USA]]-B255)/B255</f>
        <v/>
      </c>
      <c r="F267" s="34">
        <f>VLOOKUP(Table143454[[#This Row],[Date]],'Data Core CPI'!$A:$AX,MATCH($B$2,'Data Core CPI'!$B$1:$AX$1,0),FALSE)</f>
        <v/>
      </c>
      <c r="G267" s="35">
        <f>(F267/F266)-1</f>
        <v/>
      </c>
      <c r="H267" s="35">
        <f>((1+G267)^12)-1</f>
        <v/>
      </c>
      <c r="I267" s="35">
        <f>(Table143454[[#This Row],[Core CPI]]-F255)/F255</f>
        <v/>
      </c>
    </row>
    <row r="268">
      <c r="A268" s="33">
        <f>IF(Data!A295="",#N/A,Data!A295)</f>
        <v/>
      </c>
      <c r="B268" s="34">
        <f>VLOOKUP(A268,Data!A:AX,MATCH($B$2,Data!$B$1:$AX$1,0),FALSE)</f>
        <v/>
      </c>
      <c r="C268" s="35">
        <f>(B268/B267)-1</f>
        <v/>
      </c>
      <c r="D268" s="35">
        <f>((1+C268)^12)-1</f>
        <v/>
      </c>
      <c r="E268" s="35">
        <f>(Table143454[[#This Row],[USA]]-B256)/B256</f>
        <v/>
      </c>
      <c r="F268" s="34">
        <f>VLOOKUP(Table143454[[#This Row],[Date]],'Data Core CPI'!$A:$AX,MATCH($B$2,'Data Core CPI'!$B$1:$AX$1,0),FALSE)</f>
        <v/>
      </c>
      <c r="G268" s="35">
        <f>(F268/F267)-1</f>
        <v/>
      </c>
      <c r="H268" s="35">
        <f>((1+G268)^12)-1</f>
        <v/>
      </c>
      <c r="I268" s="35">
        <f>(Table143454[[#This Row],[Core CPI]]-F256)/F256</f>
        <v/>
      </c>
    </row>
    <row r="269">
      <c r="A269" s="33">
        <f>IF(Data!A296="",#N/A,Data!A296)</f>
        <v/>
      </c>
      <c r="B269" s="34">
        <f>VLOOKUP(A269,Data!A:AX,MATCH($B$2,Data!$B$1:$AX$1,0),FALSE)</f>
        <v/>
      </c>
      <c r="C269" s="35">
        <f>(B269/B268)-1</f>
        <v/>
      </c>
      <c r="D269" s="35">
        <f>((1+C269)^12)-1</f>
        <v/>
      </c>
      <c r="E269" s="35">
        <f>(Table143454[[#This Row],[USA]]-B257)/B257</f>
        <v/>
      </c>
      <c r="F269" s="34">
        <f>VLOOKUP(Table143454[[#This Row],[Date]],'Data Core CPI'!$A:$AX,MATCH($B$2,'Data Core CPI'!$B$1:$AX$1,0),FALSE)</f>
        <v/>
      </c>
      <c r="G269" s="35">
        <f>(F269/F268)-1</f>
        <v/>
      </c>
      <c r="H269" s="35">
        <f>((1+G269)^12)-1</f>
        <v/>
      </c>
      <c r="I269" s="35">
        <f>(Table143454[[#This Row],[Core CPI]]-F257)/F257</f>
        <v/>
      </c>
    </row>
    <row r="270">
      <c r="A270" s="33">
        <f>IF(Data!A297="",#N/A,Data!A297)</f>
        <v/>
      </c>
      <c r="B270" s="34">
        <f>VLOOKUP(A270,Data!A:AX,MATCH($B$2,Data!$B$1:$AX$1,0),FALSE)</f>
        <v/>
      </c>
      <c r="C270" s="35">
        <f>(B270/B269)-1</f>
        <v/>
      </c>
      <c r="D270" s="35">
        <f>((1+C270)^12)-1</f>
        <v/>
      </c>
      <c r="E270" s="35">
        <f>(Table143454[[#This Row],[USA]]-B258)/B258</f>
        <v/>
      </c>
      <c r="F270" s="34">
        <f>VLOOKUP(Table143454[[#This Row],[Date]],'Data Core CPI'!$A:$AX,MATCH($B$2,'Data Core CPI'!$B$1:$AX$1,0),FALSE)</f>
        <v/>
      </c>
      <c r="G270" s="35">
        <f>(F270/F269)-1</f>
        <v/>
      </c>
      <c r="H270" s="35">
        <f>((1+G270)^12)-1</f>
        <v/>
      </c>
      <c r="I270" s="35">
        <f>(Table143454[[#This Row],[Core CPI]]-F258)/F258</f>
        <v/>
      </c>
    </row>
    <row r="271">
      <c r="A271" s="33">
        <f>IF(Data!A298="",#N/A,Data!A298)</f>
        <v/>
      </c>
      <c r="B271" s="34">
        <f>VLOOKUP(A271,Data!A:AX,MATCH($B$2,Data!$B$1:$AX$1,0),FALSE)</f>
        <v/>
      </c>
      <c r="C271" s="35">
        <f>(B271/B270)-1</f>
        <v/>
      </c>
      <c r="D271" s="35">
        <f>((1+C271)^12)-1</f>
        <v/>
      </c>
      <c r="E271" s="35">
        <f>(Table143454[[#This Row],[USA]]-B259)/B259</f>
        <v/>
      </c>
      <c r="F271" s="34">
        <f>VLOOKUP(Table143454[[#This Row],[Date]],'Data Core CPI'!$A:$AX,MATCH($B$2,'Data Core CPI'!$B$1:$AX$1,0),FALSE)</f>
        <v/>
      </c>
      <c r="G271" s="35">
        <f>(F271/F270)-1</f>
        <v/>
      </c>
      <c r="H271" s="35">
        <f>((1+G271)^12)-1</f>
        <v/>
      </c>
      <c r="I271" s="35">
        <f>(Table143454[[#This Row],[Core CPI]]-F259)/F259</f>
        <v/>
      </c>
    </row>
    <row r="272">
      <c r="A272" s="33">
        <f>IF(Data!A299="",#N/A,Data!A299)</f>
        <v/>
      </c>
      <c r="B272" s="34">
        <f>VLOOKUP(A272,Data!A:AX,MATCH($B$2,Data!$B$1:$AX$1,0),FALSE)</f>
        <v/>
      </c>
      <c r="C272" s="35">
        <f>(B272/B271)-1</f>
        <v/>
      </c>
      <c r="D272" s="35">
        <f>((1+C272)^12)-1</f>
        <v/>
      </c>
      <c r="E272" s="35">
        <f>(Table143454[[#This Row],[USA]]-B260)/B260</f>
        <v/>
      </c>
      <c r="F272" s="34">
        <f>VLOOKUP(Table143454[[#This Row],[Date]],'Data Core CPI'!$A:$AX,MATCH($B$2,'Data Core CPI'!$B$1:$AX$1,0),FALSE)</f>
        <v/>
      </c>
      <c r="G272" s="35">
        <f>(F272/F271)-1</f>
        <v/>
      </c>
      <c r="H272" s="35">
        <f>((1+G272)^12)-1</f>
        <v/>
      </c>
      <c r="I272" s="35">
        <f>(Table143454[[#This Row],[Core CPI]]-F260)/F260</f>
        <v/>
      </c>
    </row>
    <row r="273">
      <c r="A273" s="33">
        <f>IF(Data!A300="",#N/A,Data!A300)</f>
        <v/>
      </c>
      <c r="B273" s="34">
        <f>VLOOKUP(A273,Data!A:AX,MATCH($B$2,Data!$B$1:$AX$1,0),FALSE)</f>
        <v/>
      </c>
      <c r="C273" s="35">
        <f>(B273/B272)-1</f>
        <v/>
      </c>
      <c r="D273" s="35">
        <f>((1+C273)^12)-1</f>
        <v/>
      </c>
      <c r="E273" s="35">
        <f>(Table143454[[#This Row],[USA]]-B261)/B261</f>
        <v/>
      </c>
      <c r="F273" s="34">
        <f>VLOOKUP(Table143454[[#This Row],[Date]],'Data Core CPI'!$A:$AX,MATCH($B$2,'Data Core CPI'!$B$1:$AX$1,0),FALSE)</f>
        <v/>
      </c>
      <c r="G273" s="35">
        <f>(F273/F272)-1</f>
        <v/>
      </c>
      <c r="H273" s="35">
        <f>((1+G273)^12)-1</f>
        <v/>
      </c>
      <c r="I273" s="35">
        <f>(Table143454[[#This Row],[Core CPI]]-F261)/F261</f>
        <v/>
      </c>
    </row>
    <row r="274">
      <c r="A274" s="33">
        <f>IF(Data!A301="",#N/A,Data!A301)</f>
        <v/>
      </c>
      <c r="B274" s="34">
        <f>VLOOKUP(A274,Data!A:AX,MATCH($B$2,Data!$B$1:$AX$1,0),FALSE)</f>
        <v/>
      </c>
      <c r="C274" s="35">
        <f>(B274/B273)-1</f>
        <v/>
      </c>
      <c r="D274" s="35">
        <f>((1+C274)^12)-1</f>
        <v/>
      </c>
      <c r="E274" s="35">
        <f>(Table143454[[#This Row],[USA]]-B262)/B262</f>
        <v/>
      </c>
      <c r="F274" s="34">
        <f>VLOOKUP(Table143454[[#This Row],[Date]],'Data Core CPI'!$A:$AX,MATCH($B$2,'Data Core CPI'!$B$1:$AX$1,0),FALSE)</f>
        <v/>
      </c>
      <c r="G274" s="35">
        <f>(F274/F273)-1</f>
        <v/>
      </c>
      <c r="H274" s="35">
        <f>((1+G274)^12)-1</f>
        <v/>
      </c>
      <c r="I274" s="35">
        <f>(Table143454[[#This Row],[Core CPI]]-F262)/F262</f>
        <v/>
      </c>
    </row>
    <row r="275">
      <c r="A275" s="33">
        <f>IF(Data!A302="",#N/A,Data!A302)</f>
        <v/>
      </c>
      <c r="B275" s="34">
        <f>VLOOKUP(A275,Data!A:AX,MATCH($B$2,Data!$B$1:$AX$1,0),FALSE)</f>
        <v/>
      </c>
      <c r="C275" s="35">
        <f>(B275/B274)-1</f>
        <v/>
      </c>
      <c r="D275" s="35">
        <f>((1+C275)^12)-1</f>
        <v/>
      </c>
      <c r="E275" s="35">
        <f>(Table143454[[#This Row],[USA]]-B263)/B263</f>
        <v/>
      </c>
      <c r="F275" s="34">
        <f>VLOOKUP(Table143454[[#This Row],[Date]],'Data Core CPI'!$A:$AX,MATCH($B$2,'Data Core CPI'!$B$1:$AX$1,0),FALSE)</f>
        <v/>
      </c>
      <c r="G275" s="35">
        <f>(F275/F274)-1</f>
        <v/>
      </c>
      <c r="H275" s="35">
        <f>((1+G275)^12)-1</f>
        <v/>
      </c>
      <c r="I275" s="35">
        <f>(Table143454[[#This Row],[Core CPI]]-F263)/F263</f>
        <v/>
      </c>
    </row>
    <row r="276">
      <c r="A276" s="33">
        <f>IF(Data!A303="",#N/A,Data!A303)</f>
        <v/>
      </c>
      <c r="B276" s="34">
        <f>VLOOKUP(A276,Data!A:AX,MATCH($B$2,Data!$B$1:$AX$1,0),FALSE)</f>
        <v/>
      </c>
      <c r="C276" s="35">
        <f>(B276/B275)-1</f>
        <v/>
      </c>
      <c r="D276" s="35">
        <f>((1+C276)^12)-1</f>
        <v/>
      </c>
      <c r="E276" s="35">
        <f>(Table143454[[#This Row],[USA]]-B264)/B264</f>
        <v/>
      </c>
      <c r="F276" s="34">
        <f>VLOOKUP(Table143454[[#This Row],[Date]],'Data Core CPI'!$A:$AX,MATCH($B$2,'Data Core CPI'!$B$1:$AX$1,0),FALSE)</f>
        <v/>
      </c>
      <c r="G276" s="35">
        <f>(F276/F275)-1</f>
        <v/>
      </c>
      <c r="H276" s="35">
        <f>((1+G276)^12)-1</f>
        <v/>
      </c>
      <c r="I276" s="35">
        <f>(Table143454[[#This Row],[Core CPI]]-F264)/F264</f>
        <v/>
      </c>
    </row>
    <row r="277">
      <c r="A277" s="33">
        <f>IF(Data!A304="",#N/A,Data!A304)</f>
        <v/>
      </c>
      <c r="B277" s="34">
        <f>VLOOKUP(A277,Data!A:AX,MATCH($B$2,Data!$B$1:$AX$1,0),FALSE)</f>
        <v/>
      </c>
      <c r="C277" s="35">
        <f>(B277/B276)-1</f>
        <v/>
      </c>
      <c r="D277" s="35">
        <f>((1+C277)^12)-1</f>
        <v/>
      </c>
      <c r="E277" s="35">
        <f>(Table143454[[#This Row],[USA]]-B265)/B265</f>
        <v/>
      </c>
      <c r="F277" s="34">
        <f>VLOOKUP(Table143454[[#This Row],[Date]],'Data Core CPI'!$A:$AX,MATCH($B$2,'Data Core CPI'!$B$1:$AX$1,0),FALSE)</f>
        <v/>
      </c>
      <c r="G277" s="35">
        <f>(F277/F276)-1</f>
        <v/>
      </c>
      <c r="H277" s="35">
        <f>((1+G277)^12)-1</f>
        <v/>
      </c>
      <c r="I277" s="35">
        <f>(Table143454[[#This Row],[Core CPI]]-F265)/F265</f>
        <v/>
      </c>
    </row>
    <row r="278">
      <c r="A278" s="33">
        <f>IF(Data!A305="",#N/A,Data!A305)</f>
        <v/>
      </c>
      <c r="B278" s="34">
        <f>VLOOKUP(A278,Data!A:AX,MATCH($B$2,Data!$B$1:$AX$1,0),FALSE)</f>
        <v/>
      </c>
      <c r="C278" s="35">
        <f>(B278/B277)-1</f>
        <v/>
      </c>
      <c r="D278" s="35">
        <f>((1+C278)^12)-1</f>
        <v/>
      </c>
      <c r="E278" s="35">
        <f>(Table143454[[#This Row],[USA]]-B266)/B266</f>
        <v/>
      </c>
      <c r="F278" s="34">
        <f>VLOOKUP(Table143454[[#This Row],[Date]],'Data Core CPI'!$A:$AX,MATCH($B$2,'Data Core CPI'!$B$1:$AX$1,0),FALSE)</f>
        <v/>
      </c>
      <c r="G278" s="35">
        <f>(F278/F277)-1</f>
        <v/>
      </c>
      <c r="H278" s="35">
        <f>((1+G278)^12)-1</f>
        <v/>
      </c>
      <c r="I278" s="35">
        <f>(Table143454[[#This Row],[Core CPI]]-F266)/F266</f>
        <v/>
      </c>
    </row>
    <row r="279">
      <c r="A279" s="33">
        <f>IF(Data!A306="",#N/A,Data!A306)</f>
        <v/>
      </c>
      <c r="B279" s="34">
        <f>VLOOKUP(A279,Data!A:AX,MATCH($B$2,Data!$B$1:$AX$1,0),FALSE)</f>
        <v/>
      </c>
      <c r="C279" s="35">
        <f>(B279/B278)-1</f>
        <v/>
      </c>
      <c r="D279" s="35">
        <f>((1+C279)^12)-1</f>
        <v/>
      </c>
      <c r="E279" s="35">
        <f>(Table143454[[#This Row],[USA]]-B267)/B267</f>
        <v/>
      </c>
      <c r="F279" s="34">
        <f>VLOOKUP(Table143454[[#This Row],[Date]],'Data Core CPI'!$A:$AX,MATCH($B$2,'Data Core CPI'!$B$1:$AX$1,0),FALSE)</f>
        <v/>
      </c>
      <c r="G279" s="35">
        <f>(F279/F278)-1</f>
        <v/>
      </c>
      <c r="H279" s="35">
        <f>((1+G279)^12)-1</f>
        <v/>
      </c>
      <c r="I279" s="35">
        <f>(Table143454[[#This Row],[Core CPI]]-F267)/F267</f>
        <v/>
      </c>
    </row>
    <row r="280">
      <c r="A280" s="33">
        <f>IF(Data!A307="",#N/A,Data!A307)</f>
        <v/>
      </c>
      <c r="B280" s="34">
        <f>VLOOKUP(A280,Data!A:AX,MATCH($B$2,Data!$B$1:$AX$1,0),FALSE)</f>
        <v/>
      </c>
      <c r="C280" s="35">
        <f>(B280/B279)-1</f>
        <v/>
      </c>
      <c r="D280" s="35">
        <f>((1+C280)^12)-1</f>
        <v/>
      </c>
      <c r="E280" s="35">
        <f>(Table143454[[#This Row],[USA]]-B268)/B268</f>
        <v/>
      </c>
      <c r="F280" s="34">
        <f>VLOOKUP(Table143454[[#This Row],[Date]],'Data Core CPI'!$A:$AX,MATCH($B$2,'Data Core CPI'!$B$1:$AX$1,0),FALSE)</f>
        <v/>
      </c>
      <c r="G280" s="35">
        <f>(F280/F279)-1</f>
        <v/>
      </c>
      <c r="H280" s="35">
        <f>((1+G280)^12)-1</f>
        <v/>
      </c>
      <c r="I280" s="35">
        <f>(Table143454[[#This Row],[Core CPI]]-F268)/F268</f>
        <v/>
      </c>
    </row>
    <row r="281">
      <c r="A281" s="33">
        <f>IF(Data!A308="",#N/A,Data!A308)</f>
        <v/>
      </c>
      <c r="B281" s="34">
        <f>VLOOKUP(A281,Data!A:AX,MATCH($B$2,Data!$B$1:$AX$1,0),FALSE)</f>
        <v/>
      </c>
      <c r="C281" s="35">
        <f>(B281/B280)-1</f>
        <v/>
      </c>
      <c r="D281" s="35">
        <f>((1+C281)^12)-1</f>
        <v/>
      </c>
      <c r="E281" s="35">
        <f>(Table143454[[#This Row],[USA]]-B269)/B269</f>
        <v/>
      </c>
      <c r="F281" s="34">
        <f>VLOOKUP(Table143454[[#This Row],[Date]],'Data Core CPI'!$A:$AX,MATCH($B$2,'Data Core CPI'!$B$1:$AX$1,0),FALSE)</f>
        <v/>
      </c>
      <c r="G281" s="35">
        <f>(F281/F280)-1</f>
        <v/>
      </c>
      <c r="H281" s="35">
        <f>((1+G281)^12)-1</f>
        <v/>
      </c>
      <c r="I281" s="35">
        <f>(Table143454[[#This Row],[Core CPI]]-F269)/F269</f>
        <v/>
      </c>
    </row>
    <row r="282">
      <c r="A282" s="33">
        <f>IF(Data!A309="",#N/A,Data!A309)</f>
        <v/>
      </c>
      <c r="B282" s="34">
        <f>VLOOKUP(A282,Data!A:AX,MATCH($B$2,Data!$B$1:$AX$1,0),FALSE)</f>
        <v/>
      </c>
      <c r="C282" s="35">
        <f>(B282/B281)-1</f>
        <v/>
      </c>
      <c r="D282" s="35">
        <f>((1+C282)^12)-1</f>
        <v/>
      </c>
      <c r="E282" s="35">
        <f>(Table143454[[#This Row],[USA]]-B270)/B270</f>
        <v/>
      </c>
      <c r="F282" s="34">
        <f>VLOOKUP(Table143454[[#This Row],[Date]],'Data Core CPI'!$A:$AX,MATCH($B$2,'Data Core CPI'!$B$1:$AX$1,0),FALSE)</f>
        <v/>
      </c>
      <c r="G282" s="35">
        <f>(F282/F281)-1</f>
        <v/>
      </c>
      <c r="H282" s="35">
        <f>((1+G282)^12)-1</f>
        <v/>
      </c>
      <c r="I282" s="35">
        <f>(Table143454[[#This Row],[Core CPI]]-F270)/F270</f>
        <v/>
      </c>
    </row>
    <row r="283">
      <c r="A283" s="33">
        <f>IF(Data!A310="",#N/A,Data!A310)</f>
        <v/>
      </c>
      <c r="B283" s="34">
        <f>VLOOKUP(A283,Data!A:AX,MATCH($B$2,Data!$B$1:$AX$1,0),FALSE)</f>
        <v/>
      </c>
      <c r="C283" s="35">
        <f>(B283/B282)-1</f>
        <v/>
      </c>
      <c r="D283" s="35">
        <f>((1+C283)^12)-1</f>
        <v/>
      </c>
      <c r="E283" s="35">
        <f>(Table143454[[#This Row],[USA]]-B271)/B271</f>
        <v/>
      </c>
      <c r="F283" s="34">
        <f>VLOOKUP(Table143454[[#This Row],[Date]],'Data Core CPI'!$A:$AX,MATCH($B$2,'Data Core CPI'!$B$1:$AX$1,0),FALSE)</f>
        <v/>
      </c>
      <c r="G283" s="35">
        <f>(F283/F282)-1</f>
        <v/>
      </c>
      <c r="H283" s="35">
        <f>((1+G283)^12)-1</f>
        <v/>
      </c>
      <c r="I283" s="35">
        <f>(Table143454[[#This Row],[Core CPI]]-F271)/F271</f>
        <v/>
      </c>
    </row>
    <row r="284">
      <c r="A284" s="33">
        <f>IF(Data!A311="",#N/A,Data!A311)</f>
        <v/>
      </c>
      <c r="B284" s="34">
        <f>VLOOKUP(A284,Data!A:AX,MATCH($B$2,Data!$B$1:$AX$1,0),FALSE)</f>
        <v/>
      </c>
      <c r="C284" s="35">
        <f>(B284/B283)-1</f>
        <v/>
      </c>
      <c r="D284" s="35">
        <f>((1+C284)^12)-1</f>
        <v/>
      </c>
      <c r="E284" s="35">
        <f>(Table143454[[#This Row],[USA]]-B272)/B272</f>
        <v/>
      </c>
      <c r="F284" s="34">
        <f>VLOOKUP(Table143454[[#This Row],[Date]],'Data Core CPI'!$A:$AX,MATCH($B$2,'Data Core CPI'!$B$1:$AX$1,0),FALSE)</f>
        <v/>
      </c>
      <c r="G284" s="35">
        <f>(F284/F283)-1</f>
        <v/>
      </c>
      <c r="H284" s="35">
        <f>((1+G284)^12)-1</f>
        <v/>
      </c>
      <c r="I284" s="35">
        <f>(Table143454[[#This Row],[Core CPI]]-F272)/F272</f>
        <v/>
      </c>
    </row>
    <row r="285">
      <c r="A285" s="33">
        <f>IF(Data!A312="",#N/A,Data!A312)</f>
        <v/>
      </c>
      <c r="B285" s="34">
        <f>VLOOKUP(A285,Data!A:AX,MATCH($B$2,Data!$B$1:$AX$1,0),FALSE)</f>
        <v/>
      </c>
      <c r="C285" s="35">
        <f>(B285/B284)-1</f>
        <v/>
      </c>
      <c r="D285" s="35">
        <f>((1+C285)^12)-1</f>
        <v/>
      </c>
      <c r="E285" s="35">
        <f>(Table143454[[#This Row],[USA]]-B273)/B273</f>
        <v/>
      </c>
      <c r="F285" s="34">
        <f>VLOOKUP(Table143454[[#This Row],[Date]],'Data Core CPI'!$A:$AX,MATCH($B$2,'Data Core CPI'!$B$1:$AX$1,0),FALSE)</f>
        <v/>
      </c>
      <c r="G285" s="35">
        <f>(F285/F284)-1</f>
        <v/>
      </c>
      <c r="H285" s="35">
        <f>((1+G285)^12)-1</f>
        <v/>
      </c>
      <c r="I285" s="35">
        <f>(Table143454[[#This Row],[Core CPI]]-F273)/F273</f>
        <v/>
      </c>
    </row>
    <row r="286">
      <c r="A286" s="33">
        <f>IF(Data!A313="",#N/A,Data!A313)</f>
        <v/>
      </c>
      <c r="B286" s="34">
        <f>VLOOKUP(A286,Data!A:AX,MATCH($B$2,Data!$B$1:$AX$1,0),FALSE)</f>
        <v/>
      </c>
      <c r="C286" s="35">
        <f>(B286/B285)-1</f>
        <v/>
      </c>
      <c r="D286" s="35">
        <f>((1+C286)^12)-1</f>
        <v/>
      </c>
      <c r="E286" s="35">
        <f>(Table143454[[#This Row],[USA]]-B274)/B274</f>
        <v/>
      </c>
      <c r="F286" s="34">
        <f>VLOOKUP(Table143454[[#This Row],[Date]],'Data Core CPI'!$A:$AX,MATCH($B$2,'Data Core CPI'!$B$1:$AX$1,0),FALSE)</f>
        <v/>
      </c>
      <c r="G286" s="35">
        <f>(F286/F285)-1</f>
        <v/>
      </c>
      <c r="H286" s="35">
        <f>((1+G286)^12)-1</f>
        <v/>
      </c>
      <c r="I286" s="35">
        <f>(Table143454[[#This Row],[Core CPI]]-F274)/F274</f>
        <v/>
      </c>
    </row>
    <row r="287">
      <c r="A287" s="33">
        <f>IF(Data!A314="",#N/A,Data!A314)</f>
        <v/>
      </c>
      <c r="B287" s="34">
        <f>VLOOKUP(A287,Data!A:AX,MATCH($B$2,Data!$B$1:$AX$1,0),FALSE)</f>
        <v/>
      </c>
      <c r="C287" s="35">
        <f>(B287/B286)-1</f>
        <v/>
      </c>
      <c r="D287" s="35">
        <f>((1+C287)^12)-1</f>
        <v/>
      </c>
      <c r="E287" s="35">
        <f>(Table143454[[#This Row],[USA]]-B275)/B275</f>
        <v/>
      </c>
      <c r="F287" s="34">
        <f>VLOOKUP(Table143454[[#This Row],[Date]],'Data Core CPI'!$A:$AX,MATCH($B$2,'Data Core CPI'!$B$1:$AX$1,0),FALSE)</f>
        <v/>
      </c>
      <c r="G287" s="35">
        <f>(F287/F286)-1</f>
        <v/>
      </c>
      <c r="H287" s="35">
        <f>((1+G287)^12)-1</f>
        <v/>
      </c>
      <c r="I287" s="35">
        <f>(Table143454[[#This Row],[Core CPI]]-F275)/F275</f>
        <v/>
      </c>
    </row>
    <row r="288">
      <c r="A288" s="33">
        <f>IF(Data!A315="",#N/A,Data!A315)</f>
        <v/>
      </c>
      <c r="B288" s="34">
        <f>VLOOKUP(A288,Data!A:AX,MATCH($B$2,Data!$B$1:$AX$1,0),FALSE)</f>
        <v/>
      </c>
      <c r="C288" s="35">
        <f>(B288/B287)-1</f>
        <v/>
      </c>
      <c r="D288" s="35">
        <f>((1+C288)^12)-1</f>
        <v/>
      </c>
      <c r="E288" s="35">
        <f>(Table143454[[#This Row],[USA]]-B276)/B276</f>
        <v/>
      </c>
      <c r="F288" s="34">
        <f>VLOOKUP(Table143454[[#This Row],[Date]],'Data Core CPI'!$A:$AX,MATCH($B$2,'Data Core CPI'!$B$1:$AX$1,0),FALSE)</f>
        <v/>
      </c>
      <c r="G288" s="35">
        <f>(F288/F287)-1</f>
        <v/>
      </c>
      <c r="H288" s="35">
        <f>((1+G288)^12)-1</f>
        <v/>
      </c>
      <c r="I288" s="35">
        <f>(Table143454[[#This Row],[Core CPI]]-F276)/F276</f>
        <v/>
      </c>
    </row>
    <row r="289">
      <c r="A289" s="33">
        <f>IF(Data!A316="",#N/A,Data!A316)</f>
        <v/>
      </c>
      <c r="B289" s="34">
        <f>VLOOKUP(A289,Data!A:AX,MATCH($B$2,Data!$B$1:$AX$1,0),FALSE)</f>
        <v/>
      </c>
      <c r="C289" s="35">
        <f>(B289/B288)-1</f>
        <v/>
      </c>
      <c r="D289" s="35">
        <f>((1+C289)^12)-1</f>
        <v/>
      </c>
      <c r="E289" s="35">
        <f>(Table143454[[#This Row],[USA]]-B277)/B277</f>
        <v/>
      </c>
      <c r="F289" s="34">
        <f>VLOOKUP(Table143454[[#This Row],[Date]],'Data Core CPI'!$A:$AX,MATCH($B$2,'Data Core CPI'!$B$1:$AX$1,0),FALSE)</f>
        <v/>
      </c>
      <c r="G289" s="35">
        <f>(F289/F288)-1</f>
        <v/>
      </c>
      <c r="H289" s="35">
        <f>((1+G289)^12)-1</f>
        <v/>
      </c>
      <c r="I289" s="35">
        <f>(Table143454[[#This Row],[Core CPI]]-F277)/F277</f>
        <v/>
      </c>
    </row>
    <row r="290">
      <c r="A290" s="33">
        <f>IF(Data!A317="",#N/A,Data!A317)</f>
        <v/>
      </c>
      <c r="B290" s="34">
        <f>VLOOKUP(A290,Data!A:AX,MATCH($B$2,Data!$B$1:$AX$1,0),FALSE)</f>
        <v/>
      </c>
      <c r="C290" s="35">
        <f>(B290/B289)-1</f>
        <v/>
      </c>
      <c r="D290" s="35">
        <f>((1+C290)^12)-1</f>
        <v/>
      </c>
      <c r="E290" s="35">
        <f>(Table143454[[#This Row],[USA]]-B278)/B278</f>
        <v/>
      </c>
      <c r="F290" s="34">
        <f>VLOOKUP(Table143454[[#This Row],[Date]],'Data Core CPI'!$A:$AX,MATCH($B$2,'Data Core CPI'!$B$1:$AX$1,0),FALSE)</f>
        <v/>
      </c>
      <c r="G290" s="35">
        <f>(F290/F289)-1</f>
        <v/>
      </c>
      <c r="H290" s="35">
        <f>((1+G290)^12)-1</f>
        <v/>
      </c>
      <c r="I290" s="35">
        <f>(Table143454[[#This Row],[Core CPI]]-F278)/F278</f>
        <v/>
      </c>
    </row>
    <row r="291">
      <c r="A291" s="33">
        <f>IF(Data!A318="",#N/A,Data!A318)</f>
        <v/>
      </c>
      <c r="B291" s="34">
        <f>VLOOKUP(A291,Data!A:AX,MATCH($B$2,Data!$B$1:$AX$1,0),FALSE)</f>
        <v/>
      </c>
      <c r="C291" s="35">
        <f>(B291/B290)-1</f>
        <v/>
      </c>
      <c r="D291" s="35">
        <f>((1+C291)^12)-1</f>
        <v/>
      </c>
      <c r="E291" s="35">
        <f>(Table143454[[#This Row],[USA]]-B279)/B279</f>
        <v/>
      </c>
      <c r="F291" s="34">
        <f>VLOOKUP(Table143454[[#This Row],[Date]],'Data Core CPI'!$A:$AX,MATCH($B$2,'Data Core CPI'!$B$1:$AX$1,0),FALSE)</f>
        <v/>
      </c>
      <c r="G291" s="35">
        <f>(F291/F290)-1</f>
        <v/>
      </c>
      <c r="H291" s="35">
        <f>((1+G291)^12)-1</f>
        <v/>
      </c>
      <c r="I291" s="35">
        <f>(Table143454[[#This Row],[Core CPI]]-F279)/F279</f>
        <v/>
      </c>
    </row>
    <row r="292">
      <c r="A292" s="33">
        <f>IF(Data!A319="",#N/A,Data!A319)</f>
        <v/>
      </c>
      <c r="B292" s="34">
        <f>VLOOKUP(A292,Data!A:AX,MATCH($B$2,Data!$B$1:$AX$1,0),FALSE)</f>
        <v/>
      </c>
      <c r="C292" s="35">
        <f>(B292/B291)-1</f>
        <v/>
      </c>
      <c r="D292" s="35">
        <f>((1+C292)^12)-1</f>
        <v/>
      </c>
      <c r="E292" s="35">
        <f>(Table143454[[#This Row],[USA]]-B280)/B280</f>
        <v/>
      </c>
      <c r="F292" s="34">
        <f>VLOOKUP(Table143454[[#This Row],[Date]],'Data Core CPI'!$A:$AX,MATCH($B$2,'Data Core CPI'!$B$1:$AX$1,0),FALSE)</f>
        <v/>
      </c>
      <c r="G292" s="35">
        <f>(F292/F291)-1</f>
        <v/>
      </c>
      <c r="H292" s="35">
        <f>((1+G292)^12)-1</f>
        <v/>
      </c>
      <c r="I292" s="35">
        <f>(Table143454[[#This Row],[Core CPI]]-F280)/F280</f>
        <v/>
      </c>
    </row>
    <row r="293">
      <c r="A293" s="33">
        <f>IF(Data!A320="",#N/A,Data!A320)</f>
        <v/>
      </c>
      <c r="B293" s="34">
        <f>VLOOKUP(A293,Data!A:AX,MATCH($B$2,Data!$B$1:$AX$1,0),FALSE)</f>
        <v/>
      </c>
      <c r="C293" s="35">
        <f>(B293/B292)-1</f>
        <v/>
      </c>
      <c r="D293" s="35">
        <f>((1+C293)^12)-1</f>
        <v/>
      </c>
      <c r="E293" s="35">
        <f>(Table143454[[#This Row],[USA]]-B281)/B281</f>
        <v/>
      </c>
      <c r="F293" s="34">
        <f>VLOOKUP(Table143454[[#This Row],[Date]],'Data Core CPI'!$A:$AX,MATCH($B$2,'Data Core CPI'!$B$1:$AX$1,0),FALSE)</f>
        <v/>
      </c>
      <c r="G293" s="35">
        <f>(F293/F292)-1</f>
        <v/>
      </c>
      <c r="H293" s="35">
        <f>((1+G293)^12)-1</f>
        <v/>
      </c>
      <c r="I293" s="35">
        <f>(Table143454[[#This Row],[Core CPI]]-F281)/F281</f>
        <v/>
      </c>
    </row>
    <row r="294">
      <c r="A294" s="33">
        <f>IF(Data!A321="",#N/A,Data!A321)</f>
        <v/>
      </c>
      <c r="B294" s="34">
        <f>VLOOKUP(A294,Data!A:AX,MATCH($B$2,Data!$B$1:$AX$1,0),FALSE)</f>
        <v/>
      </c>
      <c r="C294" s="35">
        <f>(B294/B293)-1</f>
        <v/>
      </c>
      <c r="D294" s="35">
        <f>((1+C294)^12)-1</f>
        <v/>
      </c>
      <c r="E294" s="35">
        <f>(Table143454[[#This Row],[USA]]-B282)/B282</f>
        <v/>
      </c>
      <c r="F294" s="34">
        <f>VLOOKUP(Table143454[[#This Row],[Date]],'Data Core CPI'!$A:$AX,MATCH($B$2,'Data Core CPI'!$B$1:$AX$1,0),FALSE)</f>
        <v/>
      </c>
      <c r="G294" s="35">
        <f>(F294/F293)-1</f>
        <v/>
      </c>
      <c r="H294" s="35">
        <f>((1+G294)^12)-1</f>
        <v/>
      </c>
      <c r="I294" s="35">
        <f>(Table143454[[#This Row],[Core CPI]]-F282)/F282</f>
        <v/>
      </c>
    </row>
    <row r="295">
      <c r="A295" s="33">
        <f>IF(Data!A322="",#N/A,Data!A322)</f>
        <v/>
      </c>
      <c r="B295" s="34">
        <f>VLOOKUP(A295,Data!A:AX,MATCH($B$2,Data!$B$1:$AX$1,0),FALSE)</f>
        <v/>
      </c>
      <c r="C295" s="35">
        <f>(B295/B294)-1</f>
        <v/>
      </c>
      <c r="D295" s="35">
        <f>((1+C295)^12)-1</f>
        <v/>
      </c>
      <c r="E295" s="35">
        <f>(Table143454[[#This Row],[USA]]-B283)/B283</f>
        <v/>
      </c>
      <c r="F295" s="34">
        <f>VLOOKUP(Table143454[[#This Row],[Date]],'Data Core CPI'!$A:$AX,MATCH($B$2,'Data Core CPI'!$B$1:$AX$1,0),FALSE)</f>
        <v/>
      </c>
      <c r="G295" s="35">
        <f>(F295/F294)-1</f>
        <v/>
      </c>
      <c r="H295" s="35">
        <f>((1+G295)^12)-1</f>
        <v/>
      </c>
      <c r="I295" s="35">
        <f>(Table143454[[#This Row],[Core CPI]]-F283)/F283</f>
        <v/>
      </c>
    </row>
    <row r="296">
      <c r="A296" s="33">
        <f>IF(Data!A323="",#N/A,Data!A323)</f>
        <v/>
      </c>
      <c r="B296" s="34">
        <f>VLOOKUP(A296,Data!A:AX,MATCH($B$2,Data!$B$1:$AX$1,0),FALSE)</f>
        <v/>
      </c>
      <c r="C296" s="35">
        <f>(B296/B295)-1</f>
        <v/>
      </c>
      <c r="D296" s="35">
        <f>((1+C296)^12)-1</f>
        <v/>
      </c>
      <c r="E296" s="35">
        <f>(Table143454[[#This Row],[USA]]-B284)/B284</f>
        <v/>
      </c>
      <c r="F296" s="34">
        <f>VLOOKUP(Table143454[[#This Row],[Date]],'Data Core CPI'!$A:$AX,MATCH($B$2,'Data Core CPI'!$B$1:$AX$1,0),FALSE)</f>
        <v/>
      </c>
      <c r="G296" s="35">
        <f>(F296/F295)-1</f>
        <v/>
      </c>
      <c r="H296" s="35">
        <f>((1+G296)^12)-1</f>
        <v/>
      </c>
      <c r="I296" s="35">
        <f>(Table143454[[#This Row],[Core CPI]]-F284)/F284</f>
        <v/>
      </c>
    </row>
    <row r="297">
      <c r="A297" s="33">
        <f>IF(Data!A324="",#N/A,Data!A324)</f>
        <v/>
      </c>
      <c r="B297" s="34">
        <f>VLOOKUP(A297,Data!A:AX,MATCH($B$2,Data!$B$1:$AX$1,0),FALSE)</f>
        <v/>
      </c>
      <c r="C297" s="35">
        <f>(B297/B296)-1</f>
        <v/>
      </c>
      <c r="D297" s="35">
        <f>((1+C297)^12)-1</f>
        <v/>
      </c>
      <c r="E297" s="35">
        <f>(Table143454[[#This Row],[USA]]-B285)/B285</f>
        <v/>
      </c>
      <c r="F297" s="34">
        <f>VLOOKUP(Table143454[[#This Row],[Date]],'Data Core CPI'!$A:$AX,MATCH($B$2,'Data Core CPI'!$B$1:$AX$1,0),FALSE)</f>
        <v/>
      </c>
      <c r="G297" s="35">
        <f>(F297/F296)-1</f>
        <v/>
      </c>
      <c r="H297" s="35">
        <f>((1+G297)^12)-1</f>
        <v/>
      </c>
      <c r="I297" s="35">
        <f>(Table143454[[#This Row],[Core CPI]]-F285)/F285</f>
        <v/>
      </c>
    </row>
    <row r="298">
      <c r="A298" s="33">
        <f>IF(Data!A325="",#N/A,Data!A325)</f>
        <v/>
      </c>
      <c r="B298" s="34">
        <f>VLOOKUP(A298,Data!A:AX,MATCH($B$2,Data!$B$1:$AX$1,0),FALSE)</f>
        <v/>
      </c>
      <c r="C298" s="35">
        <f>(B298/B297)-1</f>
        <v/>
      </c>
      <c r="D298" s="35">
        <f>((1+C298)^12)-1</f>
        <v/>
      </c>
      <c r="E298" s="35">
        <f>(Table143454[[#This Row],[USA]]-B286)/B286</f>
        <v/>
      </c>
      <c r="F298" s="34">
        <f>VLOOKUP(Table143454[[#This Row],[Date]],'Data Core CPI'!$A:$AX,MATCH($B$2,'Data Core CPI'!$B$1:$AX$1,0),FALSE)</f>
        <v/>
      </c>
      <c r="G298" s="35">
        <f>(F298/F297)-1</f>
        <v/>
      </c>
      <c r="H298" s="35">
        <f>((1+G298)^12)-1</f>
        <v/>
      </c>
      <c r="I298" s="35">
        <f>(Table143454[[#This Row],[Core CPI]]-F286)/F286</f>
        <v/>
      </c>
    </row>
    <row r="299">
      <c r="A299" s="33">
        <f>IF(Data!A326="",#N/A,Data!A326)</f>
        <v/>
      </c>
      <c r="B299" s="34">
        <f>VLOOKUP(A299,Data!A:AX,MATCH($B$2,Data!$B$1:$AX$1,0),FALSE)</f>
        <v/>
      </c>
      <c r="C299" s="35">
        <f>(B299/B298)-1</f>
        <v/>
      </c>
      <c r="D299" s="35">
        <f>((1+C299)^12)-1</f>
        <v/>
      </c>
      <c r="E299" s="35">
        <f>(Table143454[[#This Row],[USA]]-B287)/B287</f>
        <v/>
      </c>
      <c r="F299" s="34">
        <f>VLOOKUP(Table143454[[#This Row],[Date]],'Data Core CPI'!$A:$AX,MATCH($B$2,'Data Core CPI'!$B$1:$AX$1,0),FALSE)</f>
        <v/>
      </c>
      <c r="G299" s="35">
        <f>(F299/F298)-1</f>
        <v/>
      </c>
      <c r="H299" s="35">
        <f>((1+G299)^12)-1</f>
        <v/>
      </c>
      <c r="I299" s="35">
        <f>(Table143454[[#This Row],[Core CPI]]-F287)/F287</f>
        <v/>
      </c>
    </row>
    <row r="300">
      <c r="A300" s="33">
        <f>IF(Data!A327="",#N/A,Data!A327)</f>
        <v/>
      </c>
      <c r="B300" s="34">
        <f>VLOOKUP(A300,Data!A:AX,MATCH($B$2,Data!$B$1:$AX$1,0),FALSE)</f>
        <v/>
      </c>
      <c r="C300" s="35">
        <f>(B300/B299)-1</f>
        <v/>
      </c>
      <c r="D300" s="35">
        <f>((1+C300)^12)-1</f>
        <v/>
      </c>
      <c r="E300" s="35">
        <f>(Table143454[[#This Row],[USA]]-B288)/B288</f>
        <v/>
      </c>
      <c r="F300" s="34">
        <f>VLOOKUP(Table143454[[#This Row],[Date]],'Data Core CPI'!$A:$AX,MATCH($B$2,'Data Core CPI'!$B$1:$AX$1,0),FALSE)</f>
        <v/>
      </c>
      <c r="G300" s="35">
        <f>(F300/F299)-1</f>
        <v/>
      </c>
      <c r="H300" s="35">
        <f>((1+G300)^12)-1</f>
        <v/>
      </c>
      <c r="I300" s="35">
        <f>(Table143454[[#This Row],[Core CPI]]-F288)/F288</f>
        <v/>
      </c>
    </row>
    <row r="301">
      <c r="A301" s="33">
        <f>IF(Data!A328="",#N/A,Data!A328)</f>
        <v/>
      </c>
      <c r="B301" s="34">
        <f>VLOOKUP(A301,Data!A:AX,MATCH($B$2,Data!$B$1:$AX$1,0),FALSE)</f>
        <v/>
      </c>
      <c r="C301" s="35">
        <f>(B301/B300)-1</f>
        <v/>
      </c>
      <c r="D301" s="35">
        <f>((1+C301)^12)-1</f>
        <v/>
      </c>
      <c r="E301" s="35">
        <f>(Table143454[[#This Row],[USA]]-B289)/B289</f>
        <v/>
      </c>
      <c r="F301" s="34">
        <f>VLOOKUP(Table143454[[#This Row],[Date]],'Data Core CPI'!$A:$AX,MATCH($B$2,'Data Core CPI'!$B$1:$AX$1,0),FALSE)</f>
        <v/>
      </c>
      <c r="G301" s="35">
        <f>(F301/F300)-1</f>
        <v/>
      </c>
      <c r="H301" s="35">
        <f>((1+G301)^12)-1</f>
        <v/>
      </c>
      <c r="I301" s="35">
        <f>(Table143454[[#This Row],[Core CPI]]-F289)/F289</f>
        <v/>
      </c>
    </row>
    <row r="302">
      <c r="A302" s="33">
        <f>IF(Data!A329="",#N/A,Data!A329)</f>
        <v/>
      </c>
      <c r="B302" s="34">
        <f>VLOOKUP(A302,Data!A:AX,MATCH($B$2,Data!$B$1:$AX$1,0),FALSE)</f>
        <v/>
      </c>
      <c r="C302" s="35">
        <f>(B302/B301)-1</f>
        <v/>
      </c>
      <c r="D302" s="35">
        <f>((1+C302)^12)-1</f>
        <v/>
      </c>
      <c r="E302" s="35">
        <f>(Table143454[[#This Row],[USA]]-B290)/B290</f>
        <v/>
      </c>
      <c r="F302" s="34">
        <f>VLOOKUP(Table143454[[#This Row],[Date]],'Data Core CPI'!$A:$AX,MATCH($B$2,'Data Core CPI'!$B$1:$AX$1,0),FALSE)</f>
        <v/>
      </c>
      <c r="G302" s="35">
        <f>(F302/F301)-1</f>
        <v/>
      </c>
      <c r="H302" s="35">
        <f>((1+G302)^12)-1</f>
        <v/>
      </c>
      <c r="I302" s="35">
        <f>(Table143454[[#This Row],[Core CPI]]-F290)/F290</f>
        <v/>
      </c>
    </row>
    <row r="303">
      <c r="A303" s="33">
        <f>IF(Data!A330="",#N/A,Data!A330)</f>
        <v/>
      </c>
      <c r="B303" s="34">
        <f>VLOOKUP(A303,Data!A:AX,MATCH($B$2,Data!$B$1:$AX$1,0),FALSE)</f>
        <v/>
      </c>
      <c r="C303" s="35">
        <f>(B303/B302)-1</f>
        <v/>
      </c>
      <c r="D303" s="35">
        <f>((1+C303)^12)-1</f>
        <v/>
      </c>
      <c r="E303" s="35">
        <f>(Table143454[[#This Row],[USA]]-B291)/B291</f>
        <v/>
      </c>
      <c r="F303" s="34">
        <f>VLOOKUP(Table143454[[#This Row],[Date]],'Data Core CPI'!$A:$AX,MATCH($B$2,'Data Core CPI'!$B$1:$AX$1,0),FALSE)</f>
        <v/>
      </c>
      <c r="G303" s="35">
        <f>(F303/F302)-1</f>
        <v/>
      </c>
      <c r="H303" s="35">
        <f>((1+G303)^12)-1</f>
        <v/>
      </c>
      <c r="I303" s="35">
        <f>(Table143454[[#This Row],[Core CPI]]-F291)/F291</f>
        <v/>
      </c>
    </row>
    <row r="304">
      <c r="A304" s="33">
        <f>IF(Data!A331="",#N/A,Data!A331)</f>
        <v/>
      </c>
      <c r="B304" s="34">
        <f>VLOOKUP(A304,Data!A:AX,MATCH($B$2,Data!$B$1:$AX$1,0),FALSE)</f>
        <v/>
      </c>
      <c r="C304" s="35">
        <f>(B304/B303)-1</f>
        <v/>
      </c>
      <c r="D304" s="35">
        <f>((1+C304)^12)-1</f>
        <v/>
      </c>
      <c r="E304" s="35">
        <f>(Table143454[[#This Row],[USA]]-B292)/B292</f>
        <v/>
      </c>
      <c r="F304" s="34">
        <f>VLOOKUP(Table143454[[#This Row],[Date]],'Data Core CPI'!$A:$AX,MATCH($B$2,'Data Core CPI'!$B$1:$AX$1,0),FALSE)</f>
        <v/>
      </c>
      <c r="G304" s="35">
        <f>(F304/F303)-1</f>
        <v/>
      </c>
      <c r="H304" s="35">
        <f>((1+G304)^12)-1</f>
        <v/>
      </c>
      <c r="I304" s="35">
        <f>(Table143454[[#This Row],[Core CPI]]-F292)/F292</f>
        <v/>
      </c>
    </row>
    <row r="305">
      <c r="A305" s="33">
        <f>IF(Data!A332="",#N/A,Data!A332)</f>
        <v/>
      </c>
      <c r="B305" s="34">
        <f>VLOOKUP(A305,Data!A:AX,MATCH($B$2,Data!$B$1:$AX$1,0),FALSE)</f>
        <v/>
      </c>
      <c r="C305" s="35">
        <f>(B305/B304)-1</f>
        <v/>
      </c>
      <c r="D305" s="35">
        <f>((1+C305)^12)-1</f>
        <v/>
      </c>
      <c r="E305" s="35">
        <f>(Table143454[[#This Row],[USA]]-B293)/B293</f>
        <v/>
      </c>
      <c r="F305" s="34">
        <f>VLOOKUP(Table143454[[#This Row],[Date]],'Data Core CPI'!$A:$AX,MATCH($B$2,'Data Core CPI'!$B$1:$AX$1,0),FALSE)</f>
        <v/>
      </c>
      <c r="G305" s="35">
        <f>(F305/F304)-1</f>
        <v/>
      </c>
      <c r="H305" s="35">
        <f>((1+G305)^12)-1</f>
        <v/>
      </c>
      <c r="I305" s="35">
        <f>(Table143454[[#This Row],[Core CPI]]-F293)/F293</f>
        <v/>
      </c>
    </row>
    <row r="306">
      <c r="A306" s="33">
        <f>IF(Data!A333="",#N/A,Data!A333)</f>
        <v/>
      </c>
      <c r="B306" s="34">
        <f>VLOOKUP(A306,Data!A:AX,MATCH($B$2,Data!$B$1:$AX$1,0),FALSE)</f>
        <v/>
      </c>
      <c r="C306" s="35">
        <f>(B306/B305)-1</f>
        <v/>
      </c>
      <c r="D306" s="35">
        <f>((1+C306)^12)-1</f>
        <v/>
      </c>
      <c r="E306" s="35">
        <f>(Table143454[[#This Row],[USA]]-B294)/B294</f>
        <v/>
      </c>
      <c r="F306" s="34">
        <f>VLOOKUP(Table143454[[#This Row],[Date]],'Data Core CPI'!$A:$AX,MATCH($B$2,'Data Core CPI'!$B$1:$AX$1,0),FALSE)</f>
        <v/>
      </c>
      <c r="G306" s="35">
        <f>(F306/F305)-1</f>
        <v/>
      </c>
      <c r="H306" s="35">
        <f>((1+G306)^12)-1</f>
        <v/>
      </c>
      <c r="I306" s="35">
        <f>(Table143454[[#This Row],[Core CPI]]-F294)/F294</f>
        <v/>
      </c>
    </row>
    <row r="307">
      <c r="A307" s="33">
        <f>IF(Data!A334="",#N/A,Data!A334)</f>
        <v/>
      </c>
      <c r="B307" s="34">
        <f>VLOOKUP(A307,Data!A:AX,MATCH($B$2,Data!$B$1:$AX$1,0),FALSE)</f>
        <v/>
      </c>
      <c r="C307" s="35">
        <f>(B307/B306)-1</f>
        <v/>
      </c>
      <c r="D307" s="35">
        <f>((1+C307)^12)-1</f>
        <v/>
      </c>
      <c r="E307" s="35">
        <f>(Table143454[[#This Row],[USA]]-B295)/B295</f>
        <v/>
      </c>
      <c r="F307" s="34">
        <f>VLOOKUP(Table143454[[#This Row],[Date]],'Data Core CPI'!$A:$AX,MATCH($B$2,'Data Core CPI'!$B$1:$AX$1,0),FALSE)</f>
        <v/>
      </c>
      <c r="G307" s="35">
        <f>(F307/F306)-1</f>
        <v/>
      </c>
      <c r="H307" s="35">
        <f>((1+G307)^12)-1</f>
        <v/>
      </c>
      <c r="I307" s="35">
        <f>(Table143454[[#This Row],[Core CPI]]-F295)/F295</f>
        <v/>
      </c>
    </row>
    <row r="308">
      <c r="A308" s="33">
        <f>IF(Data!A335="",#N/A,Data!A335)</f>
        <v/>
      </c>
      <c r="B308" s="34">
        <f>VLOOKUP(A308,Data!A:AX,MATCH($B$2,Data!$B$1:$AX$1,0),FALSE)</f>
        <v/>
      </c>
      <c r="C308" s="35">
        <f>(B308/B307)-1</f>
        <v/>
      </c>
      <c r="D308" s="35">
        <f>((1+C308)^12)-1</f>
        <v/>
      </c>
      <c r="E308" s="35">
        <f>(Table143454[[#This Row],[USA]]-B296)/B296</f>
        <v/>
      </c>
      <c r="F308" s="34">
        <f>VLOOKUP(Table143454[[#This Row],[Date]],'Data Core CPI'!$A:$AX,MATCH($B$2,'Data Core CPI'!$B$1:$AX$1,0),FALSE)</f>
        <v/>
      </c>
      <c r="G308" s="35">
        <f>(F308/F307)-1</f>
        <v/>
      </c>
      <c r="H308" s="35">
        <f>((1+G308)^12)-1</f>
        <v/>
      </c>
      <c r="I308" s="35">
        <f>(Table143454[[#This Row],[Core CPI]]-F296)/F296</f>
        <v/>
      </c>
    </row>
    <row r="309">
      <c r="A309" s="33">
        <f>IF(Data!A336="",#N/A,Data!A336)</f>
        <v/>
      </c>
      <c r="B309" s="34">
        <f>VLOOKUP(A309,Data!A:AX,MATCH($B$2,Data!$B$1:$AX$1,0),FALSE)</f>
        <v/>
      </c>
      <c r="C309" s="35">
        <f>(B309/B308)-1</f>
        <v/>
      </c>
      <c r="D309" s="35">
        <f>((1+C309)^12)-1</f>
        <v/>
      </c>
      <c r="E309" s="35">
        <f>(Table143454[[#This Row],[USA]]-B297)/B297</f>
        <v/>
      </c>
      <c r="F309" s="34">
        <f>VLOOKUP(Table143454[[#This Row],[Date]],'Data Core CPI'!$A:$AX,MATCH($B$2,'Data Core CPI'!$B$1:$AX$1,0),FALSE)</f>
        <v/>
      </c>
      <c r="G309" s="35">
        <f>(F309/F308)-1</f>
        <v/>
      </c>
      <c r="H309" s="35">
        <f>((1+G309)^12)-1</f>
        <v/>
      </c>
      <c r="I309" s="35">
        <f>(Table143454[[#This Row],[Core CPI]]-F297)/F297</f>
        <v/>
      </c>
    </row>
    <row r="310">
      <c r="A310" s="33">
        <f>IF(Data!A337="",#N/A,Data!A337)</f>
        <v/>
      </c>
      <c r="B310" s="34">
        <f>VLOOKUP(A310,Data!A:AX,MATCH($B$2,Data!$B$1:$AX$1,0),FALSE)</f>
        <v/>
      </c>
      <c r="C310" s="35">
        <f>(B310/B309)-1</f>
        <v/>
      </c>
      <c r="D310" s="35">
        <f>((1+C310)^12)-1</f>
        <v/>
      </c>
      <c r="E310" s="35">
        <f>(Table143454[[#This Row],[USA]]-B298)/B298</f>
        <v/>
      </c>
      <c r="F310" s="34">
        <f>VLOOKUP(Table143454[[#This Row],[Date]],'Data Core CPI'!$A:$AX,MATCH($B$2,'Data Core CPI'!$B$1:$AX$1,0),FALSE)</f>
        <v/>
      </c>
      <c r="G310" s="35">
        <f>(F310/F309)-1</f>
        <v/>
      </c>
      <c r="H310" s="35">
        <f>((1+G310)^12)-1</f>
        <v/>
      </c>
      <c r="I310" s="35">
        <f>(Table143454[[#This Row],[Core CPI]]-F298)/F298</f>
        <v/>
      </c>
    </row>
    <row r="311">
      <c r="A311" s="33">
        <f>IF(Data!A338="",#N/A,Data!A338)</f>
        <v/>
      </c>
      <c r="B311" s="34">
        <f>VLOOKUP(A311,Data!A:AX,MATCH($B$2,Data!$B$1:$AX$1,0),FALSE)</f>
        <v/>
      </c>
      <c r="C311" s="35">
        <f>(B311/B310)-1</f>
        <v/>
      </c>
      <c r="D311" s="35">
        <f>((1+C311)^12)-1</f>
        <v/>
      </c>
      <c r="E311" s="35">
        <f>(Table143454[[#This Row],[USA]]-B299)/B299</f>
        <v/>
      </c>
      <c r="F311" s="34">
        <f>VLOOKUP(Table143454[[#This Row],[Date]],'Data Core CPI'!$A:$AX,MATCH($B$2,'Data Core CPI'!$B$1:$AX$1,0),FALSE)</f>
        <v/>
      </c>
      <c r="G311" s="35">
        <f>(F311/F310)-1</f>
        <v/>
      </c>
      <c r="H311" s="35">
        <f>((1+G311)^12)-1</f>
        <v/>
      </c>
      <c r="I311" s="35">
        <f>(Table143454[[#This Row],[Core CPI]]-F299)/F299</f>
        <v/>
      </c>
    </row>
    <row r="312">
      <c r="A312" s="33">
        <f>IF(Data!A339="",#N/A,Data!A339)</f>
        <v/>
      </c>
      <c r="B312" s="34">
        <f>VLOOKUP(A312,Data!A:AX,MATCH($B$2,Data!$B$1:$AX$1,0),FALSE)</f>
        <v/>
      </c>
      <c r="C312" s="35">
        <f>(B312/B311)-1</f>
        <v/>
      </c>
      <c r="D312" s="35">
        <f>((1+C312)^12)-1</f>
        <v/>
      </c>
      <c r="E312" s="35">
        <f>(Table143454[[#This Row],[USA]]-B300)/B300</f>
        <v/>
      </c>
      <c r="F312" s="34">
        <f>VLOOKUP(Table143454[[#This Row],[Date]],'Data Core CPI'!$A:$AX,MATCH($B$2,'Data Core CPI'!$B$1:$AX$1,0),FALSE)</f>
        <v/>
      </c>
      <c r="G312" s="35">
        <f>(F312/F311)-1</f>
        <v/>
      </c>
      <c r="H312" s="35">
        <f>((1+G312)^12)-1</f>
        <v/>
      </c>
      <c r="I312" s="35">
        <f>(Table143454[[#This Row],[Core CPI]]-F300)/F300</f>
        <v/>
      </c>
    </row>
    <row r="313">
      <c r="A313" s="33">
        <f>IF(Data!A340="",#N/A,Data!A340)</f>
        <v/>
      </c>
      <c r="B313" s="34">
        <f>VLOOKUP(A313,Data!A:AX,MATCH($B$2,Data!$B$1:$AX$1,0),FALSE)</f>
        <v/>
      </c>
      <c r="C313" s="35">
        <f>(B313/B312)-1</f>
        <v/>
      </c>
      <c r="D313" s="35">
        <f>((1+C313)^12)-1</f>
        <v/>
      </c>
      <c r="E313" s="35">
        <f>(Table143454[[#This Row],[USA]]-B301)/B301</f>
        <v/>
      </c>
      <c r="F313" s="34">
        <f>VLOOKUP(Table143454[[#This Row],[Date]],'Data Core CPI'!$A:$AX,MATCH($B$2,'Data Core CPI'!$B$1:$AX$1,0),FALSE)</f>
        <v/>
      </c>
      <c r="G313" s="35">
        <f>(F313/F312)-1</f>
        <v/>
      </c>
      <c r="H313" s="35">
        <f>((1+G313)^12)-1</f>
        <v/>
      </c>
      <c r="I313" s="35">
        <f>(Table143454[[#This Row],[Core CPI]]-F301)/F301</f>
        <v/>
      </c>
    </row>
    <row r="314">
      <c r="A314" s="33">
        <f>IF(Data!A341="",#N/A,Data!A341)</f>
        <v/>
      </c>
      <c r="B314" s="34">
        <f>VLOOKUP(A314,Data!A:AX,MATCH($B$2,Data!$B$1:$AX$1,0),FALSE)</f>
        <v/>
      </c>
      <c r="C314" s="35">
        <f>(B314/B313)-1</f>
        <v/>
      </c>
      <c r="D314" s="35">
        <f>((1+C314)^12)-1</f>
        <v/>
      </c>
      <c r="E314" s="35">
        <f>(Table143454[[#This Row],[USA]]-B302)/B302</f>
        <v/>
      </c>
      <c r="F314" s="34">
        <f>VLOOKUP(Table143454[[#This Row],[Date]],'Data Core CPI'!$A:$AX,MATCH($B$2,'Data Core CPI'!$B$1:$AX$1,0),FALSE)</f>
        <v/>
      </c>
      <c r="G314" s="35">
        <f>(F314/F313)-1</f>
        <v/>
      </c>
      <c r="H314" s="35">
        <f>((1+G314)^12)-1</f>
        <v/>
      </c>
      <c r="I314" s="35">
        <f>(Table143454[[#This Row],[Core CPI]]-F302)/F302</f>
        <v/>
      </c>
    </row>
    <row r="315">
      <c r="A315" s="33">
        <f>IF(Data!A342="",#N/A,Data!A342)</f>
        <v/>
      </c>
      <c r="B315" s="34">
        <f>VLOOKUP(A315,Data!A:AX,MATCH($B$2,Data!$B$1:$AX$1,0),FALSE)</f>
        <v/>
      </c>
      <c r="C315" s="35">
        <f>(B315/B314)-1</f>
        <v/>
      </c>
      <c r="D315" s="35">
        <f>((1+C315)^12)-1</f>
        <v/>
      </c>
      <c r="E315" s="35">
        <f>(Table143454[[#This Row],[USA]]-B303)/B303</f>
        <v/>
      </c>
      <c r="F315" s="34">
        <f>VLOOKUP(Table143454[[#This Row],[Date]],'Data Core CPI'!$A:$AX,MATCH($B$2,'Data Core CPI'!$B$1:$AX$1,0),FALSE)</f>
        <v/>
      </c>
      <c r="G315" s="35">
        <f>(F315/F314)-1</f>
        <v/>
      </c>
      <c r="H315" s="35">
        <f>((1+G315)^12)-1</f>
        <v/>
      </c>
      <c r="I315" s="35">
        <f>(Table143454[[#This Row],[Core CPI]]-F303)/F303</f>
        <v/>
      </c>
    </row>
    <row r="316">
      <c r="A316" s="33">
        <f>IF(Data!A343="",#N/A,Data!A343)</f>
        <v/>
      </c>
      <c r="B316" s="34">
        <f>VLOOKUP(A316,Data!A:AX,MATCH($B$2,Data!$B$1:$AX$1,0),FALSE)</f>
        <v/>
      </c>
      <c r="C316" s="35">
        <f>(B316/B315)-1</f>
        <v/>
      </c>
      <c r="D316" s="35">
        <f>((1+C316)^12)-1</f>
        <v/>
      </c>
      <c r="E316" s="35">
        <f>(Table143454[[#This Row],[USA]]-B304)/B304</f>
        <v/>
      </c>
      <c r="F316" s="34">
        <f>VLOOKUP(Table143454[[#This Row],[Date]],'Data Core CPI'!$A:$AX,MATCH($B$2,'Data Core CPI'!$B$1:$AX$1,0),FALSE)</f>
        <v/>
      </c>
      <c r="G316" s="35">
        <f>(F316/F315)-1</f>
        <v/>
      </c>
      <c r="H316" s="35">
        <f>((1+G316)^12)-1</f>
        <v/>
      </c>
      <c r="I316" s="35">
        <f>(Table143454[[#This Row],[Core CPI]]-F304)/F304</f>
        <v/>
      </c>
    </row>
    <row r="317">
      <c r="A317" s="33">
        <f>IF(Data!A344="",#N/A,Data!A344)</f>
        <v/>
      </c>
      <c r="B317" s="34">
        <f>VLOOKUP(A317,Data!A:AX,MATCH($B$2,Data!$B$1:$AX$1,0),FALSE)</f>
        <v/>
      </c>
      <c r="C317" s="35">
        <f>(B317/B316)-1</f>
        <v/>
      </c>
      <c r="D317" s="35">
        <f>((1+C317)^12)-1</f>
        <v/>
      </c>
      <c r="E317" s="35">
        <f>(Table143454[[#This Row],[USA]]-B305)/B305</f>
        <v/>
      </c>
      <c r="F317" s="34">
        <f>VLOOKUP(Table143454[[#This Row],[Date]],'Data Core CPI'!$A:$AX,MATCH($B$2,'Data Core CPI'!$B$1:$AX$1,0),FALSE)</f>
        <v/>
      </c>
      <c r="G317" s="35">
        <f>(F317/F316)-1</f>
        <v/>
      </c>
      <c r="H317" s="35">
        <f>((1+G317)^12)-1</f>
        <v/>
      </c>
      <c r="I317" s="35">
        <f>(Table143454[[#This Row],[Core CPI]]-F305)/F305</f>
        <v/>
      </c>
    </row>
    <row r="318">
      <c r="A318" s="33">
        <f>IF(Data!A345="",#N/A,Data!A345)</f>
        <v/>
      </c>
      <c r="B318" s="34">
        <f>VLOOKUP(A318,Data!A:AX,MATCH($B$2,Data!$B$1:$AX$1,0),FALSE)</f>
        <v/>
      </c>
      <c r="C318" s="35">
        <f>(B318/B317)-1</f>
        <v/>
      </c>
      <c r="D318" s="35">
        <f>((1+C318)^12)-1</f>
        <v/>
      </c>
      <c r="E318" s="35">
        <f>(Table143454[[#This Row],[USA]]-B306)/B306</f>
        <v/>
      </c>
      <c r="F318" s="34">
        <f>VLOOKUP(Table143454[[#This Row],[Date]],'Data Core CPI'!$A:$AX,MATCH($B$2,'Data Core CPI'!$B$1:$AX$1,0),FALSE)</f>
        <v/>
      </c>
      <c r="G318" s="35">
        <f>(F318/F317)-1</f>
        <v/>
      </c>
      <c r="H318" s="35">
        <f>((1+G318)^12)-1</f>
        <v/>
      </c>
      <c r="I318" s="35">
        <f>(Table143454[[#This Row],[Core CPI]]-F306)/F306</f>
        <v/>
      </c>
    </row>
    <row r="319">
      <c r="A319" s="33">
        <f>IF(Data!A346="",#N/A,Data!A346)</f>
        <v/>
      </c>
      <c r="B319" s="34">
        <f>VLOOKUP(A319,Data!A:AX,MATCH($B$2,Data!$B$1:$AX$1,0),FALSE)</f>
        <v/>
      </c>
      <c r="C319" s="35">
        <f>(B319/B318)-1</f>
        <v/>
      </c>
      <c r="D319" s="35">
        <f>((1+C319)^12)-1</f>
        <v/>
      </c>
      <c r="E319" s="35">
        <f>(Table143454[[#This Row],[USA]]-B307)/B307</f>
        <v/>
      </c>
      <c r="F319" s="34">
        <f>VLOOKUP(Table143454[[#This Row],[Date]],'Data Core CPI'!$A:$AX,MATCH($B$2,'Data Core CPI'!$B$1:$AX$1,0),FALSE)</f>
        <v/>
      </c>
      <c r="G319" s="35">
        <f>(F319/F318)-1</f>
        <v/>
      </c>
      <c r="H319" s="35">
        <f>((1+G319)^12)-1</f>
        <v/>
      </c>
      <c r="I319" s="35">
        <f>(Table143454[[#This Row],[Core CPI]]-F307)/F307</f>
        <v/>
      </c>
    </row>
    <row r="320">
      <c r="A320" s="33">
        <f>IF(Data!A347="",#N/A,Data!A347)</f>
        <v/>
      </c>
      <c r="B320" s="34">
        <f>VLOOKUP(A320,Data!A:AX,MATCH($B$2,Data!$B$1:$AX$1,0),FALSE)</f>
        <v/>
      </c>
      <c r="C320" s="35">
        <f>(B320/B319)-1</f>
        <v/>
      </c>
      <c r="D320" s="35">
        <f>((1+C320)^12)-1</f>
        <v/>
      </c>
      <c r="E320" s="35">
        <f>(Table143454[[#This Row],[USA]]-B308)/B308</f>
        <v/>
      </c>
      <c r="F320" s="34">
        <f>VLOOKUP(Table143454[[#This Row],[Date]],'Data Core CPI'!$A:$AX,MATCH($B$2,'Data Core CPI'!$B$1:$AX$1,0),FALSE)</f>
        <v/>
      </c>
      <c r="G320" s="35">
        <f>(F320/F319)-1</f>
        <v/>
      </c>
      <c r="H320" s="35">
        <f>((1+G320)^12)-1</f>
        <v/>
      </c>
      <c r="I320" s="35">
        <f>(Table143454[[#This Row],[Core CPI]]-F308)/F308</f>
        <v/>
      </c>
    </row>
    <row r="321">
      <c r="A321" s="33">
        <f>IF(Data!A348="",#N/A,Data!A348)</f>
        <v/>
      </c>
      <c r="B321" s="34">
        <f>VLOOKUP(A321,Data!A:AX,MATCH($B$2,Data!$B$1:$AX$1,0),FALSE)</f>
        <v/>
      </c>
      <c r="C321" s="35">
        <f>(B321/B320)-1</f>
        <v/>
      </c>
      <c r="D321" s="35">
        <f>((1+C321)^12)-1</f>
        <v/>
      </c>
      <c r="E321" s="35">
        <f>(Table143454[[#This Row],[USA]]-B309)/B309</f>
        <v/>
      </c>
      <c r="F321" s="34">
        <f>VLOOKUP(Table143454[[#This Row],[Date]],'Data Core CPI'!$A:$AX,MATCH($B$2,'Data Core CPI'!$B$1:$AX$1,0),FALSE)</f>
        <v/>
      </c>
      <c r="G321" s="35">
        <f>(F321/F320)-1</f>
        <v/>
      </c>
      <c r="H321" s="35">
        <f>((1+G321)^12)-1</f>
        <v/>
      </c>
      <c r="I321" s="35">
        <f>(Table143454[[#This Row],[Core CPI]]-F309)/F309</f>
        <v/>
      </c>
    </row>
    <row r="322">
      <c r="A322" s="33">
        <f>IF(Data!A349="",#N/A,Data!A349)</f>
        <v/>
      </c>
      <c r="B322" s="34">
        <f>VLOOKUP(A322,Data!A:AX,MATCH($B$2,Data!$B$1:$AX$1,0),FALSE)</f>
        <v/>
      </c>
      <c r="C322" s="35">
        <f>(B322/B321)-1</f>
        <v/>
      </c>
      <c r="D322" s="35">
        <f>((1+C322)^12)-1</f>
        <v/>
      </c>
      <c r="E322" s="35">
        <f>(Table143454[[#This Row],[USA]]-B310)/B310</f>
        <v/>
      </c>
      <c r="F322" s="34">
        <f>VLOOKUP(Table143454[[#This Row],[Date]],'Data Core CPI'!$A:$AX,MATCH($B$2,'Data Core CPI'!$B$1:$AX$1,0),FALSE)</f>
        <v/>
      </c>
      <c r="G322" s="35">
        <f>(F322/F321)-1</f>
        <v/>
      </c>
      <c r="H322" s="35">
        <f>((1+G322)^12)-1</f>
        <v/>
      </c>
      <c r="I322" s="35">
        <f>(Table143454[[#This Row],[Core CPI]]-F310)/F310</f>
        <v/>
      </c>
    </row>
    <row r="323">
      <c r="A323" s="33">
        <f>IF(Data!A350="",#N/A,Data!A350)</f>
        <v/>
      </c>
      <c r="B323" s="34">
        <f>VLOOKUP(A323,Data!A:AX,MATCH($B$2,Data!$B$1:$AX$1,0),FALSE)</f>
        <v/>
      </c>
      <c r="C323" s="35">
        <f>(B323/B322)-1</f>
        <v/>
      </c>
      <c r="D323" s="35">
        <f>((1+C323)^12)-1</f>
        <v/>
      </c>
      <c r="E323" s="35">
        <f>(Table143454[[#This Row],[USA]]-B311)/B311</f>
        <v/>
      </c>
      <c r="F323" s="34">
        <f>VLOOKUP(Table143454[[#This Row],[Date]],'Data Core CPI'!$A:$AX,MATCH($B$2,'Data Core CPI'!$B$1:$AX$1,0),FALSE)</f>
        <v/>
      </c>
      <c r="G323" s="35">
        <f>(F323/F322)-1</f>
        <v/>
      </c>
      <c r="H323" s="35">
        <f>((1+G323)^12)-1</f>
        <v/>
      </c>
      <c r="I323" s="35">
        <f>(Table143454[[#This Row],[Core CPI]]-F311)/F311</f>
        <v/>
      </c>
    </row>
    <row r="324">
      <c r="A324" s="33">
        <f>IF(Data!A351="",#N/A,Data!A351)</f>
        <v/>
      </c>
      <c r="B324" s="34">
        <f>VLOOKUP(A324,Data!A:AX,MATCH($B$2,Data!$B$1:$AX$1,0),FALSE)</f>
        <v/>
      </c>
      <c r="C324" s="35">
        <f>(B324/B323)-1</f>
        <v/>
      </c>
      <c r="D324" s="35">
        <f>((1+C324)^12)-1</f>
        <v/>
      </c>
      <c r="E324" s="35">
        <f>(Table143454[[#This Row],[USA]]-B312)/B312</f>
        <v/>
      </c>
      <c r="F324" s="34">
        <f>VLOOKUP(Table143454[[#This Row],[Date]],'Data Core CPI'!$A:$AX,MATCH($B$2,'Data Core CPI'!$B$1:$AX$1,0),FALSE)</f>
        <v/>
      </c>
      <c r="G324" s="35">
        <f>(F324/F323)-1</f>
        <v/>
      </c>
      <c r="H324" s="35">
        <f>((1+G324)^12)-1</f>
        <v/>
      </c>
      <c r="I324" s="35">
        <f>(Table143454[[#This Row],[Core CPI]]-F312)/F312</f>
        <v/>
      </c>
    </row>
    <row r="325">
      <c r="A325" s="33">
        <f>IF(Data!A352="",#N/A,Data!A352)</f>
        <v/>
      </c>
      <c r="B325" s="34">
        <f>VLOOKUP(A325,Data!A:AX,MATCH($B$2,Data!$B$1:$AX$1,0),FALSE)</f>
        <v/>
      </c>
      <c r="C325" s="35">
        <f>(B325/B324)-1</f>
        <v/>
      </c>
      <c r="D325" s="35">
        <f>((1+C325)^12)-1</f>
        <v/>
      </c>
      <c r="E325" s="35">
        <f>(Table143454[[#This Row],[USA]]-B313)/B313</f>
        <v/>
      </c>
      <c r="F325" s="34">
        <f>VLOOKUP(Table143454[[#This Row],[Date]],'Data Core CPI'!$A:$AX,MATCH($B$2,'Data Core CPI'!$B$1:$AX$1,0),FALSE)</f>
        <v/>
      </c>
      <c r="G325" s="35">
        <f>(F325/F324)-1</f>
        <v/>
      </c>
      <c r="H325" s="35">
        <f>((1+G325)^12)-1</f>
        <v/>
      </c>
      <c r="I325" s="35">
        <f>(Table143454[[#This Row],[Core CPI]]-F313)/F313</f>
        <v/>
      </c>
    </row>
    <row r="326">
      <c r="A326" s="33">
        <f>IF(Data!A353="",#N/A,Data!A353)</f>
        <v/>
      </c>
      <c r="B326" s="34">
        <f>VLOOKUP(A326,Data!A:AX,MATCH($B$2,Data!$B$1:$AX$1,0),FALSE)</f>
        <v/>
      </c>
      <c r="C326" s="35">
        <f>(B326/B325)-1</f>
        <v/>
      </c>
      <c r="D326" s="35">
        <f>((1+C326)^12)-1</f>
        <v/>
      </c>
      <c r="E326" s="35">
        <f>(Table143454[[#This Row],[USA]]-B314)/B314</f>
        <v/>
      </c>
      <c r="F326" s="34">
        <f>VLOOKUP(Table143454[[#This Row],[Date]],'Data Core CPI'!$A:$AX,MATCH($B$2,'Data Core CPI'!$B$1:$AX$1,0),FALSE)</f>
        <v/>
      </c>
      <c r="G326" s="35">
        <f>(F326/F325)-1</f>
        <v/>
      </c>
      <c r="H326" s="35">
        <f>((1+G326)^12)-1</f>
        <v/>
      </c>
      <c r="I326" s="35">
        <f>(Table143454[[#This Row],[Core CPI]]-F314)/F314</f>
        <v/>
      </c>
    </row>
    <row r="327">
      <c r="A327" s="33">
        <f>IF(Data!A354="",#N/A,Data!A354)</f>
        <v/>
      </c>
      <c r="B327" s="34">
        <f>VLOOKUP(A327,Data!A:AX,MATCH($B$2,Data!$B$1:$AX$1,0),FALSE)</f>
        <v/>
      </c>
      <c r="C327" s="35">
        <f>(B327/B326)-1</f>
        <v/>
      </c>
      <c r="D327" s="35">
        <f>((1+C327)^12)-1</f>
        <v/>
      </c>
      <c r="E327" s="35">
        <f>(Table143454[[#This Row],[USA]]-B315)/B315</f>
        <v/>
      </c>
      <c r="F327" s="34">
        <f>VLOOKUP(Table143454[[#This Row],[Date]],'Data Core CPI'!$A:$AX,MATCH($B$2,'Data Core CPI'!$B$1:$AX$1,0),FALSE)</f>
        <v/>
      </c>
      <c r="G327" s="35">
        <f>(F327/F326)-1</f>
        <v/>
      </c>
      <c r="H327" s="35">
        <f>((1+G327)^12)-1</f>
        <v/>
      </c>
      <c r="I327" s="35">
        <f>(Table143454[[#This Row],[Core CPI]]-F315)/F315</f>
        <v/>
      </c>
    </row>
    <row r="328">
      <c r="A328" s="33">
        <f>IF(Data!A355="",#N/A,Data!A355)</f>
        <v/>
      </c>
      <c r="B328" s="34">
        <f>VLOOKUP(A328,Data!A:AX,MATCH($B$2,Data!$B$1:$AX$1,0),FALSE)</f>
        <v/>
      </c>
      <c r="C328" s="35">
        <f>(B328/B327)-1</f>
        <v/>
      </c>
      <c r="D328" s="35">
        <f>((1+C328)^12)-1</f>
        <v/>
      </c>
      <c r="E328" s="35">
        <f>(Table143454[[#This Row],[USA]]-B316)/B316</f>
        <v/>
      </c>
      <c r="F328" s="34">
        <f>VLOOKUP(Table143454[[#This Row],[Date]],'Data Core CPI'!$A:$AX,MATCH($B$2,'Data Core CPI'!$B$1:$AX$1,0),FALSE)</f>
        <v/>
      </c>
      <c r="G328" s="35">
        <f>(F328/F327)-1</f>
        <v/>
      </c>
      <c r="H328" s="35">
        <f>((1+G328)^12)-1</f>
        <v/>
      </c>
      <c r="I328" s="35">
        <f>(Table143454[[#This Row],[Core CPI]]-F316)/F316</f>
        <v/>
      </c>
    </row>
    <row r="329">
      <c r="A329" s="33">
        <f>IF(Data!A356="",#N/A,Data!A356)</f>
        <v/>
      </c>
      <c r="B329" s="34">
        <f>VLOOKUP(A329,Data!A:AX,MATCH($B$2,Data!$B$1:$AX$1,0),FALSE)</f>
        <v/>
      </c>
      <c r="C329" s="35">
        <f>(B329/B328)-1</f>
        <v/>
      </c>
      <c r="D329" s="35">
        <f>((1+C329)^12)-1</f>
        <v/>
      </c>
      <c r="E329" s="35">
        <f>(Table143454[[#This Row],[USA]]-B317)/B317</f>
        <v/>
      </c>
      <c r="F329" s="34">
        <f>VLOOKUP(Table143454[[#This Row],[Date]],'Data Core CPI'!$A:$AX,MATCH($B$2,'Data Core CPI'!$B$1:$AX$1,0),FALSE)</f>
        <v/>
      </c>
      <c r="G329" s="35">
        <f>(F329/F328)-1</f>
        <v/>
      </c>
      <c r="H329" s="35">
        <f>((1+G329)^12)-1</f>
        <v/>
      </c>
      <c r="I329" s="35">
        <f>(Table143454[[#This Row],[Core CPI]]-F317)/F317</f>
        <v/>
      </c>
    </row>
    <row r="330">
      <c r="A330" s="33">
        <f>IF(Data!A357="",#N/A,Data!A357)</f>
        <v/>
      </c>
      <c r="B330" s="34">
        <f>VLOOKUP(A330,Data!A:AX,MATCH($B$2,Data!$B$1:$AX$1,0),FALSE)</f>
        <v/>
      </c>
      <c r="C330" s="35">
        <f>(B330/B329)-1</f>
        <v/>
      </c>
      <c r="D330" s="35">
        <f>((1+C330)^12)-1</f>
        <v/>
      </c>
      <c r="E330" s="35">
        <f>(Table143454[[#This Row],[USA]]-B318)/B318</f>
        <v/>
      </c>
      <c r="F330" s="34">
        <f>VLOOKUP(Table143454[[#This Row],[Date]],'Data Core CPI'!$A:$AX,MATCH($B$2,'Data Core CPI'!$B$1:$AX$1,0),FALSE)</f>
        <v/>
      </c>
      <c r="G330" s="35">
        <f>(F330/F329)-1</f>
        <v/>
      </c>
      <c r="H330" s="35">
        <f>((1+G330)^12)-1</f>
        <v/>
      </c>
      <c r="I330" s="35">
        <f>(Table143454[[#This Row],[Core CPI]]-F318)/F318</f>
        <v/>
      </c>
    </row>
    <row r="331">
      <c r="A331" s="33">
        <f>IF(Data!A358="",#N/A,Data!A358)</f>
        <v/>
      </c>
      <c r="B331" s="34">
        <f>VLOOKUP(A331,Data!A:AX,MATCH($B$2,Data!$B$1:$AX$1,0),FALSE)</f>
        <v/>
      </c>
      <c r="C331" s="35">
        <f>(B331/B330)-1</f>
        <v/>
      </c>
      <c r="D331" s="35">
        <f>((1+C331)^12)-1</f>
        <v/>
      </c>
      <c r="E331" s="35">
        <f>(Table143454[[#This Row],[USA]]-B319)/B319</f>
        <v/>
      </c>
      <c r="F331" s="34">
        <f>VLOOKUP(Table143454[[#This Row],[Date]],'Data Core CPI'!$A:$AX,MATCH($B$2,'Data Core CPI'!$B$1:$AX$1,0),FALSE)</f>
        <v/>
      </c>
      <c r="G331" s="35">
        <f>(F331/F330)-1</f>
        <v/>
      </c>
      <c r="H331" s="35">
        <f>((1+G331)^12)-1</f>
        <v/>
      </c>
      <c r="I331" s="35">
        <f>(Table143454[[#This Row],[Core CPI]]-F319)/F319</f>
        <v/>
      </c>
    </row>
    <row r="332">
      <c r="A332" s="33">
        <f>IF(Data!A359="",#N/A,Data!A359)</f>
        <v/>
      </c>
      <c r="B332" s="34">
        <f>VLOOKUP(A332,Data!A:AX,MATCH($B$2,Data!$B$1:$AX$1,0),FALSE)</f>
        <v/>
      </c>
      <c r="C332" s="35">
        <f>(B332/B331)-1</f>
        <v/>
      </c>
      <c r="D332" s="35">
        <f>((1+C332)^12)-1</f>
        <v/>
      </c>
      <c r="E332" s="35">
        <f>(Table143454[[#This Row],[USA]]-B320)/B320</f>
        <v/>
      </c>
      <c r="F332" s="34">
        <f>VLOOKUP(Table143454[[#This Row],[Date]],'Data Core CPI'!$A:$AX,MATCH($B$2,'Data Core CPI'!$B$1:$AX$1,0),FALSE)</f>
        <v/>
      </c>
      <c r="G332" s="35">
        <f>(F332/F331)-1</f>
        <v/>
      </c>
      <c r="H332" s="35">
        <f>((1+G332)^12)-1</f>
        <v/>
      </c>
      <c r="I332" s="35">
        <f>(Table143454[[#This Row],[Core CPI]]-F320)/F320</f>
        <v/>
      </c>
    </row>
    <row r="333">
      <c r="A333" s="33">
        <f>IF(Data!A360="",#N/A,Data!A360)</f>
        <v/>
      </c>
      <c r="B333" s="34">
        <f>VLOOKUP(A333,Data!A:AX,MATCH($B$2,Data!$B$1:$AX$1,0),FALSE)</f>
        <v/>
      </c>
      <c r="C333" s="35">
        <f>(B333/B332)-1</f>
        <v/>
      </c>
      <c r="D333" s="35">
        <f>((1+C333)^12)-1</f>
        <v/>
      </c>
      <c r="E333" s="35">
        <f>(Table143454[[#This Row],[USA]]-B321)/B321</f>
        <v/>
      </c>
      <c r="F333" s="34">
        <f>VLOOKUP(Table143454[[#This Row],[Date]],'Data Core CPI'!$A:$AX,MATCH($B$2,'Data Core CPI'!$B$1:$AX$1,0),FALSE)</f>
        <v/>
      </c>
      <c r="G333" s="35">
        <f>(F333/F332)-1</f>
        <v/>
      </c>
      <c r="H333" s="35">
        <f>((1+G333)^12)-1</f>
        <v/>
      </c>
      <c r="I333" s="35">
        <f>(Table143454[[#This Row],[Core CPI]]-F321)/F321</f>
        <v/>
      </c>
    </row>
    <row r="334">
      <c r="A334" s="33">
        <f>IF(Data!A361="",#N/A,Data!A361)</f>
        <v/>
      </c>
      <c r="B334" s="34">
        <f>VLOOKUP(A334,Data!A:AX,MATCH($B$2,Data!$B$1:$AX$1,0),FALSE)</f>
        <v/>
      </c>
      <c r="C334" s="35">
        <f>(B334/B333)-1</f>
        <v/>
      </c>
      <c r="D334" s="35">
        <f>((1+C334)^12)-1</f>
        <v/>
      </c>
      <c r="E334" s="35">
        <f>(Table143454[[#This Row],[USA]]-B322)/B322</f>
        <v/>
      </c>
      <c r="F334" s="34">
        <f>VLOOKUP(Table143454[[#This Row],[Date]],'Data Core CPI'!$A:$AX,MATCH($B$2,'Data Core CPI'!$B$1:$AX$1,0),FALSE)</f>
        <v/>
      </c>
      <c r="G334" s="35">
        <f>(F334/F333)-1</f>
        <v/>
      </c>
      <c r="H334" s="35">
        <f>((1+G334)^12)-1</f>
        <v/>
      </c>
      <c r="I334" s="35">
        <f>(Table143454[[#This Row],[Core CPI]]-F322)/F322</f>
        <v/>
      </c>
    </row>
    <row r="335">
      <c r="A335" s="33">
        <f>IF(Data!A362="",#N/A,Data!A362)</f>
        <v/>
      </c>
      <c r="B335" s="34">
        <f>VLOOKUP(A335,Data!A:AX,MATCH($B$2,Data!$B$1:$AX$1,0),FALSE)</f>
        <v/>
      </c>
      <c r="C335" s="35">
        <f>(B335/B334)-1</f>
        <v/>
      </c>
      <c r="D335" s="35">
        <f>((1+C335)^12)-1</f>
        <v/>
      </c>
      <c r="E335" s="35">
        <f>(Table143454[[#This Row],[USA]]-B323)/B323</f>
        <v/>
      </c>
      <c r="F335" s="34">
        <f>VLOOKUP(Table143454[[#This Row],[Date]],'Data Core CPI'!$A:$AX,MATCH($B$2,'Data Core CPI'!$B$1:$AX$1,0),FALSE)</f>
        <v/>
      </c>
      <c r="G335" s="35">
        <f>(F335/F334)-1</f>
        <v/>
      </c>
      <c r="H335" s="35">
        <f>((1+G335)^12)-1</f>
        <v/>
      </c>
      <c r="I335" s="35">
        <f>(Table143454[[#This Row],[Core CPI]]-F323)/F323</f>
        <v/>
      </c>
    </row>
    <row r="336">
      <c r="A336" s="33">
        <f>IF(Data!A363="",#N/A,Data!A363)</f>
        <v/>
      </c>
      <c r="B336" s="34">
        <f>VLOOKUP(A336,Data!A:AX,MATCH($B$2,Data!$B$1:$AX$1,0),FALSE)</f>
        <v/>
      </c>
      <c r="C336" s="35">
        <f>(B336/B335)-1</f>
        <v/>
      </c>
      <c r="D336" s="35">
        <f>((1+C336)^12)-1</f>
        <v/>
      </c>
      <c r="E336" s="35">
        <f>(Table143454[[#This Row],[USA]]-B324)/B324</f>
        <v/>
      </c>
      <c r="F336" s="34">
        <f>VLOOKUP(Table143454[[#This Row],[Date]],'Data Core CPI'!$A:$AX,MATCH($B$2,'Data Core CPI'!$B$1:$AX$1,0),FALSE)</f>
        <v/>
      </c>
      <c r="G336" s="35">
        <f>(F336/F335)-1</f>
        <v/>
      </c>
      <c r="H336" s="35">
        <f>((1+G336)^12)-1</f>
        <v/>
      </c>
      <c r="I336" s="35">
        <f>(Table143454[[#This Row],[Core CPI]]-F324)/F324</f>
        <v/>
      </c>
    </row>
    <row r="337">
      <c r="A337" s="33">
        <f>IF(Data!A364="",#N/A,Data!A364)</f>
        <v/>
      </c>
      <c r="B337" s="34">
        <f>VLOOKUP(A337,Data!A:AX,MATCH($B$2,Data!$B$1:$AX$1,0),FALSE)</f>
        <v/>
      </c>
      <c r="C337" s="35">
        <f>(B337/B336)-1</f>
        <v/>
      </c>
      <c r="D337" s="35">
        <f>((1+C337)^12)-1</f>
        <v/>
      </c>
      <c r="E337" s="35">
        <f>(Table143454[[#This Row],[USA]]-B325)/B325</f>
        <v/>
      </c>
      <c r="F337" s="34">
        <f>VLOOKUP(Table143454[[#This Row],[Date]],'Data Core CPI'!$A:$AX,MATCH($B$2,'Data Core CPI'!$B$1:$AX$1,0),FALSE)</f>
        <v/>
      </c>
      <c r="G337" s="35">
        <f>(F337/F336)-1</f>
        <v/>
      </c>
      <c r="H337" s="35">
        <f>((1+G337)^12)-1</f>
        <v/>
      </c>
      <c r="I337" s="35">
        <f>(Table143454[[#This Row],[Core CPI]]-F325)/F325</f>
        <v/>
      </c>
    </row>
    <row r="338">
      <c r="A338" s="33">
        <f>IF(Data!A365="",#N/A,Data!A365)</f>
        <v/>
      </c>
      <c r="B338" s="34">
        <f>VLOOKUP(A338,Data!A:AX,MATCH($B$2,Data!$B$1:$AX$1,0),FALSE)</f>
        <v/>
      </c>
      <c r="C338" s="35">
        <f>(B338/B337)-1</f>
        <v/>
      </c>
      <c r="D338" s="35">
        <f>((1+C338)^12)-1</f>
        <v/>
      </c>
      <c r="E338" s="35">
        <f>(Table143454[[#This Row],[USA]]-B326)/B326</f>
        <v/>
      </c>
      <c r="F338" s="34">
        <f>VLOOKUP(Table143454[[#This Row],[Date]],'Data Core CPI'!$A:$AX,MATCH($B$2,'Data Core CPI'!$B$1:$AX$1,0),FALSE)</f>
        <v/>
      </c>
      <c r="G338" s="35">
        <f>(F338/F337)-1</f>
        <v/>
      </c>
      <c r="H338" s="35">
        <f>((1+G338)^12)-1</f>
        <v/>
      </c>
      <c r="I338" s="35">
        <f>(Table143454[[#This Row],[Core CPI]]-F326)/F326</f>
        <v/>
      </c>
    </row>
    <row r="339">
      <c r="A339" s="33">
        <f>IF(Data!A366="",#N/A,Data!A366)</f>
        <v/>
      </c>
      <c r="B339" s="34">
        <f>VLOOKUP(A339,Data!A:AX,MATCH($B$2,Data!$B$1:$AX$1,0),FALSE)</f>
        <v/>
      </c>
      <c r="C339" s="35">
        <f>(B339/B338)-1</f>
        <v/>
      </c>
      <c r="D339" s="35">
        <f>((1+C339)^12)-1</f>
        <v/>
      </c>
      <c r="E339" s="35">
        <f>(Table143454[[#This Row],[USA]]-B327)/B327</f>
        <v/>
      </c>
      <c r="F339" s="34">
        <f>VLOOKUP(Table143454[[#This Row],[Date]],'Data Core CPI'!$A:$AX,MATCH($B$2,'Data Core CPI'!$B$1:$AX$1,0),FALSE)</f>
        <v/>
      </c>
      <c r="G339" s="35">
        <f>(F339/F338)-1</f>
        <v/>
      </c>
      <c r="H339" s="35">
        <f>((1+G339)^12)-1</f>
        <v/>
      </c>
      <c r="I339" s="35">
        <f>(Table143454[[#This Row],[Core CPI]]-F327)/F327</f>
        <v/>
      </c>
    </row>
    <row r="340">
      <c r="A340" s="33">
        <f>IF(Data!A367="",#N/A,Data!A367)</f>
        <v/>
      </c>
      <c r="B340" s="34">
        <f>VLOOKUP(A340,Data!A:AX,MATCH($B$2,Data!$B$1:$AX$1,0),FALSE)</f>
        <v/>
      </c>
      <c r="C340" s="35">
        <f>(B340/B339)-1</f>
        <v/>
      </c>
      <c r="D340" s="35">
        <f>((1+C340)^12)-1</f>
        <v/>
      </c>
      <c r="E340" s="35">
        <f>(Table143454[[#This Row],[USA]]-B328)/B328</f>
        <v/>
      </c>
      <c r="F340" s="34">
        <f>VLOOKUP(Table143454[[#This Row],[Date]],'Data Core CPI'!$A:$AX,MATCH($B$2,'Data Core CPI'!$B$1:$AX$1,0),FALSE)</f>
        <v/>
      </c>
      <c r="G340" s="35">
        <f>(F340/F339)-1</f>
        <v/>
      </c>
      <c r="H340" s="35">
        <f>((1+G340)^12)-1</f>
        <v/>
      </c>
      <c r="I340" s="35">
        <f>(Table143454[[#This Row],[Core CPI]]-F328)/F328</f>
        <v/>
      </c>
    </row>
    <row r="341">
      <c r="A341" s="33">
        <f>IF(Data!A368="",#N/A,Data!A368)</f>
        <v/>
      </c>
      <c r="B341" s="34">
        <f>VLOOKUP(A341,Data!A:AX,MATCH($B$2,Data!$B$1:$AX$1,0),FALSE)</f>
        <v/>
      </c>
      <c r="C341" s="35">
        <f>(B341/B340)-1</f>
        <v/>
      </c>
      <c r="D341" s="35">
        <f>((1+C341)^12)-1</f>
        <v/>
      </c>
      <c r="E341" s="35">
        <f>(Table143454[[#This Row],[USA]]-B329)/B329</f>
        <v/>
      </c>
      <c r="F341" s="34">
        <f>VLOOKUP(Table143454[[#This Row],[Date]],'Data Core CPI'!$A:$AX,MATCH($B$2,'Data Core CPI'!$B$1:$AX$1,0),FALSE)</f>
        <v/>
      </c>
      <c r="G341" s="35">
        <f>(F341/F340)-1</f>
        <v/>
      </c>
      <c r="H341" s="35">
        <f>((1+G341)^12)-1</f>
        <v/>
      </c>
      <c r="I341" s="35">
        <f>(Table143454[[#This Row],[Core CPI]]-F329)/F329</f>
        <v/>
      </c>
    </row>
    <row r="342">
      <c r="A342" s="33">
        <f>IF(Data!A369="",#N/A,Data!A369)</f>
        <v/>
      </c>
      <c r="B342" s="34">
        <f>VLOOKUP(A342,Data!A:AX,MATCH($B$2,Data!$B$1:$AX$1,0),FALSE)</f>
        <v/>
      </c>
      <c r="C342" s="35">
        <f>(B342/B341)-1</f>
        <v/>
      </c>
      <c r="D342" s="35">
        <f>((1+C342)^12)-1</f>
        <v/>
      </c>
      <c r="E342" s="35">
        <f>(Table143454[[#This Row],[USA]]-B330)/B330</f>
        <v/>
      </c>
      <c r="F342" s="34">
        <f>VLOOKUP(Table143454[[#This Row],[Date]],'Data Core CPI'!$A:$AX,MATCH($B$2,'Data Core CPI'!$B$1:$AX$1,0),FALSE)</f>
        <v/>
      </c>
      <c r="G342" s="35">
        <f>(F342/F341)-1</f>
        <v/>
      </c>
      <c r="H342" s="35">
        <f>((1+G342)^12)-1</f>
        <v/>
      </c>
      <c r="I342" s="35">
        <f>(Table143454[[#This Row],[Core CPI]]-F330)/F330</f>
        <v/>
      </c>
    </row>
    <row r="343">
      <c r="A343" s="33">
        <f>IF(Data!A370="",#N/A,Data!A370)</f>
        <v/>
      </c>
      <c r="B343" s="34">
        <f>VLOOKUP(A343,Data!A:AX,MATCH($B$2,Data!$B$1:$AX$1,0),FALSE)</f>
        <v/>
      </c>
      <c r="C343" s="35">
        <f>(B343/B342)-1</f>
        <v/>
      </c>
      <c r="D343" s="35">
        <f>((1+C343)^12)-1</f>
        <v/>
      </c>
      <c r="E343" s="35">
        <f>(Table143454[[#This Row],[USA]]-B331)/B331</f>
        <v/>
      </c>
      <c r="F343" s="34">
        <f>VLOOKUP(Table143454[[#This Row],[Date]],'Data Core CPI'!$A:$AX,MATCH($B$2,'Data Core CPI'!$B$1:$AX$1,0),FALSE)</f>
        <v/>
      </c>
      <c r="G343" s="35">
        <f>(F343/F342)-1</f>
        <v/>
      </c>
      <c r="H343" s="35">
        <f>((1+G343)^12)-1</f>
        <v/>
      </c>
      <c r="I343" s="35">
        <f>(Table143454[[#This Row],[Core CPI]]-F331)/F331</f>
        <v/>
      </c>
    </row>
    <row r="344">
      <c r="A344" s="33">
        <f>IF(Data!A371="",#N/A,Data!A371)</f>
        <v/>
      </c>
      <c r="B344" s="34">
        <f>VLOOKUP(A344,Data!A:AX,MATCH($B$2,Data!$B$1:$AX$1,0),FALSE)</f>
        <v/>
      </c>
      <c r="C344" s="35">
        <f>(B344/B343)-1</f>
        <v/>
      </c>
      <c r="D344" s="35">
        <f>((1+C344)^12)-1</f>
        <v/>
      </c>
      <c r="E344" s="35">
        <f>(Table143454[[#This Row],[USA]]-B332)/B332</f>
        <v/>
      </c>
      <c r="F344" s="34">
        <f>VLOOKUP(Table143454[[#This Row],[Date]],'Data Core CPI'!$A:$AX,MATCH($B$2,'Data Core CPI'!$B$1:$AX$1,0),FALSE)</f>
        <v/>
      </c>
      <c r="G344" s="35">
        <f>(F344/F343)-1</f>
        <v/>
      </c>
      <c r="H344" s="35">
        <f>((1+G344)^12)-1</f>
        <v/>
      </c>
      <c r="I344" s="35">
        <f>(Table143454[[#This Row],[Core CPI]]-F332)/F332</f>
        <v/>
      </c>
    </row>
    <row r="345">
      <c r="A345" s="33">
        <f>IF(Data!A372="",#N/A,Data!A372)</f>
        <v/>
      </c>
      <c r="B345" s="34">
        <f>VLOOKUP(A345,Data!A:AX,MATCH($B$2,Data!$B$1:$AX$1,0),FALSE)</f>
        <v/>
      </c>
      <c r="C345" s="35">
        <f>(B345/B344)-1</f>
        <v/>
      </c>
      <c r="D345" s="35">
        <f>((1+C345)^12)-1</f>
        <v/>
      </c>
      <c r="E345" s="35">
        <f>(Table143454[[#This Row],[USA]]-B333)/B333</f>
        <v/>
      </c>
      <c r="F345" s="34">
        <f>VLOOKUP(Table143454[[#This Row],[Date]],'Data Core CPI'!$A:$AX,MATCH($B$2,'Data Core CPI'!$B$1:$AX$1,0),FALSE)</f>
        <v/>
      </c>
      <c r="G345" s="35">
        <f>(F345/F344)-1</f>
        <v/>
      </c>
      <c r="H345" s="35">
        <f>((1+G345)^12)-1</f>
        <v/>
      </c>
      <c r="I345" s="35">
        <f>(Table143454[[#This Row],[Core CPI]]-F333)/F333</f>
        <v/>
      </c>
    </row>
    <row r="346">
      <c r="A346" s="33">
        <f>IF(Data!A373="",#N/A,Data!A373)</f>
        <v/>
      </c>
      <c r="B346" s="34">
        <f>VLOOKUP(A346,Data!A:AX,MATCH($B$2,Data!$B$1:$AX$1,0),FALSE)</f>
        <v/>
      </c>
      <c r="C346" s="35">
        <f>(B346/B345)-1</f>
        <v/>
      </c>
      <c r="D346" s="35">
        <f>((1+C346)^12)-1</f>
        <v/>
      </c>
      <c r="E346" s="35">
        <f>(Table143454[[#This Row],[USA]]-B334)/B334</f>
        <v/>
      </c>
      <c r="F346" s="34">
        <f>VLOOKUP(Table143454[[#This Row],[Date]],'Data Core CPI'!$A:$AX,MATCH($B$2,'Data Core CPI'!$B$1:$AX$1,0),FALSE)</f>
        <v/>
      </c>
      <c r="G346" s="35">
        <f>(F346/F345)-1</f>
        <v/>
      </c>
      <c r="H346" s="35">
        <f>((1+G346)^12)-1</f>
        <v/>
      </c>
      <c r="I346" s="35">
        <f>(Table143454[[#This Row],[Core CPI]]-F334)/F334</f>
        <v/>
      </c>
    </row>
    <row r="347">
      <c r="A347" s="33">
        <f>IF(Data!A374="",#N/A,Data!A374)</f>
        <v/>
      </c>
      <c r="B347" s="34">
        <f>VLOOKUP(A347,Data!A:AX,MATCH($B$2,Data!$B$1:$AX$1,0),FALSE)</f>
        <v/>
      </c>
      <c r="C347" s="35">
        <f>(B347/B346)-1</f>
        <v/>
      </c>
      <c r="D347" s="35">
        <f>((1+C347)^12)-1</f>
        <v/>
      </c>
      <c r="E347" s="35">
        <f>(Table143454[[#This Row],[USA]]-B335)/B335</f>
        <v/>
      </c>
      <c r="F347" s="34">
        <f>VLOOKUP(Table143454[[#This Row],[Date]],'Data Core CPI'!$A:$AX,MATCH($B$2,'Data Core CPI'!$B$1:$AX$1,0),FALSE)</f>
        <v/>
      </c>
      <c r="G347" s="35">
        <f>(F347/F346)-1</f>
        <v/>
      </c>
      <c r="H347" s="35">
        <f>((1+G347)^12)-1</f>
        <v/>
      </c>
      <c r="I347" s="35">
        <f>(Table143454[[#This Row],[Core CPI]]-F335)/F335</f>
        <v/>
      </c>
    </row>
    <row r="348">
      <c r="A348" s="33">
        <f>IF(Data!A375="",#N/A,Data!A375)</f>
        <v/>
      </c>
      <c r="B348" s="34">
        <f>VLOOKUP(A348,Data!A:AX,MATCH($B$2,Data!$B$1:$AX$1,0),FALSE)</f>
        <v/>
      </c>
      <c r="C348" s="35">
        <f>(B348/B347)-1</f>
        <v/>
      </c>
      <c r="D348" s="35">
        <f>((1+C348)^12)-1</f>
        <v/>
      </c>
      <c r="E348" s="35">
        <f>(Table143454[[#This Row],[USA]]-B336)/B336</f>
        <v/>
      </c>
      <c r="F348" s="34">
        <f>VLOOKUP(Table143454[[#This Row],[Date]],'Data Core CPI'!$A:$AX,MATCH($B$2,'Data Core CPI'!$B$1:$AX$1,0),FALSE)</f>
        <v/>
      </c>
      <c r="G348" s="35">
        <f>(F348/F347)-1</f>
        <v/>
      </c>
      <c r="H348" s="35">
        <f>((1+G348)^12)-1</f>
        <v/>
      </c>
      <c r="I348" s="35">
        <f>(Table143454[[#This Row],[Core CPI]]-F336)/F336</f>
        <v/>
      </c>
    </row>
    <row r="349">
      <c r="A349" s="33">
        <f>IF(Data!A376="",#N/A,Data!A376)</f>
        <v/>
      </c>
      <c r="B349" s="34">
        <f>VLOOKUP(A349,Data!A:AX,MATCH($B$2,Data!$B$1:$AX$1,0),FALSE)</f>
        <v/>
      </c>
      <c r="C349" s="35">
        <f>(B349/B348)-1</f>
        <v/>
      </c>
      <c r="D349" s="35">
        <f>((1+C349)^12)-1</f>
        <v/>
      </c>
      <c r="E349" s="35">
        <f>(Table143454[[#This Row],[USA]]-B337)/B337</f>
        <v/>
      </c>
      <c r="F349" s="34">
        <f>VLOOKUP(Table143454[[#This Row],[Date]],'Data Core CPI'!$A:$AX,MATCH($B$2,'Data Core CPI'!$B$1:$AX$1,0),FALSE)</f>
        <v/>
      </c>
      <c r="G349" s="35">
        <f>(F349/F348)-1</f>
        <v/>
      </c>
      <c r="H349" s="35">
        <f>((1+G349)^12)-1</f>
        <v/>
      </c>
      <c r="I349" s="35">
        <f>(Table143454[[#This Row],[Core CPI]]-F337)/F337</f>
        <v/>
      </c>
    </row>
    <row r="350">
      <c r="A350" s="33">
        <f>IF(Data!A377="",#N/A,Data!A377)</f>
        <v/>
      </c>
      <c r="B350" s="34">
        <f>VLOOKUP(A350,Data!A:AX,MATCH($B$2,Data!$B$1:$AX$1,0),FALSE)</f>
        <v/>
      </c>
      <c r="C350" s="35">
        <f>(B350/B349)-1</f>
        <v/>
      </c>
      <c r="D350" s="35">
        <f>((1+C350)^12)-1</f>
        <v/>
      </c>
      <c r="E350" s="35">
        <f>(Table143454[[#This Row],[USA]]-B338)/B338</f>
        <v/>
      </c>
      <c r="F350" s="34">
        <f>VLOOKUP(Table143454[[#This Row],[Date]],'Data Core CPI'!$A:$AX,MATCH($B$2,'Data Core CPI'!$B$1:$AX$1,0),FALSE)</f>
        <v/>
      </c>
      <c r="G350" s="35">
        <f>(F350/F349)-1</f>
        <v/>
      </c>
      <c r="H350" s="35">
        <f>((1+G350)^12)-1</f>
        <v/>
      </c>
      <c r="I350" s="35">
        <f>(Table143454[[#This Row],[Core CPI]]-F338)/F338</f>
        <v/>
      </c>
    </row>
    <row r="351">
      <c r="A351" s="33">
        <f>IF(Data!A378="",#N/A,Data!A378)</f>
        <v/>
      </c>
      <c r="B351" s="34">
        <f>VLOOKUP(A351,Data!A:AX,MATCH($B$2,Data!$B$1:$AX$1,0),FALSE)</f>
        <v/>
      </c>
      <c r="C351" s="35">
        <f>(B351/B350)-1</f>
        <v/>
      </c>
      <c r="D351" s="35">
        <f>((1+C351)^12)-1</f>
        <v/>
      </c>
      <c r="E351" s="35">
        <f>(Table143454[[#This Row],[USA]]-B339)/B339</f>
        <v/>
      </c>
      <c r="F351" s="34">
        <f>VLOOKUP(Table143454[[#This Row],[Date]],'Data Core CPI'!$A:$AX,MATCH($B$2,'Data Core CPI'!$B$1:$AX$1,0),FALSE)</f>
        <v/>
      </c>
      <c r="G351" s="35">
        <f>(F351/F350)-1</f>
        <v/>
      </c>
      <c r="H351" s="35">
        <f>((1+G351)^12)-1</f>
        <v/>
      </c>
      <c r="I351" s="35">
        <f>(Table143454[[#This Row],[Core CPI]]-F339)/F339</f>
        <v/>
      </c>
    </row>
    <row r="352">
      <c r="A352" s="33">
        <f>IF(Data!A379="",#N/A,Data!A379)</f>
        <v/>
      </c>
      <c r="B352" s="34">
        <f>VLOOKUP(A352,Data!A:AX,MATCH($B$2,Data!$B$1:$AX$1,0),FALSE)</f>
        <v/>
      </c>
      <c r="C352" s="35">
        <f>(B352/B351)-1</f>
        <v/>
      </c>
      <c r="D352" s="35">
        <f>((1+C352)^12)-1</f>
        <v/>
      </c>
      <c r="E352" s="35">
        <f>(Table143454[[#This Row],[USA]]-B340)/B340</f>
        <v/>
      </c>
      <c r="F352" s="34">
        <f>VLOOKUP(Table143454[[#This Row],[Date]],'Data Core CPI'!$A:$AX,MATCH($B$2,'Data Core CPI'!$B$1:$AX$1,0),FALSE)</f>
        <v/>
      </c>
      <c r="G352" s="35">
        <f>(F352/F351)-1</f>
        <v/>
      </c>
      <c r="H352" s="35">
        <f>((1+G352)^12)-1</f>
        <v/>
      </c>
      <c r="I352" s="35">
        <f>(Table143454[[#This Row],[Core CPI]]-F340)/F340</f>
        <v/>
      </c>
    </row>
    <row r="353">
      <c r="A353" s="33">
        <f>IF(Data!A380="",#N/A,Data!A380)</f>
        <v/>
      </c>
      <c r="B353" s="34">
        <f>VLOOKUP(A353,Data!A:AX,MATCH($B$2,Data!$B$1:$AX$1,0),FALSE)</f>
        <v/>
      </c>
      <c r="C353" s="35">
        <f>(B353/B352)-1</f>
        <v/>
      </c>
      <c r="D353" s="35">
        <f>((1+C353)^12)-1</f>
        <v/>
      </c>
      <c r="E353" s="35">
        <f>(Table143454[[#This Row],[USA]]-B341)/B341</f>
        <v/>
      </c>
      <c r="F353" s="34">
        <f>VLOOKUP(Table143454[[#This Row],[Date]],'Data Core CPI'!$A:$AX,MATCH($B$2,'Data Core CPI'!$B$1:$AX$1,0),FALSE)</f>
        <v/>
      </c>
      <c r="G353" s="35">
        <f>(F353/F352)-1</f>
        <v/>
      </c>
      <c r="H353" s="35">
        <f>((1+G353)^12)-1</f>
        <v/>
      </c>
      <c r="I353" s="35">
        <f>(Table143454[[#This Row],[Core CPI]]-F341)/F341</f>
        <v/>
      </c>
    </row>
    <row r="354">
      <c r="A354" s="33">
        <f>IF(Data!A381="",#N/A,Data!A381)</f>
        <v/>
      </c>
      <c r="B354" s="34">
        <f>VLOOKUP(A354,Data!A:AX,MATCH($B$2,Data!$B$1:$AX$1,0),FALSE)</f>
        <v/>
      </c>
      <c r="C354" s="35">
        <f>(B354/B353)-1</f>
        <v/>
      </c>
      <c r="D354" s="35">
        <f>((1+C354)^12)-1</f>
        <v/>
      </c>
      <c r="E354" s="35">
        <f>(Table143454[[#This Row],[USA]]-B342)/B342</f>
        <v/>
      </c>
      <c r="F354" s="34">
        <f>VLOOKUP(Table143454[[#This Row],[Date]],'Data Core CPI'!$A:$AX,MATCH($B$2,'Data Core CPI'!$B$1:$AX$1,0),FALSE)</f>
        <v/>
      </c>
      <c r="G354" s="35">
        <f>(F354/F353)-1</f>
        <v/>
      </c>
      <c r="H354" s="35">
        <f>((1+G354)^12)-1</f>
        <v/>
      </c>
      <c r="I354" s="35">
        <f>(Table143454[[#This Row],[Core CPI]]-F342)/F342</f>
        <v/>
      </c>
    </row>
    <row r="355">
      <c r="A355" s="33">
        <f>IF(Data!A382="",#N/A,Data!A382)</f>
        <v/>
      </c>
      <c r="B355" s="34">
        <f>VLOOKUP(A355,Data!A:AX,MATCH($B$2,Data!$B$1:$AX$1,0),FALSE)</f>
        <v/>
      </c>
      <c r="C355" s="35">
        <f>(B355/B354)-1</f>
        <v/>
      </c>
      <c r="D355" s="35">
        <f>((1+C355)^12)-1</f>
        <v/>
      </c>
      <c r="E355" s="35">
        <f>(Table143454[[#This Row],[USA]]-B343)/B343</f>
        <v/>
      </c>
      <c r="F355" s="34">
        <f>VLOOKUP(Table143454[[#This Row],[Date]],'Data Core CPI'!$A:$AX,MATCH($B$2,'Data Core CPI'!$B$1:$AX$1,0),FALSE)</f>
        <v/>
      </c>
      <c r="G355" s="35">
        <f>(F355/F354)-1</f>
        <v/>
      </c>
      <c r="H355" s="35">
        <f>((1+G355)^12)-1</f>
        <v/>
      </c>
      <c r="I355" s="35">
        <f>(Table143454[[#This Row],[Core CPI]]-F343)/F343</f>
        <v/>
      </c>
    </row>
    <row r="356">
      <c r="A356" s="33">
        <f>IF(Data!A383="",#N/A,Data!A383)</f>
        <v/>
      </c>
      <c r="B356" s="34">
        <f>VLOOKUP(A356,Data!A:AX,MATCH($B$2,Data!$B$1:$AX$1,0),FALSE)</f>
        <v/>
      </c>
      <c r="C356" s="35">
        <f>(B356/B355)-1</f>
        <v/>
      </c>
      <c r="D356" s="35">
        <f>((1+C356)^12)-1</f>
        <v/>
      </c>
      <c r="E356" s="35">
        <f>(Table143454[[#This Row],[USA]]-B344)/B344</f>
        <v/>
      </c>
      <c r="F356" s="34">
        <f>VLOOKUP(Table143454[[#This Row],[Date]],'Data Core CPI'!$A:$AX,MATCH($B$2,'Data Core CPI'!$B$1:$AX$1,0),FALSE)</f>
        <v/>
      </c>
      <c r="G356" s="35">
        <f>(F356/F355)-1</f>
        <v/>
      </c>
      <c r="H356" s="35">
        <f>((1+G356)^12)-1</f>
        <v/>
      </c>
      <c r="I356" s="35">
        <f>(Table143454[[#This Row],[Core CPI]]-F344)/F344</f>
        <v/>
      </c>
    </row>
    <row r="357">
      <c r="A357" s="33">
        <f>IF(Data!A384="",#N/A,Data!A384)</f>
        <v/>
      </c>
      <c r="B357" s="34">
        <f>VLOOKUP(A357,Data!A:AX,MATCH($B$2,Data!$B$1:$AX$1,0),FALSE)</f>
        <v/>
      </c>
      <c r="C357" s="35">
        <f>(B357/B356)-1</f>
        <v/>
      </c>
      <c r="D357" s="35">
        <f>((1+C357)^12)-1</f>
        <v/>
      </c>
      <c r="E357" s="35">
        <f>(Table143454[[#This Row],[USA]]-B345)/B345</f>
        <v/>
      </c>
      <c r="F357" s="34">
        <f>VLOOKUP(Table143454[[#This Row],[Date]],'Data Core CPI'!$A:$AX,MATCH($B$2,'Data Core CPI'!$B$1:$AX$1,0),FALSE)</f>
        <v/>
      </c>
      <c r="G357" s="35">
        <f>(F357/F356)-1</f>
        <v/>
      </c>
      <c r="H357" s="35">
        <f>((1+G357)^12)-1</f>
        <v/>
      </c>
      <c r="I357" s="35">
        <f>(Table143454[[#This Row],[Core CPI]]-F345)/F345</f>
        <v/>
      </c>
    </row>
    <row r="358">
      <c r="A358" s="33">
        <f>IF(Data!A385="",#N/A,Data!A385)</f>
        <v/>
      </c>
      <c r="B358" s="34">
        <f>VLOOKUP(A358,Data!A:AX,MATCH($B$2,Data!$B$1:$AX$1,0),FALSE)</f>
        <v/>
      </c>
      <c r="C358" s="35">
        <f>(B358/B357)-1</f>
        <v/>
      </c>
      <c r="D358" s="35">
        <f>((1+C358)^12)-1</f>
        <v/>
      </c>
      <c r="E358" s="35">
        <f>(Table143454[[#This Row],[USA]]-B346)/B346</f>
        <v/>
      </c>
      <c r="F358" s="34">
        <f>VLOOKUP(Table143454[[#This Row],[Date]],'Data Core CPI'!$A:$AX,MATCH($B$2,'Data Core CPI'!$B$1:$AX$1,0),FALSE)</f>
        <v/>
      </c>
      <c r="G358" s="35">
        <f>(F358/F357)-1</f>
        <v/>
      </c>
      <c r="H358" s="35">
        <f>((1+G358)^12)-1</f>
        <v/>
      </c>
      <c r="I358" s="35">
        <f>(Table143454[[#This Row],[Core CPI]]-F346)/F346</f>
        <v/>
      </c>
    </row>
    <row r="359">
      <c r="A359" s="33">
        <f>IF(Data!A386="",#N/A,Data!A386)</f>
        <v/>
      </c>
      <c r="B359" s="34">
        <f>VLOOKUP(A359,Data!A:AX,MATCH($B$2,Data!$B$1:$AX$1,0),FALSE)</f>
        <v/>
      </c>
      <c r="C359" s="35">
        <f>(B359/B358)-1</f>
        <v/>
      </c>
      <c r="D359" s="35">
        <f>((1+C359)^12)-1</f>
        <v/>
      </c>
      <c r="E359" s="35">
        <f>(Table143454[[#This Row],[USA]]-B347)/B347</f>
        <v/>
      </c>
      <c r="F359" s="34">
        <f>VLOOKUP(Table143454[[#This Row],[Date]],'Data Core CPI'!$A:$AX,MATCH($B$2,'Data Core CPI'!$B$1:$AX$1,0),FALSE)</f>
        <v/>
      </c>
      <c r="G359" s="35">
        <f>(F359/F358)-1</f>
        <v/>
      </c>
      <c r="H359" s="35">
        <f>((1+G359)^12)-1</f>
        <v/>
      </c>
      <c r="I359" s="35">
        <f>(Table143454[[#This Row],[Core CPI]]-F347)/F347</f>
        <v/>
      </c>
    </row>
    <row r="360">
      <c r="A360" s="33">
        <f>IF(Data!A387="",#N/A,Data!A387)</f>
        <v/>
      </c>
      <c r="B360" s="34">
        <f>VLOOKUP(A360,Data!A:AX,MATCH($B$2,Data!$B$1:$AX$1,0),FALSE)</f>
        <v/>
      </c>
      <c r="C360" s="35">
        <f>(B360/B359)-1</f>
        <v/>
      </c>
      <c r="D360" s="35">
        <f>((1+C360)^12)-1</f>
        <v/>
      </c>
      <c r="E360" s="35">
        <f>(Table143454[[#This Row],[USA]]-B348)/B348</f>
        <v/>
      </c>
      <c r="F360" s="34">
        <f>VLOOKUP(Table143454[[#This Row],[Date]],'Data Core CPI'!$A:$AX,MATCH($B$2,'Data Core CPI'!$B$1:$AX$1,0),FALSE)</f>
        <v/>
      </c>
      <c r="G360" s="35">
        <f>(F360/F359)-1</f>
        <v/>
      </c>
      <c r="H360" s="35">
        <f>((1+G360)^12)-1</f>
        <v/>
      </c>
      <c r="I360" s="35">
        <f>(Table143454[[#This Row],[Core CPI]]-F348)/F348</f>
        <v/>
      </c>
    </row>
    <row r="361">
      <c r="A361" s="33">
        <f>IF(Data!A388="",#N/A,Data!A388)</f>
        <v/>
      </c>
      <c r="B361" s="34">
        <f>VLOOKUP(A361,Data!A:AX,MATCH($B$2,Data!$B$1:$AX$1,0),FALSE)</f>
        <v/>
      </c>
      <c r="C361" s="35">
        <f>(B361/B360)-1</f>
        <v/>
      </c>
      <c r="D361" s="35">
        <f>((1+C361)^12)-1</f>
        <v/>
      </c>
      <c r="E361" s="35">
        <f>(Table143454[[#This Row],[USA]]-B349)/B349</f>
        <v/>
      </c>
      <c r="F361" s="34">
        <f>VLOOKUP(Table143454[[#This Row],[Date]],'Data Core CPI'!$A:$AX,MATCH($B$2,'Data Core CPI'!$B$1:$AX$1,0),FALSE)</f>
        <v/>
      </c>
      <c r="G361" s="35">
        <f>(F361/F360)-1</f>
        <v/>
      </c>
      <c r="H361" s="35">
        <f>((1+G361)^12)-1</f>
        <v/>
      </c>
      <c r="I361" s="35">
        <f>(Table143454[[#This Row],[Core CPI]]-F349)/F349</f>
        <v/>
      </c>
    </row>
    <row r="362">
      <c r="A362" s="33">
        <f>IF(Data!A389="",#N/A,Data!A389)</f>
        <v/>
      </c>
      <c r="B362" s="34">
        <f>VLOOKUP(A362,Data!A:AX,MATCH($B$2,Data!$B$1:$AX$1,0),FALSE)</f>
        <v/>
      </c>
      <c r="C362" s="35">
        <f>(B362/B361)-1</f>
        <v/>
      </c>
      <c r="D362" s="35">
        <f>((1+C362)^12)-1</f>
        <v/>
      </c>
      <c r="E362" s="35">
        <f>(Table143454[[#This Row],[USA]]-B350)/B350</f>
        <v/>
      </c>
      <c r="F362" s="34">
        <f>VLOOKUP(Table143454[[#This Row],[Date]],'Data Core CPI'!$A:$AX,MATCH($B$2,'Data Core CPI'!$B$1:$AX$1,0),FALSE)</f>
        <v/>
      </c>
      <c r="G362" s="35">
        <f>(F362/F361)-1</f>
        <v/>
      </c>
      <c r="H362" s="35">
        <f>((1+G362)^12)-1</f>
        <v/>
      </c>
      <c r="I362" s="35">
        <f>(Table143454[[#This Row],[Core CPI]]-F350)/F350</f>
        <v/>
      </c>
    </row>
    <row r="363">
      <c r="A363" s="33">
        <f>IF(Data!A390="",#N/A,Data!A390)</f>
        <v/>
      </c>
      <c r="B363" s="34">
        <f>VLOOKUP(A363,Data!A:AX,MATCH($B$2,Data!$B$1:$AX$1,0),FALSE)</f>
        <v/>
      </c>
      <c r="C363" s="35">
        <f>(B363/B362)-1</f>
        <v/>
      </c>
      <c r="D363" s="35">
        <f>((1+C363)^12)-1</f>
        <v/>
      </c>
      <c r="E363" s="35">
        <f>(Table143454[[#This Row],[USA]]-B351)/B351</f>
        <v/>
      </c>
      <c r="F363" s="34">
        <f>VLOOKUP(Table143454[[#This Row],[Date]],'Data Core CPI'!$A:$AX,MATCH($B$2,'Data Core CPI'!$B$1:$AX$1,0),FALSE)</f>
        <v/>
      </c>
      <c r="G363" s="35">
        <f>(F363/F362)-1</f>
        <v/>
      </c>
      <c r="H363" s="35">
        <f>((1+G363)^12)-1</f>
        <v/>
      </c>
      <c r="I363" s="35">
        <f>(Table143454[[#This Row],[Core CPI]]-F351)/F351</f>
        <v/>
      </c>
    </row>
    <row r="364">
      <c r="A364" s="33">
        <f>IF(Data!A391="",#N/A,Data!A391)</f>
        <v/>
      </c>
      <c r="B364" s="34">
        <f>VLOOKUP(A364,Data!A:AX,MATCH($B$2,Data!$B$1:$AX$1,0),FALSE)</f>
        <v/>
      </c>
      <c r="C364" s="35">
        <f>(B364/B363)-1</f>
        <v/>
      </c>
      <c r="D364" s="35">
        <f>((1+C364)^12)-1</f>
        <v/>
      </c>
      <c r="E364" s="35">
        <f>(Table143454[[#This Row],[USA]]-B352)/B352</f>
        <v/>
      </c>
      <c r="F364" s="34">
        <f>VLOOKUP(Table143454[[#This Row],[Date]],'Data Core CPI'!$A:$AX,MATCH($B$2,'Data Core CPI'!$B$1:$AX$1,0),FALSE)</f>
        <v/>
      </c>
      <c r="G364" s="35">
        <f>(F364/F363)-1</f>
        <v/>
      </c>
      <c r="H364" s="35">
        <f>((1+G364)^12)-1</f>
        <v/>
      </c>
      <c r="I364" s="35">
        <f>(Table143454[[#This Row],[Core CPI]]-F352)/F352</f>
        <v/>
      </c>
    </row>
    <row r="365">
      <c r="A365" s="33">
        <f>IF(Data!A392="",#N/A,Data!A392)</f>
        <v/>
      </c>
      <c r="B365" s="34">
        <f>VLOOKUP(A365,Data!A:AX,MATCH($B$2,Data!$B$1:$AX$1,0),FALSE)</f>
        <v/>
      </c>
      <c r="C365" s="35">
        <f>(B365/B364)-1</f>
        <v/>
      </c>
      <c r="D365" s="35">
        <f>((1+C365)^12)-1</f>
        <v/>
      </c>
      <c r="E365" s="35">
        <f>(Table143454[[#This Row],[USA]]-B353)/B353</f>
        <v/>
      </c>
      <c r="F365" s="34">
        <f>VLOOKUP(Table143454[[#This Row],[Date]],'Data Core CPI'!$A:$AX,MATCH($B$2,'Data Core CPI'!$B$1:$AX$1,0),FALSE)</f>
        <v/>
      </c>
      <c r="G365" s="35">
        <f>(F365/F364)-1</f>
        <v/>
      </c>
      <c r="H365" s="35">
        <f>((1+G365)^12)-1</f>
        <v/>
      </c>
      <c r="I365" s="35">
        <f>(Table143454[[#This Row],[Core CPI]]-F353)/F353</f>
        <v/>
      </c>
    </row>
    <row r="366">
      <c r="A366" s="33">
        <f>IF(Data!A393="",#N/A,Data!A393)</f>
        <v/>
      </c>
      <c r="B366" s="34">
        <f>VLOOKUP(A366,Data!A:AX,MATCH($B$2,Data!$B$1:$AX$1,0),FALSE)</f>
        <v/>
      </c>
      <c r="C366" s="35">
        <f>(B366/B365)-1</f>
        <v/>
      </c>
      <c r="D366" s="35">
        <f>((1+C366)^12)-1</f>
        <v/>
      </c>
      <c r="E366" s="35">
        <f>(Table143454[[#This Row],[USA]]-B354)/B354</f>
        <v/>
      </c>
      <c r="F366" s="34">
        <f>VLOOKUP(Table143454[[#This Row],[Date]],'Data Core CPI'!$A:$AX,MATCH($B$2,'Data Core CPI'!$B$1:$AX$1,0),FALSE)</f>
        <v/>
      </c>
      <c r="G366" s="35">
        <f>(F366/F365)-1</f>
        <v/>
      </c>
      <c r="H366" s="35">
        <f>((1+G366)^12)-1</f>
        <v/>
      </c>
      <c r="I366" s="35">
        <f>(Table143454[[#This Row],[Core CPI]]-F354)/F354</f>
        <v/>
      </c>
    </row>
    <row r="367">
      <c r="A367" s="33">
        <f>IF(Data!A394="",#N/A,Data!A394)</f>
        <v/>
      </c>
      <c r="B367" s="34">
        <f>VLOOKUP(A367,Data!A:AX,MATCH($B$2,Data!$B$1:$AX$1,0),FALSE)</f>
        <v/>
      </c>
      <c r="C367" s="35">
        <f>(B367/B366)-1</f>
        <v/>
      </c>
      <c r="D367" s="35">
        <f>((1+C367)^12)-1</f>
        <v/>
      </c>
      <c r="E367" s="35">
        <f>(Table143454[[#This Row],[USA]]-B355)/B355</f>
        <v/>
      </c>
      <c r="F367" s="34">
        <f>VLOOKUP(Table143454[[#This Row],[Date]],'Data Core CPI'!$A:$AX,MATCH($B$2,'Data Core CPI'!$B$1:$AX$1,0),FALSE)</f>
        <v/>
      </c>
      <c r="G367" s="35">
        <f>(F367/F366)-1</f>
        <v/>
      </c>
      <c r="H367" s="35">
        <f>((1+G367)^12)-1</f>
        <v/>
      </c>
      <c r="I367" s="35">
        <f>(Table143454[[#This Row],[Core CPI]]-F355)/F355</f>
        <v/>
      </c>
    </row>
    <row r="368">
      <c r="A368" s="33">
        <f>IF(Data!A395="",#N/A,Data!A395)</f>
        <v/>
      </c>
      <c r="B368" s="34">
        <f>VLOOKUP(A368,Data!A:AX,MATCH($B$2,Data!$B$1:$AX$1,0),FALSE)</f>
        <v/>
      </c>
      <c r="C368" s="35">
        <f>(B368/B367)-1</f>
        <v/>
      </c>
      <c r="D368" s="35">
        <f>((1+C368)^12)-1</f>
        <v/>
      </c>
      <c r="E368" s="35">
        <f>(Table143454[[#This Row],[USA]]-B356)/B356</f>
        <v/>
      </c>
      <c r="F368" s="34">
        <f>VLOOKUP(Table143454[[#This Row],[Date]],'Data Core CPI'!$A:$AX,MATCH($B$2,'Data Core CPI'!$B$1:$AX$1,0),FALSE)</f>
        <v/>
      </c>
      <c r="G368" s="35">
        <f>(F368/F367)-1</f>
        <v/>
      </c>
      <c r="H368" s="35">
        <f>((1+G368)^12)-1</f>
        <v/>
      </c>
      <c r="I368" s="35">
        <f>(Table143454[[#This Row],[Core CPI]]-F356)/F356</f>
        <v/>
      </c>
    </row>
    <row r="369">
      <c r="A369" s="33">
        <f>IF(Data!A396="",#N/A,Data!A396)</f>
        <v/>
      </c>
      <c r="B369" s="34">
        <f>VLOOKUP(A369,Data!A:AX,MATCH($B$2,Data!$B$1:$AX$1,0),FALSE)</f>
        <v/>
      </c>
      <c r="C369" s="35">
        <f>(B369/B368)-1</f>
        <v/>
      </c>
      <c r="D369" s="35">
        <f>((1+C369)^12)-1</f>
        <v/>
      </c>
      <c r="E369" s="35">
        <f>(Table143454[[#This Row],[USA]]-B357)/B357</f>
        <v/>
      </c>
      <c r="F369" s="34">
        <f>VLOOKUP(Table143454[[#This Row],[Date]],'Data Core CPI'!$A:$AX,MATCH($B$2,'Data Core CPI'!$B$1:$AX$1,0),FALSE)</f>
        <v/>
      </c>
      <c r="G369" s="35">
        <f>(F369/F368)-1</f>
        <v/>
      </c>
      <c r="H369" s="35">
        <f>((1+G369)^12)-1</f>
        <v/>
      </c>
      <c r="I369" s="35">
        <f>(Table143454[[#This Row],[Core CPI]]-F357)/F357</f>
        <v/>
      </c>
    </row>
    <row r="370">
      <c r="A370" s="33">
        <f>IF(Data!A397="",#N/A,Data!A397)</f>
        <v/>
      </c>
      <c r="B370" s="34">
        <f>VLOOKUP(A370,Data!A:AX,MATCH($B$2,Data!$B$1:$AX$1,0),FALSE)</f>
        <v/>
      </c>
      <c r="C370" s="35">
        <f>(B370/B369)-1</f>
        <v/>
      </c>
      <c r="D370" s="35">
        <f>((1+C370)^12)-1</f>
        <v/>
      </c>
      <c r="E370" s="35">
        <f>(Table143454[[#This Row],[USA]]-B358)/B358</f>
        <v/>
      </c>
      <c r="F370" s="34">
        <f>VLOOKUP(Table143454[[#This Row],[Date]],'Data Core CPI'!$A:$AX,MATCH($B$2,'Data Core CPI'!$B$1:$AX$1,0),FALSE)</f>
        <v/>
      </c>
      <c r="G370" s="35">
        <f>(F370/F369)-1</f>
        <v/>
      </c>
      <c r="H370" s="35">
        <f>((1+G370)^12)-1</f>
        <v/>
      </c>
      <c r="I370" s="35">
        <f>(Table143454[[#This Row],[Core CPI]]-F358)/F358</f>
        <v/>
      </c>
    </row>
    <row r="371">
      <c r="A371" s="33">
        <f>IF(Data!A398="",#N/A,Data!A398)</f>
        <v/>
      </c>
      <c r="B371" s="34">
        <f>VLOOKUP(A371,Data!A:AX,MATCH($B$2,Data!$B$1:$AX$1,0),FALSE)</f>
        <v/>
      </c>
      <c r="C371" s="35">
        <f>(B371/B370)-1</f>
        <v/>
      </c>
      <c r="D371" s="35">
        <f>((1+C371)^12)-1</f>
        <v/>
      </c>
      <c r="E371" s="35">
        <f>(Table143454[[#This Row],[USA]]-B359)/B359</f>
        <v/>
      </c>
      <c r="F371" s="34">
        <f>VLOOKUP(Table143454[[#This Row],[Date]],'Data Core CPI'!$A:$AX,MATCH($B$2,'Data Core CPI'!$B$1:$AX$1,0),FALSE)</f>
        <v/>
      </c>
      <c r="G371" s="35">
        <f>(F371/F370)-1</f>
        <v/>
      </c>
      <c r="H371" s="35">
        <f>((1+G371)^12)-1</f>
        <v/>
      </c>
      <c r="I371" s="35">
        <f>(Table143454[[#This Row],[Core CPI]]-F359)/F359</f>
        <v/>
      </c>
    </row>
    <row r="372">
      <c r="A372" s="33">
        <f>IF(Data!A399="",#N/A,Data!A399)</f>
        <v/>
      </c>
      <c r="B372" s="34">
        <f>VLOOKUP(A372,Data!A:AX,MATCH($B$2,Data!$B$1:$AX$1,0),FALSE)</f>
        <v/>
      </c>
      <c r="C372" s="35">
        <f>(B372/B371)-1</f>
        <v/>
      </c>
      <c r="D372" s="35">
        <f>((1+C372)^12)-1</f>
        <v/>
      </c>
      <c r="E372" s="35">
        <f>(Table143454[[#This Row],[USA]]-B360)/B360</f>
        <v/>
      </c>
      <c r="F372" s="34">
        <f>VLOOKUP(Table143454[[#This Row],[Date]],'Data Core CPI'!$A:$AX,MATCH($B$2,'Data Core CPI'!$B$1:$AX$1,0),FALSE)</f>
        <v/>
      </c>
      <c r="G372" s="35">
        <f>(F372/F371)-1</f>
        <v/>
      </c>
      <c r="H372" s="35">
        <f>((1+G372)^12)-1</f>
        <v/>
      </c>
      <c r="I372" s="35">
        <f>(Table143454[[#This Row],[Core CPI]]-F360)/F360</f>
        <v/>
      </c>
    </row>
    <row r="373">
      <c r="A373" s="33">
        <f>IF(Data!A400="",#N/A,Data!A400)</f>
        <v/>
      </c>
      <c r="B373" s="34">
        <f>VLOOKUP(A373,Data!A:AX,MATCH($B$2,Data!$B$1:$AX$1,0),FALSE)</f>
        <v/>
      </c>
      <c r="C373" s="35">
        <f>(B373/B372)-1</f>
        <v/>
      </c>
      <c r="D373" s="35">
        <f>((1+C373)^12)-1</f>
        <v/>
      </c>
      <c r="E373" s="35">
        <f>(Table143454[[#This Row],[USA]]-B361)/B361</f>
        <v/>
      </c>
      <c r="F373" s="34">
        <f>VLOOKUP(Table143454[[#This Row],[Date]],'Data Core CPI'!$A:$AX,MATCH($B$2,'Data Core CPI'!$B$1:$AX$1,0),FALSE)</f>
        <v/>
      </c>
      <c r="G373" s="35">
        <f>(F373/F372)-1</f>
        <v/>
      </c>
      <c r="H373" s="35">
        <f>((1+G373)^12)-1</f>
        <v/>
      </c>
      <c r="I373" s="35">
        <f>(Table143454[[#This Row],[Core CPI]]-F361)/F361</f>
        <v/>
      </c>
    </row>
    <row r="374">
      <c r="A374" s="33">
        <f>IF(Data!A401="",#N/A,Data!A401)</f>
        <v/>
      </c>
      <c r="B374" s="34">
        <f>VLOOKUP(A374,Data!A:AX,MATCH($B$2,Data!$B$1:$AX$1,0),FALSE)</f>
        <v/>
      </c>
      <c r="C374" s="35">
        <f>(B374/B373)-1</f>
        <v/>
      </c>
      <c r="D374" s="35">
        <f>((1+C374)^12)-1</f>
        <v/>
      </c>
      <c r="E374" s="35">
        <f>(Table143454[[#This Row],[USA]]-B362)/B362</f>
        <v/>
      </c>
      <c r="F374" s="34">
        <f>VLOOKUP(Table143454[[#This Row],[Date]],'Data Core CPI'!$A:$AX,MATCH($B$2,'Data Core CPI'!$B$1:$AX$1,0),FALSE)</f>
        <v/>
      </c>
      <c r="G374" s="35">
        <f>(F374/F373)-1</f>
        <v/>
      </c>
      <c r="H374" s="35">
        <f>((1+G374)^12)-1</f>
        <v/>
      </c>
      <c r="I374" s="35">
        <f>(Table143454[[#This Row],[Core CPI]]-F362)/F362</f>
        <v/>
      </c>
    </row>
    <row r="375">
      <c r="A375" s="33">
        <f>IF(Data!A402="",#N/A,Data!A402)</f>
        <v/>
      </c>
      <c r="B375" s="34">
        <f>VLOOKUP(A375,Data!A:AX,MATCH($B$2,Data!$B$1:$AX$1,0),FALSE)</f>
        <v/>
      </c>
      <c r="C375" s="35">
        <f>(B375/B374)-1</f>
        <v/>
      </c>
      <c r="D375" s="35">
        <f>((1+C375)^12)-1</f>
        <v/>
      </c>
      <c r="E375" s="35">
        <f>(Table143454[[#This Row],[USA]]-B363)/B363</f>
        <v/>
      </c>
      <c r="F375" s="34">
        <f>VLOOKUP(Table143454[[#This Row],[Date]],'Data Core CPI'!$A:$AX,MATCH($B$2,'Data Core CPI'!$B$1:$AX$1,0),FALSE)</f>
        <v/>
      </c>
      <c r="G375" s="35">
        <f>(F375/F374)-1</f>
        <v/>
      </c>
      <c r="H375" s="35">
        <f>((1+G375)^12)-1</f>
        <v/>
      </c>
      <c r="I375" s="35">
        <f>(Table143454[[#This Row],[Core CPI]]-F363)/F363</f>
        <v/>
      </c>
    </row>
    <row r="376">
      <c r="A376" s="33">
        <f>IF(Data!A403="",#N/A,Data!A403)</f>
        <v/>
      </c>
      <c r="B376" s="34">
        <f>VLOOKUP(A376,Data!A:AX,MATCH($B$2,Data!$B$1:$AX$1,0),FALSE)</f>
        <v/>
      </c>
      <c r="C376" s="35">
        <f>(B376/B375)-1</f>
        <v/>
      </c>
      <c r="D376" s="35">
        <f>((1+C376)^12)-1</f>
        <v/>
      </c>
      <c r="E376" s="35">
        <f>(Table143454[[#This Row],[USA]]-B364)/B364</f>
        <v/>
      </c>
      <c r="F376" s="34">
        <f>VLOOKUP(Table143454[[#This Row],[Date]],'Data Core CPI'!$A:$AX,MATCH($B$2,'Data Core CPI'!$B$1:$AX$1,0),FALSE)</f>
        <v/>
      </c>
      <c r="G376" s="35">
        <f>(F376/F375)-1</f>
        <v/>
      </c>
      <c r="H376" s="35">
        <f>((1+G376)^12)-1</f>
        <v/>
      </c>
      <c r="I376" s="35">
        <f>(Table143454[[#This Row],[Core CPI]]-F364)/F364</f>
        <v/>
      </c>
    </row>
    <row r="377">
      <c r="A377" s="33">
        <f>IF(Data!A404="",#N/A,Data!A404)</f>
        <v/>
      </c>
      <c r="B377" s="34">
        <f>VLOOKUP(A377,Data!A:AX,MATCH($B$2,Data!$B$1:$AX$1,0),FALSE)</f>
        <v/>
      </c>
      <c r="C377" s="35">
        <f>(B377/B376)-1</f>
        <v/>
      </c>
      <c r="D377" s="35">
        <f>((1+C377)^12)-1</f>
        <v/>
      </c>
      <c r="E377" s="35">
        <f>(Table143454[[#This Row],[USA]]-B365)/B365</f>
        <v/>
      </c>
      <c r="F377" s="34">
        <f>VLOOKUP(Table143454[[#This Row],[Date]],'Data Core CPI'!$A:$AX,MATCH($B$2,'Data Core CPI'!$B$1:$AX$1,0),FALSE)</f>
        <v/>
      </c>
      <c r="G377" s="35">
        <f>(F377/F376)-1</f>
        <v/>
      </c>
      <c r="H377" s="35">
        <f>((1+G377)^12)-1</f>
        <v/>
      </c>
      <c r="I377" s="35">
        <f>(Table143454[[#This Row],[Core CPI]]-F365)/F365</f>
        <v/>
      </c>
    </row>
    <row r="378">
      <c r="A378" s="33">
        <f>IF(Data!A405="",#N/A,Data!A405)</f>
        <v/>
      </c>
      <c r="B378" s="34">
        <f>VLOOKUP(A378,Data!A:AX,MATCH($B$2,Data!$B$1:$AX$1,0),FALSE)</f>
        <v/>
      </c>
      <c r="C378" s="35">
        <f>(B378/B377)-1</f>
        <v/>
      </c>
      <c r="D378" s="35">
        <f>((1+C378)^12)-1</f>
        <v/>
      </c>
      <c r="E378" s="35">
        <f>(Table143454[[#This Row],[USA]]-B366)/B366</f>
        <v/>
      </c>
      <c r="F378" s="34">
        <f>VLOOKUP(Table143454[[#This Row],[Date]],'Data Core CPI'!$A:$AX,MATCH($B$2,'Data Core CPI'!$B$1:$AX$1,0),FALSE)</f>
        <v/>
      </c>
      <c r="G378" s="35">
        <f>(F378/F377)-1</f>
        <v/>
      </c>
      <c r="H378" s="35">
        <f>((1+G378)^12)-1</f>
        <v/>
      </c>
      <c r="I378" s="35">
        <f>(Table143454[[#This Row],[Core CPI]]-F366)/F366</f>
        <v/>
      </c>
    </row>
    <row r="379">
      <c r="A379" s="33">
        <f>IF(Data!A406="",#N/A,Data!A406)</f>
        <v/>
      </c>
      <c r="B379" s="34">
        <f>VLOOKUP(A379,Data!A:AX,MATCH($B$2,Data!$B$1:$AX$1,0),FALSE)</f>
        <v/>
      </c>
      <c r="C379" s="35">
        <f>(B379/B378)-1</f>
        <v/>
      </c>
      <c r="D379" s="35">
        <f>((1+C379)^12)-1</f>
        <v/>
      </c>
      <c r="E379" s="35">
        <f>(Table143454[[#This Row],[USA]]-B367)/B367</f>
        <v/>
      </c>
      <c r="F379" s="34">
        <f>VLOOKUP(Table143454[[#This Row],[Date]],'Data Core CPI'!$A:$AX,MATCH($B$2,'Data Core CPI'!$B$1:$AX$1,0),FALSE)</f>
        <v/>
      </c>
      <c r="G379" s="35">
        <f>(F379/F378)-1</f>
        <v/>
      </c>
      <c r="H379" s="35">
        <f>((1+G379)^12)-1</f>
        <v/>
      </c>
      <c r="I379" s="35">
        <f>(Table143454[[#This Row],[Core CPI]]-F367)/F367</f>
        <v/>
      </c>
    </row>
    <row r="380">
      <c r="A380" s="33">
        <f>IF(Data!A407="",#N/A,Data!A407)</f>
        <v/>
      </c>
      <c r="B380" s="34">
        <f>VLOOKUP(A380,Data!A:AX,MATCH($B$2,Data!$B$1:$AX$1,0),FALSE)</f>
        <v/>
      </c>
      <c r="C380" s="35">
        <f>(B380/B379)-1</f>
        <v/>
      </c>
      <c r="D380" s="35">
        <f>((1+C380)^12)-1</f>
        <v/>
      </c>
      <c r="E380" s="35">
        <f>(Table143454[[#This Row],[USA]]-B368)/B368</f>
        <v/>
      </c>
      <c r="F380" s="34">
        <f>VLOOKUP(Table143454[[#This Row],[Date]],'Data Core CPI'!$A:$AX,MATCH($B$2,'Data Core CPI'!$B$1:$AX$1,0),FALSE)</f>
        <v/>
      </c>
      <c r="G380" s="35">
        <f>(F380/F379)-1</f>
        <v/>
      </c>
      <c r="H380" s="35">
        <f>((1+G380)^12)-1</f>
        <v/>
      </c>
      <c r="I380" s="35">
        <f>(Table143454[[#This Row],[Core CPI]]-F368)/F368</f>
        <v/>
      </c>
    </row>
    <row r="381">
      <c r="A381" s="33">
        <f>IF(Data!A408="",#N/A,Data!A408)</f>
        <v/>
      </c>
      <c r="B381" s="34">
        <f>VLOOKUP(A381,Data!A:AX,MATCH($B$2,Data!$B$1:$AX$1,0),FALSE)</f>
        <v/>
      </c>
      <c r="C381" s="35">
        <f>(B381/B380)-1</f>
        <v/>
      </c>
      <c r="D381" s="35">
        <f>((1+C381)^12)-1</f>
        <v/>
      </c>
      <c r="E381" s="35">
        <f>(Table143454[[#This Row],[USA]]-B369)/B369</f>
        <v/>
      </c>
      <c r="F381" s="34">
        <f>VLOOKUP(Table143454[[#This Row],[Date]],'Data Core CPI'!$A:$AX,MATCH($B$2,'Data Core CPI'!$B$1:$AX$1,0),FALSE)</f>
        <v/>
      </c>
      <c r="G381" s="35">
        <f>(F381/F380)-1</f>
        <v/>
      </c>
      <c r="H381" s="35">
        <f>((1+G381)^12)-1</f>
        <v/>
      </c>
      <c r="I381" s="35">
        <f>(Table143454[[#This Row],[Core CPI]]-F369)/F369</f>
        <v/>
      </c>
    </row>
    <row r="382">
      <c r="A382" s="33">
        <f>IF(Data!A409="",#N/A,Data!A409)</f>
        <v/>
      </c>
      <c r="B382" s="34">
        <f>VLOOKUP(A382,Data!A:AX,MATCH($B$2,Data!$B$1:$AX$1,0),FALSE)</f>
        <v/>
      </c>
      <c r="C382" s="35">
        <f>(B382/B381)-1</f>
        <v/>
      </c>
      <c r="D382" s="35">
        <f>((1+C382)^12)-1</f>
        <v/>
      </c>
      <c r="E382" s="35">
        <f>(Table143454[[#This Row],[USA]]-B370)/B370</f>
        <v/>
      </c>
      <c r="F382" s="34">
        <f>VLOOKUP(Table143454[[#This Row],[Date]],'Data Core CPI'!$A:$AX,MATCH($B$2,'Data Core CPI'!$B$1:$AX$1,0),FALSE)</f>
        <v/>
      </c>
      <c r="G382" s="35">
        <f>(F382/F381)-1</f>
        <v/>
      </c>
      <c r="H382" s="35">
        <f>((1+G382)^12)-1</f>
        <v/>
      </c>
      <c r="I382" s="35">
        <f>(Table143454[[#This Row],[Core CPI]]-F370)/F370</f>
        <v/>
      </c>
    </row>
    <row r="383">
      <c r="A383" s="33">
        <f>IF(Data!A410="",#N/A,Data!A410)</f>
        <v/>
      </c>
      <c r="B383" s="34">
        <f>VLOOKUP(A383,Data!A:AX,MATCH($B$2,Data!$B$1:$AX$1,0),FALSE)</f>
        <v/>
      </c>
      <c r="C383" s="35">
        <f>(B383/B382)-1</f>
        <v/>
      </c>
      <c r="D383" s="35">
        <f>((1+C383)^12)-1</f>
        <v/>
      </c>
      <c r="E383" s="35">
        <f>(Table143454[[#This Row],[USA]]-B371)/B371</f>
        <v/>
      </c>
      <c r="F383" s="34">
        <f>VLOOKUP(Table143454[[#This Row],[Date]],'Data Core CPI'!$A:$AX,MATCH($B$2,'Data Core CPI'!$B$1:$AX$1,0),FALSE)</f>
        <v/>
      </c>
      <c r="G383" s="35">
        <f>(F383/F382)-1</f>
        <v/>
      </c>
      <c r="H383" s="35">
        <f>((1+G383)^12)-1</f>
        <v/>
      </c>
      <c r="I383" s="35">
        <f>(Table143454[[#This Row],[Core CPI]]-F371)/F371</f>
        <v/>
      </c>
    </row>
    <row r="384">
      <c r="A384" s="33">
        <f>IF(Data!A411="",#N/A,Data!A411)</f>
        <v/>
      </c>
      <c r="B384" s="34">
        <f>VLOOKUP(A384,Data!A:AX,MATCH($B$2,Data!$B$1:$AX$1,0),FALSE)</f>
        <v/>
      </c>
      <c r="C384" s="35">
        <f>(B384/B383)-1</f>
        <v/>
      </c>
      <c r="D384" s="35">
        <f>((1+C384)^12)-1</f>
        <v/>
      </c>
      <c r="E384" s="35">
        <f>(Table143454[[#This Row],[USA]]-B372)/B372</f>
        <v/>
      </c>
      <c r="F384" s="34">
        <f>VLOOKUP(Table143454[[#This Row],[Date]],'Data Core CPI'!$A:$AX,MATCH($B$2,'Data Core CPI'!$B$1:$AX$1,0),FALSE)</f>
        <v/>
      </c>
      <c r="G384" s="35">
        <f>(F384/F383)-1</f>
        <v/>
      </c>
      <c r="H384" s="35">
        <f>((1+G384)^12)-1</f>
        <v/>
      </c>
      <c r="I384" s="35">
        <f>(Table143454[[#This Row],[Core CPI]]-F372)/F372</f>
        <v/>
      </c>
    </row>
    <row r="385">
      <c r="A385" s="33">
        <f>IF(Data!A412="",#N/A,Data!A412)</f>
        <v/>
      </c>
      <c r="B385" s="34">
        <f>VLOOKUP(A385,Data!A:AX,MATCH($B$2,Data!$B$1:$AX$1,0),FALSE)</f>
        <v/>
      </c>
      <c r="C385" s="35">
        <f>(B385/B384)-1</f>
        <v/>
      </c>
      <c r="D385" s="35">
        <f>((1+C385)^12)-1</f>
        <v/>
      </c>
      <c r="E385" s="35">
        <f>(Table143454[[#This Row],[USA]]-B373)/B373</f>
        <v/>
      </c>
      <c r="F385" s="34">
        <f>VLOOKUP(Table143454[[#This Row],[Date]],'Data Core CPI'!$A:$AX,MATCH($B$2,'Data Core CPI'!$B$1:$AX$1,0),FALSE)</f>
        <v/>
      </c>
      <c r="G385" s="35">
        <f>(F385/F384)-1</f>
        <v/>
      </c>
      <c r="H385" s="35">
        <f>((1+G385)^12)-1</f>
        <v/>
      </c>
      <c r="I385" s="35">
        <f>(Table143454[[#This Row],[Core CPI]]-F373)/F373</f>
        <v/>
      </c>
    </row>
    <row r="386">
      <c r="A386" s="33">
        <f>IF(Data!A413="",#N/A,Data!A413)</f>
        <v/>
      </c>
      <c r="B386" s="34">
        <f>VLOOKUP(A386,Data!A:AX,MATCH($B$2,Data!$B$1:$AX$1,0),FALSE)</f>
        <v/>
      </c>
      <c r="C386" s="35">
        <f>(B386/B385)-1</f>
        <v/>
      </c>
      <c r="D386" s="35">
        <f>((1+C386)^12)-1</f>
        <v/>
      </c>
      <c r="E386" s="35">
        <f>(Table143454[[#This Row],[USA]]-B374)/B374</f>
        <v/>
      </c>
      <c r="F386" s="34">
        <f>VLOOKUP(Table143454[[#This Row],[Date]],'Data Core CPI'!$A:$AX,MATCH($B$2,'Data Core CPI'!$B$1:$AX$1,0),FALSE)</f>
        <v/>
      </c>
      <c r="G386" s="35">
        <f>(F386/F385)-1</f>
        <v/>
      </c>
      <c r="H386" s="35">
        <f>((1+G386)^12)-1</f>
        <v/>
      </c>
      <c r="I386" s="35">
        <f>(Table143454[[#This Row],[Core CPI]]-F374)/F374</f>
        <v/>
      </c>
    </row>
    <row r="387">
      <c r="A387" s="33">
        <f>IF(Data!A414="",#N/A,Data!A414)</f>
        <v/>
      </c>
      <c r="B387" s="34">
        <f>VLOOKUP(A387,Data!A:AX,MATCH($B$2,Data!$B$1:$AX$1,0),FALSE)</f>
        <v/>
      </c>
      <c r="C387" s="35">
        <f>(B387/B386)-1</f>
        <v/>
      </c>
      <c r="D387" s="35">
        <f>((1+C387)^12)-1</f>
        <v/>
      </c>
      <c r="E387" s="35">
        <f>(Table143454[[#This Row],[USA]]-B375)/B375</f>
        <v/>
      </c>
      <c r="F387" s="34">
        <f>VLOOKUP(Table143454[[#This Row],[Date]],'Data Core CPI'!$A:$AX,MATCH($B$2,'Data Core CPI'!$B$1:$AX$1,0),FALSE)</f>
        <v/>
      </c>
      <c r="G387" s="35">
        <f>(F387/F386)-1</f>
        <v/>
      </c>
      <c r="H387" s="35">
        <f>((1+G387)^12)-1</f>
        <v/>
      </c>
      <c r="I387" s="35">
        <f>(Table143454[[#This Row],[Core CPI]]-F375)/F375</f>
        <v/>
      </c>
    </row>
    <row r="388">
      <c r="A388" s="33">
        <f>IF(Data!A415="",#N/A,Data!A415)</f>
        <v/>
      </c>
      <c r="B388" s="34">
        <f>VLOOKUP(A388,Data!A:AX,MATCH($B$2,Data!$B$1:$AX$1,0),FALSE)</f>
        <v/>
      </c>
      <c r="C388" s="35">
        <f>(B388/B387)-1</f>
        <v/>
      </c>
      <c r="D388" s="35">
        <f>((1+C388)^12)-1</f>
        <v/>
      </c>
      <c r="E388" s="35">
        <f>(Table143454[[#This Row],[USA]]-B376)/B376</f>
        <v/>
      </c>
      <c r="F388" s="34">
        <f>VLOOKUP(Table143454[[#This Row],[Date]],'Data Core CPI'!$A:$AX,MATCH($B$2,'Data Core CPI'!$B$1:$AX$1,0),FALSE)</f>
        <v/>
      </c>
      <c r="G388" s="35">
        <f>(F388/F387)-1</f>
        <v/>
      </c>
      <c r="H388" s="35">
        <f>((1+G388)^12)-1</f>
        <v/>
      </c>
      <c r="I388" s="35">
        <f>(Table143454[[#This Row],[Core CPI]]-F376)/F376</f>
        <v/>
      </c>
    </row>
    <row r="389">
      <c r="A389" s="33">
        <f>IF(Data!A416="",#N/A,Data!A416)</f>
        <v/>
      </c>
      <c r="B389" s="34">
        <f>VLOOKUP(A389,Data!A:AX,MATCH($B$2,Data!$B$1:$AX$1,0),FALSE)</f>
        <v/>
      </c>
      <c r="C389" s="35">
        <f>(B389/B388)-1</f>
        <v/>
      </c>
      <c r="D389" s="35">
        <f>((1+C389)^12)-1</f>
        <v/>
      </c>
      <c r="E389" s="35">
        <f>(Table143454[[#This Row],[USA]]-B377)/B377</f>
        <v/>
      </c>
      <c r="F389" s="34">
        <f>VLOOKUP(Table143454[[#This Row],[Date]],'Data Core CPI'!$A:$AX,MATCH($B$2,'Data Core CPI'!$B$1:$AX$1,0),FALSE)</f>
        <v/>
      </c>
      <c r="G389" s="35">
        <f>(F389/F388)-1</f>
        <v/>
      </c>
      <c r="H389" s="35">
        <f>((1+G389)^12)-1</f>
        <v/>
      </c>
      <c r="I389" s="35">
        <f>(Table143454[[#This Row],[Core CPI]]-F377)/F377</f>
        <v/>
      </c>
    </row>
    <row r="390">
      <c r="A390" s="33">
        <f>IF(Data!A417="",#N/A,Data!A417)</f>
        <v/>
      </c>
      <c r="B390" s="34">
        <f>VLOOKUP(A390,Data!A:AX,MATCH($B$2,Data!$B$1:$AX$1,0),FALSE)</f>
        <v/>
      </c>
      <c r="C390" s="35">
        <f>(B390/B389)-1</f>
        <v/>
      </c>
      <c r="D390" s="35">
        <f>((1+C390)^12)-1</f>
        <v/>
      </c>
      <c r="E390" s="35">
        <f>(Table143454[[#This Row],[USA]]-B378)/B378</f>
        <v/>
      </c>
      <c r="F390" s="34">
        <f>VLOOKUP(Table143454[[#This Row],[Date]],'Data Core CPI'!$A:$AX,MATCH($B$2,'Data Core CPI'!$B$1:$AX$1,0),FALSE)</f>
        <v/>
      </c>
      <c r="G390" s="35">
        <f>(F390/F389)-1</f>
        <v/>
      </c>
      <c r="H390" s="35">
        <f>((1+G390)^12)-1</f>
        <v/>
      </c>
      <c r="I390" s="35">
        <f>(Table143454[[#This Row],[Core CPI]]-F378)/F378</f>
        <v/>
      </c>
    </row>
    <row r="391">
      <c r="A391" s="33">
        <f>IF(Data!A418="",#N/A,Data!A418)</f>
        <v/>
      </c>
      <c r="B391" s="34">
        <f>VLOOKUP(A391,Data!A:AX,MATCH($B$2,Data!$B$1:$AX$1,0),FALSE)</f>
        <v/>
      </c>
      <c r="C391" s="35">
        <f>(B391/B390)-1</f>
        <v/>
      </c>
      <c r="D391" s="35">
        <f>((1+C391)^12)-1</f>
        <v/>
      </c>
      <c r="E391" s="35">
        <f>(Table143454[[#This Row],[USA]]-B379)/B379</f>
        <v/>
      </c>
      <c r="F391" s="34">
        <f>VLOOKUP(Table143454[[#This Row],[Date]],'Data Core CPI'!$A:$AX,MATCH($B$2,'Data Core CPI'!$B$1:$AX$1,0),FALSE)</f>
        <v/>
      </c>
      <c r="G391" s="35">
        <f>(F391/F390)-1</f>
        <v/>
      </c>
      <c r="H391" s="35">
        <f>((1+G391)^12)-1</f>
        <v/>
      </c>
      <c r="I391" s="35">
        <f>(Table143454[[#This Row],[Core CPI]]-F379)/F379</f>
        <v/>
      </c>
    </row>
    <row r="392">
      <c r="A392" s="33">
        <f>IF(Data!A419="",#N/A,Data!A419)</f>
        <v/>
      </c>
      <c r="B392" s="34">
        <f>VLOOKUP(A392,Data!A:AX,MATCH($B$2,Data!$B$1:$AX$1,0),FALSE)</f>
        <v/>
      </c>
      <c r="C392" s="35">
        <f>(B392/B391)-1</f>
        <v/>
      </c>
      <c r="D392" s="35">
        <f>((1+C392)^12)-1</f>
        <v/>
      </c>
      <c r="E392" s="35">
        <f>(Table143454[[#This Row],[USA]]-B380)/B380</f>
        <v/>
      </c>
      <c r="F392" s="34">
        <f>VLOOKUP(Table143454[[#This Row],[Date]],'Data Core CPI'!$A:$AX,MATCH($B$2,'Data Core CPI'!$B$1:$AX$1,0),FALSE)</f>
        <v/>
      </c>
      <c r="G392" s="35">
        <f>(F392/F391)-1</f>
        <v/>
      </c>
      <c r="H392" s="35">
        <f>((1+G392)^12)-1</f>
        <v/>
      </c>
      <c r="I392" s="35">
        <f>(Table143454[[#This Row],[Core CPI]]-F380)/F380</f>
        <v/>
      </c>
    </row>
    <row r="393">
      <c r="A393" s="33">
        <f>IF(Data!A420="",#N/A,Data!A420)</f>
        <v/>
      </c>
      <c r="B393" s="34">
        <f>VLOOKUP(A393,Data!A:AX,MATCH($B$2,Data!$B$1:$AX$1,0),FALSE)</f>
        <v/>
      </c>
      <c r="C393" s="35">
        <f>(B393/B392)-1</f>
        <v/>
      </c>
      <c r="D393" s="35">
        <f>((1+C393)^12)-1</f>
        <v/>
      </c>
      <c r="E393" s="35">
        <f>(Table143454[[#This Row],[USA]]-B381)/B381</f>
        <v/>
      </c>
      <c r="F393" s="34">
        <f>VLOOKUP(Table143454[[#This Row],[Date]],'Data Core CPI'!$A:$AX,MATCH($B$2,'Data Core CPI'!$B$1:$AX$1,0),FALSE)</f>
        <v/>
      </c>
      <c r="G393" s="35">
        <f>(F393/F392)-1</f>
        <v/>
      </c>
      <c r="H393" s="35">
        <f>((1+G393)^12)-1</f>
        <v/>
      </c>
      <c r="I393" s="35">
        <f>(Table143454[[#This Row],[Core CPI]]-F381)/F381</f>
        <v/>
      </c>
    </row>
    <row r="394">
      <c r="A394" s="33">
        <f>IF(Data!A421="",#N/A,Data!A421)</f>
        <v/>
      </c>
      <c r="B394" s="34">
        <f>VLOOKUP(A394,Data!A:AX,MATCH($B$2,Data!$B$1:$AX$1,0),FALSE)</f>
        <v/>
      </c>
      <c r="C394" s="35">
        <f>(B394/B393)-1</f>
        <v/>
      </c>
      <c r="D394" s="35">
        <f>((1+C394)^12)-1</f>
        <v/>
      </c>
      <c r="E394" s="35">
        <f>(Table143454[[#This Row],[USA]]-B382)/B382</f>
        <v/>
      </c>
      <c r="F394" s="34">
        <f>VLOOKUP(Table143454[[#This Row],[Date]],'Data Core CPI'!$A:$AX,MATCH($B$2,'Data Core CPI'!$B$1:$AX$1,0),FALSE)</f>
        <v/>
      </c>
      <c r="G394" s="35">
        <f>(F394/F393)-1</f>
        <v/>
      </c>
      <c r="H394" s="35">
        <f>((1+G394)^12)-1</f>
        <v/>
      </c>
      <c r="I394" s="35">
        <f>(Table143454[[#This Row],[Core CPI]]-F382)/F382</f>
        <v/>
      </c>
    </row>
    <row r="395">
      <c r="A395" s="33">
        <f>IF(Data!A422="",#N/A,Data!A422)</f>
        <v/>
      </c>
      <c r="B395" s="34">
        <f>VLOOKUP(A395,Data!A:AX,MATCH($B$2,Data!$B$1:$AX$1,0),FALSE)</f>
        <v/>
      </c>
      <c r="C395" s="35">
        <f>(B395/B394)-1</f>
        <v/>
      </c>
      <c r="D395" s="35">
        <f>((1+C395)^12)-1</f>
        <v/>
      </c>
      <c r="E395" s="35">
        <f>(Table143454[[#This Row],[USA]]-B383)/B383</f>
        <v/>
      </c>
      <c r="F395" s="34">
        <f>VLOOKUP(Table143454[[#This Row],[Date]],'Data Core CPI'!$A:$AX,MATCH($B$2,'Data Core CPI'!$B$1:$AX$1,0),FALSE)</f>
        <v/>
      </c>
      <c r="G395" s="35">
        <f>(F395/F394)-1</f>
        <v/>
      </c>
      <c r="H395" s="35">
        <f>((1+G395)^12)-1</f>
        <v/>
      </c>
      <c r="I395" s="35">
        <f>(Table143454[[#This Row],[Core CPI]]-F383)/F383</f>
        <v/>
      </c>
    </row>
    <row r="396">
      <c r="A396" s="33">
        <f>IF(Data!A423="",#N/A,Data!A423)</f>
        <v/>
      </c>
      <c r="B396" s="34">
        <f>VLOOKUP(A396,Data!A:AX,MATCH($B$2,Data!$B$1:$AX$1,0),FALSE)</f>
        <v/>
      </c>
      <c r="C396" s="35">
        <f>(B396/B395)-1</f>
        <v/>
      </c>
      <c r="D396" s="35">
        <f>((1+C396)^12)-1</f>
        <v/>
      </c>
      <c r="E396" s="35">
        <f>(Table143454[[#This Row],[USA]]-B384)/B384</f>
        <v/>
      </c>
      <c r="F396" s="34">
        <f>VLOOKUP(Table143454[[#This Row],[Date]],'Data Core CPI'!$A:$AX,MATCH($B$2,'Data Core CPI'!$B$1:$AX$1,0),FALSE)</f>
        <v/>
      </c>
      <c r="G396" s="35">
        <f>(F396/F395)-1</f>
        <v/>
      </c>
      <c r="H396" s="35">
        <f>((1+G396)^12)-1</f>
        <v/>
      </c>
      <c r="I396" s="35">
        <f>(Table143454[[#This Row],[Core CPI]]-F384)/F384</f>
        <v/>
      </c>
    </row>
    <row r="397">
      <c r="A397" s="33">
        <f>IF(Data!A424="",#N/A,Data!A424)</f>
        <v/>
      </c>
      <c r="B397" s="34">
        <f>VLOOKUP(A397,Data!A:AX,MATCH($B$2,Data!$B$1:$AX$1,0),FALSE)</f>
        <v/>
      </c>
      <c r="C397" s="35">
        <f>(B397/B396)-1</f>
        <v/>
      </c>
      <c r="D397" s="35">
        <f>((1+C397)^12)-1</f>
        <v/>
      </c>
      <c r="E397" s="35">
        <f>(Table143454[[#This Row],[USA]]-B385)/B385</f>
        <v/>
      </c>
      <c r="F397" s="34">
        <f>VLOOKUP(Table143454[[#This Row],[Date]],'Data Core CPI'!$A:$AX,MATCH($B$2,'Data Core CPI'!$B$1:$AX$1,0),FALSE)</f>
        <v/>
      </c>
      <c r="G397" s="35">
        <f>(F397/F396)-1</f>
        <v/>
      </c>
      <c r="H397" s="35">
        <f>((1+G397)^12)-1</f>
        <v/>
      </c>
      <c r="I397" s="35">
        <f>(Table143454[[#This Row],[Core CPI]]-F385)/F385</f>
        <v/>
      </c>
    </row>
    <row r="398">
      <c r="A398" s="33">
        <f>IF(Data!A425="",#N/A,Data!A425)</f>
        <v/>
      </c>
      <c r="B398" s="34">
        <f>VLOOKUP(A398,Data!A:AX,MATCH($B$2,Data!$B$1:$AX$1,0),FALSE)</f>
        <v/>
      </c>
      <c r="C398" s="35">
        <f>(B398/B397)-1</f>
        <v/>
      </c>
      <c r="D398" s="35">
        <f>((1+C398)^12)-1</f>
        <v/>
      </c>
      <c r="E398" s="35">
        <f>(Table143454[[#This Row],[USA]]-B386)/B386</f>
        <v/>
      </c>
      <c r="F398" s="34">
        <f>VLOOKUP(Table143454[[#This Row],[Date]],'Data Core CPI'!$A:$AX,MATCH($B$2,'Data Core CPI'!$B$1:$AX$1,0),FALSE)</f>
        <v/>
      </c>
      <c r="G398" s="35">
        <f>(F398/F397)-1</f>
        <v/>
      </c>
      <c r="H398" s="35">
        <f>((1+G398)^12)-1</f>
        <v/>
      </c>
      <c r="I398" s="35">
        <f>(Table143454[[#This Row],[Core CPI]]-F386)/F386</f>
        <v/>
      </c>
    </row>
    <row r="399">
      <c r="A399" s="33">
        <f>IF(Data!A426="",#N/A,Data!A426)</f>
        <v/>
      </c>
      <c r="B399" s="34">
        <f>VLOOKUP(A399,Data!A:AX,MATCH($B$2,Data!$B$1:$AX$1,0),FALSE)</f>
        <v/>
      </c>
      <c r="C399" s="35">
        <f>(B399/B398)-1</f>
        <v/>
      </c>
      <c r="D399" s="35">
        <f>((1+C399)^12)-1</f>
        <v/>
      </c>
      <c r="E399" s="35">
        <f>(Table143454[[#This Row],[USA]]-B387)/B387</f>
        <v/>
      </c>
      <c r="F399" s="34">
        <f>VLOOKUP(Table143454[[#This Row],[Date]],'Data Core CPI'!$A:$AX,MATCH($B$2,'Data Core CPI'!$B$1:$AX$1,0),FALSE)</f>
        <v/>
      </c>
      <c r="G399" s="35">
        <f>(F399/F398)-1</f>
        <v/>
      </c>
      <c r="H399" s="35">
        <f>((1+G399)^12)-1</f>
        <v/>
      </c>
      <c r="I399" s="35">
        <f>(Table143454[[#This Row],[Core CPI]]-F387)/F387</f>
        <v/>
      </c>
    </row>
    <row r="400">
      <c r="A400" s="33">
        <f>IF(Data!A427="",#N/A,Data!A427)</f>
        <v/>
      </c>
      <c r="B400" s="34">
        <f>VLOOKUP(A400,Data!A:AX,MATCH($B$2,Data!$B$1:$AX$1,0),FALSE)</f>
        <v/>
      </c>
      <c r="C400" s="35">
        <f>(B400/B399)-1</f>
        <v/>
      </c>
      <c r="D400" s="35">
        <f>((1+C400)^12)-1</f>
        <v/>
      </c>
      <c r="E400" s="35">
        <f>(Table143454[[#This Row],[USA]]-B388)/B388</f>
        <v/>
      </c>
      <c r="F400" s="34">
        <f>VLOOKUP(Table143454[[#This Row],[Date]],'Data Core CPI'!$A:$AX,MATCH($B$2,'Data Core CPI'!$B$1:$AX$1,0),FALSE)</f>
        <v/>
      </c>
      <c r="G400" s="35">
        <f>(F400/F399)-1</f>
        <v/>
      </c>
      <c r="H400" s="35">
        <f>((1+G400)^12)-1</f>
        <v/>
      </c>
      <c r="I400" s="35">
        <f>(Table143454[[#This Row],[Core CPI]]-F388)/F388</f>
        <v/>
      </c>
    </row>
    <row r="401">
      <c r="A401" s="33">
        <f>IF(Data!A428="",#N/A,Data!A428)</f>
        <v/>
      </c>
      <c r="B401" s="34">
        <f>VLOOKUP(A401,Data!A:AX,MATCH($B$2,Data!$B$1:$AX$1,0),FALSE)</f>
        <v/>
      </c>
      <c r="C401" s="35">
        <f>(B401/B400)-1</f>
        <v/>
      </c>
      <c r="D401" s="35">
        <f>((1+C401)^12)-1</f>
        <v/>
      </c>
      <c r="E401" s="35">
        <f>(Table143454[[#This Row],[USA]]-B389)/B389</f>
        <v/>
      </c>
      <c r="F401" s="34">
        <f>VLOOKUP(Table143454[[#This Row],[Date]],'Data Core CPI'!$A:$AX,MATCH($B$2,'Data Core CPI'!$B$1:$AX$1,0),FALSE)</f>
        <v/>
      </c>
      <c r="G401" s="35">
        <f>(F401/F400)-1</f>
        <v/>
      </c>
      <c r="H401" s="35">
        <f>((1+G401)^12)-1</f>
        <v/>
      </c>
      <c r="I401" s="35">
        <f>(Table143454[[#This Row],[Core CPI]]-F389)/F389</f>
        <v/>
      </c>
    </row>
    <row r="402">
      <c r="A402" s="33">
        <f>IF(Data!A429="",#N/A,Data!A429)</f>
        <v/>
      </c>
      <c r="B402" s="34">
        <f>VLOOKUP(A402,Data!A:AX,MATCH($B$2,Data!$B$1:$AX$1,0),FALSE)</f>
        <v/>
      </c>
      <c r="C402" s="35">
        <f>(B402/B401)-1</f>
        <v/>
      </c>
      <c r="D402" s="35">
        <f>((1+C402)^12)-1</f>
        <v/>
      </c>
      <c r="E402" s="35">
        <f>(Table143454[[#This Row],[USA]]-B390)/B390</f>
        <v/>
      </c>
      <c r="F402" s="34">
        <f>VLOOKUP(Table143454[[#This Row],[Date]],'Data Core CPI'!$A:$AX,MATCH($B$2,'Data Core CPI'!$B$1:$AX$1,0),FALSE)</f>
        <v/>
      </c>
      <c r="G402" s="35">
        <f>(F402/F401)-1</f>
        <v/>
      </c>
      <c r="H402" s="35">
        <f>((1+G402)^12)-1</f>
        <v/>
      </c>
      <c r="I402" s="35">
        <f>(Table143454[[#This Row],[Core CPI]]-F390)/F390</f>
        <v/>
      </c>
    </row>
    <row r="403">
      <c r="A403" s="33">
        <f>IF(Data!A430="",#N/A,Data!A430)</f>
        <v/>
      </c>
      <c r="B403" s="34">
        <f>VLOOKUP(A403,Data!A:AX,MATCH($B$2,Data!$B$1:$AX$1,0),FALSE)</f>
        <v/>
      </c>
      <c r="C403" s="35">
        <f>(B403/B402)-1</f>
        <v/>
      </c>
      <c r="D403" s="35">
        <f>((1+C403)^12)-1</f>
        <v/>
      </c>
      <c r="E403" s="35">
        <f>(Table143454[[#This Row],[USA]]-B391)/B391</f>
        <v/>
      </c>
      <c r="F403" s="34">
        <f>VLOOKUP(Table143454[[#This Row],[Date]],'Data Core CPI'!$A:$AX,MATCH($B$2,'Data Core CPI'!$B$1:$AX$1,0),FALSE)</f>
        <v/>
      </c>
      <c r="G403" s="35">
        <f>(F403/F402)-1</f>
        <v/>
      </c>
      <c r="H403" s="35">
        <f>((1+G403)^12)-1</f>
        <v/>
      </c>
      <c r="I403" s="35">
        <f>(Table143454[[#This Row],[Core CPI]]-F391)/F391</f>
        <v/>
      </c>
    </row>
    <row r="404">
      <c r="A404" s="33">
        <f>IF(Data!A431="",#N/A,Data!A431)</f>
        <v/>
      </c>
      <c r="B404" s="34">
        <f>VLOOKUP(A404,Data!A:AX,MATCH($B$2,Data!$B$1:$AX$1,0),FALSE)</f>
        <v/>
      </c>
      <c r="C404" s="35">
        <f>(B404/B403)-1</f>
        <v/>
      </c>
      <c r="D404" s="35">
        <f>((1+C404)^12)-1</f>
        <v/>
      </c>
      <c r="E404" s="35">
        <f>(Table143454[[#This Row],[USA]]-B392)/B392</f>
        <v/>
      </c>
      <c r="F404" s="34">
        <f>VLOOKUP(Table143454[[#This Row],[Date]],'Data Core CPI'!$A:$AX,MATCH($B$2,'Data Core CPI'!$B$1:$AX$1,0),FALSE)</f>
        <v/>
      </c>
      <c r="G404" s="35">
        <f>(F404/F403)-1</f>
        <v/>
      </c>
      <c r="H404" s="35">
        <f>((1+G404)^12)-1</f>
        <v/>
      </c>
      <c r="I404" s="35">
        <f>(Table143454[[#This Row],[Core CPI]]-F392)/F392</f>
        <v/>
      </c>
    </row>
    <row r="405">
      <c r="A405" s="33">
        <f>IF(Data!A432="",#N/A,Data!A432)</f>
        <v/>
      </c>
      <c r="B405" s="34">
        <f>VLOOKUP(A405,Data!A:AX,MATCH($B$2,Data!$B$1:$AX$1,0),FALSE)</f>
        <v/>
      </c>
      <c r="C405" s="35">
        <f>(B405/B404)-1</f>
        <v/>
      </c>
      <c r="D405" s="35">
        <f>((1+C405)^12)-1</f>
        <v/>
      </c>
      <c r="E405" s="35">
        <f>(Table143454[[#This Row],[USA]]-B393)/B393</f>
        <v/>
      </c>
      <c r="F405" s="34">
        <f>VLOOKUP(Table143454[[#This Row],[Date]],'Data Core CPI'!$A:$AX,MATCH($B$2,'Data Core CPI'!$B$1:$AX$1,0),FALSE)</f>
        <v/>
      </c>
      <c r="G405" s="35">
        <f>(F405/F404)-1</f>
        <v/>
      </c>
      <c r="H405" s="35">
        <f>((1+G405)^12)-1</f>
        <v/>
      </c>
      <c r="I405" s="35">
        <f>(Table143454[[#This Row],[Core CPI]]-F393)/F393</f>
        <v/>
      </c>
    </row>
    <row r="406">
      <c r="A406" s="33">
        <f>IF(Data!A433="",#N/A,Data!A433)</f>
        <v/>
      </c>
      <c r="B406" s="34">
        <f>VLOOKUP(A406,Data!A:AX,MATCH($B$2,Data!$B$1:$AX$1,0),FALSE)</f>
        <v/>
      </c>
      <c r="C406" s="35">
        <f>(B406/B405)-1</f>
        <v/>
      </c>
      <c r="D406" s="35">
        <f>((1+C406)^12)-1</f>
        <v/>
      </c>
      <c r="E406" s="35">
        <f>(Table143454[[#This Row],[USA]]-B394)/B394</f>
        <v/>
      </c>
      <c r="F406" s="34">
        <f>VLOOKUP(Table143454[[#This Row],[Date]],'Data Core CPI'!$A:$AX,MATCH($B$2,'Data Core CPI'!$B$1:$AX$1,0),FALSE)</f>
        <v/>
      </c>
      <c r="G406" s="35">
        <f>(F406/F405)-1</f>
        <v/>
      </c>
      <c r="H406" s="35">
        <f>((1+G406)^12)-1</f>
        <v/>
      </c>
      <c r="I406" s="35">
        <f>(Table143454[[#This Row],[Core CPI]]-F394)/F394</f>
        <v/>
      </c>
    </row>
    <row r="407">
      <c r="A407" s="33">
        <f>IF(Data!A434="",#N/A,Data!A434)</f>
        <v/>
      </c>
      <c r="B407" s="34">
        <f>VLOOKUP(A407,Data!A:AX,MATCH($B$2,Data!$B$1:$AX$1,0),FALSE)</f>
        <v/>
      </c>
      <c r="C407" s="35">
        <f>(B407/B406)-1</f>
        <v/>
      </c>
      <c r="D407" s="35">
        <f>((1+C407)^12)-1</f>
        <v/>
      </c>
      <c r="E407" s="35">
        <f>(Table143454[[#This Row],[USA]]-B395)/B395</f>
        <v/>
      </c>
      <c r="F407" s="34">
        <f>VLOOKUP(Table143454[[#This Row],[Date]],'Data Core CPI'!$A:$AX,MATCH($B$2,'Data Core CPI'!$B$1:$AX$1,0),FALSE)</f>
        <v/>
      </c>
      <c r="G407" s="35">
        <f>(F407/F406)-1</f>
        <v/>
      </c>
      <c r="H407" s="35">
        <f>((1+G407)^12)-1</f>
        <v/>
      </c>
      <c r="I407" s="35">
        <f>(Table143454[[#This Row],[Core CPI]]-F395)/F395</f>
        <v/>
      </c>
    </row>
    <row r="408">
      <c r="A408" s="33">
        <f>IF(Data!A435="",#N/A,Data!A435)</f>
        <v/>
      </c>
      <c r="B408" s="34">
        <f>VLOOKUP(A408,Data!A:AX,MATCH($B$2,Data!$B$1:$AX$1,0),FALSE)</f>
        <v/>
      </c>
      <c r="C408" s="35">
        <f>(B408/B407)-1</f>
        <v/>
      </c>
      <c r="D408" s="35">
        <f>((1+C408)^12)-1</f>
        <v/>
      </c>
      <c r="E408" s="35">
        <f>(Table143454[[#This Row],[USA]]-B396)/B396</f>
        <v/>
      </c>
      <c r="F408" s="34">
        <f>VLOOKUP(Table143454[[#This Row],[Date]],'Data Core CPI'!$A:$AX,MATCH($B$2,'Data Core CPI'!$B$1:$AX$1,0),FALSE)</f>
        <v/>
      </c>
      <c r="G408" s="35">
        <f>(F408/F407)-1</f>
        <v/>
      </c>
      <c r="H408" s="35">
        <f>((1+G408)^12)-1</f>
        <v/>
      </c>
      <c r="I408" s="35">
        <f>(Table143454[[#This Row],[Core CPI]]-F396)/F396</f>
        <v/>
      </c>
    </row>
    <row r="409">
      <c r="A409" s="33">
        <f>IF(Data!A436="",#N/A,Data!A436)</f>
        <v/>
      </c>
      <c r="B409" s="34">
        <f>VLOOKUP(A409,Data!A:AX,MATCH($B$2,Data!$B$1:$AX$1,0),FALSE)</f>
        <v/>
      </c>
      <c r="C409" s="35">
        <f>(B409/B408)-1</f>
        <v/>
      </c>
      <c r="D409" s="35">
        <f>((1+C409)^12)-1</f>
        <v/>
      </c>
      <c r="E409" s="35">
        <f>(Table143454[[#This Row],[USA]]-B397)/B397</f>
        <v/>
      </c>
      <c r="F409" s="34">
        <f>VLOOKUP(Table143454[[#This Row],[Date]],'Data Core CPI'!$A:$AX,MATCH($B$2,'Data Core CPI'!$B$1:$AX$1,0),FALSE)</f>
        <v/>
      </c>
      <c r="G409" s="35">
        <f>(F409/F408)-1</f>
        <v/>
      </c>
      <c r="H409" s="35">
        <f>((1+G409)^12)-1</f>
        <v/>
      </c>
      <c r="I409" s="35">
        <f>(Table143454[[#This Row],[Core CPI]]-F397)/F397</f>
        <v/>
      </c>
    </row>
    <row r="410">
      <c r="A410" s="33">
        <f>IF(Data!A437="",#N/A,Data!A437)</f>
        <v/>
      </c>
      <c r="B410" s="34">
        <f>VLOOKUP(A410,Data!A:AX,MATCH($B$2,Data!$B$1:$AX$1,0),FALSE)</f>
        <v/>
      </c>
      <c r="C410" s="35">
        <f>(B410/B409)-1</f>
        <v/>
      </c>
      <c r="D410" s="35">
        <f>((1+C410)^12)-1</f>
        <v/>
      </c>
      <c r="E410" s="35">
        <f>(Table143454[[#This Row],[USA]]-B398)/B398</f>
        <v/>
      </c>
      <c r="F410" s="34">
        <f>VLOOKUP(Table143454[[#This Row],[Date]],'Data Core CPI'!$A:$AX,MATCH($B$2,'Data Core CPI'!$B$1:$AX$1,0),FALSE)</f>
        <v/>
      </c>
      <c r="G410" s="35">
        <f>(F410/F409)-1</f>
        <v/>
      </c>
      <c r="H410" s="35">
        <f>((1+G410)^12)-1</f>
        <v/>
      </c>
      <c r="I410" s="35">
        <f>(Table143454[[#This Row],[Core CPI]]-F398)/F398</f>
        <v/>
      </c>
    </row>
    <row r="411">
      <c r="A411" s="33">
        <f>IF(Data!A438="",#N/A,Data!A438)</f>
        <v/>
      </c>
      <c r="B411" s="34">
        <f>VLOOKUP(A411,Data!A:AX,MATCH($B$2,Data!$B$1:$AX$1,0),FALSE)</f>
        <v/>
      </c>
      <c r="C411" s="35">
        <f>(B411/B410)-1</f>
        <v/>
      </c>
      <c r="D411" s="35">
        <f>((1+C411)^12)-1</f>
        <v/>
      </c>
      <c r="E411" s="35">
        <f>(Table143454[[#This Row],[USA]]-B399)/B399</f>
        <v/>
      </c>
      <c r="F411" s="34">
        <f>VLOOKUP(Table143454[[#This Row],[Date]],'Data Core CPI'!$A:$AX,MATCH($B$2,'Data Core CPI'!$B$1:$AX$1,0),FALSE)</f>
        <v/>
      </c>
      <c r="G411" s="35">
        <f>(F411/F410)-1</f>
        <v/>
      </c>
      <c r="H411" s="35">
        <f>((1+G411)^12)-1</f>
        <v/>
      </c>
      <c r="I411" s="35">
        <f>(Table143454[[#This Row],[Core CPI]]-F399)/F399</f>
        <v/>
      </c>
    </row>
    <row r="412">
      <c r="A412" s="33">
        <f>IF(Data!A439="",#N/A,Data!A439)</f>
        <v/>
      </c>
      <c r="B412" s="34">
        <f>VLOOKUP(A412,Data!A:AX,MATCH($B$2,Data!$B$1:$AX$1,0),FALSE)</f>
        <v/>
      </c>
      <c r="C412" s="35">
        <f>(B412/B411)-1</f>
        <v/>
      </c>
      <c r="D412" s="35">
        <f>((1+C412)^12)-1</f>
        <v/>
      </c>
      <c r="E412" s="35">
        <f>(Table143454[[#This Row],[USA]]-B400)/B400</f>
        <v/>
      </c>
      <c r="F412" s="34">
        <f>VLOOKUP(Table143454[[#This Row],[Date]],'Data Core CPI'!$A:$AX,MATCH($B$2,'Data Core CPI'!$B$1:$AX$1,0),FALSE)</f>
        <v/>
      </c>
      <c r="G412" s="35">
        <f>(F412/F411)-1</f>
        <v/>
      </c>
      <c r="H412" s="35">
        <f>((1+G412)^12)-1</f>
        <v/>
      </c>
      <c r="I412" s="35">
        <f>(Table143454[[#This Row],[Core CPI]]-F400)/F400</f>
        <v/>
      </c>
    </row>
    <row r="413">
      <c r="A413" s="33">
        <f>IF(Data!A440="",#N/A,Data!A440)</f>
        <v/>
      </c>
      <c r="B413" s="34">
        <f>VLOOKUP(A413,Data!A:AX,MATCH($B$2,Data!$B$1:$AX$1,0),FALSE)</f>
        <v/>
      </c>
      <c r="C413" s="35">
        <f>(B413/B412)-1</f>
        <v/>
      </c>
      <c r="D413" s="35">
        <f>((1+C413)^12)-1</f>
        <v/>
      </c>
      <c r="E413" s="35">
        <f>(Table143454[[#This Row],[USA]]-B401)/B401</f>
        <v/>
      </c>
      <c r="F413" s="34">
        <f>VLOOKUP(Table143454[[#This Row],[Date]],'Data Core CPI'!$A:$AX,MATCH($B$2,'Data Core CPI'!$B$1:$AX$1,0),FALSE)</f>
        <v/>
      </c>
      <c r="G413" s="35">
        <f>(F413/F412)-1</f>
        <v/>
      </c>
      <c r="H413" s="35">
        <f>((1+G413)^12)-1</f>
        <v/>
      </c>
      <c r="I413" s="35">
        <f>(Table143454[[#This Row],[Core CPI]]-F401)/F401</f>
        <v/>
      </c>
    </row>
    <row r="414">
      <c r="A414" s="33">
        <f>IF(Data!A441="",#N/A,Data!A441)</f>
        <v/>
      </c>
      <c r="B414" s="34">
        <f>VLOOKUP(A414,Data!A:AX,MATCH($B$2,Data!$B$1:$AX$1,0),FALSE)</f>
        <v/>
      </c>
      <c r="C414" s="35">
        <f>(B414/B413)-1</f>
        <v/>
      </c>
      <c r="D414" s="35">
        <f>((1+C414)^12)-1</f>
        <v/>
      </c>
      <c r="E414" s="35">
        <f>(Table143454[[#This Row],[USA]]-B402)/B402</f>
        <v/>
      </c>
      <c r="F414" s="34">
        <f>VLOOKUP(Table143454[[#This Row],[Date]],'Data Core CPI'!$A:$AX,MATCH($B$2,'Data Core CPI'!$B$1:$AX$1,0),FALSE)</f>
        <v/>
      </c>
      <c r="G414" s="35">
        <f>(F414/F413)-1</f>
        <v/>
      </c>
      <c r="H414" s="35">
        <f>((1+G414)^12)-1</f>
        <v/>
      </c>
      <c r="I414" s="35">
        <f>(Table143454[[#This Row],[Core CPI]]-F402)/F402</f>
        <v/>
      </c>
    </row>
    <row r="415">
      <c r="A415" s="33">
        <f>IF(Data!A442="",#N/A,Data!A442)</f>
        <v/>
      </c>
      <c r="B415" s="34">
        <f>VLOOKUP(A415,Data!A:AX,MATCH($B$2,Data!$B$1:$AX$1,0),FALSE)</f>
        <v/>
      </c>
      <c r="C415" s="35">
        <f>(B415/B414)-1</f>
        <v/>
      </c>
      <c r="D415" s="35">
        <f>((1+C415)^12)-1</f>
        <v/>
      </c>
      <c r="E415" s="35">
        <f>(Table143454[[#This Row],[USA]]-B403)/B403</f>
        <v/>
      </c>
      <c r="F415" s="34">
        <f>VLOOKUP(Table143454[[#This Row],[Date]],'Data Core CPI'!$A:$AX,MATCH($B$2,'Data Core CPI'!$B$1:$AX$1,0),FALSE)</f>
        <v/>
      </c>
      <c r="G415" s="35">
        <f>(F415/F414)-1</f>
        <v/>
      </c>
      <c r="H415" s="35">
        <f>((1+G415)^12)-1</f>
        <v/>
      </c>
      <c r="I415" s="35">
        <f>(Table143454[[#This Row],[Core CPI]]-F403)/F403</f>
        <v/>
      </c>
    </row>
    <row r="416">
      <c r="A416" s="33">
        <f>IF(Data!A443="",#N/A,Data!A443)</f>
        <v/>
      </c>
      <c r="B416" s="34">
        <f>VLOOKUP(A416,Data!A:AX,MATCH($B$2,Data!$B$1:$AX$1,0),FALSE)</f>
        <v/>
      </c>
      <c r="C416" s="35">
        <f>(B416/B415)-1</f>
        <v/>
      </c>
      <c r="D416" s="35">
        <f>((1+C416)^12)-1</f>
        <v/>
      </c>
      <c r="E416" s="35">
        <f>(Table143454[[#This Row],[USA]]-B404)/B404</f>
        <v/>
      </c>
      <c r="F416" s="34">
        <f>VLOOKUP(Table143454[[#This Row],[Date]],'Data Core CPI'!$A:$AX,MATCH($B$2,'Data Core CPI'!$B$1:$AX$1,0),FALSE)</f>
        <v/>
      </c>
      <c r="G416" s="35">
        <f>(F416/F415)-1</f>
        <v/>
      </c>
      <c r="H416" s="35">
        <f>((1+G416)^12)-1</f>
        <v/>
      </c>
      <c r="I416" s="35">
        <f>(Table143454[[#This Row],[Core CPI]]-F404)/F404</f>
        <v/>
      </c>
    </row>
    <row r="417">
      <c r="A417" s="33">
        <f>IF(Data!A444="",#N/A,Data!A444)</f>
        <v/>
      </c>
      <c r="B417" s="34">
        <f>VLOOKUP(A417,Data!A:AX,MATCH($B$2,Data!$B$1:$AX$1,0),FALSE)</f>
        <v/>
      </c>
      <c r="C417" s="35">
        <f>(B417/B416)-1</f>
        <v/>
      </c>
      <c r="D417" s="35">
        <f>((1+C417)^12)-1</f>
        <v/>
      </c>
      <c r="E417" s="35">
        <f>(Table143454[[#This Row],[USA]]-B405)/B405</f>
        <v/>
      </c>
      <c r="F417" s="34">
        <f>VLOOKUP(Table143454[[#This Row],[Date]],'Data Core CPI'!$A:$AX,MATCH($B$2,'Data Core CPI'!$B$1:$AX$1,0),FALSE)</f>
        <v/>
      </c>
      <c r="G417" s="35">
        <f>(F417/F416)-1</f>
        <v/>
      </c>
      <c r="H417" s="35">
        <f>((1+G417)^12)-1</f>
        <v/>
      </c>
      <c r="I417" s="35">
        <f>(Table143454[[#This Row],[Core CPI]]-F405)/F405</f>
        <v/>
      </c>
    </row>
    <row r="418">
      <c r="A418" s="33">
        <f>IF(Data!A445="",#N/A,Data!A445)</f>
        <v/>
      </c>
      <c r="B418" s="34">
        <f>VLOOKUP(A418,Data!A:AX,MATCH($B$2,Data!$B$1:$AX$1,0),FALSE)</f>
        <v/>
      </c>
      <c r="C418" s="35">
        <f>(B418/B417)-1</f>
        <v/>
      </c>
      <c r="D418" s="35">
        <f>((1+C418)^12)-1</f>
        <v/>
      </c>
      <c r="E418" s="35">
        <f>(Table143454[[#This Row],[USA]]-B406)/B406</f>
        <v/>
      </c>
      <c r="F418" s="34">
        <f>VLOOKUP(Table143454[[#This Row],[Date]],'Data Core CPI'!$A:$AX,MATCH($B$2,'Data Core CPI'!$B$1:$AX$1,0),FALSE)</f>
        <v/>
      </c>
      <c r="G418" s="35">
        <f>(F418/F417)-1</f>
        <v/>
      </c>
      <c r="H418" s="35">
        <f>((1+G418)^12)-1</f>
        <v/>
      </c>
      <c r="I418" s="35">
        <f>(Table143454[[#This Row],[Core CPI]]-F406)/F406</f>
        <v/>
      </c>
    </row>
    <row r="419">
      <c r="A419" s="33">
        <f>IF(Data!A446="",#N/A,Data!A446)</f>
        <v/>
      </c>
      <c r="B419" s="34">
        <f>VLOOKUP(A419,Data!A:AX,MATCH($B$2,Data!$B$1:$AX$1,0),FALSE)</f>
        <v/>
      </c>
      <c r="C419" s="35">
        <f>(B419/B418)-1</f>
        <v/>
      </c>
      <c r="D419" s="35">
        <f>((1+C419)^12)-1</f>
        <v/>
      </c>
      <c r="E419" s="35">
        <f>(Table143454[[#This Row],[USA]]-B407)/B407</f>
        <v/>
      </c>
      <c r="F419" s="34">
        <f>VLOOKUP(Table143454[[#This Row],[Date]],'Data Core CPI'!$A:$AX,MATCH($B$2,'Data Core CPI'!$B$1:$AX$1,0),FALSE)</f>
        <v/>
      </c>
      <c r="G419" s="35">
        <f>(F419/F418)-1</f>
        <v/>
      </c>
      <c r="H419" s="35">
        <f>((1+G419)^12)-1</f>
        <v/>
      </c>
      <c r="I419" s="35">
        <f>(Table143454[[#This Row],[Core CPI]]-F407)/F407</f>
        <v/>
      </c>
    </row>
    <row r="420">
      <c r="A420" s="33">
        <f>IF(Data!A447="",#N/A,Data!A447)</f>
        <v/>
      </c>
      <c r="B420" s="34">
        <f>VLOOKUP(A420,Data!A:AX,MATCH($B$2,Data!$B$1:$AX$1,0),FALSE)</f>
        <v/>
      </c>
      <c r="C420" s="35">
        <f>(B420/B419)-1</f>
        <v/>
      </c>
      <c r="D420" s="35">
        <f>((1+C420)^12)-1</f>
        <v/>
      </c>
      <c r="E420" s="35">
        <f>(Table143454[[#This Row],[USA]]-B408)/B408</f>
        <v/>
      </c>
      <c r="F420" s="34">
        <f>VLOOKUP(Table143454[[#This Row],[Date]],'Data Core CPI'!$A:$AX,MATCH($B$2,'Data Core CPI'!$B$1:$AX$1,0),FALSE)</f>
        <v/>
      </c>
      <c r="G420" s="35">
        <f>(F420/F419)-1</f>
        <v/>
      </c>
      <c r="H420" s="35">
        <f>((1+G420)^12)-1</f>
        <v/>
      </c>
      <c r="I420" s="35">
        <f>(Table143454[[#This Row],[Core CPI]]-F408)/F408</f>
        <v/>
      </c>
    </row>
    <row r="421">
      <c r="A421" s="33">
        <f>IF(Data!A448="",#N/A,Data!A448)</f>
        <v/>
      </c>
      <c r="B421" s="34">
        <f>VLOOKUP(A421,Data!A:AX,MATCH($B$2,Data!$B$1:$AX$1,0),FALSE)</f>
        <v/>
      </c>
      <c r="C421" s="35">
        <f>(B421/B420)-1</f>
        <v/>
      </c>
      <c r="D421" s="35">
        <f>((1+C421)^12)-1</f>
        <v/>
      </c>
      <c r="E421" s="35">
        <f>(Table143454[[#This Row],[USA]]-B409)/B409</f>
        <v/>
      </c>
      <c r="F421" s="34">
        <f>VLOOKUP(Table143454[[#This Row],[Date]],'Data Core CPI'!$A:$AX,MATCH($B$2,'Data Core CPI'!$B$1:$AX$1,0),FALSE)</f>
        <v/>
      </c>
      <c r="G421" s="35">
        <f>(F421/F420)-1</f>
        <v/>
      </c>
      <c r="H421" s="35">
        <f>((1+G421)^12)-1</f>
        <v/>
      </c>
      <c r="I421" s="35">
        <f>(Table143454[[#This Row],[Core CPI]]-F409)/F409</f>
        <v/>
      </c>
    </row>
    <row r="422">
      <c r="A422" s="33">
        <f>IF(Data!A449="",#N/A,Data!A449)</f>
        <v/>
      </c>
      <c r="B422" s="34">
        <f>VLOOKUP(A422,Data!A:AX,MATCH($B$2,Data!$B$1:$AX$1,0),FALSE)</f>
        <v/>
      </c>
      <c r="C422" s="35">
        <f>(B422/B421)-1</f>
        <v/>
      </c>
      <c r="D422" s="35">
        <f>((1+C422)^12)-1</f>
        <v/>
      </c>
      <c r="E422" s="35">
        <f>(Table143454[[#This Row],[USA]]-B410)/B410</f>
        <v/>
      </c>
      <c r="F422" s="34">
        <f>VLOOKUP(Table143454[[#This Row],[Date]],'Data Core CPI'!$A:$AX,MATCH($B$2,'Data Core CPI'!$B$1:$AX$1,0),FALSE)</f>
        <v/>
      </c>
      <c r="G422" s="35">
        <f>(F422/F421)-1</f>
        <v/>
      </c>
      <c r="H422" s="35">
        <f>((1+G422)^12)-1</f>
        <v/>
      </c>
      <c r="I422" s="35">
        <f>(Table143454[[#This Row],[Core CPI]]-F410)/F410</f>
        <v/>
      </c>
    </row>
    <row r="423">
      <c r="A423" s="33">
        <f>IF(Data!A450="",#N/A,Data!A450)</f>
        <v/>
      </c>
      <c r="B423" s="34">
        <f>VLOOKUP(A423,Data!A:AX,MATCH($B$2,Data!$B$1:$AX$1,0),FALSE)</f>
        <v/>
      </c>
      <c r="C423" s="35">
        <f>(B423/B422)-1</f>
        <v/>
      </c>
      <c r="D423" s="35">
        <f>((1+C423)^12)-1</f>
        <v/>
      </c>
      <c r="E423" s="35">
        <f>(Table143454[[#This Row],[USA]]-B411)/B411</f>
        <v/>
      </c>
      <c r="F423" s="34">
        <f>VLOOKUP(Table143454[[#This Row],[Date]],'Data Core CPI'!$A:$AX,MATCH($B$2,'Data Core CPI'!$B$1:$AX$1,0),FALSE)</f>
        <v/>
      </c>
      <c r="G423" s="35">
        <f>(F423/F422)-1</f>
        <v/>
      </c>
      <c r="H423" s="35">
        <f>((1+G423)^12)-1</f>
        <v/>
      </c>
      <c r="I423" s="35">
        <f>(Table143454[[#This Row],[Core CPI]]-F411)/F411</f>
        <v/>
      </c>
    </row>
    <row r="424">
      <c r="A424" s="33">
        <f>IF(Data!A451="",#N/A,Data!A451)</f>
        <v/>
      </c>
      <c r="B424" s="34">
        <f>VLOOKUP(A424,Data!A:AX,MATCH($B$2,Data!$B$1:$AX$1,0),FALSE)</f>
        <v/>
      </c>
      <c r="C424" s="35">
        <f>(B424/B423)-1</f>
        <v/>
      </c>
      <c r="D424" s="35">
        <f>((1+C424)^12)-1</f>
        <v/>
      </c>
      <c r="E424" s="35">
        <f>(Table143454[[#This Row],[USA]]-B412)/B412</f>
        <v/>
      </c>
      <c r="F424" s="34">
        <f>VLOOKUP(Table143454[[#This Row],[Date]],'Data Core CPI'!$A:$AX,MATCH($B$2,'Data Core CPI'!$B$1:$AX$1,0),FALSE)</f>
        <v/>
      </c>
      <c r="G424" s="35">
        <f>(F424/F423)-1</f>
        <v/>
      </c>
      <c r="H424" s="35">
        <f>((1+G424)^12)-1</f>
        <v/>
      </c>
      <c r="I424" s="35">
        <f>(Table143454[[#This Row],[Core CPI]]-F412)/F412</f>
        <v/>
      </c>
    </row>
    <row r="425">
      <c r="A425" s="33">
        <f>IF(Data!A452="",#N/A,Data!A452)</f>
        <v/>
      </c>
      <c r="B425" s="34">
        <f>VLOOKUP(A425,Data!A:AX,MATCH($B$2,Data!$B$1:$AX$1,0),FALSE)</f>
        <v/>
      </c>
      <c r="C425" s="35">
        <f>(B425/B424)-1</f>
        <v/>
      </c>
      <c r="D425" s="35">
        <f>((1+C425)^12)-1</f>
        <v/>
      </c>
      <c r="E425" s="35">
        <f>(Table143454[[#This Row],[USA]]-B413)/B413</f>
        <v/>
      </c>
      <c r="F425" s="34">
        <f>VLOOKUP(Table143454[[#This Row],[Date]],'Data Core CPI'!$A:$AX,MATCH($B$2,'Data Core CPI'!$B$1:$AX$1,0),FALSE)</f>
        <v/>
      </c>
      <c r="G425" s="35">
        <f>(F425/F424)-1</f>
        <v/>
      </c>
      <c r="H425" s="35">
        <f>((1+G425)^12)-1</f>
        <v/>
      </c>
      <c r="I425" s="35">
        <f>(Table143454[[#This Row],[Core CPI]]-F413)/F413</f>
        <v/>
      </c>
    </row>
    <row r="426">
      <c r="A426" s="33">
        <f>IF(Data!A453="",#N/A,Data!A453)</f>
        <v/>
      </c>
      <c r="B426" s="34">
        <f>VLOOKUP(A426,Data!A:AX,MATCH($B$2,Data!$B$1:$AX$1,0),FALSE)</f>
        <v/>
      </c>
      <c r="C426" s="35">
        <f>(B426/B425)-1</f>
        <v/>
      </c>
      <c r="D426" s="35">
        <f>((1+C426)^12)-1</f>
        <v/>
      </c>
      <c r="E426" s="35">
        <f>(Table143454[[#This Row],[USA]]-B414)/B414</f>
        <v/>
      </c>
      <c r="F426" s="34">
        <f>VLOOKUP(Table143454[[#This Row],[Date]],'Data Core CPI'!$A:$AX,MATCH($B$2,'Data Core CPI'!$B$1:$AX$1,0),FALSE)</f>
        <v/>
      </c>
      <c r="G426" s="35">
        <f>(F426/F425)-1</f>
        <v/>
      </c>
      <c r="H426" s="35">
        <f>((1+G426)^12)-1</f>
        <v/>
      </c>
      <c r="I426" s="35">
        <f>(Table143454[[#This Row],[Core CPI]]-F414)/F414</f>
        <v/>
      </c>
    </row>
    <row r="427">
      <c r="A427" s="33">
        <f>IF(Data!A454="",#N/A,Data!A454)</f>
        <v/>
      </c>
      <c r="B427" s="34">
        <f>VLOOKUP(A427,Data!A:AX,MATCH($B$2,Data!$B$1:$AX$1,0),FALSE)</f>
        <v/>
      </c>
      <c r="C427" s="35">
        <f>(B427/B426)-1</f>
        <v/>
      </c>
      <c r="D427" s="35">
        <f>((1+C427)^12)-1</f>
        <v/>
      </c>
      <c r="E427" s="35">
        <f>(Table143454[[#This Row],[USA]]-B415)/B415</f>
        <v/>
      </c>
      <c r="F427" s="34">
        <f>VLOOKUP(Table143454[[#This Row],[Date]],'Data Core CPI'!$A:$AX,MATCH($B$2,'Data Core CPI'!$B$1:$AX$1,0),FALSE)</f>
        <v/>
      </c>
      <c r="G427" s="35">
        <f>(F427/F426)-1</f>
        <v/>
      </c>
      <c r="H427" s="35">
        <f>((1+G427)^12)-1</f>
        <v/>
      </c>
      <c r="I427" s="35">
        <f>(Table143454[[#This Row],[Core CPI]]-F415)/F415</f>
        <v/>
      </c>
    </row>
    <row r="428">
      <c r="A428" s="33">
        <f>IF(Data!A455="",#N/A,Data!A455)</f>
        <v/>
      </c>
      <c r="B428" s="34">
        <f>VLOOKUP(A428,Data!A:AX,MATCH($B$2,Data!$B$1:$AX$1,0),FALSE)</f>
        <v/>
      </c>
      <c r="C428" s="35">
        <f>(B428/B427)-1</f>
        <v/>
      </c>
      <c r="D428" s="35">
        <f>((1+C428)^12)-1</f>
        <v/>
      </c>
      <c r="E428" s="35">
        <f>(Table143454[[#This Row],[USA]]-B416)/B416</f>
        <v/>
      </c>
      <c r="F428" s="34">
        <f>VLOOKUP(Table143454[[#This Row],[Date]],'Data Core CPI'!$A:$AX,MATCH($B$2,'Data Core CPI'!$B$1:$AX$1,0),FALSE)</f>
        <v/>
      </c>
      <c r="G428" s="35">
        <f>(F428/F427)-1</f>
        <v/>
      </c>
      <c r="H428" s="35">
        <f>((1+G428)^12)-1</f>
        <v/>
      </c>
      <c r="I428" s="35">
        <f>(Table143454[[#This Row],[Core CPI]]-F416)/F416</f>
        <v/>
      </c>
    </row>
    <row r="429">
      <c r="A429" s="33">
        <f>IF(Data!A456="",#N/A,Data!A456)</f>
        <v/>
      </c>
      <c r="B429" s="34">
        <f>VLOOKUP(A429,Data!A:AX,MATCH($B$2,Data!$B$1:$AX$1,0),FALSE)</f>
        <v/>
      </c>
      <c r="C429" s="35">
        <f>(B429/B428)-1</f>
        <v/>
      </c>
      <c r="D429" s="35">
        <f>((1+C429)^12)-1</f>
        <v/>
      </c>
      <c r="E429" s="35">
        <f>(Table143454[[#This Row],[USA]]-B417)/B417</f>
        <v/>
      </c>
      <c r="F429" s="34">
        <f>VLOOKUP(Table143454[[#This Row],[Date]],'Data Core CPI'!$A:$AX,MATCH($B$2,'Data Core CPI'!$B$1:$AX$1,0),FALSE)</f>
        <v/>
      </c>
      <c r="G429" s="35">
        <f>(F429/F428)-1</f>
        <v/>
      </c>
      <c r="H429" s="35">
        <f>((1+G429)^12)-1</f>
        <v/>
      </c>
      <c r="I429" s="35">
        <f>(Table143454[[#This Row],[Core CPI]]-F417)/F417</f>
        <v/>
      </c>
    </row>
    <row r="430">
      <c r="A430" s="33">
        <f>IF(Data!A457="",#N/A,Data!A457)</f>
        <v/>
      </c>
      <c r="B430" s="34">
        <f>VLOOKUP(A430,Data!A:AX,MATCH($B$2,Data!$B$1:$AX$1,0),FALSE)</f>
        <v/>
      </c>
      <c r="C430" s="35">
        <f>(B430/B429)-1</f>
        <v/>
      </c>
      <c r="D430" s="35">
        <f>((1+C430)^12)-1</f>
        <v/>
      </c>
      <c r="E430" s="35">
        <f>(Table143454[[#This Row],[USA]]-B418)/B418</f>
        <v/>
      </c>
      <c r="F430" s="34">
        <f>VLOOKUP(Table143454[[#This Row],[Date]],'Data Core CPI'!$A:$AX,MATCH($B$2,'Data Core CPI'!$B$1:$AX$1,0),FALSE)</f>
        <v/>
      </c>
      <c r="G430" s="35">
        <f>(F430/F429)-1</f>
        <v/>
      </c>
      <c r="H430" s="35">
        <f>((1+G430)^12)-1</f>
        <v/>
      </c>
      <c r="I430" s="35">
        <f>(Table143454[[#This Row],[Core CPI]]-F418)/F418</f>
        <v/>
      </c>
    </row>
    <row r="431">
      <c r="A431" s="33">
        <f>IF(Data!A458="",#N/A,Data!A458)</f>
        <v/>
      </c>
      <c r="B431" s="34">
        <f>VLOOKUP(A431,Data!A:AX,MATCH($B$2,Data!$B$1:$AX$1,0),FALSE)</f>
        <v/>
      </c>
      <c r="C431" s="35">
        <f>(B431/B430)-1</f>
        <v/>
      </c>
      <c r="D431" s="35">
        <f>((1+C431)^12)-1</f>
        <v/>
      </c>
      <c r="E431" s="35">
        <f>(Table143454[[#This Row],[USA]]-B419)/B419</f>
        <v/>
      </c>
      <c r="F431" s="34">
        <f>VLOOKUP(Table143454[[#This Row],[Date]],'Data Core CPI'!$A:$AX,MATCH($B$2,'Data Core CPI'!$B$1:$AX$1,0),FALSE)</f>
        <v/>
      </c>
      <c r="G431" s="35">
        <f>(F431/F430)-1</f>
        <v/>
      </c>
      <c r="H431" s="35">
        <f>((1+G431)^12)-1</f>
        <v/>
      </c>
      <c r="I431" s="35">
        <f>(Table143454[[#This Row],[Core CPI]]-F419)/F419</f>
        <v/>
      </c>
    </row>
    <row r="432">
      <c r="A432" s="33">
        <f>IF(Data!A459="",#N/A,Data!A459)</f>
        <v/>
      </c>
      <c r="B432" s="34">
        <f>VLOOKUP(A432,Data!A:AX,MATCH($B$2,Data!$B$1:$AX$1,0),FALSE)</f>
        <v/>
      </c>
      <c r="C432" s="35">
        <f>(B432/B431)-1</f>
        <v/>
      </c>
      <c r="D432" s="35">
        <f>((1+C432)^12)-1</f>
        <v/>
      </c>
      <c r="E432" s="35">
        <f>(Table143454[[#This Row],[USA]]-B420)/B420</f>
        <v/>
      </c>
      <c r="F432" s="34">
        <f>VLOOKUP(Table143454[[#This Row],[Date]],'Data Core CPI'!$A:$AX,MATCH($B$2,'Data Core CPI'!$B$1:$AX$1,0),FALSE)</f>
        <v/>
      </c>
      <c r="G432" s="35">
        <f>(F432/F431)-1</f>
        <v/>
      </c>
      <c r="H432" s="35">
        <f>((1+G432)^12)-1</f>
        <v/>
      </c>
      <c r="I432" s="35">
        <f>(Table143454[[#This Row],[Core CPI]]-F420)/F420</f>
        <v/>
      </c>
    </row>
    <row r="433">
      <c r="A433" s="33">
        <f>IF(Data!A460="",#N/A,Data!A460)</f>
        <v/>
      </c>
      <c r="B433" s="34">
        <f>VLOOKUP(A433,Data!A:AX,MATCH($B$2,Data!$B$1:$AX$1,0),FALSE)</f>
        <v/>
      </c>
      <c r="C433" s="35">
        <f>(B433/B432)-1</f>
        <v/>
      </c>
      <c r="D433" s="35">
        <f>((1+C433)^12)-1</f>
        <v/>
      </c>
      <c r="E433" s="35">
        <f>(Table143454[[#This Row],[USA]]-B421)/B421</f>
        <v/>
      </c>
      <c r="F433" s="34">
        <f>VLOOKUP(Table143454[[#This Row],[Date]],'Data Core CPI'!$A:$AX,MATCH($B$2,'Data Core CPI'!$B$1:$AX$1,0),FALSE)</f>
        <v/>
      </c>
      <c r="G433" s="35">
        <f>(F433/F432)-1</f>
        <v/>
      </c>
      <c r="H433" s="35">
        <f>((1+G433)^12)-1</f>
        <v/>
      </c>
      <c r="I433" s="35">
        <f>(Table143454[[#This Row],[Core CPI]]-F421)/F421</f>
        <v/>
      </c>
    </row>
    <row r="434">
      <c r="A434" s="33">
        <f>IF(Data!A461="",#N/A,Data!A461)</f>
        <v/>
      </c>
      <c r="B434" s="34">
        <f>VLOOKUP(A434,Data!A:AX,MATCH($B$2,Data!$B$1:$AX$1,0),FALSE)</f>
        <v/>
      </c>
      <c r="C434" s="35">
        <f>(B434/B433)-1</f>
        <v/>
      </c>
      <c r="D434" s="35">
        <f>((1+C434)^12)-1</f>
        <v/>
      </c>
      <c r="E434" s="35">
        <f>(Table143454[[#This Row],[USA]]-B422)/B422</f>
        <v/>
      </c>
      <c r="F434" s="34">
        <f>VLOOKUP(Table143454[[#This Row],[Date]],'Data Core CPI'!$A:$AX,MATCH($B$2,'Data Core CPI'!$B$1:$AX$1,0),FALSE)</f>
        <v/>
      </c>
      <c r="G434" s="35">
        <f>(F434/F433)-1</f>
        <v/>
      </c>
      <c r="H434" s="35">
        <f>((1+G434)^12)-1</f>
        <v/>
      </c>
      <c r="I434" s="35">
        <f>(Table143454[[#This Row],[Core CPI]]-F422)/F422</f>
        <v/>
      </c>
    </row>
    <row r="435">
      <c r="A435" s="33">
        <f>IF(Data!A462="",#N/A,Data!A462)</f>
        <v/>
      </c>
      <c r="B435" s="34">
        <f>VLOOKUP(A435,Data!A:AX,MATCH($B$2,Data!$B$1:$AX$1,0),FALSE)</f>
        <v/>
      </c>
      <c r="C435" s="35">
        <f>(B435/B434)-1</f>
        <v/>
      </c>
      <c r="D435" s="35">
        <f>((1+C435)^12)-1</f>
        <v/>
      </c>
      <c r="E435" s="35">
        <f>(Table143454[[#This Row],[USA]]-B423)/B423</f>
        <v/>
      </c>
      <c r="F435" s="34">
        <f>VLOOKUP(Table143454[[#This Row],[Date]],'Data Core CPI'!$A:$AX,MATCH($B$2,'Data Core CPI'!$B$1:$AX$1,0),FALSE)</f>
        <v/>
      </c>
      <c r="G435" s="35">
        <f>(F435/F434)-1</f>
        <v/>
      </c>
      <c r="H435" s="35">
        <f>((1+G435)^12)-1</f>
        <v/>
      </c>
      <c r="I435" s="35">
        <f>(Table143454[[#This Row],[Core CPI]]-F423)/F423</f>
        <v/>
      </c>
    </row>
    <row r="436">
      <c r="A436" s="33">
        <f>IF(Data!A463="",#N/A,Data!A463)</f>
        <v/>
      </c>
      <c r="B436" s="34">
        <f>VLOOKUP(A436,Data!A:AX,MATCH($B$2,Data!$B$1:$AX$1,0),FALSE)</f>
        <v/>
      </c>
      <c r="C436" s="35">
        <f>(B436/B435)-1</f>
        <v/>
      </c>
      <c r="D436" s="35">
        <f>((1+C436)^12)-1</f>
        <v/>
      </c>
      <c r="E436" s="35">
        <f>(Table143454[[#This Row],[USA]]-B424)/B424</f>
        <v/>
      </c>
      <c r="F436" s="34">
        <f>VLOOKUP(Table143454[[#This Row],[Date]],'Data Core CPI'!$A:$AX,MATCH($B$2,'Data Core CPI'!$B$1:$AX$1,0),FALSE)</f>
        <v/>
      </c>
      <c r="G436" s="35">
        <f>(F436/F435)-1</f>
        <v/>
      </c>
      <c r="H436" s="35">
        <f>((1+G436)^12)-1</f>
        <v/>
      </c>
      <c r="I436" s="35">
        <f>(Table143454[[#This Row],[Core CPI]]-F424)/F424</f>
        <v/>
      </c>
    </row>
    <row r="437">
      <c r="A437" s="33">
        <f>IF(Data!A464="",#N/A,Data!A464)</f>
        <v/>
      </c>
      <c r="B437" s="34">
        <f>VLOOKUP(A437,Data!A:AX,MATCH($B$2,Data!$B$1:$AX$1,0),FALSE)</f>
        <v/>
      </c>
      <c r="C437" s="35">
        <f>(B437/B436)-1</f>
        <v/>
      </c>
      <c r="D437" s="35">
        <f>((1+C437)^12)-1</f>
        <v/>
      </c>
      <c r="E437" s="35">
        <f>(Table143454[[#This Row],[USA]]-B425)/B425</f>
        <v/>
      </c>
      <c r="F437" s="34">
        <f>VLOOKUP(Table143454[[#This Row],[Date]],'Data Core CPI'!$A:$AX,MATCH($B$2,'Data Core CPI'!$B$1:$AX$1,0),FALSE)</f>
        <v/>
      </c>
      <c r="G437" s="35">
        <f>(F437/F436)-1</f>
        <v/>
      </c>
      <c r="H437" s="35">
        <f>((1+G437)^12)-1</f>
        <v/>
      </c>
      <c r="I437" s="35">
        <f>(Table143454[[#This Row],[Core CPI]]-F425)/F425</f>
        <v/>
      </c>
    </row>
    <row r="438">
      <c r="A438" s="33">
        <f>IF(Data!A465="",#N/A,Data!A465)</f>
        <v/>
      </c>
      <c r="B438" s="34">
        <f>VLOOKUP(A438,Data!A:AX,MATCH($B$2,Data!$B$1:$AX$1,0),FALSE)</f>
        <v/>
      </c>
      <c r="C438" s="35">
        <f>(B438/B437)-1</f>
        <v/>
      </c>
      <c r="D438" s="35">
        <f>((1+C438)^12)-1</f>
        <v/>
      </c>
      <c r="E438" s="35">
        <f>(Table143454[[#This Row],[USA]]-B426)/B426</f>
        <v/>
      </c>
      <c r="F438" s="34">
        <f>VLOOKUP(Table143454[[#This Row],[Date]],'Data Core CPI'!$A:$AX,MATCH($B$2,'Data Core CPI'!$B$1:$AX$1,0),FALSE)</f>
        <v/>
      </c>
      <c r="G438" s="35">
        <f>(F438/F437)-1</f>
        <v/>
      </c>
      <c r="H438" s="35">
        <f>((1+G438)^12)-1</f>
        <v/>
      </c>
      <c r="I438" s="35">
        <f>(Table143454[[#This Row],[Core CPI]]-F426)/F426</f>
        <v/>
      </c>
    </row>
    <row r="439">
      <c r="A439" s="33">
        <f>IF(Data!A466="",#N/A,Data!A466)</f>
        <v/>
      </c>
      <c r="B439" s="34">
        <f>VLOOKUP(A439,Data!A:AX,MATCH($B$2,Data!$B$1:$AX$1,0),FALSE)</f>
        <v/>
      </c>
      <c r="C439" s="35">
        <f>(B439/B438)-1</f>
        <v/>
      </c>
      <c r="D439" s="35">
        <f>((1+C439)^12)-1</f>
        <v/>
      </c>
      <c r="E439" s="35">
        <f>(Table143454[[#This Row],[USA]]-B427)/B427</f>
        <v/>
      </c>
      <c r="F439" s="34">
        <f>VLOOKUP(Table143454[[#This Row],[Date]],'Data Core CPI'!$A:$AX,MATCH($B$2,'Data Core CPI'!$B$1:$AX$1,0),FALSE)</f>
        <v/>
      </c>
      <c r="G439" s="35">
        <f>(F439/F438)-1</f>
        <v/>
      </c>
      <c r="H439" s="35">
        <f>((1+G439)^12)-1</f>
        <v/>
      </c>
      <c r="I439" s="35">
        <f>(Table143454[[#This Row],[Core CPI]]-F427)/F427</f>
        <v/>
      </c>
    </row>
    <row r="440">
      <c r="A440" s="33">
        <f>IF(Data!A467="",#N/A,Data!A467)</f>
        <v/>
      </c>
      <c r="B440" s="34">
        <f>VLOOKUP(A440,Data!A:AX,MATCH($B$2,Data!$B$1:$AX$1,0),FALSE)</f>
        <v/>
      </c>
      <c r="C440" s="35">
        <f>(B440/B439)-1</f>
        <v/>
      </c>
      <c r="D440" s="35">
        <f>((1+C440)^12)-1</f>
        <v/>
      </c>
      <c r="E440" s="35">
        <f>(Table143454[[#This Row],[USA]]-B428)/B428</f>
        <v/>
      </c>
      <c r="F440" s="34">
        <f>VLOOKUP(Table143454[[#This Row],[Date]],'Data Core CPI'!$A:$AX,MATCH($B$2,'Data Core CPI'!$B$1:$AX$1,0),FALSE)</f>
        <v/>
      </c>
      <c r="G440" s="35">
        <f>(F440/F439)-1</f>
        <v/>
      </c>
      <c r="H440" s="35">
        <f>((1+G440)^12)-1</f>
        <v/>
      </c>
      <c r="I440" s="35">
        <f>(Table143454[[#This Row],[Core CPI]]-F428)/F428</f>
        <v/>
      </c>
    </row>
    <row r="441">
      <c r="A441" s="33">
        <f>IF(Data!A468="",#N/A,Data!A468)</f>
        <v/>
      </c>
      <c r="B441" s="34">
        <f>VLOOKUP(A441,Data!A:AX,MATCH($B$2,Data!$B$1:$AX$1,0),FALSE)</f>
        <v/>
      </c>
      <c r="C441" s="35">
        <f>(B441/B440)-1</f>
        <v/>
      </c>
      <c r="D441" s="35">
        <f>((1+C441)^12)-1</f>
        <v/>
      </c>
      <c r="E441" s="35">
        <f>(Table143454[[#This Row],[USA]]-B429)/B429</f>
        <v/>
      </c>
      <c r="F441" s="34">
        <f>VLOOKUP(Table143454[[#This Row],[Date]],'Data Core CPI'!$A:$AX,MATCH($B$2,'Data Core CPI'!$B$1:$AX$1,0),FALSE)</f>
        <v/>
      </c>
      <c r="G441" s="35">
        <f>(F441/F440)-1</f>
        <v/>
      </c>
      <c r="H441" s="35">
        <f>((1+G441)^12)-1</f>
        <v/>
      </c>
      <c r="I441" s="35">
        <f>(Table143454[[#This Row],[Core CPI]]-F429)/F429</f>
        <v/>
      </c>
    </row>
    <row r="442">
      <c r="A442" s="33">
        <f>IF(Data!A469="",#N/A,Data!A469)</f>
        <v/>
      </c>
      <c r="B442" s="34">
        <f>VLOOKUP(A442,Data!A:AX,MATCH($B$2,Data!$B$1:$AX$1,0),FALSE)</f>
        <v/>
      </c>
      <c r="C442" s="35">
        <f>(B442/B441)-1</f>
        <v/>
      </c>
      <c r="D442" s="35">
        <f>((1+C442)^12)-1</f>
        <v/>
      </c>
      <c r="E442" s="35">
        <f>(Table143454[[#This Row],[USA]]-B430)/B430</f>
        <v/>
      </c>
      <c r="F442" s="34">
        <f>VLOOKUP(Table143454[[#This Row],[Date]],'Data Core CPI'!$A:$AX,MATCH($B$2,'Data Core CPI'!$B$1:$AX$1,0),FALSE)</f>
        <v/>
      </c>
      <c r="G442" s="35">
        <f>(F442/F441)-1</f>
        <v/>
      </c>
      <c r="H442" s="35">
        <f>((1+G442)^12)-1</f>
        <v/>
      </c>
      <c r="I442" s="35">
        <f>(Table143454[[#This Row],[Core CPI]]-F430)/F430</f>
        <v/>
      </c>
    </row>
    <row r="443">
      <c r="A443" s="33">
        <f>IF(Data!A470="",#N/A,Data!A470)</f>
        <v/>
      </c>
      <c r="B443" s="34">
        <f>VLOOKUP(A443,Data!A:AX,MATCH($B$2,Data!$B$1:$AX$1,0),FALSE)</f>
        <v/>
      </c>
      <c r="C443" s="35">
        <f>(B443/B442)-1</f>
        <v/>
      </c>
      <c r="D443" s="35">
        <f>((1+C443)^12)-1</f>
        <v/>
      </c>
      <c r="E443" s="35">
        <f>(Table143454[[#This Row],[USA]]-B431)/B431</f>
        <v/>
      </c>
      <c r="F443" s="34">
        <f>VLOOKUP(Table143454[[#This Row],[Date]],'Data Core CPI'!$A:$AX,MATCH($B$2,'Data Core CPI'!$B$1:$AX$1,0),FALSE)</f>
        <v/>
      </c>
      <c r="G443" s="35">
        <f>(F443/F442)-1</f>
        <v/>
      </c>
      <c r="H443" s="35">
        <f>((1+G443)^12)-1</f>
        <v/>
      </c>
      <c r="I443" s="35">
        <f>(Table143454[[#This Row],[Core CPI]]-F431)/F431</f>
        <v/>
      </c>
    </row>
    <row r="444">
      <c r="A444" s="33">
        <f>IF(Data!A471="",#N/A,Data!A471)</f>
        <v/>
      </c>
      <c r="B444" s="34">
        <f>VLOOKUP(A444,Data!A:AX,MATCH($B$2,Data!$B$1:$AX$1,0),FALSE)</f>
        <v/>
      </c>
      <c r="C444" s="35">
        <f>(B444/B443)-1</f>
        <v/>
      </c>
      <c r="D444" s="35">
        <f>((1+C444)^12)-1</f>
        <v/>
      </c>
      <c r="E444" s="35">
        <f>(Table143454[[#This Row],[USA]]-B432)/B432</f>
        <v/>
      </c>
      <c r="F444" s="34">
        <f>VLOOKUP(Table143454[[#This Row],[Date]],'Data Core CPI'!$A:$AX,MATCH($B$2,'Data Core CPI'!$B$1:$AX$1,0),FALSE)</f>
        <v/>
      </c>
      <c r="G444" s="35">
        <f>(F444/F443)-1</f>
        <v/>
      </c>
      <c r="H444" s="35">
        <f>((1+G444)^12)-1</f>
        <v/>
      </c>
      <c r="I444" s="35">
        <f>(Table143454[[#This Row],[Core CPI]]-F432)/F432</f>
        <v/>
      </c>
    </row>
    <row r="445">
      <c r="A445" s="33">
        <f>IF(Data!A472="",#N/A,Data!A472)</f>
        <v/>
      </c>
      <c r="B445" s="34">
        <f>VLOOKUP(A445,Data!A:AX,MATCH($B$2,Data!$B$1:$AX$1,0),FALSE)</f>
        <v/>
      </c>
      <c r="C445" s="35">
        <f>(B445/B444)-1</f>
        <v/>
      </c>
      <c r="D445" s="35">
        <f>((1+C445)^12)-1</f>
        <v/>
      </c>
      <c r="E445" s="35">
        <f>(Table143454[[#This Row],[USA]]-B433)/B433</f>
        <v/>
      </c>
      <c r="F445" s="34">
        <f>VLOOKUP(Table143454[[#This Row],[Date]],'Data Core CPI'!$A:$AX,MATCH($B$2,'Data Core CPI'!$B$1:$AX$1,0),FALSE)</f>
        <v/>
      </c>
      <c r="G445" s="35">
        <f>(F445/F444)-1</f>
        <v/>
      </c>
      <c r="H445" s="35">
        <f>((1+G445)^12)-1</f>
        <v/>
      </c>
      <c r="I445" s="35">
        <f>(Table143454[[#This Row],[Core CPI]]-F433)/F433</f>
        <v/>
      </c>
    </row>
    <row r="446">
      <c r="A446" s="33">
        <f>IF(Data!A473="",#N/A,Data!A473)</f>
        <v/>
      </c>
      <c r="B446" s="34">
        <f>VLOOKUP(A446,Data!A:AX,MATCH($B$2,Data!$B$1:$AX$1,0),FALSE)</f>
        <v/>
      </c>
      <c r="C446" s="35">
        <f>(B446/B445)-1</f>
        <v/>
      </c>
      <c r="D446" s="35">
        <f>((1+C446)^12)-1</f>
        <v/>
      </c>
      <c r="E446" s="35">
        <f>(Table143454[[#This Row],[USA]]-B434)/B434</f>
        <v/>
      </c>
      <c r="F446" s="34">
        <f>VLOOKUP(Table143454[[#This Row],[Date]],'Data Core CPI'!$A:$AX,MATCH($B$2,'Data Core CPI'!$B$1:$AX$1,0),FALSE)</f>
        <v/>
      </c>
      <c r="G446" s="35">
        <f>(F446/F445)-1</f>
        <v/>
      </c>
      <c r="H446" s="35">
        <f>((1+G446)^12)-1</f>
        <v/>
      </c>
      <c r="I446" s="35">
        <f>(Table143454[[#This Row],[Core CPI]]-F434)/F434</f>
        <v/>
      </c>
    </row>
    <row r="447">
      <c r="A447" s="33">
        <f>IF(Data!A474="",#N/A,Data!A474)</f>
        <v/>
      </c>
      <c r="B447" s="34">
        <f>VLOOKUP(A447,Data!A:AX,MATCH($B$2,Data!$B$1:$AX$1,0),FALSE)</f>
        <v/>
      </c>
      <c r="C447" s="35">
        <f>(B447/B446)-1</f>
        <v/>
      </c>
      <c r="D447" s="35">
        <f>((1+C447)^12)-1</f>
        <v/>
      </c>
      <c r="E447" s="35">
        <f>(Table143454[[#This Row],[USA]]-B435)/B435</f>
        <v/>
      </c>
      <c r="F447" s="34">
        <f>VLOOKUP(Table143454[[#This Row],[Date]],'Data Core CPI'!$A:$AX,MATCH($B$2,'Data Core CPI'!$B$1:$AX$1,0),FALSE)</f>
        <v/>
      </c>
      <c r="G447" s="35">
        <f>(F447/F446)-1</f>
        <v/>
      </c>
      <c r="H447" s="35">
        <f>((1+G447)^12)-1</f>
        <v/>
      </c>
      <c r="I447" s="35">
        <f>(Table143454[[#This Row],[Core CPI]]-F435)/F435</f>
        <v/>
      </c>
    </row>
    <row r="448">
      <c r="A448" s="33">
        <f>IF(Data!A475="",#N/A,Data!A475)</f>
        <v/>
      </c>
      <c r="B448" s="34">
        <f>VLOOKUP(A448,Data!A:AX,MATCH($B$2,Data!$B$1:$AX$1,0),FALSE)</f>
        <v/>
      </c>
      <c r="C448" s="35">
        <f>(B448/B447)-1</f>
        <v/>
      </c>
      <c r="D448" s="35">
        <f>((1+C448)^12)-1</f>
        <v/>
      </c>
      <c r="E448" s="35">
        <f>(Table143454[[#This Row],[USA]]-B436)/B436</f>
        <v/>
      </c>
      <c r="F448" s="34">
        <f>VLOOKUP(Table143454[[#This Row],[Date]],'Data Core CPI'!$A:$AX,MATCH($B$2,'Data Core CPI'!$B$1:$AX$1,0),FALSE)</f>
        <v/>
      </c>
      <c r="G448" s="35">
        <f>(F448/F447)-1</f>
        <v/>
      </c>
      <c r="H448" s="35">
        <f>((1+G448)^12)-1</f>
        <v/>
      </c>
      <c r="I448" s="35">
        <f>(Table143454[[#This Row],[Core CPI]]-F436)/F436</f>
        <v/>
      </c>
    </row>
    <row r="449">
      <c r="A449" s="33">
        <f>IF(Data!A476="",#N/A,Data!A476)</f>
        <v/>
      </c>
      <c r="B449" s="34">
        <f>VLOOKUP(A449,Data!A:AX,MATCH($B$2,Data!$B$1:$AX$1,0),FALSE)</f>
        <v/>
      </c>
      <c r="C449" s="35">
        <f>(B449/B448)-1</f>
        <v/>
      </c>
      <c r="D449" s="35">
        <f>((1+C449)^12)-1</f>
        <v/>
      </c>
      <c r="E449" s="35">
        <f>(Table143454[[#This Row],[USA]]-B437)/B437</f>
        <v/>
      </c>
      <c r="F449" s="34">
        <f>VLOOKUP(Table143454[[#This Row],[Date]],'Data Core CPI'!$A:$AX,MATCH($B$2,'Data Core CPI'!$B$1:$AX$1,0),FALSE)</f>
        <v/>
      </c>
      <c r="G449" s="35">
        <f>(F449/F448)-1</f>
        <v/>
      </c>
      <c r="H449" s="35">
        <f>((1+G449)^12)-1</f>
        <v/>
      </c>
      <c r="I449" s="35">
        <f>(Table143454[[#This Row],[Core CPI]]-F437)/F437</f>
        <v/>
      </c>
    </row>
    <row r="450">
      <c r="A450" s="33">
        <f>IF(Data!A477="",#N/A,Data!A477)</f>
        <v/>
      </c>
      <c r="B450" s="34">
        <f>VLOOKUP(A450,Data!A:AX,MATCH($B$2,Data!$B$1:$AX$1,0),FALSE)</f>
        <v/>
      </c>
      <c r="C450" s="35">
        <f>(B450/B449)-1</f>
        <v/>
      </c>
      <c r="D450" s="35">
        <f>((1+C450)^12)-1</f>
        <v/>
      </c>
      <c r="E450" s="35">
        <f>(Table143454[[#This Row],[USA]]-B438)/B438</f>
        <v/>
      </c>
      <c r="F450" s="34">
        <f>VLOOKUP(Table143454[[#This Row],[Date]],'Data Core CPI'!$A:$AX,MATCH($B$2,'Data Core CPI'!$B$1:$AX$1,0),FALSE)</f>
        <v/>
      </c>
      <c r="G450" s="35">
        <f>(F450/F449)-1</f>
        <v/>
      </c>
      <c r="H450" s="35">
        <f>((1+G450)^12)-1</f>
        <v/>
      </c>
      <c r="I450" s="35">
        <f>(Table143454[[#This Row],[Core CPI]]-F438)/F438</f>
        <v/>
      </c>
    </row>
    <row r="451">
      <c r="A451" s="33">
        <f>IF(Data!A478="",#N/A,Data!A478)</f>
        <v/>
      </c>
      <c r="B451" s="34">
        <f>VLOOKUP(A451,Data!A:AX,MATCH($B$2,Data!$B$1:$AX$1,0),FALSE)</f>
        <v/>
      </c>
      <c r="C451" s="35">
        <f>(B451/B450)-1</f>
        <v/>
      </c>
      <c r="D451" s="35">
        <f>((1+C451)^12)-1</f>
        <v/>
      </c>
      <c r="E451" s="35">
        <f>(Table143454[[#This Row],[USA]]-B439)/B439</f>
        <v/>
      </c>
      <c r="F451" s="34">
        <f>VLOOKUP(Table143454[[#This Row],[Date]],'Data Core CPI'!$A:$AX,MATCH($B$2,'Data Core CPI'!$B$1:$AX$1,0),FALSE)</f>
        <v/>
      </c>
      <c r="G451" s="35">
        <f>(F451/F450)-1</f>
        <v/>
      </c>
      <c r="H451" s="35">
        <f>((1+G451)^12)-1</f>
        <v/>
      </c>
      <c r="I451" s="35">
        <f>(Table143454[[#This Row],[Core CPI]]-F439)/F439</f>
        <v/>
      </c>
    </row>
    <row r="452">
      <c r="A452" s="33">
        <f>IF(Data!A479="",#N/A,Data!A479)</f>
        <v/>
      </c>
      <c r="B452" s="34">
        <f>VLOOKUP(A452,Data!A:AX,MATCH($B$2,Data!$B$1:$AX$1,0),FALSE)</f>
        <v/>
      </c>
      <c r="C452" s="35">
        <f>(B452/B451)-1</f>
        <v/>
      </c>
      <c r="D452" s="35">
        <f>((1+C452)^12)-1</f>
        <v/>
      </c>
      <c r="E452" s="35">
        <f>(Table143454[[#This Row],[USA]]-B440)/B440</f>
        <v/>
      </c>
      <c r="F452" s="34">
        <f>VLOOKUP(Table143454[[#This Row],[Date]],'Data Core CPI'!$A:$AX,MATCH($B$2,'Data Core CPI'!$B$1:$AX$1,0),FALSE)</f>
        <v/>
      </c>
      <c r="G452" s="35">
        <f>(F452/F451)-1</f>
        <v/>
      </c>
      <c r="H452" s="35">
        <f>((1+G452)^12)-1</f>
        <v/>
      </c>
      <c r="I452" s="35">
        <f>(Table143454[[#This Row],[Core CPI]]-F440)/F440</f>
        <v/>
      </c>
    </row>
    <row r="453">
      <c r="A453" s="33">
        <f>IF(Data!A480="",#N/A,Data!A480)</f>
        <v/>
      </c>
      <c r="B453" s="34">
        <f>VLOOKUP(A453,Data!A:AX,MATCH($B$2,Data!$B$1:$AX$1,0),FALSE)</f>
        <v/>
      </c>
      <c r="C453" s="35">
        <f>(B453/B452)-1</f>
        <v/>
      </c>
      <c r="D453" s="35">
        <f>((1+C453)^12)-1</f>
        <v/>
      </c>
      <c r="E453" s="35">
        <f>(Table143454[[#This Row],[USA]]-B441)/B441</f>
        <v/>
      </c>
      <c r="F453" s="34">
        <f>VLOOKUP(Table143454[[#This Row],[Date]],'Data Core CPI'!$A:$AX,MATCH($B$2,'Data Core CPI'!$B$1:$AX$1,0),FALSE)</f>
        <v/>
      </c>
      <c r="G453" s="35">
        <f>(F453/F452)-1</f>
        <v/>
      </c>
      <c r="H453" s="35">
        <f>((1+G453)^12)-1</f>
        <v/>
      </c>
      <c r="I453" s="35">
        <f>(Table143454[[#This Row],[Core CPI]]-F441)/F441</f>
        <v/>
      </c>
    </row>
    <row r="454">
      <c r="A454" s="33">
        <f>IF(Data!A481="",#N/A,Data!A481)</f>
        <v/>
      </c>
      <c r="B454" s="34">
        <f>VLOOKUP(A454,Data!A:AX,MATCH($B$2,Data!$B$1:$AX$1,0),FALSE)</f>
        <v/>
      </c>
      <c r="C454" s="35">
        <f>(B454/B453)-1</f>
        <v/>
      </c>
      <c r="D454" s="35">
        <f>((1+C454)^12)-1</f>
        <v/>
      </c>
      <c r="E454" s="35">
        <f>(Table143454[[#This Row],[USA]]-B442)/B442</f>
        <v/>
      </c>
      <c r="F454" s="34">
        <f>VLOOKUP(Table143454[[#This Row],[Date]],'Data Core CPI'!$A:$AX,MATCH($B$2,'Data Core CPI'!$B$1:$AX$1,0),FALSE)</f>
        <v/>
      </c>
      <c r="G454" s="35">
        <f>(F454/F453)-1</f>
        <v/>
      </c>
      <c r="H454" s="35">
        <f>((1+G454)^12)-1</f>
        <v/>
      </c>
      <c r="I454" s="35">
        <f>(Table143454[[#This Row],[Core CPI]]-F442)/F442</f>
        <v/>
      </c>
    </row>
    <row r="455">
      <c r="A455" s="33">
        <f>IF(Data!A482="",#N/A,Data!A482)</f>
        <v/>
      </c>
      <c r="B455" s="34">
        <f>VLOOKUP(A455,Data!A:AX,MATCH($B$2,Data!$B$1:$AX$1,0),FALSE)</f>
        <v/>
      </c>
      <c r="C455" s="35">
        <f>(B455/B454)-1</f>
        <v/>
      </c>
      <c r="D455" s="35">
        <f>((1+C455)^12)-1</f>
        <v/>
      </c>
      <c r="E455" s="35">
        <f>(Table143454[[#This Row],[USA]]-B443)/B443</f>
        <v/>
      </c>
      <c r="F455" s="34">
        <f>VLOOKUP(Table143454[[#This Row],[Date]],'Data Core CPI'!$A:$AX,MATCH($B$2,'Data Core CPI'!$B$1:$AX$1,0),FALSE)</f>
        <v/>
      </c>
      <c r="G455" s="35">
        <f>(F455/F454)-1</f>
        <v/>
      </c>
      <c r="H455" s="35">
        <f>((1+G455)^12)-1</f>
        <v/>
      </c>
      <c r="I455" s="35">
        <f>(Table143454[[#This Row],[Core CPI]]-F443)/F443</f>
        <v/>
      </c>
    </row>
    <row r="456">
      <c r="A456" s="33">
        <f>IF(Data!A483="",#N/A,Data!A483)</f>
        <v/>
      </c>
      <c r="B456" s="34">
        <f>VLOOKUP(A456,Data!A:AX,MATCH($B$2,Data!$B$1:$AX$1,0),FALSE)</f>
        <v/>
      </c>
      <c r="C456" s="35">
        <f>(B456/B455)-1</f>
        <v/>
      </c>
      <c r="D456" s="35">
        <f>((1+C456)^12)-1</f>
        <v/>
      </c>
      <c r="E456" s="35">
        <f>(Table143454[[#This Row],[USA]]-B444)/B444</f>
        <v/>
      </c>
      <c r="F456" s="34">
        <f>VLOOKUP(Table143454[[#This Row],[Date]],'Data Core CPI'!$A:$AX,MATCH($B$2,'Data Core CPI'!$B$1:$AX$1,0),FALSE)</f>
        <v/>
      </c>
      <c r="G456" s="35">
        <f>(F456/F455)-1</f>
        <v/>
      </c>
      <c r="H456" s="35">
        <f>((1+G456)^12)-1</f>
        <v/>
      </c>
      <c r="I456" s="35">
        <f>(Table143454[[#This Row],[Core CPI]]-F444)/F444</f>
        <v/>
      </c>
    </row>
    <row r="457">
      <c r="A457" s="33">
        <f>IF(Data!A484="",#N/A,Data!A484)</f>
        <v/>
      </c>
      <c r="B457" s="34">
        <f>VLOOKUP(A457,Data!A:AX,MATCH($B$2,Data!$B$1:$AX$1,0),FALSE)</f>
        <v/>
      </c>
      <c r="C457" s="35">
        <f>(B457/B456)-1</f>
        <v/>
      </c>
      <c r="D457" s="35">
        <f>((1+C457)^12)-1</f>
        <v/>
      </c>
      <c r="E457" s="35">
        <f>(Table143454[[#This Row],[USA]]-B445)/B445</f>
        <v/>
      </c>
      <c r="F457" s="34">
        <f>VLOOKUP(Table143454[[#This Row],[Date]],'Data Core CPI'!$A:$AX,MATCH($B$2,'Data Core CPI'!$B$1:$AX$1,0),FALSE)</f>
        <v/>
      </c>
      <c r="G457" s="35">
        <f>(F457/F456)-1</f>
        <v/>
      </c>
      <c r="H457" s="35">
        <f>((1+G457)^12)-1</f>
        <v/>
      </c>
      <c r="I457" s="35">
        <f>(Table143454[[#This Row],[Core CPI]]-F445)/F445</f>
        <v/>
      </c>
    </row>
    <row r="458">
      <c r="A458" s="33">
        <f>IF(Data!A485="",#N/A,Data!A485)</f>
        <v/>
      </c>
      <c r="B458" s="34">
        <f>VLOOKUP(A458,Data!A:AX,MATCH($B$2,Data!$B$1:$AX$1,0),FALSE)</f>
        <v/>
      </c>
      <c r="C458" s="35">
        <f>(B458/B457)-1</f>
        <v/>
      </c>
      <c r="D458" s="35">
        <f>((1+C458)^12)-1</f>
        <v/>
      </c>
      <c r="E458" s="35">
        <f>(Table143454[[#This Row],[USA]]-B446)/B446</f>
        <v/>
      </c>
      <c r="F458" s="34">
        <f>VLOOKUP(Table143454[[#This Row],[Date]],'Data Core CPI'!$A:$AX,MATCH($B$2,'Data Core CPI'!$B$1:$AX$1,0),FALSE)</f>
        <v/>
      </c>
      <c r="G458" s="35">
        <f>(F458/F457)-1</f>
        <v/>
      </c>
      <c r="H458" s="35">
        <f>((1+G458)^12)-1</f>
        <v/>
      </c>
      <c r="I458" s="35">
        <f>(Table143454[[#This Row],[Core CPI]]-F446)/F446</f>
        <v/>
      </c>
    </row>
    <row r="459">
      <c r="A459" s="33">
        <f>IF(Data!A486="",#N/A,Data!A486)</f>
        <v/>
      </c>
      <c r="B459" s="34">
        <f>VLOOKUP(A459,Data!A:AX,MATCH($B$2,Data!$B$1:$AX$1,0),FALSE)</f>
        <v/>
      </c>
      <c r="C459" s="35">
        <f>(B459/B458)-1</f>
        <v/>
      </c>
      <c r="D459" s="35">
        <f>((1+C459)^12)-1</f>
        <v/>
      </c>
      <c r="E459" s="35">
        <f>(Table143454[[#This Row],[USA]]-B447)/B447</f>
        <v/>
      </c>
      <c r="F459" s="34">
        <f>VLOOKUP(Table143454[[#This Row],[Date]],'Data Core CPI'!$A:$AX,MATCH($B$2,'Data Core CPI'!$B$1:$AX$1,0),FALSE)</f>
        <v/>
      </c>
      <c r="G459" s="35">
        <f>(F459/F458)-1</f>
        <v/>
      </c>
      <c r="H459" s="35">
        <f>((1+G459)^12)-1</f>
        <v/>
      </c>
      <c r="I459" s="35">
        <f>(Table143454[[#This Row],[Core CPI]]-F447)/F447</f>
        <v/>
      </c>
    </row>
    <row r="460">
      <c r="A460" s="33">
        <f>IF(Data!A487="",#N/A,Data!A487)</f>
        <v/>
      </c>
      <c r="B460" s="34">
        <f>VLOOKUP(A460,Data!A:AX,MATCH($B$2,Data!$B$1:$AX$1,0),FALSE)</f>
        <v/>
      </c>
      <c r="C460" s="35">
        <f>(B460/B459)-1</f>
        <v/>
      </c>
      <c r="D460" s="35">
        <f>((1+C460)^12)-1</f>
        <v/>
      </c>
      <c r="E460" s="35">
        <f>(Table143454[[#This Row],[USA]]-B448)/B448</f>
        <v/>
      </c>
      <c r="F460" s="34">
        <f>VLOOKUP(Table143454[[#This Row],[Date]],'Data Core CPI'!$A:$AX,MATCH($B$2,'Data Core CPI'!$B$1:$AX$1,0),FALSE)</f>
        <v/>
      </c>
      <c r="G460" s="35">
        <f>(F460/F459)-1</f>
        <v/>
      </c>
      <c r="H460" s="35">
        <f>((1+G460)^12)-1</f>
        <v/>
      </c>
      <c r="I460" s="35">
        <f>(Table143454[[#This Row],[Core CPI]]-F448)/F448</f>
        <v/>
      </c>
    </row>
    <row r="461">
      <c r="A461" s="33">
        <f>IF(Data!A488="",#N/A,Data!A488)</f>
        <v/>
      </c>
      <c r="B461" s="34">
        <f>VLOOKUP(A461,Data!A:AX,MATCH($B$2,Data!$B$1:$AX$1,0),FALSE)</f>
        <v/>
      </c>
      <c r="C461" s="35">
        <f>(B461/B460)-1</f>
        <v/>
      </c>
      <c r="D461" s="35">
        <f>((1+C461)^12)-1</f>
        <v/>
      </c>
      <c r="E461" s="35">
        <f>(Table143454[[#This Row],[USA]]-B449)/B449</f>
        <v/>
      </c>
      <c r="F461" s="34">
        <f>VLOOKUP(Table143454[[#This Row],[Date]],'Data Core CPI'!$A:$AX,MATCH($B$2,'Data Core CPI'!$B$1:$AX$1,0),FALSE)</f>
        <v/>
      </c>
      <c r="G461" s="35">
        <f>(F461/F460)-1</f>
        <v/>
      </c>
      <c r="H461" s="35">
        <f>((1+G461)^12)-1</f>
        <v/>
      </c>
      <c r="I461" s="35">
        <f>(Table143454[[#This Row],[Core CPI]]-F449)/F449</f>
        <v/>
      </c>
    </row>
    <row r="462">
      <c r="A462" s="33">
        <f>IF(Data!A489="",#N/A,Data!A489)</f>
        <v/>
      </c>
      <c r="B462" s="34">
        <f>VLOOKUP(A462,Data!A:AX,MATCH($B$2,Data!$B$1:$AX$1,0),FALSE)</f>
        <v/>
      </c>
      <c r="C462" s="35">
        <f>(B462/B461)-1</f>
        <v/>
      </c>
      <c r="D462" s="35">
        <f>((1+C462)^12)-1</f>
        <v/>
      </c>
      <c r="E462" s="35">
        <f>(Table143454[[#This Row],[USA]]-B450)/B450</f>
        <v/>
      </c>
      <c r="F462" s="34">
        <f>VLOOKUP(Table143454[[#This Row],[Date]],'Data Core CPI'!$A:$AX,MATCH($B$2,'Data Core CPI'!$B$1:$AX$1,0),FALSE)</f>
        <v/>
      </c>
      <c r="G462" s="35">
        <f>(F462/F461)-1</f>
        <v/>
      </c>
      <c r="H462" s="35">
        <f>((1+G462)^12)-1</f>
        <v/>
      </c>
      <c r="I462" s="35">
        <f>(Table143454[[#This Row],[Core CPI]]-F450)/F450</f>
        <v/>
      </c>
    </row>
    <row r="463">
      <c r="A463" s="33">
        <f>IF(Data!A490="",#N/A,Data!A490)</f>
        <v/>
      </c>
      <c r="B463" s="34">
        <f>VLOOKUP(A463,Data!A:AX,MATCH($B$2,Data!$B$1:$AX$1,0),FALSE)</f>
        <v/>
      </c>
      <c r="C463" s="35">
        <f>(B463/B462)-1</f>
        <v/>
      </c>
      <c r="D463" s="35">
        <f>((1+C463)^12)-1</f>
        <v/>
      </c>
      <c r="E463" s="35">
        <f>(Table143454[[#This Row],[USA]]-B451)/B451</f>
        <v/>
      </c>
      <c r="F463" s="34">
        <f>VLOOKUP(Table143454[[#This Row],[Date]],'Data Core CPI'!$A:$AX,MATCH($B$2,'Data Core CPI'!$B$1:$AX$1,0),FALSE)</f>
        <v/>
      </c>
      <c r="G463" s="35">
        <f>(F463/F462)-1</f>
        <v/>
      </c>
      <c r="H463" s="35">
        <f>((1+G463)^12)-1</f>
        <v/>
      </c>
      <c r="I463" s="35">
        <f>(Table143454[[#This Row],[Core CPI]]-F451)/F451</f>
        <v/>
      </c>
    </row>
    <row r="464">
      <c r="A464" s="33">
        <f>IF(Data!A491="",#N/A,Data!A491)</f>
        <v/>
      </c>
      <c r="B464" s="34">
        <f>VLOOKUP(A464,Data!A:AX,MATCH($B$2,Data!$B$1:$AX$1,0),FALSE)</f>
        <v/>
      </c>
      <c r="C464" s="35">
        <f>(B464/B463)-1</f>
        <v/>
      </c>
      <c r="D464" s="35">
        <f>((1+C464)^12)-1</f>
        <v/>
      </c>
      <c r="E464" s="35">
        <f>(Table143454[[#This Row],[USA]]-B452)/B452</f>
        <v/>
      </c>
      <c r="F464" s="34">
        <f>VLOOKUP(Table143454[[#This Row],[Date]],'Data Core CPI'!$A:$AX,MATCH($B$2,'Data Core CPI'!$B$1:$AX$1,0),FALSE)</f>
        <v/>
      </c>
      <c r="G464" s="35">
        <f>(F464/F463)-1</f>
        <v/>
      </c>
      <c r="H464" s="35">
        <f>((1+G464)^12)-1</f>
        <v/>
      </c>
      <c r="I464" s="35">
        <f>(Table143454[[#This Row],[Core CPI]]-F452)/F452</f>
        <v/>
      </c>
    </row>
    <row r="465">
      <c r="A465" s="33">
        <f>IF(Data!A492="",#N/A,Data!A492)</f>
        <v/>
      </c>
      <c r="B465" s="34">
        <f>VLOOKUP(A465,Data!A:AX,MATCH($B$2,Data!$B$1:$AX$1,0),FALSE)</f>
        <v/>
      </c>
      <c r="C465" s="35">
        <f>(B465/B464)-1</f>
        <v/>
      </c>
      <c r="D465" s="35">
        <f>((1+C465)^12)-1</f>
        <v/>
      </c>
      <c r="E465" s="35">
        <f>(Table143454[[#This Row],[USA]]-B453)/B453</f>
        <v/>
      </c>
      <c r="F465" s="34">
        <f>VLOOKUP(Table143454[[#This Row],[Date]],'Data Core CPI'!$A:$AX,MATCH($B$2,'Data Core CPI'!$B$1:$AX$1,0),FALSE)</f>
        <v/>
      </c>
      <c r="G465" s="35">
        <f>(F465/F464)-1</f>
        <v/>
      </c>
      <c r="H465" s="35">
        <f>((1+G465)^12)-1</f>
        <v/>
      </c>
      <c r="I465" s="35">
        <f>(Table143454[[#This Row],[Core CPI]]-F453)/F453</f>
        <v/>
      </c>
    </row>
    <row r="466">
      <c r="A466" s="33">
        <f>IF(Data!A493="",#N/A,Data!A493)</f>
        <v/>
      </c>
      <c r="B466" s="34">
        <f>VLOOKUP(A466,Data!A:AX,MATCH($B$2,Data!$B$1:$AX$1,0),FALSE)</f>
        <v/>
      </c>
      <c r="C466" s="35">
        <f>(B466/B465)-1</f>
        <v/>
      </c>
      <c r="D466" s="35">
        <f>((1+C466)^12)-1</f>
        <v/>
      </c>
      <c r="E466" s="35">
        <f>(Table143454[[#This Row],[USA]]-B454)/B454</f>
        <v/>
      </c>
      <c r="F466" s="34">
        <f>VLOOKUP(Table143454[[#This Row],[Date]],'Data Core CPI'!$A:$AX,MATCH($B$2,'Data Core CPI'!$B$1:$AX$1,0),FALSE)</f>
        <v/>
      </c>
      <c r="G466" s="35">
        <f>(F466/F465)-1</f>
        <v/>
      </c>
      <c r="H466" s="35">
        <f>((1+G466)^12)-1</f>
        <v/>
      </c>
      <c r="I466" s="35">
        <f>(Table143454[[#This Row],[Core CPI]]-F454)/F454</f>
        <v/>
      </c>
    </row>
    <row r="467">
      <c r="A467" s="33">
        <f>IF(Data!A494="",#N/A,Data!A494)</f>
        <v/>
      </c>
      <c r="B467" s="34">
        <f>VLOOKUP(A467,Data!A:AX,MATCH($B$2,Data!$B$1:$AX$1,0),FALSE)</f>
        <v/>
      </c>
      <c r="C467" s="35">
        <f>(B467/B466)-1</f>
        <v/>
      </c>
      <c r="D467" s="35">
        <f>((1+C467)^12)-1</f>
        <v/>
      </c>
      <c r="E467" s="35">
        <f>(Table143454[[#This Row],[USA]]-B455)/B455</f>
        <v/>
      </c>
      <c r="F467" s="34">
        <f>VLOOKUP(Table143454[[#This Row],[Date]],'Data Core CPI'!$A:$AX,MATCH($B$2,'Data Core CPI'!$B$1:$AX$1,0),FALSE)</f>
        <v/>
      </c>
      <c r="G467" s="35">
        <f>(F467/F466)-1</f>
        <v/>
      </c>
      <c r="H467" s="35">
        <f>((1+G467)^12)-1</f>
        <v/>
      </c>
      <c r="I467" s="35">
        <f>(Table143454[[#This Row],[Core CPI]]-F455)/F455</f>
        <v/>
      </c>
    </row>
    <row r="468">
      <c r="A468" s="33">
        <f>IF(Data!A495="",#N/A,Data!A495)</f>
        <v/>
      </c>
      <c r="B468" s="34">
        <f>VLOOKUP(A468,Data!A:AX,MATCH($B$2,Data!$B$1:$AX$1,0),FALSE)</f>
        <v/>
      </c>
      <c r="C468" s="35">
        <f>(B468/B467)-1</f>
        <v/>
      </c>
      <c r="D468" s="35">
        <f>((1+C468)^12)-1</f>
        <v/>
      </c>
      <c r="E468" s="35">
        <f>(Table143454[[#This Row],[USA]]-B456)/B456</f>
        <v/>
      </c>
      <c r="F468" s="34">
        <f>VLOOKUP(Table143454[[#This Row],[Date]],'Data Core CPI'!$A:$AX,MATCH($B$2,'Data Core CPI'!$B$1:$AX$1,0),FALSE)</f>
        <v/>
      </c>
      <c r="G468" s="35">
        <f>(F468/F467)-1</f>
        <v/>
      </c>
      <c r="H468" s="35">
        <f>((1+G468)^12)-1</f>
        <v/>
      </c>
      <c r="I468" s="35">
        <f>(Table143454[[#This Row],[Core CPI]]-F456)/F456</f>
        <v/>
      </c>
    </row>
    <row r="469">
      <c r="A469" s="33">
        <f>IF(Data!A496="",#N/A,Data!A496)</f>
        <v/>
      </c>
      <c r="B469" s="34">
        <f>VLOOKUP(A469,Data!A:AX,MATCH($B$2,Data!$B$1:$AX$1,0),FALSE)</f>
        <v/>
      </c>
      <c r="C469" s="35">
        <f>(B469/B468)-1</f>
        <v/>
      </c>
      <c r="D469" s="35">
        <f>((1+C469)^12)-1</f>
        <v/>
      </c>
      <c r="E469" s="35">
        <f>(Table143454[[#This Row],[USA]]-B457)/B457</f>
        <v/>
      </c>
      <c r="F469" s="34">
        <f>VLOOKUP(Table143454[[#This Row],[Date]],'Data Core CPI'!$A:$AX,MATCH($B$2,'Data Core CPI'!$B$1:$AX$1,0),FALSE)</f>
        <v/>
      </c>
      <c r="G469" s="35">
        <f>(F469/F468)-1</f>
        <v/>
      </c>
      <c r="H469" s="35">
        <f>((1+G469)^12)-1</f>
        <v/>
      </c>
      <c r="I469" s="35">
        <f>(Table143454[[#This Row],[Core CPI]]-F457)/F457</f>
        <v/>
      </c>
    </row>
    <row r="470">
      <c r="A470" s="33">
        <f>IF(Data!A497="",#N/A,Data!A497)</f>
        <v/>
      </c>
      <c r="B470" s="34">
        <f>VLOOKUP(A470,Data!A:AX,MATCH($B$2,Data!$B$1:$AX$1,0),FALSE)</f>
        <v/>
      </c>
      <c r="C470" s="35">
        <f>(B470/B469)-1</f>
        <v/>
      </c>
      <c r="D470" s="35">
        <f>((1+C470)^12)-1</f>
        <v/>
      </c>
      <c r="E470" s="35">
        <f>(Table143454[[#This Row],[USA]]-B458)/B458</f>
        <v/>
      </c>
      <c r="F470" s="34">
        <f>VLOOKUP(Table143454[[#This Row],[Date]],'Data Core CPI'!$A:$AX,MATCH($B$2,'Data Core CPI'!$B$1:$AX$1,0),FALSE)</f>
        <v/>
      </c>
      <c r="G470" s="35">
        <f>(F470/F469)-1</f>
        <v/>
      </c>
      <c r="H470" s="35">
        <f>((1+G470)^12)-1</f>
        <v/>
      </c>
      <c r="I470" s="35">
        <f>(Table143454[[#This Row],[Core CPI]]-F458)/F458</f>
        <v/>
      </c>
    </row>
    <row r="471">
      <c r="A471" s="33">
        <f>IF(Data!A498="",#N/A,Data!A498)</f>
        <v/>
      </c>
      <c r="B471" s="34">
        <f>VLOOKUP(A471,Data!A:AX,MATCH($B$2,Data!$B$1:$AX$1,0),FALSE)</f>
        <v/>
      </c>
      <c r="C471" s="35">
        <f>(B471/B470)-1</f>
        <v/>
      </c>
      <c r="D471" s="35">
        <f>((1+C471)^12)-1</f>
        <v/>
      </c>
      <c r="E471" s="35">
        <f>(Table143454[[#This Row],[USA]]-B459)/B459</f>
        <v/>
      </c>
      <c r="F471" s="34">
        <f>VLOOKUP(Table143454[[#This Row],[Date]],'Data Core CPI'!$A:$AX,MATCH($B$2,'Data Core CPI'!$B$1:$AX$1,0),FALSE)</f>
        <v/>
      </c>
      <c r="G471" s="35">
        <f>(F471/F470)-1</f>
        <v/>
      </c>
      <c r="H471" s="35">
        <f>((1+G471)^12)-1</f>
        <v/>
      </c>
      <c r="I471" s="35">
        <f>(Table143454[[#This Row],[Core CPI]]-F459)/F459</f>
        <v/>
      </c>
    </row>
    <row r="472">
      <c r="A472" s="33">
        <f>IF(Data!A499="",#N/A,Data!A499)</f>
        <v/>
      </c>
      <c r="B472" s="34">
        <f>VLOOKUP(A472,Data!A:AX,MATCH($B$2,Data!$B$1:$AX$1,0),FALSE)</f>
        <v/>
      </c>
      <c r="C472" s="35">
        <f>(B472/B471)-1</f>
        <v/>
      </c>
      <c r="D472" s="35">
        <f>((1+C472)^12)-1</f>
        <v/>
      </c>
      <c r="E472" s="35">
        <f>(Table143454[[#This Row],[USA]]-B460)/B460</f>
        <v/>
      </c>
      <c r="F472" s="34">
        <f>VLOOKUP(Table143454[[#This Row],[Date]],'Data Core CPI'!$A:$AX,MATCH($B$2,'Data Core CPI'!$B$1:$AX$1,0),FALSE)</f>
        <v/>
      </c>
      <c r="G472" s="35">
        <f>(F472/F471)-1</f>
        <v/>
      </c>
      <c r="H472" s="35">
        <f>((1+G472)^12)-1</f>
        <v/>
      </c>
      <c r="I472" s="35">
        <f>(Table143454[[#This Row],[Core CPI]]-F460)/F460</f>
        <v/>
      </c>
    </row>
    <row r="473">
      <c r="A473" s="33">
        <f>IF(Data!A500="",#N/A,Data!A500)</f>
        <v/>
      </c>
      <c r="B473" s="34">
        <f>VLOOKUP(A473,Data!A:AX,MATCH($B$2,Data!$B$1:$AX$1,0),FALSE)</f>
        <v/>
      </c>
      <c r="C473" s="35">
        <f>(B473/B472)-1</f>
        <v/>
      </c>
      <c r="D473" s="35">
        <f>((1+C473)^12)-1</f>
        <v/>
      </c>
      <c r="E473" s="35">
        <f>(Table143454[[#This Row],[USA]]-B461)/B461</f>
        <v/>
      </c>
      <c r="F473" s="34">
        <f>VLOOKUP(Table143454[[#This Row],[Date]],'Data Core CPI'!$A:$AX,MATCH($B$2,'Data Core CPI'!$B$1:$AX$1,0),FALSE)</f>
        <v/>
      </c>
      <c r="G473" s="35">
        <f>(F473/F472)-1</f>
        <v/>
      </c>
      <c r="H473" s="35">
        <f>((1+G473)^12)-1</f>
        <v/>
      </c>
      <c r="I473" s="35">
        <f>(Table143454[[#This Row],[Core CPI]]-F461)/F461</f>
        <v/>
      </c>
    </row>
    <row r="474">
      <c r="A474" s="33">
        <f>IF(Data!A501="",#N/A,Data!A501)</f>
        <v/>
      </c>
      <c r="B474" s="34">
        <f>VLOOKUP(A474,Data!A:AX,MATCH($B$2,Data!$B$1:$AX$1,0),FALSE)</f>
        <v/>
      </c>
      <c r="C474" s="35">
        <f>(B474/B473)-1</f>
        <v/>
      </c>
      <c r="D474" s="35">
        <f>((1+C474)^12)-1</f>
        <v/>
      </c>
      <c r="E474" s="35">
        <f>(Table143454[[#This Row],[USA]]-B462)/B462</f>
        <v/>
      </c>
      <c r="F474" s="34">
        <f>VLOOKUP(Table143454[[#This Row],[Date]],'Data Core CPI'!$A:$AX,MATCH($B$2,'Data Core CPI'!$B$1:$AX$1,0),FALSE)</f>
        <v/>
      </c>
      <c r="G474" s="35">
        <f>(F474/F473)-1</f>
        <v/>
      </c>
      <c r="H474" s="35">
        <f>((1+G474)^12)-1</f>
        <v/>
      </c>
      <c r="I474" s="35">
        <f>(Table143454[[#This Row],[Core CPI]]-F462)/F462</f>
        <v/>
      </c>
    </row>
    <row r="475">
      <c r="A475" s="33">
        <f>IF(Data!A502="",#N/A,Data!A502)</f>
        <v/>
      </c>
      <c r="B475" s="34">
        <f>VLOOKUP(A475,Data!A:AX,MATCH($B$2,Data!$B$1:$AX$1,0),FALSE)</f>
        <v/>
      </c>
      <c r="C475" s="35">
        <f>(B475/B474)-1</f>
        <v/>
      </c>
      <c r="D475" s="35">
        <f>((1+C475)^12)-1</f>
        <v/>
      </c>
      <c r="E475" s="35">
        <f>(Table143454[[#This Row],[USA]]-B463)/B463</f>
        <v/>
      </c>
      <c r="F475" s="34">
        <f>VLOOKUP(Table143454[[#This Row],[Date]],'Data Core CPI'!$A:$AX,MATCH($B$2,'Data Core CPI'!$B$1:$AX$1,0),FALSE)</f>
        <v/>
      </c>
      <c r="G475" s="35">
        <f>(F475/F474)-1</f>
        <v/>
      </c>
      <c r="H475" s="35">
        <f>((1+G475)^12)-1</f>
        <v/>
      </c>
      <c r="I475" s="35">
        <f>(Table143454[[#This Row],[Core CPI]]-F463)/F463</f>
        <v/>
      </c>
    </row>
    <row r="476">
      <c r="A476" s="33">
        <f>IF(Data!A503="",#N/A,Data!A503)</f>
        <v/>
      </c>
      <c r="B476" s="34">
        <f>VLOOKUP(A476,Data!A:AX,MATCH($B$2,Data!$B$1:$AX$1,0),FALSE)</f>
        <v/>
      </c>
      <c r="C476" s="35">
        <f>(B476/B475)-1</f>
        <v/>
      </c>
      <c r="D476" s="35">
        <f>((1+C476)^12)-1</f>
        <v/>
      </c>
      <c r="E476" s="35">
        <f>(Table143454[[#This Row],[USA]]-B464)/B464</f>
        <v/>
      </c>
      <c r="F476" s="34">
        <f>VLOOKUP(Table143454[[#This Row],[Date]],'Data Core CPI'!$A:$AX,MATCH($B$2,'Data Core CPI'!$B$1:$AX$1,0),FALSE)</f>
        <v/>
      </c>
      <c r="G476" s="35">
        <f>(F476/F475)-1</f>
        <v/>
      </c>
      <c r="H476" s="35">
        <f>((1+G476)^12)-1</f>
        <v/>
      </c>
      <c r="I476" s="35">
        <f>(Table143454[[#This Row],[Core CPI]]-F464)/F464</f>
        <v/>
      </c>
    </row>
    <row r="477">
      <c r="A477" s="33">
        <f>IF(Data!A504="",#N/A,Data!A504)</f>
        <v/>
      </c>
      <c r="B477" s="34">
        <f>VLOOKUP(A477,Data!A:AX,MATCH($B$2,Data!$B$1:$AX$1,0),FALSE)</f>
        <v/>
      </c>
      <c r="C477" s="35">
        <f>(B477/B476)-1</f>
        <v/>
      </c>
      <c r="D477" s="35">
        <f>((1+C477)^12)-1</f>
        <v/>
      </c>
      <c r="E477" s="35">
        <f>(Table143454[[#This Row],[USA]]-B465)/B465</f>
        <v/>
      </c>
      <c r="F477" s="34">
        <f>VLOOKUP(Table143454[[#This Row],[Date]],'Data Core CPI'!$A:$AX,MATCH($B$2,'Data Core CPI'!$B$1:$AX$1,0),FALSE)</f>
        <v/>
      </c>
      <c r="G477" s="35">
        <f>(F477/F476)-1</f>
        <v/>
      </c>
      <c r="H477" s="35">
        <f>((1+G477)^12)-1</f>
        <v/>
      </c>
      <c r="I477" s="35">
        <f>(Table143454[[#This Row],[Core CPI]]-F465)/F465</f>
        <v/>
      </c>
    </row>
    <row r="478">
      <c r="A478" s="33">
        <f>IF(Data!A505="",#N/A,Data!A505)</f>
        <v/>
      </c>
      <c r="B478" s="34">
        <f>VLOOKUP(A478,Data!A:AX,MATCH($B$2,Data!$B$1:$AX$1,0),FALSE)</f>
        <v/>
      </c>
      <c r="C478" s="35">
        <f>(B478/B477)-1</f>
        <v/>
      </c>
      <c r="D478" s="35">
        <f>((1+C478)^12)-1</f>
        <v/>
      </c>
      <c r="E478" s="35">
        <f>(Table143454[[#This Row],[USA]]-B466)/B466</f>
        <v/>
      </c>
      <c r="F478" s="34">
        <f>VLOOKUP(Table143454[[#This Row],[Date]],'Data Core CPI'!$A:$AX,MATCH($B$2,'Data Core CPI'!$B$1:$AX$1,0),FALSE)</f>
        <v/>
      </c>
      <c r="G478" s="35">
        <f>(F478/F477)-1</f>
        <v/>
      </c>
      <c r="H478" s="35">
        <f>((1+G478)^12)-1</f>
        <v/>
      </c>
      <c r="I478" s="35">
        <f>(Table143454[[#This Row],[Core CPI]]-F466)/F466</f>
        <v/>
      </c>
    </row>
    <row r="479">
      <c r="A479" s="33">
        <f>IF(Data!A506="",#N/A,Data!A506)</f>
        <v/>
      </c>
      <c r="B479" s="34">
        <f>VLOOKUP(A479,Data!A:AX,MATCH($B$2,Data!$B$1:$AX$1,0),FALSE)</f>
        <v/>
      </c>
      <c r="C479" s="35">
        <f>(B479/B478)-1</f>
        <v/>
      </c>
      <c r="D479" s="35">
        <f>((1+C479)^12)-1</f>
        <v/>
      </c>
      <c r="E479" s="35">
        <f>(Table143454[[#This Row],[USA]]-B467)/B467</f>
        <v/>
      </c>
      <c r="F479" s="34">
        <f>VLOOKUP(Table143454[[#This Row],[Date]],'Data Core CPI'!$A:$AX,MATCH($B$2,'Data Core CPI'!$B$1:$AX$1,0),FALSE)</f>
        <v/>
      </c>
      <c r="G479" s="35">
        <f>(F479/F478)-1</f>
        <v/>
      </c>
      <c r="H479" s="35">
        <f>((1+G479)^12)-1</f>
        <v/>
      </c>
      <c r="I479" s="35">
        <f>(Table143454[[#This Row],[Core CPI]]-F467)/F467</f>
        <v/>
      </c>
    </row>
    <row r="480">
      <c r="A480" s="33">
        <f>IF(Data!A507="",#N/A,Data!A507)</f>
        <v/>
      </c>
      <c r="B480" s="34">
        <f>VLOOKUP(A480,Data!A:AX,MATCH($B$2,Data!$B$1:$AX$1,0),FALSE)</f>
        <v/>
      </c>
      <c r="C480" s="35">
        <f>(B480/B479)-1</f>
        <v/>
      </c>
      <c r="D480" s="35">
        <f>((1+C480)^12)-1</f>
        <v/>
      </c>
      <c r="E480" s="35">
        <f>(Table143454[[#This Row],[USA]]-B468)/B468</f>
        <v/>
      </c>
      <c r="F480" s="34">
        <f>VLOOKUP(Table143454[[#This Row],[Date]],'Data Core CPI'!$A:$AX,MATCH($B$2,'Data Core CPI'!$B$1:$AX$1,0),FALSE)</f>
        <v/>
      </c>
      <c r="G480" s="35">
        <f>(F480/F479)-1</f>
        <v/>
      </c>
      <c r="H480" s="35">
        <f>((1+G480)^12)-1</f>
        <v/>
      </c>
      <c r="I480" s="35">
        <f>(Table143454[[#This Row],[Core CPI]]-F468)/F468</f>
        <v/>
      </c>
    </row>
    <row r="481">
      <c r="A481" s="33">
        <f>IF(Data!A508="",#N/A,Data!A508)</f>
        <v/>
      </c>
      <c r="B481" s="34">
        <f>VLOOKUP(A481,Data!A:AX,MATCH($B$2,Data!$B$1:$AX$1,0),FALSE)</f>
        <v/>
      </c>
      <c r="C481" s="35">
        <f>(B481/B480)-1</f>
        <v/>
      </c>
      <c r="D481" s="35">
        <f>((1+C481)^12)-1</f>
        <v/>
      </c>
      <c r="E481" s="35">
        <f>(Table143454[[#This Row],[USA]]-B469)/B469</f>
        <v/>
      </c>
      <c r="F481" s="34">
        <f>VLOOKUP(Table143454[[#This Row],[Date]],'Data Core CPI'!$A:$AX,MATCH($B$2,'Data Core CPI'!$B$1:$AX$1,0),FALSE)</f>
        <v/>
      </c>
      <c r="G481" s="35">
        <f>(F481/F480)-1</f>
        <v/>
      </c>
      <c r="H481" s="35">
        <f>((1+G481)^12)-1</f>
        <v/>
      </c>
      <c r="I481" s="35">
        <f>(Table143454[[#This Row],[Core CPI]]-F469)/F469</f>
        <v/>
      </c>
    </row>
    <row r="482">
      <c r="A482" s="33">
        <f>IF(Data!A509="",#N/A,Data!A509)</f>
        <v/>
      </c>
      <c r="B482" s="34">
        <f>VLOOKUP(A482,Data!A:AX,MATCH($B$2,Data!$B$1:$AX$1,0),FALSE)</f>
        <v/>
      </c>
      <c r="C482" s="35">
        <f>(B482/B481)-1</f>
        <v/>
      </c>
      <c r="D482" s="35">
        <f>((1+C482)^12)-1</f>
        <v/>
      </c>
      <c r="E482" s="35">
        <f>(Table143454[[#This Row],[USA]]-B470)/B470</f>
        <v/>
      </c>
      <c r="F482" s="34">
        <f>VLOOKUP(Table143454[[#This Row],[Date]],'Data Core CPI'!$A:$AX,MATCH($B$2,'Data Core CPI'!$B$1:$AX$1,0),FALSE)</f>
        <v/>
      </c>
      <c r="G482" s="35">
        <f>(F482/F481)-1</f>
        <v/>
      </c>
      <c r="H482" s="35">
        <f>((1+G482)^12)-1</f>
        <v/>
      </c>
      <c r="I482" s="35">
        <f>(Table143454[[#This Row],[Core CPI]]-F470)/F470</f>
        <v/>
      </c>
    </row>
    <row r="483">
      <c r="A483" s="33">
        <f>IF(Data!A510="",#N/A,Data!A510)</f>
        <v/>
      </c>
      <c r="B483" s="34">
        <f>VLOOKUP(A483,Data!A:AX,MATCH($B$2,Data!$B$1:$AX$1,0),FALSE)</f>
        <v/>
      </c>
      <c r="C483" s="35">
        <f>(B483/B482)-1</f>
        <v/>
      </c>
      <c r="D483" s="35">
        <f>((1+C483)^12)-1</f>
        <v/>
      </c>
      <c r="E483" s="35">
        <f>(Table143454[[#This Row],[USA]]-B471)/B471</f>
        <v/>
      </c>
      <c r="F483" s="34">
        <f>VLOOKUP(Table143454[[#This Row],[Date]],'Data Core CPI'!$A:$AX,MATCH($B$2,'Data Core CPI'!$B$1:$AX$1,0),FALSE)</f>
        <v/>
      </c>
      <c r="G483" s="35">
        <f>(F483/F482)-1</f>
        <v/>
      </c>
      <c r="H483" s="35">
        <f>((1+G483)^12)-1</f>
        <v/>
      </c>
      <c r="I483" s="35">
        <f>(Table143454[[#This Row],[Core CPI]]-F471)/F471</f>
        <v/>
      </c>
    </row>
    <row r="484">
      <c r="A484" s="33">
        <f>IF(Data!A511="",#N/A,Data!A511)</f>
        <v/>
      </c>
      <c r="B484" s="34">
        <f>VLOOKUP(A484,Data!A:AX,MATCH($B$2,Data!$B$1:$AX$1,0),FALSE)</f>
        <v/>
      </c>
      <c r="C484" s="35">
        <f>(B484/B483)-1</f>
        <v/>
      </c>
      <c r="D484" s="35">
        <f>((1+C484)^12)-1</f>
        <v/>
      </c>
      <c r="E484" s="35">
        <f>(Table143454[[#This Row],[USA]]-B472)/B472</f>
        <v/>
      </c>
      <c r="F484" s="34">
        <f>VLOOKUP(Table143454[[#This Row],[Date]],'Data Core CPI'!$A:$AX,MATCH($B$2,'Data Core CPI'!$B$1:$AX$1,0),FALSE)</f>
        <v/>
      </c>
      <c r="G484" s="35">
        <f>(F484/F483)-1</f>
        <v/>
      </c>
      <c r="H484" s="35">
        <f>((1+G484)^12)-1</f>
        <v/>
      </c>
      <c r="I484" s="35">
        <f>(Table143454[[#This Row],[Core CPI]]-F472)/F472</f>
        <v/>
      </c>
    </row>
    <row r="485">
      <c r="A485" s="33">
        <f>IF(Data!A512="",#N/A,Data!A512)</f>
        <v/>
      </c>
      <c r="B485" s="34">
        <f>VLOOKUP(A485,Data!A:AX,MATCH($B$2,Data!$B$1:$AX$1,0),FALSE)</f>
        <v/>
      </c>
      <c r="C485" s="35">
        <f>(B485/B484)-1</f>
        <v/>
      </c>
      <c r="D485" s="35">
        <f>((1+C485)^12)-1</f>
        <v/>
      </c>
      <c r="E485" s="35">
        <f>(Table143454[[#This Row],[USA]]-B473)/B473</f>
        <v/>
      </c>
      <c r="F485" s="34">
        <f>VLOOKUP(Table143454[[#This Row],[Date]],'Data Core CPI'!$A:$AX,MATCH($B$2,'Data Core CPI'!$B$1:$AX$1,0),FALSE)</f>
        <v/>
      </c>
      <c r="G485" s="35">
        <f>(F485/F484)-1</f>
        <v/>
      </c>
      <c r="H485" s="35">
        <f>((1+G485)^12)-1</f>
        <v/>
      </c>
      <c r="I485" s="35">
        <f>(Table143454[[#This Row],[Core CPI]]-F473)/F473</f>
        <v/>
      </c>
    </row>
    <row r="486">
      <c r="A486" s="33">
        <f>IF(Data!A513="",#N/A,Data!A513)</f>
        <v/>
      </c>
      <c r="B486" s="34">
        <f>VLOOKUP(A486,Data!A:AX,MATCH($B$2,Data!$B$1:$AX$1,0),FALSE)</f>
        <v/>
      </c>
      <c r="C486" s="35">
        <f>(B486/B485)-1</f>
        <v/>
      </c>
      <c r="D486" s="35">
        <f>((1+C486)^12)-1</f>
        <v/>
      </c>
      <c r="E486" s="35">
        <f>(Table143454[[#This Row],[USA]]-B474)/B474</f>
        <v/>
      </c>
      <c r="F486" s="34">
        <f>VLOOKUP(Table143454[[#This Row],[Date]],'Data Core CPI'!$A:$AX,MATCH($B$2,'Data Core CPI'!$B$1:$AX$1,0),FALSE)</f>
        <v/>
      </c>
      <c r="G486" s="35">
        <f>(F486/F485)-1</f>
        <v/>
      </c>
      <c r="H486" s="35">
        <f>((1+G486)^12)-1</f>
        <v/>
      </c>
      <c r="I486" s="35">
        <f>(Table143454[[#This Row],[Core CPI]]-F474)/F474</f>
        <v/>
      </c>
    </row>
    <row r="487">
      <c r="A487" s="33">
        <f>IF(Data!A514="",#N/A,Data!A514)</f>
        <v/>
      </c>
      <c r="B487" s="34">
        <f>VLOOKUP(A487,Data!A:AX,MATCH($B$2,Data!$B$1:$AX$1,0),FALSE)</f>
        <v/>
      </c>
      <c r="C487" s="35">
        <f>(B487/B486)-1</f>
        <v/>
      </c>
      <c r="D487" s="35">
        <f>((1+C487)^12)-1</f>
        <v/>
      </c>
      <c r="E487" s="35">
        <f>(Table143454[[#This Row],[USA]]-B475)/B475</f>
        <v/>
      </c>
      <c r="F487" s="34">
        <f>VLOOKUP(Table143454[[#This Row],[Date]],'Data Core CPI'!$A:$AX,MATCH($B$2,'Data Core CPI'!$B$1:$AX$1,0),FALSE)</f>
        <v/>
      </c>
      <c r="G487" s="35">
        <f>(F487/F486)-1</f>
        <v/>
      </c>
      <c r="H487" s="35">
        <f>((1+G487)^12)-1</f>
        <v/>
      </c>
      <c r="I487" s="35">
        <f>(Table143454[[#This Row],[Core CPI]]-F475)/F475</f>
        <v/>
      </c>
    </row>
    <row r="488">
      <c r="A488" s="33">
        <f>IF(Data!A515="",#N/A,Data!A515)</f>
        <v/>
      </c>
      <c r="B488" s="34">
        <f>VLOOKUP(A488,Data!A:AX,MATCH($B$2,Data!$B$1:$AX$1,0),FALSE)</f>
        <v/>
      </c>
      <c r="C488" s="35">
        <f>(B488/B487)-1</f>
        <v/>
      </c>
      <c r="D488" s="35">
        <f>((1+C488)^12)-1</f>
        <v/>
      </c>
      <c r="E488" s="35">
        <f>(Table143454[[#This Row],[USA]]-B476)/B476</f>
        <v/>
      </c>
      <c r="F488" s="34">
        <f>VLOOKUP(Table143454[[#This Row],[Date]],'Data Core CPI'!$A:$AX,MATCH($B$2,'Data Core CPI'!$B$1:$AX$1,0),FALSE)</f>
        <v/>
      </c>
      <c r="G488" s="35">
        <f>(F488/F487)-1</f>
        <v/>
      </c>
      <c r="H488" s="35">
        <f>((1+G488)^12)-1</f>
        <v/>
      </c>
      <c r="I488" s="35">
        <f>(Table143454[[#This Row],[Core CPI]]-F476)/F476</f>
        <v/>
      </c>
    </row>
    <row r="489">
      <c r="A489" s="33">
        <f>IF(Data!A516="",#N/A,Data!A516)</f>
        <v/>
      </c>
      <c r="B489" s="34">
        <f>VLOOKUP(A489,Data!A:AX,MATCH($B$2,Data!$B$1:$AX$1,0),FALSE)</f>
        <v/>
      </c>
      <c r="C489" s="35">
        <f>(B489/B488)-1</f>
        <v/>
      </c>
      <c r="D489" s="35">
        <f>((1+C489)^12)-1</f>
        <v/>
      </c>
      <c r="E489" s="35">
        <f>(Table143454[[#This Row],[USA]]-B477)/B477</f>
        <v/>
      </c>
      <c r="F489" s="34">
        <f>VLOOKUP(Table143454[[#This Row],[Date]],'Data Core CPI'!$A:$AX,MATCH($B$2,'Data Core CPI'!$B$1:$AX$1,0),FALSE)</f>
        <v/>
      </c>
      <c r="G489" s="35">
        <f>(F489/F488)-1</f>
        <v/>
      </c>
      <c r="H489" s="35">
        <f>((1+G489)^12)-1</f>
        <v/>
      </c>
      <c r="I489" s="35">
        <f>(Table143454[[#This Row],[Core CPI]]-F477)/F477</f>
        <v/>
      </c>
    </row>
    <row r="490">
      <c r="A490" s="33">
        <f>IF(Data!A517="",#N/A,Data!A517)</f>
        <v/>
      </c>
      <c r="B490" s="34">
        <f>VLOOKUP(A490,Data!A:AX,MATCH($B$2,Data!$B$1:$AX$1,0),FALSE)</f>
        <v/>
      </c>
      <c r="C490" s="35">
        <f>(B490/B489)-1</f>
        <v/>
      </c>
      <c r="D490" s="35">
        <f>((1+C490)^12)-1</f>
        <v/>
      </c>
      <c r="E490" s="35">
        <f>(Table143454[[#This Row],[USA]]-B478)/B478</f>
        <v/>
      </c>
      <c r="F490" s="34">
        <f>VLOOKUP(Table143454[[#This Row],[Date]],'Data Core CPI'!$A:$AX,MATCH($B$2,'Data Core CPI'!$B$1:$AX$1,0),FALSE)</f>
        <v/>
      </c>
      <c r="G490" s="35">
        <f>(F490/F489)-1</f>
        <v/>
      </c>
      <c r="H490" s="35">
        <f>((1+G490)^12)-1</f>
        <v/>
      </c>
      <c r="I490" s="35">
        <f>(Table143454[[#This Row],[Core CPI]]-F478)/F478</f>
        <v/>
      </c>
    </row>
    <row r="491">
      <c r="A491" s="33">
        <f>IF(Data!A518="",#N/A,Data!A518)</f>
        <v/>
      </c>
      <c r="B491" s="34">
        <f>VLOOKUP(A491,Data!A:AX,MATCH($B$2,Data!$B$1:$AX$1,0),FALSE)</f>
        <v/>
      </c>
      <c r="C491" s="35">
        <f>(B491/B490)-1</f>
        <v/>
      </c>
      <c r="D491" s="35">
        <f>((1+C491)^12)-1</f>
        <v/>
      </c>
      <c r="E491" s="35">
        <f>(Table143454[[#This Row],[USA]]-B479)/B479</f>
        <v/>
      </c>
      <c r="F491" s="34">
        <f>VLOOKUP(Table143454[[#This Row],[Date]],'Data Core CPI'!$A:$AX,MATCH($B$2,'Data Core CPI'!$B$1:$AX$1,0),FALSE)</f>
        <v/>
      </c>
      <c r="G491" s="35">
        <f>(F491/F490)-1</f>
        <v/>
      </c>
      <c r="H491" s="35">
        <f>((1+G491)^12)-1</f>
        <v/>
      </c>
      <c r="I491" s="35">
        <f>(Table143454[[#This Row],[Core CPI]]-F479)/F479</f>
        <v/>
      </c>
    </row>
    <row r="492">
      <c r="A492" s="33">
        <f>IF(Data!A519="",#N/A,Data!A519)</f>
        <v/>
      </c>
      <c r="B492" s="34">
        <f>VLOOKUP(A492,Data!A:AX,MATCH($B$2,Data!$B$1:$AX$1,0),FALSE)</f>
        <v/>
      </c>
      <c r="C492" s="35">
        <f>(B492/B491)-1</f>
        <v/>
      </c>
      <c r="D492" s="35">
        <f>((1+C492)^12)-1</f>
        <v/>
      </c>
      <c r="E492" s="35">
        <f>(Table143454[[#This Row],[USA]]-B480)/B480</f>
        <v/>
      </c>
      <c r="F492" s="34">
        <f>VLOOKUP(Table143454[[#This Row],[Date]],'Data Core CPI'!$A:$AX,MATCH($B$2,'Data Core CPI'!$B$1:$AX$1,0),FALSE)</f>
        <v/>
      </c>
      <c r="G492" s="35">
        <f>(F492/F491)-1</f>
        <v/>
      </c>
      <c r="H492" s="35">
        <f>((1+G492)^12)-1</f>
        <v/>
      </c>
      <c r="I492" s="35">
        <f>(Table143454[[#This Row],[Core CPI]]-F480)/F480</f>
        <v/>
      </c>
    </row>
    <row r="493">
      <c r="A493" s="33">
        <f>IF(Data!A520="",#N/A,Data!A520)</f>
        <v/>
      </c>
      <c r="B493" s="34">
        <f>VLOOKUP(A493,Data!A:AX,MATCH($B$2,Data!$B$1:$AX$1,0),FALSE)</f>
        <v/>
      </c>
      <c r="C493" s="35">
        <f>(B493/B492)-1</f>
        <v/>
      </c>
      <c r="D493" s="35">
        <f>((1+C493)^12)-1</f>
        <v/>
      </c>
      <c r="E493" s="35">
        <f>(Table143454[[#This Row],[USA]]-B481)/B481</f>
        <v/>
      </c>
      <c r="F493" s="34">
        <f>VLOOKUP(Table143454[[#This Row],[Date]],'Data Core CPI'!$A:$AX,MATCH($B$2,'Data Core CPI'!$B$1:$AX$1,0),FALSE)</f>
        <v/>
      </c>
      <c r="G493" s="35">
        <f>(F493/F492)-1</f>
        <v/>
      </c>
      <c r="H493" s="35">
        <f>((1+G493)^12)-1</f>
        <v/>
      </c>
      <c r="I493" s="35">
        <f>(Table143454[[#This Row],[Core CPI]]-F481)/F481</f>
        <v/>
      </c>
    </row>
    <row r="494">
      <c r="A494" s="33">
        <f>IF(Data!A521="",#N/A,Data!A521)</f>
        <v/>
      </c>
      <c r="B494" s="34">
        <f>VLOOKUP(A494,Data!A:AX,MATCH($B$2,Data!$B$1:$AX$1,0),FALSE)</f>
        <v/>
      </c>
      <c r="C494" s="35">
        <f>(B494/B493)-1</f>
        <v/>
      </c>
      <c r="D494" s="35">
        <f>((1+C494)^12)-1</f>
        <v/>
      </c>
      <c r="E494" s="35">
        <f>(Table143454[[#This Row],[USA]]-B482)/B482</f>
        <v/>
      </c>
      <c r="F494" s="34">
        <f>VLOOKUP(Table143454[[#This Row],[Date]],'Data Core CPI'!$A:$AX,MATCH($B$2,'Data Core CPI'!$B$1:$AX$1,0),FALSE)</f>
        <v/>
      </c>
      <c r="G494" s="35">
        <f>(F494/F493)-1</f>
        <v/>
      </c>
      <c r="H494" s="35">
        <f>((1+G494)^12)-1</f>
        <v/>
      </c>
      <c r="I494" s="35">
        <f>(Table143454[[#This Row],[Core CPI]]-F482)/F482</f>
        <v/>
      </c>
    </row>
    <row r="495">
      <c r="A495" s="33">
        <f>IF(Data!A522="",#N/A,Data!A522)</f>
        <v/>
      </c>
      <c r="B495" s="34">
        <f>VLOOKUP(A495,Data!A:AX,MATCH($B$2,Data!$B$1:$AX$1,0),FALSE)</f>
        <v/>
      </c>
      <c r="C495" s="35">
        <f>(B495/B494)-1</f>
        <v/>
      </c>
      <c r="D495" s="35">
        <f>((1+C495)^12)-1</f>
        <v/>
      </c>
      <c r="E495" s="35">
        <f>(Table143454[[#This Row],[USA]]-B483)/B483</f>
        <v/>
      </c>
      <c r="F495" s="34">
        <f>VLOOKUP(Table143454[[#This Row],[Date]],'Data Core CPI'!$A:$AX,MATCH($B$2,'Data Core CPI'!$B$1:$AX$1,0),FALSE)</f>
        <v/>
      </c>
      <c r="G495" s="35">
        <f>(F495/F494)-1</f>
        <v/>
      </c>
      <c r="H495" s="35">
        <f>((1+G495)^12)-1</f>
        <v/>
      </c>
      <c r="I495" s="35">
        <f>(Table143454[[#This Row],[Core CPI]]-F483)/F483</f>
        <v/>
      </c>
    </row>
    <row r="496">
      <c r="A496" s="33">
        <f>IF(Data!A523="",#N/A,Data!A523)</f>
        <v/>
      </c>
      <c r="B496" s="34">
        <f>VLOOKUP(A496,Data!A:AX,MATCH($B$2,Data!$B$1:$AX$1,0),FALSE)</f>
        <v/>
      </c>
      <c r="C496" s="35">
        <f>(B496/B495)-1</f>
        <v/>
      </c>
      <c r="D496" s="35">
        <f>((1+C496)^12)-1</f>
        <v/>
      </c>
      <c r="E496" s="35">
        <f>(Table143454[[#This Row],[USA]]-B484)/B484</f>
        <v/>
      </c>
      <c r="F496" s="34">
        <f>VLOOKUP(Table143454[[#This Row],[Date]],'Data Core CPI'!$A:$AX,MATCH($B$2,'Data Core CPI'!$B$1:$AX$1,0),FALSE)</f>
        <v/>
      </c>
      <c r="G496" s="35">
        <f>(F496/F495)-1</f>
        <v/>
      </c>
      <c r="H496" s="35">
        <f>((1+G496)^12)-1</f>
        <v/>
      </c>
      <c r="I496" s="35">
        <f>(Table143454[[#This Row],[Core CPI]]-F484)/F484</f>
        <v/>
      </c>
    </row>
    <row r="497">
      <c r="A497" s="33">
        <f>IF(Data!A524="",#N/A,Data!A524)</f>
        <v/>
      </c>
      <c r="B497" s="34">
        <f>VLOOKUP(A497,Data!A:AX,MATCH($B$2,Data!$B$1:$AX$1,0),FALSE)</f>
        <v/>
      </c>
      <c r="C497" s="35">
        <f>(B497/B496)-1</f>
        <v/>
      </c>
      <c r="D497" s="35">
        <f>((1+C497)^12)-1</f>
        <v/>
      </c>
      <c r="E497" s="35">
        <f>(Table143454[[#This Row],[USA]]-B485)/B485</f>
        <v/>
      </c>
      <c r="F497" s="34">
        <f>VLOOKUP(Table143454[[#This Row],[Date]],'Data Core CPI'!$A:$AX,MATCH($B$2,'Data Core CPI'!$B$1:$AX$1,0),FALSE)</f>
        <v/>
      </c>
      <c r="G497" s="35">
        <f>(F497/F496)-1</f>
        <v/>
      </c>
      <c r="H497" s="35">
        <f>((1+G497)^12)-1</f>
        <v/>
      </c>
      <c r="I497" s="35">
        <f>(Table143454[[#This Row],[Core CPI]]-F485)/F485</f>
        <v/>
      </c>
    </row>
    <row r="498">
      <c r="A498" s="33">
        <f>IF(Data!A525="",#N/A,Data!A525)</f>
        <v/>
      </c>
      <c r="B498" s="34">
        <f>VLOOKUP(A498,Data!A:AX,MATCH($B$2,Data!$B$1:$AX$1,0),FALSE)</f>
        <v/>
      </c>
      <c r="C498" s="35">
        <f>(B498/B497)-1</f>
        <v/>
      </c>
      <c r="D498" s="35">
        <f>((1+C498)^12)-1</f>
        <v/>
      </c>
      <c r="E498" s="35">
        <f>(Table143454[[#This Row],[USA]]-B486)/B486</f>
        <v/>
      </c>
      <c r="F498" s="34">
        <f>VLOOKUP(Table143454[[#This Row],[Date]],'Data Core CPI'!$A:$AX,MATCH($B$2,'Data Core CPI'!$B$1:$AX$1,0),FALSE)</f>
        <v/>
      </c>
      <c r="G498" s="35">
        <f>(F498/F497)-1</f>
        <v/>
      </c>
      <c r="H498" s="35">
        <f>((1+G498)^12)-1</f>
        <v/>
      </c>
      <c r="I498" s="35">
        <f>(Table143454[[#This Row],[Core CPI]]-F486)/F486</f>
        <v/>
      </c>
    </row>
    <row r="499">
      <c r="A499" s="33">
        <f>IF(Data!A526="",#N/A,Data!A526)</f>
        <v/>
      </c>
      <c r="B499" s="34">
        <f>VLOOKUP(A499,Data!A:AX,MATCH($B$2,Data!$B$1:$AX$1,0),FALSE)</f>
        <v/>
      </c>
      <c r="C499" s="35">
        <f>(B499/B498)-1</f>
        <v/>
      </c>
      <c r="D499" s="35">
        <f>((1+C499)^12)-1</f>
        <v/>
      </c>
      <c r="E499" s="35">
        <f>(Table143454[[#This Row],[USA]]-B487)/B487</f>
        <v/>
      </c>
      <c r="F499" s="34">
        <f>VLOOKUP(Table143454[[#This Row],[Date]],'Data Core CPI'!$A:$AX,MATCH($B$2,'Data Core CPI'!$B$1:$AX$1,0),FALSE)</f>
        <v/>
      </c>
      <c r="G499" s="35">
        <f>(F499/F498)-1</f>
        <v/>
      </c>
      <c r="H499" s="35">
        <f>((1+G499)^12)-1</f>
        <v/>
      </c>
      <c r="I499" s="35">
        <f>(Table143454[[#This Row],[Core CPI]]-F487)/F487</f>
        <v/>
      </c>
    </row>
    <row r="500">
      <c r="A500" s="33">
        <f>IF(Data!A527="",#N/A,Data!A527)</f>
        <v/>
      </c>
      <c r="B500" s="34">
        <f>VLOOKUP(A500,Data!A:AX,MATCH($B$2,Data!$B$1:$AX$1,0),FALSE)</f>
        <v/>
      </c>
      <c r="C500" s="35">
        <f>(B500/B499)-1</f>
        <v/>
      </c>
      <c r="D500" s="35">
        <f>((1+C500)^12)-1</f>
        <v/>
      </c>
      <c r="E500" s="35">
        <f>(Table143454[[#This Row],[USA]]-B488)/B488</f>
        <v/>
      </c>
      <c r="F500" s="34">
        <f>VLOOKUP(Table143454[[#This Row],[Date]],'Data Core CPI'!$A:$AX,MATCH($B$2,'Data Core CPI'!$B$1:$AX$1,0),FALSE)</f>
        <v/>
      </c>
      <c r="G500" s="35">
        <f>(F500/F499)-1</f>
        <v/>
      </c>
      <c r="H500" s="35">
        <f>((1+G500)^12)-1</f>
        <v/>
      </c>
      <c r="I500" s="35">
        <f>(Table143454[[#This Row],[Core CPI]]-F488)/F488</f>
        <v/>
      </c>
    </row>
    <row r="501">
      <c r="A501" s="33">
        <f>IF(Data!A528="",#N/A,Data!A528)</f>
        <v/>
      </c>
      <c r="B501" s="34">
        <f>VLOOKUP(A501,Data!A:AX,MATCH($B$2,Data!$B$1:$AX$1,0),FALSE)</f>
        <v/>
      </c>
      <c r="C501" s="35">
        <f>(B501/B500)-1</f>
        <v/>
      </c>
      <c r="D501" s="35">
        <f>((1+C501)^12)-1</f>
        <v/>
      </c>
      <c r="E501" s="35">
        <f>(Table143454[[#This Row],[USA]]-B489)/B489</f>
        <v/>
      </c>
      <c r="F501" s="34">
        <f>VLOOKUP(Table143454[[#This Row],[Date]],'Data Core CPI'!$A:$AX,MATCH($B$2,'Data Core CPI'!$B$1:$AX$1,0),FALSE)</f>
        <v/>
      </c>
      <c r="G501" s="35">
        <f>(F501/F500)-1</f>
        <v/>
      </c>
      <c r="H501" s="35">
        <f>((1+G501)^12)-1</f>
        <v/>
      </c>
      <c r="I501" s="35">
        <f>(Table143454[[#This Row],[Core CPI]]-F489)/F489</f>
        <v/>
      </c>
    </row>
    <row r="502">
      <c r="A502" s="33">
        <f>IF(Data!A529="",#N/A,Data!A529)</f>
        <v/>
      </c>
      <c r="B502" s="34">
        <f>VLOOKUP(A502,Data!A:AX,MATCH($B$2,Data!$B$1:$AX$1,0),FALSE)</f>
        <v/>
      </c>
      <c r="C502" s="35">
        <f>(B502/B501)-1</f>
        <v/>
      </c>
      <c r="D502" s="35">
        <f>((1+C502)^12)-1</f>
        <v/>
      </c>
      <c r="E502" s="35">
        <f>(Table143454[[#This Row],[USA]]-B490)/B490</f>
        <v/>
      </c>
      <c r="F502" s="34">
        <f>VLOOKUP(Table143454[[#This Row],[Date]],'Data Core CPI'!$A:$AX,MATCH($B$2,'Data Core CPI'!$B$1:$AX$1,0),FALSE)</f>
        <v/>
      </c>
      <c r="G502" s="35">
        <f>(F502/F501)-1</f>
        <v/>
      </c>
      <c r="H502" s="35">
        <f>((1+G502)^12)-1</f>
        <v/>
      </c>
      <c r="I502" s="35">
        <f>(Table143454[[#This Row],[Core CPI]]-F490)/F490</f>
        <v/>
      </c>
    </row>
    <row r="503">
      <c r="A503" s="33">
        <f>IF(Data!A530="",#N/A,Data!A530)</f>
        <v/>
      </c>
      <c r="B503" s="34">
        <f>VLOOKUP(A503,Data!A:AX,MATCH($B$2,Data!$B$1:$AX$1,0),FALSE)</f>
        <v/>
      </c>
      <c r="C503" s="35">
        <f>(B503/B502)-1</f>
        <v/>
      </c>
      <c r="D503" s="35">
        <f>((1+C503)^12)-1</f>
        <v/>
      </c>
      <c r="E503" s="35">
        <f>(Table143454[[#This Row],[USA]]-B491)/B491</f>
        <v/>
      </c>
      <c r="F503" s="34">
        <f>VLOOKUP(Table143454[[#This Row],[Date]],'Data Core CPI'!$A:$AX,MATCH($B$2,'Data Core CPI'!$B$1:$AX$1,0),FALSE)</f>
        <v/>
      </c>
      <c r="G503" s="35">
        <f>(F503/F502)-1</f>
        <v/>
      </c>
      <c r="H503" s="35">
        <f>((1+G503)^12)-1</f>
        <v/>
      </c>
      <c r="I503" s="35">
        <f>(Table143454[[#This Row],[Core CPI]]-F491)/F491</f>
        <v/>
      </c>
    </row>
    <row r="504">
      <c r="A504" s="33">
        <f>IF(Data!A531="",#N/A,Data!A531)</f>
        <v/>
      </c>
      <c r="B504" s="34">
        <f>VLOOKUP(A504,Data!A:AX,MATCH($B$2,Data!$B$1:$AX$1,0),FALSE)</f>
        <v/>
      </c>
      <c r="C504" s="35">
        <f>(B504/B503)-1</f>
        <v/>
      </c>
      <c r="D504" s="35">
        <f>((1+C504)^12)-1</f>
        <v/>
      </c>
      <c r="E504" s="35">
        <f>(Table143454[[#This Row],[USA]]-B492)/B492</f>
        <v/>
      </c>
      <c r="F504" s="34">
        <f>VLOOKUP(Table143454[[#This Row],[Date]],'Data Core CPI'!$A:$AX,MATCH($B$2,'Data Core CPI'!$B$1:$AX$1,0),FALSE)</f>
        <v/>
      </c>
      <c r="G504" s="35">
        <f>(F504/F503)-1</f>
        <v/>
      </c>
      <c r="H504" s="35">
        <f>((1+G504)^12)-1</f>
        <v/>
      </c>
      <c r="I504" s="35">
        <f>(Table143454[[#This Row],[Core CPI]]-F492)/F492</f>
        <v/>
      </c>
    </row>
    <row r="505">
      <c r="A505" s="33">
        <f>IF(Data!A532="",#N/A,Data!A532)</f>
        <v/>
      </c>
      <c r="B505" s="34">
        <f>VLOOKUP(A505,Data!A:AX,MATCH($B$2,Data!$B$1:$AX$1,0),FALSE)</f>
        <v/>
      </c>
      <c r="C505" s="35">
        <f>(B505/B504)-1</f>
        <v/>
      </c>
      <c r="D505" s="35">
        <f>((1+C505)^12)-1</f>
        <v/>
      </c>
      <c r="E505" s="35">
        <f>(Table143454[[#This Row],[USA]]-B493)/B493</f>
        <v/>
      </c>
      <c r="F505" s="34">
        <f>VLOOKUP(Table143454[[#This Row],[Date]],'Data Core CPI'!$A:$AX,MATCH($B$2,'Data Core CPI'!$B$1:$AX$1,0),FALSE)</f>
        <v/>
      </c>
      <c r="G505" s="35">
        <f>(F505/F504)-1</f>
        <v/>
      </c>
      <c r="H505" s="35">
        <f>((1+G505)^12)-1</f>
        <v/>
      </c>
      <c r="I505" s="35">
        <f>(Table143454[[#This Row],[Core CPI]]-F493)/F493</f>
        <v/>
      </c>
    </row>
    <row r="506">
      <c r="A506" s="33">
        <f>IF(Data!A533="",#N/A,Data!A533)</f>
        <v/>
      </c>
      <c r="B506" s="34">
        <f>VLOOKUP(A506,Data!A:AX,MATCH($B$2,Data!$B$1:$AX$1,0),FALSE)</f>
        <v/>
      </c>
      <c r="C506" s="35">
        <f>(B506/B505)-1</f>
        <v/>
      </c>
      <c r="D506" s="35">
        <f>((1+C506)^12)-1</f>
        <v/>
      </c>
      <c r="E506" s="35">
        <f>(Table143454[[#This Row],[USA]]-B494)/B494</f>
        <v/>
      </c>
      <c r="F506" s="34">
        <f>VLOOKUP(Table143454[[#This Row],[Date]],'Data Core CPI'!$A:$AX,MATCH($B$2,'Data Core CPI'!$B$1:$AX$1,0),FALSE)</f>
        <v/>
      </c>
      <c r="G506" s="35">
        <f>(F506/F505)-1</f>
        <v/>
      </c>
      <c r="H506" s="35">
        <f>((1+G506)^12)-1</f>
        <v/>
      </c>
      <c r="I506" s="35">
        <f>(Table143454[[#This Row],[Core CPI]]-F494)/F494</f>
        <v/>
      </c>
    </row>
    <row r="507">
      <c r="A507" s="33">
        <f>IF(Data!A534="",#N/A,Data!A534)</f>
        <v/>
      </c>
      <c r="B507" s="34">
        <f>VLOOKUP(A507,Data!A:AX,MATCH($B$2,Data!$B$1:$AX$1,0),FALSE)</f>
        <v/>
      </c>
      <c r="C507" s="35">
        <f>(B507/B506)-1</f>
        <v/>
      </c>
      <c r="D507" s="35">
        <f>((1+C507)^12)-1</f>
        <v/>
      </c>
      <c r="E507" s="35">
        <f>(Table143454[[#This Row],[USA]]-B495)/B495</f>
        <v/>
      </c>
      <c r="F507" s="34">
        <f>VLOOKUP(Table143454[[#This Row],[Date]],'Data Core CPI'!$A:$AX,MATCH($B$2,'Data Core CPI'!$B$1:$AX$1,0),FALSE)</f>
        <v/>
      </c>
      <c r="G507" s="35">
        <f>(F507/F506)-1</f>
        <v/>
      </c>
      <c r="H507" s="35">
        <f>((1+G507)^12)-1</f>
        <v/>
      </c>
      <c r="I507" s="35">
        <f>(Table143454[[#This Row],[Core CPI]]-F495)/F495</f>
        <v/>
      </c>
    </row>
    <row r="508">
      <c r="A508" s="33">
        <f>IF(Data!A535="",#N/A,Data!A535)</f>
        <v/>
      </c>
      <c r="B508" s="34">
        <f>VLOOKUP(A508,Data!A:AX,MATCH($B$2,Data!$B$1:$AX$1,0),FALSE)</f>
        <v/>
      </c>
      <c r="C508" s="35">
        <f>(B508/B507)-1</f>
        <v/>
      </c>
      <c r="D508" s="35">
        <f>((1+C508)^12)-1</f>
        <v/>
      </c>
      <c r="E508" s="35">
        <f>(Table143454[[#This Row],[USA]]-B496)/B496</f>
        <v/>
      </c>
      <c r="F508" s="34">
        <f>VLOOKUP(Table143454[[#This Row],[Date]],'Data Core CPI'!$A:$AX,MATCH($B$2,'Data Core CPI'!$B$1:$AX$1,0),FALSE)</f>
        <v/>
      </c>
      <c r="G508" s="35">
        <f>(F508/F507)-1</f>
        <v/>
      </c>
      <c r="H508" s="35">
        <f>((1+G508)^12)-1</f>
        <v/>
      </c>
      <c r="I508" s="35">
        <f>(Table143454[[#This Row],[Core CPI]]-F496)/F496</f>
        <v/>
      </c>
    </row>
    <row r="509">
      <c r="A509" s="33">
        <f>IF(Data!A536="",#N/A,Data!A536)</f>
        <v/>
      </c>
      <c r="B509" s="34">
        <f>VLOOKUP(A509,Data!A:AX,MATCH($B$2,Data!$B$1:$AX$1,0),FALSE)</f>
        <v/>
      </c>
      <c r="C509" s="35">
        <f>(B509/B508)-1</f>
        <v/>
      </c>
      <c r="D509" s="35">
        <f>((1+C509)^12)-1</f>
        <v/>
      </c>
      <c r="E509" s="35">
        <f>(Table143454[[#This Row],[USA]]-B497)/B497</f>
        <v/>
      </c>
      <c r="F509" s="34">
        <f>VLOOKUP(Table143454[[#This Row],[Date]],'Data Core CPI'!$A:$AX,MATCH($B$2,'Data Core CPI'!$B$1:$AX$1,0),FALSE)</f>
        <v/>
      </c>
      <c r="G509" s="35">
        <f>(F509/F508)-1</f>
        <v/>
      </c>
      <c r="H509" s="35">
        <f>((1+G509)^12)-1</f>
        <v/>
      </c>
      <c r="I509" s="35">
        <f>(Table143454[[#This Row],[Core CPI]]-F497)/F497</f>
        <v/>
      </c>
    </row>
    <row r="510">
      <c r="A510" s="33">
        <f>IF(Data!A537="",#N/A,Data!A537)</f>
        <v/>
      </c>
      <c r="B510" s="34">
        <f>VLOOKUP(A510,Data!A:AX,MATCH($B$2,Data!$B$1:$AX$1,0),FALSE)</f>
        <v/>
      </c>
      <c r="C510" s="35">
        <f>(B510/B509)-1</f>
        <v/>
      </c>
      <c r="D510" s="35">
        <f>((1+C510)^12)-1</f>
        <v/>
      </c>
      <c r="E510" s="35">
        <f>(Table143454[[#This Row],[USA]]-B498)/B498</f>
        <v/>
      </c>
      <c r="F510" s="34">
        <f>VLOOKUP(Table143454[[#This Row],[Date]],'Data Core CPI'!$A:$AX,MATCH($B$2,'Data Core CPI'!$B$1:$AX$1,0),FALSE)</f>
        <v/>
      </c>
      <c r="G510" s="35">
        <f>(F510/F509)-1</f>
        <v/>
      </c>
      <c r="H510" s="35">
        <f>((1+G510)^12)-1</f>
        <v/>
      </c>
      <c r="I510" s="35">
        <f>(Table143454[[#This Row],[Core CPI]]-F498)/F498</f>
        <v/>
      </c>
    </row>
    <row r="511">
      <c r="A511" s="33">
        <f>IF(Data!A538="",#N/A,Data!A538)</f>
        <v/>
      </c>
      <c r="B511" s="34">
        <f>VLOOKUP(A511,Data!A:AX,MATCH($B$2,Data!$B$1:$AX$1,0),FALSE)</f>
        <v/>
      </c>
      <c r="C511" s="35">
        <f>(B511/B510)-1</f>
        <v/>
      </c>
      <c r="D511" s="35">
        <f>((1+C511)^12)-1</f>
        <v/>
      </c>
      <c r="E511" s="35">
        <f>(Table143454[[#This Row],[USA]]-B499)/B499</f>
        <v/>
      </c>
      <c r="F511" s="34">
        <f>VLOOKUP(Table143454[[#This Row],[Date]],'Data Core CPI'!$A:$AX,MATCH($B$2,'Data Core CPI'!$B$1:$AX$1,0),FALSE)</f>
        <v/>
      </c>
      <c r="G511" s="35">
        <f>(F511/F510)-1</f>
        <v/>
      </c>
      <c r="H511" s="35">
        <f>((1+G511)^12)-1</f>
        <v/>
      </c>
      <c r="I511" s="35">
        <f>(Table143454[[#This Row],[Core CPI]]-F499)/F499</f>
        <v/>
      </c>
    </row>
    <row r="512">
      <c r="A512" s="33">
        <f>IF(Data!A539="",#N/A,Data!A539)</f>
        <v/>
      </c>
      <c r="B512" s="34">
        <f>VLOOKUP(A512,Data!A:AX,MATCH($B$2,Data!$B$1:$AX$1,0),FALSE)</f>
        <v/>
      </c>
      <c r="C512" s="35">
        <f>(B512/B511)-1</f>
        <v/>
      </c>
      <c r="D512" s="35">
        <f>((1+C512)^12)-1</f>
        <v/>
      </c>
      <c r="E512" s="35">
        <f>(Table143454[[#This Row],[USA]]-B500)/B500</f>
        <v/>
      </c>
      <c r="F512" s="34">
        <f>VLOOKUP(Table143454[[#This Row],[Date]],'Data Core CPI'!$A:$AX,MATCH($B$2,'Data Core CPI'!$B$1:$AX$1,0),FALSE)</f>
        <v/>
      </c>
      <c r="G512" s="35">
        <f>(F512/F511)-1</f>
        <v/>
      </c>
      <c r="H512" s="35">
        <f>((1+G512)^12)-1</f>
        <v/>
      </c>
      <c r="I512" s="35">
        <f>(Table143454[[#This Row],[Core CPI]]-F500)/F500</f>
        <v/>
      </c>
    </row>
    <row r="513">
      <c r="A513" s="33">
        <f>IF(Data!A540="",#N/A,Data!A540)</f>
        <v/>
      </c>
      <c r="B513" s="34">
        <f>VLOOKUP(A513,Data!A:AX,MATCH($B$2,Data!$B$1:$AX$1,0),FALSE)</f>
        <v/>
      </c>
      <c r="C513" s="35">
        <f>(B513/B512)-1</f>
        <v/>
      </c>
      <c r="D513" s="35">
        <f>((1+C513)^12)-1</f>
        <v/>
      </c>
      <c r="E513" s="35">
        <f>(Table143454[[#This Row],[USA]]-B501)/B501</f>
        <v/>
      </c>
      <c r="F513" s="34">
        <f>VLOOKUP(Table143454[[#This Row],[Date]],'Data Core CPI'!$A:$AX,MATCH($B$2,'Data Core CPI'!$B$1:$AX$1,0),FALSE)</f>
        <v/>
      </c>
      <c r="G513" s="35">
        <f>(F513/F512)-1</f>
        <v/>
      </c>
      <c r="H513" s="35">
        <f>((1+G513)^12)-1</f>
        <v/>
      </c>
      <c r="I513" s="35">
        <f>(Table143454[[#This Row],[Core CPI]]-F501)/F501</f>
        <v/>
      </c>
    </row>
    <row r="514">
      <c r="A514" s="33">
        <f>IF(Data!A541="",#N/A,Data!A541)</f>
        <v/>
      </c>
      <c r="B514" s="34">
        <f>VLOOKUP(A514,Data!A:AX,MATCH($B$2,Data!$B$1:$AX$1,0),FALSE)</f>
        <v/>
      </c>
      <c r="C514" s="35">
        <f>(B514/B513)-1</f>
        <v/>
      </c>
      <c r="D514" s="35">
        <f>((1+C514)^12)-1</f>
        <v/>
      </c>
      <c r="E514" s="35">
        <f>(Table143454[[#This Row],[USA]]-B502)/B502</f>
        <v/>
      </c>
      <c r="F514" s="34">
        <f>VLOOKUP(Table143454[[#This Row],[Date]],'Data Core CPI'!$A:$AX,MATCH($B$2,'Data Core CPI'!$B$1:$AX$1,0),FALSE)</f>
        <v/>
      </c>
      <c r="G514" s="35">
        <f>(F514/F513)-1</f>
        <v/>
      </c>
      <c r="H514" s="35">
        <f>((1+G514)^12)-1</f>
        <v/>
      </c>
      <c r="I514" s="35">
        <f>(Table143454[[#This Row],[Core CPI]]-F502)/F502</f>
        <v/>
      </c>
    </row>
    <row r="515">
      <c r="A515" s="33">
        <f>IF(Data!A542="",#N/A,Data!A542)</f>
        <v/>
      </c>
      <c r="B515" s="34">
        <f>VLOOKUP(A515,Data!A:AX,MATCH($B$2,Data!$B$1:$AX$1,0),FALSE)</f>
        <v/>
      </c>
      <c r="C515" s="35">
        <f>(B515/B514)-1</f>
        <v/>
      </c>
      <c r="D515" s="35">
        <f>((1+C515)^12)-1</f>
        <v/>
      </c>
      <c r="E515" s="35">
        <f>(Table143454[[#This Row],[USA]]-B503)/B503</f>
        <v/>
      </c>
      <c r="F515" s="34">
        <f>VLOOKUP(Table143454[[#This Row],[Date]],'Data Core CPI'!$A:$AX,MATCH($B$2,'Data Core CPI'!$B$1:$AX$1,0),FALSE)</f>
        <v/>
      </c>
      <c r="G515" s="35">
        <f>(F515/F514)-1</f>
        <v/>
      </c>
      <c r="H515" s="35">
        <f>((1+G515)^12)-1</f>
        <v/>
      </c>
      <c r="I515" s="35">
        <f>(Table143454[[#This Row],[Core CPI]]-F503)/F503</f>
        <v/>
      </c>
    </row>
    <row r="516">
      <c r="A516" s="33">
        <f>IF(Data!A543="",#N/A,Data!A543)</f>
        <v/>
      </c>
      <c r="B516" s="34">
        <f>VLOOKUP(A516,Data!A:AX,MATCH($B$2,Data!$B$1:$AX$1,0),FALSE)</f>
        <v/>
      </c>
      <c r="C516" s="35">
        <f>(B516/B515)-1</f>
        <v/>
      </c>
      <c r="D516" s="35">
        <f>((1+C516)^12)-1</f>
        <v/>
      </c>
      <c r="E516" s="35">
        <f>(Table143454[[#This Row],[USA]]-B504)/B504</f>
        <v/>
      </c>
      <c r="F516" s="34">
        <f>VLOOKUP(Table143454[[#This Row],[Date]],'Data Core CPI'!$A:$AX,MATCH($B$2,'Data Core CPI'!$B$1:$AX$1,0),FALSE)</f>
        <v/>
      </c>
      <c r="G516" s="35">
        <f>(F516/F515)-1</f>
        <v/>
      </c>
      <c r="H516" s="35">
        <f>((1+G516)^12)-1</f>
        <v/>
      </c>
      <c r="I516" s="35">
        <f>(Table143454[[#This Row],[Core CPI]]-F504)/F504</f>
        <v/>
      </c>
    </row>
    <row r="517">
      <c r="A517" s="33">
        <f>IF(Data!A544="",#N/A,Data!A544)</f>
        <v/>
      </c>
      <c r="B517" s="34">
        <f>VLOOKUP(A517,Data!A:AX,MATCH($B$2,Data!$B$1:$AX$1,0),FALSE)</f>
        <v/>
      </c>
      <c r="C517" s="35">
        <f>(B517/B516)-1</f>
        <v/>
      </c>
      <c r="D517" s="35">
        <f>((1+C517)^12)-1</f>
        <v/>
      </c>
      <c r="E517" s="35">
        <f>(Table143454[[#This Row],[USA]]-B505)/B505</f>
        <v/>
      </c>
      <c r="F517" s="34">
        <f>VLOOKUP(Table143454[[#This Row],[Date]],'Data Core CPI'!$A:$AX,MATCH($B$2,'Data Core CPI'!$B$1:$AX$1,0),FALSE)</f>
        <v/>
      </c>
      <c r="G517" s="35">
        <f>(F517/F516)-1</f>
        <v/>
      </c>
      <c r="H517" s="35">
        <f>((1+G517)^12)-1</f>
        <v/>
      </c>
      <c r="I517" s="35">
        <f>(Table143454[[#This Row],[Core CPI]]-F505)/F505</f>
        <v/>
      </c>
    </row>
    <row r="518">
      <c r="A518" s="33">
        <f>IF(Data!A545="",#N/A,Data!A545)</f>
        <v/>
      </c>
      <c r="B518" s="34">
        <f>VLOOKUP(A518,Data!A:AX,MATCH($B$2,Data!$B$1:$AX$1,0),FALSE)</f>
        <v/>
      </c>
      <c r="C518" s="35">
        <f>(B518/B517)-1</f>
        <v/>
      </c>
      <c r="D518" s="35">
        <f>((1+C518)^12)-1</f>
        <v/>
      </c>
      <c r="E518" s="35">
        <f>(Table143454[[#This Row],[USA]]-B506)/B506</f>
        <v/>
      </c>
      <c r="F518" s="34">
        <f>VLOOKUP(Table143454[[#This Row],[Date]],'Data Core CPI'!$A:$AX,MATCH($B$2,'Data Core CPI'!$B$1:$AX$1,0),FALSE)</f>
        <v/>
      </c>
      <c r="G518" s="35">
        <f>(F518/F517)-1</f>
        <v/>
      </c>
      <c r="H518" s="35">
        <f>((1+G518)^12)-1</f>
        <v/>
      </c>
      <c r="I518" s="35">
        <f>(Table143454[[#This Row],[Core CPI]]-F506)/F506</f>
        <v/>
      </c>
    </row>
    <row r="519">
      <c r="A519" s="33">
        <f>IF(Data!A546="",#N/A,Data!A546)</f>
        <v/>
      </c>
      <c r="B519" s="34">
        <f>VLOOKUP(A519,Data!A:AX,MATCH($B$2,Data!$B$1:$AX$1,0),FALSE)</f>
        <v/>
      </c>
      <c r="C519" s="35">
        <f>(B519/B518)-1</f>
        <v/>
      </c>
      <c r="D519" s="35">
        <f>((1+C519)^12)-1</f>
        <v/>
      </c>
      <c r="E519" s="35">
        <f>(Table143454[[#This Row],[USA]]-B507)/B507</f>
        <v/>
      </c>
      <c r="F519" s="34">
        <f>VLOOKUP(Table143454[[#This Row],[Date]],'Data Core CPI'!$A:$AX,MATCH($B$2,'Data Core CPI'!$B$1:$AX$1,0),FALSE)</f>
        <v/>
      </c>
      <c r="G519" s="35">
        <f>(F519/F518)-1</f>
        <v/>
      </c>
      <c r="H519" s="35">
        <f>((1+G519)^12)-1</f>
        <v/>
      </c>
      <c r="I519" s="35">
        <f>(Table143454[[#This Row],[Core CPI]]-F507)/F507</f>
        <v/>
      </c>
    </row>
    <row r="520">
      <c r="A520" s="33">
        <f>IF(Data!A547="",#N/A,Data!A547)</f>
        <v/>
      </c>
      <c r="B520" s="34">
        <f>VLOOKUP(A520,Data!A:AX,MATCH($B$2,Data!$B$1:$AX$1,0),FALSE)</f>
        <v/>
      </c>
      <c r="C520" s="35">
        <f>(B520/B519)-1</f>
        <v/>
      </c>
      <c r="D520" s="35">
        <f>((1+C520)^12)-1</f>
        <v/>
      </c>
      <c r="E520" s="35">
        <f>(Table143454[[#This Row],[USA]]-B508)/B508</f>
        <v/>
      </c>
      <c r="F520" s="34">
        <f>VLOOKUP(Table143454[[#This Row],[Date]],'Data Core CPI'!$A:$AX,MATCH($B$2,'Data Core CPI'!$B$1:$AX$1,0),FALSE)</f>
        <v/>
      </c>
      <c r="G520" s="35">
        <f>(F520/F519)-1</f>
        <v/>
      </c>
      <c r="H520" s="35">
        <f>((1+G520)^12)-1</f>
        <v/>
      </c>
      <c r="I520" s="35">
        <f>(Table143454[[#This Row],[Core CPI]]-F508)/F508</f>
        <v/>
      </c>
    </row>
    <row r="521">
      <c r="A521" s="33">
        <f>IF(Data!A548="",#N/A,Data!A548)</f>
        <v/>
      </c>
      <c r="B521" s="34">
        <f>VLOOKUP(A521,Data!A:AX,MATCH($B$2,Data!$B$1:$AX$1,0),FALSE)</f>
        <v/>
      </c>
      <c r="C521" s="35">
        <f>(B521/B520)-1</f>
        <v/>
      </c>
      <c r="D521" s="35">
        <f>((1+C521)^12)-1</f>
        <v/>
      </c>
      <c r="E521" s="35">
        <f>(Table143454[[#This Row],[USA]]-B509)/B509</f>
        <v/>
      </c>
      <c r="F521" s="34">
        <f>VLOOKUP(Table143454[[#This Row],[Date]],'Data Core CPI'!$A:$AX,MATCH($B$2,'Data Core CPI'!$B$1:$AX$1,0),FALSE)</f>
        <v/>
      </c>
      <c r="G521" s="35">
        <f>(F521/F520)-1</f>
        <v/>
      </c>
      <c r="H521" s="35">
        <f>((1+G521)^12)-1</f>
        <v/>
      </c>
      <c r="I521" s="35">
        <f>(Table143454[[#This Row],[Core CPI]]-F509)/F509</f>
        <v/>
      </c>
    </row>
    <row r="522">
      <c r="A522" s="33">
        <f>IF(Data!A549="",#N/A,Data!A549)</f>
        <v/>
      </c>
      <c r="B522" s="34">
        <f>VLOOKUP(A522,Data!A:AX,MATCH($B$2,Data!$B$1:$AX$1,0),FALSE)</f>
        <v/>
      </c>
      <c r="C522" s="35">
        <f>(B522/B521)-1</f>
        <v/>
      </c>
      <c r="D522" s="35">
        <f>((1+C522)^12)-1</f>
        <v/>
      </c>
      <c r="E522" s="35">
        <f>(Table143454[[#This Row],[USA]]-B510)/B510</f>
        <v/>
      </c>
      <c r="F522" s="34">
        <f>VLOOKUP(Table143454[[#This Row],[Date]],'Data Core CPI'!$A:$AX,MATCH($B$2,'Data Core CPI'!$B$1:$AX$1,0),FALSE)</f>
        <v/>
      </c>
      <c r="G522" s="35">
        <f>(F522/F521)-1</f>
        <v/>
      </c>
      <c r="H522" s="35">
        <f>((1+G522)^12)-1</f>
        <v/>
      </c>
      <c r="I522" s="35">
        <f>(Table143454[[#This Row],[Core CPI]]-F510)/F510</f>
        <v/>
      </c>
    </row>
    <row r="523">
      <c r="A523" s="33">
        <f>IF(Data!A550="",#N/A,Data!A550)</f>
        <v/>
      </c>
      <c r="B523" s="34">
        <f>VLOOKUP(A523,Data!A:AX,MATCH($B$2,Data!$B$1:$AX$1,0),FALSE)</f>
        <v/>
      </c>
      <c r="C523" s="35">
        <f>(B523/B522)-1</f>
        <v/>
      </c>
      <c r="D523" s="35">
        <f>((1+C523)^12)-1</f>
        <v/>
      </c>
      <c r="E523" s="35">
        <f>(Table143454[[#This Row],[USA]]-B511)/B511</f>
        <v/>
      </c>
      <c r="F523" s="34">
        <f>VLOOKUP(Table143454[[#This Row],[Date]],'Data Core CPI'!$A:$AX,MATCH($B$2,'Data Core CPI'!$B$1:$AX$1,0),FALSE)</f>
        <v/>
      </c>
      <c r="G523" s="35">
        <f>(F523/F522)-1</f>
        <v/>
      </c>
      <c r="H523" s="35">
        <f>((1+G523)^12)-1</f>
        <v/>
      </c>
      <c r="I523" s="35">
        <f>(Table143454[[#This Row],[Core CPI]]-F511)/F511</f>
        <v/>
      </c>
    </row>
    <row r="524">
      <c r="A524" s="33">
        <f>IF(Data!A551="",#N/A,Data!A551)</f>
        <v/>
      </c>
      <c r="B524" s="34">
        <f>VLOOKUP(A524,Data!A:AX,MATCH($B$2,Data!$B$1:$AX$1,0),FALSE)</f>
        <v/>
      </c>
      <c r="C524" s="35">
        <f>(B524/B523)-1</f>
        <v/>
      </c>
      <c r="D524" s="35">
        <f>((1+C524)^12)-1</f>
        <v/>
      </c>
      <c r="E524" s="35">
        <f>(Table143454[[#This Row],[USA]]-B512)/B512</f>
        <v/>
      </c>
      <c r="F524" s="34">
        <f>VLOOKUP(Table143454[[#This Row],[Date]],'Data Core CPI'!$A:$AX,MATCH($B$2,'Data Core CPI'!$B$1:$AX$1,0),FALSE)</f>
        <v/>
      </c>
      <c r="G524" s="35">
        <f>(F524/F523)-1</f>
        <v/>
      </c>
      <c r="H524" s="35">
        <f>((1+G524)^12)-1</f>
        <v/>
      </c>
      <c r="I524" s="35">
        <f>(Table143454[[#This Row],[Core CPI]]-F512)/F512</f>
        <v/>
      </c>
    </row>
    <row r="525">
      <c r="A525" s="33">
        <f>IF(Data!A552="",#N/A,Data!A552)</f>
        <v/>
      </c>
      <c r="B525" s="34">
        <f>VLOOKUP(A525,Data!A:AX,MATCH($B$2,Data!$B$1:$AX$1,0),FALSE)</f>
        <v/>
      </c>
      <c r="C525" s="35">
        <f>(B525/B524)-1</f>
        <v/>
      </c>
      <c r="D525" s="35">
        <f>((1+C525)^12)-1</f>
        <v/>
      </c>
      <c r="E525" s="35">
        <f>(Table143454[[#This Row],[USA]]-B513)/B513</f>
        <v/>
      </c>
      <c r="F525" s="34">
        <f>VLOOKUP(Table143454[[#This Row],[Date]],'Data Core CPI'!$A:$AX,MATCH($B$2,'Data Core CPI'!$B$1:$AX$1,0),FALSE)</f>
        <v/>
      </c>
      <c r="G525" s="35">
        <f>(F525/F524)-1</f>
        <v/>
      </c>
      <c r="H525" s="35">
        <f>((1+G525)^12)-1</f>
        <v/>
      </c>
      <c r="I525" s="35">
        <f>(Table143454[[#This Row],[Core CPI]]-F513)/F513</f>
        <v/>
      </c>
    </row>
    <row r="526">
      <c r="A526" s="33">
        <f>IF(Data!A553="",#N/A,Data!A553)</f>
        <v/>
      </c>
      <c r="B526" s="34">
        <f>VLOOKUP(A526,Data!A:AX,MATCH($B$2,Data!$B$1:$AX$1,0),FALSE)</f>
        <v/>
      </c>
      <c r="C526" s="35">
        <f>(B526/B525)-1</f>
        <v/>
      </c>
      <c r="D526" s="35">
        <f>((1+C526)^12)-1</f>
        <v/>
      </c>
      <c r="E526" s="35">
        <f>(Table143454[[#This Row],[USA]]-B514)/B514</f>
        <v/>
      </c>
      <c r="F526" s="34">
        <f>VLOOKUP(Table143454[[#This Row],[Date]],'Data Core CPI'!$A:$AX,MATCH($B$2,'Data Core CPI'!$B$1:$AX$1,0),FALSE)</f>
        <v/>
      </c>
      <c r="G526" s="35">
        <f>(F526/F525)-1</f>
        <v/>
      </c>
      <c r="H526" s="35">
        <f>((1+G526)^12)-1</f>
        <v/>
      </c>
      <c r="I526" s="35">
        <f>(Table143454[[#This Row],[Core CPI]]-F514)/F514</f>
        <v/>
      </c>
    </row>
    <row r="527">
      <c r="A527" s="33">
        <f>IF(Data!A554="",#N/A,Data!A554)</f>
        <v/>
      </c>
      <c r="B527" s="34">
        <f>VLOOKUP(A527,Data!A:AX,MATCH($B$2,Data!$B$1:$AX$1,0),FALSE)</f>
        <v/>
      </c>
      <c r="C527" s="35">
        <f>(B527/B526)-1</f>
        <v/>
      </c>
      <c r="D527" s="35">
        <f>((1+C527)^12)-1</f>
        <v/>
      </c>
      <c r="E527" s="35">
        <f>(Table143454[[#This Row],[USA]]-B515)/B515</f>
        <v/>
      </c>
      <c r="F527" s="34">
        <f>VLOOKUP(Table143454[[#This Row],[Date]],'Data Core CPI'!$A:$AX,MATCH($B$2,'Data Core CPI'!$B$1:$AX$1,0),FALSE)</f>
        <v/>
      </c>
      <c r="G527" s="35">
        <f>(F527/F526)-1</f>
        <v/>
      </c>
      <c r="H527" s="35">
        <f>((1+G527)^12)-1</f>
        <v/>
      </c>
      <c r="I527" s="35">
        <f>(Table143454[[#This Row],[Core CPI]]-F515)/F515</f>
        <v/>
      </c>
    </row>
    <row r="528">
      <c r="A528" s="33">
        <f>IF(Data!A555="",#N/A,Data!A555)</f>
        <v/>
      </c>
      <c r="B528" s="34">
        <f>VLOOKUP(A528,Data!A:AX,MATCH($B$2,Data!$B$1:$AX$1,0),FALSE)</f>
        <v/>
      </c>
      <c r="C528" s="35">
        <f>(B528/B527)-1</f>
        <v/>
      </c>
      <c r="D528" s="35">
        <f>((1+C528)^12)-1</f>
        <v/>
      </c>
      <c r="E528" s="35">
        <f>(Table143454[[#This Row],[USA]]-B516)/B516</f>
        <v/>
      </c>
      <c r="F528" s="34">
        <f>VLOOKUP(Table143454[[#This Row],[Date]],'Data Core CPI'!$A:$AX,MATCH($B$2,'Data Core CPI'!$B$1:$AX$1,0),FALSE)</f>
        <v/>
      </c>
      <c r="G528" s="35">
        <f>(F528/F527)-1</f>
        <v/>
      </c>
      <c r="H528" s="35">
        <f>((1+G528)^12)-1</f>
        <v/>
      </c>
      <c r="I528" s="35">
        <f>(Table143454[[#This Row],[Core CPI]]-F516)/F516</f>
        <v/>
      </c>
    </row>
    <row r="529">
      <c r="A529" s="33">
        <f>IF(Data!A556="",#N/A,Data!A556)</f>
        <v/>
      </c>
      <c r="B529" s="34">
        <f>VLOOKUP(A529,Data!A:AX,MATCH($B$2,Data!$B$1:$AX$1,0),FALSE)</f>
        <v/>
      </c>
      <c r="C529" s="35">
        <f>(B529/B528)-1</f>
        <v/>
      </c>
      <c r="D529" s="35">
        <f>((1+C529)^12)-1</f>
        <v/>
      </c>
      <c r="E529" s="35">
        <f>(Table143454[[#This Row],[USA]]-B517)/B517</f>
        <v/>
      </c>
      <c r="F529" s="34">
        <f>VLOOKUP(Table143454[[#This Row],[Date]],'Data Core CPI'!$A:$AX,MATCH($B$2,'Data Core CPI'!$B$1:$AX$1,0),FALSE)</f>
        <v/>
      </c>
      <c r="G529" s="35">
        <f>(F529/F528)-1</f>
        <v/>
      </c>
      <c r="H529" s="35">
        <f>((1+G529)^12)-1</f>
        <v/>
      </c>
      <c r="I529" s="35">
        <f>(Table143454[[#This Row],[Core CPI]]-F517)/F517</f>
        <v/>
      </c>
    </row>
    <row r="530">
      <c r="A530" s="33">
        <f>IF(Data!A557="",#N/A,Data!A557)</f>
        <v/>
      </c>
      <c r="B530" s="34">
        <f>VLOOKUP(A530,Data!A:AX,MATCH($B$2,Data!$B$1:$AX$1,0),FALSE)</f>
        <v/>
      </c>
      <c r="C530" s="35">
        <f>(B530/B529)-1</f>
        <v/>
      </c>
      <c r="D530" s="35">
        <f>((1+C530)^12)-1</f>
        <v/>
      </c>
      <c r="E530" s="35">
        <f>(Table143454[[#This Row],[USA]]-B518)/B518</f>
        <v/>
      </c>
      <c r="F530" s="34">
        <f>VLOOKUP(Table143454[[#This Row],[Date]],'Data Core CPI'!$A:$AX,MATCH($B$2,'Data Core CPI'!$B$1:$AX$1,0),FALSE)</f>
        <v/>
      </c>
      <c r="G530" s="35">
        <f>(F530/F529)-1</f>
        <v/>
      </c>
      <c r="H530" s="35">
        <f>((1+G530)^12)-1</f>
        <v/>
      </c>
      <c r="I530" s="35">
        <f>(Table143454[[#This Row],[Core CPI]]-F518)/F518</f>
        <v/>
      </c>
    </row>
    <row r="531">
      <c r="A531" s="33">
        <f>IF(Data!A558="",#N/A,Data!A558)</f>
        <v/>
      </c>
      <c r="B531" s="34">
        <f>VLOOKUP(A531,Data!A:AX,MATCH($B$2,Data!$B$1:$AX$1,0),FALSE)</f>
        <v/>
      </c>
      <c r="C531" s="35">
        <f>(B531/B530)-1</f>
        <v/>
      </c>
      <c r="D531" s="35">
        <f>((1+C531)^12)-1</f>
        <v/>
      </c>
      <c r="E531" s="35">
        <f>(Table143454[[#This Row],[USA]]-B519)/B519</f>
        <v/>
      </c>
      <c r="F531" s="34">
        <f>VLOOKUP(Table143454[[#This Row],[Date]],'Data Core CPI'!$A:$AX,MATCH($B$2,'Data Core CPI'!$B$1:$AX$1,0),FALSE)</f>
        <v/>
      </c>
      <c r="G531" s="35">
        <f>(F531/F530)-1</f>
        <v/>
      </c>
      <c r="H531" s="35">
        <f>((1+G531)^12)-1</f>
        <v/>
      </c>
      <c r="I531" s="35">
        <f>(Table143454[[#This Row],[Core CPI]]-F519)/F519</f>
        <v/>
      </c>
    </row>
    <row r="532">
      <c r="A532" s="33">
        <f>IF(Data!A559="",#N/A,Data!A559)</f>
        <v/>
      </c>
      <c r="B532" s="34">
        <f>VLOOKUP(A532,Data!A:AX,MATCH($B$2,Data!$B$1:$AX$1,0),FALSE)</f>
        <v/>
      </c>
      <c r="C532" s="35">
        <f>(B532/B531)-1</f>
        <v/>
      </c>
      <c r="D532" s="35">
        <f>((1+C532)^12)-1</f>
        <v/>
      </c>
      <c r="E532" s="35">
        <f>(Table143454[[#This Row],[USA]]-B520)/B520</f>
        <v/>
      </c>
      <c r="F532" s="34">
        <f>VLOOKUP(Table143454[[#This Row],[Date]],'Data Core CPI'!$A:$AX,MATCH($B$2,'Data Core CPI'!$B$1:$AX$1,0),FALSE)</f>
        <v/>
      </c>
      <c r="G532" s="35">
        <f>(F532/F531)-1</f>
        <v/>
      </c>
      <c r="H532" s="35">
        <f>((1+G532)^12)-1</f>
        <v/>
      </c>
      <c r="I532" s="35">
        <f>(Table143454[[#This Row],[Core CPI]]-F520)/F520</f>
        <v/>
      </c>
    </row>
    <row r="533">
      <c r="A533" s="33">
        <f>IF(Data!A560="",#N/A,Data!A560)</f>
        <v/>
      </c>
      <c r="B533" s="34">
        <f>VLOOKUP(A533,Data!A:AX,MATCH($B$2,Data!$B$1:$AX$1,0),FALSE)</f>
        <v/>
      </c>
      <c r="C533" s="35">
        <f>(B533/B532)-1</f>
        <v/>
      </c>
      <c r="D533" s="35">
        <f>((1+C533)^12)-1</f>
        <v/>
      </c>
      <c r="E533" s="35">
        <f>(Table143454[[#This Row],[USA]]-B521)/B521</f>
        <v/>
      </c>
      <c r="F533" s="34">
        <f>VLOOKUP(Table143454[[#This Row],[Date]],'Data Core CPI'!$A:$AX,MATCH($B$2,'Data Core CPI'!$B$1:$AX$1,0),FALSE)</f>
        <v/>
      </c>
      <c r="G533" s="35">
        <f>(F533/F532)-1</f>
        <v/>
      </c>
      <c r="H533" s="35">
        <f>((1+G533)^12)-1</f>
        <v/>
      </c>
      <c r="I533" s="35">
        <f>(Table143454[[#This Row],[Core CPI]]-F521)/F521</f>
        <v/>
      </c>
    </row>
    <row r="534">
      <c r="A534" s="33">
        <f>IF(Data!A561="",#N/A,Data!A561)</f>
        <v/>
      </c>
      <c r="B534" s="34">
        <f>VLOOKUP(A534,Data!A:AX,MATCH($B$2,Data!$B$1:$AX$1,0),FALSE)</f>
        <v/>
      </c>
      <c r="C534" s="35">
        <f>(B534/B533)-1</f>
        <v/>
      </c>
      <c r="D534" s="35">
        <f>((1+C534)^12)-1</f>
        <v/>
      </c>
      <c r="E534" s="35">
        <f>(Table143454[[#This Row],[USA]]-B522)/B522</f>
        <v/>
      </c>
      <c r="F534" s="34">
        <f>VLOOKUP(Table143454[[#This Row],[Date]],'Data Core CPI'!$A:$AX,MATCH($B$2,'Data Core CPI'!$B$1:$AX$1,0),FALSE)</f>
        <v/>
      </c>
      <c r="G534" s="35">
        <f>(F534/F533)-1</f>
        <v/>
      </c>
      <c r="H534" s="35">
        <f>((1+G534)^12)-1</f>
        <v/>
      </c>
      <c r="I534" s="35">
        <f>(Table143454[[#This Row],[Core CPI]]-F522)/F522</f>
        <v/>
      </c>
    </row>
    <row r="535">
      <c r="A535" s="33">
        <f>IF(Data!A562="",#N/A,Data!A562)</f>
        <v/>
      </c>
      <c r="B535" s="34">
        <f>VLOOKUP(A535,Data!A:AX,MATCH($B$2,Data!$B$1:$AX$1,0),FALSE)</f>
        <v/>
      </c>
      <c r="C535" s="35">
        <f>(B535/B534)-1</f>
        <v/>
      </c>
      <c r="D535" s="35">
        <f>((1+C535)^12)-1</f>
        <v/>
      </c>
      <c r="E535" s="35">
        <f>(Table143454[[#This Row],[USA]]-B523)/B523</f>
        <v/>
      </c>
      <c r="F535" s="34">
        <f>VLOOKUP(Table143454[[#This Row],[Date]],'Data Core CPI'!$A:$AX,MATCH($B$2,'Data Core CPI'!$B$1:$AX$1,0),FALSE)</f>
        <v/>
      </c>
      <c r="G535" s="35">
        <f>(F535/F534)-1</f>
        <v/>
      </c>
      <c r="H535" s="35">
        <f>((1+G535)^12)-1</f>
        <v/>
      </c>
      <c r="I535" s="35">
        <f>(Table143454[[#This Row],[Core CPI]]-F523)/F523</f>
        <v/>
      </c>
    </row>
    <row r="536">
      <c r="A536" s="33">
        <f>IF(Data!A563="",#N/A,Data!A563)</f>
        <v/>
      </c>
      <c r="B536" s="34">
        <f>VLOOKUP(A536,Data!A:AX,MATCH($B$2,Data!$B$1:$AX$1,0),FALSE)</f>
        <v/>
      </c>
      <c r="C536" s="35">
        <f>(B536/B535)-1</f>
        <v/>
      </c>
      <c r="D536" s="35">
        <f>((1+C536)^12)-1</f>
        <v/>
      </c>
      <c r="E536" s="35">
        <f>(Table143454[[#This Row],[USA]]-B524)/B524</f>
        <v/>
      </c>
      <c r="F536" s="34">
        <f>VLOOKUP(Table143454[[#This Row],[Date]],'Data Core CPI'!$A:$AX,MATCH($B$2,'Data Core CPI'!$B$1:$AX$1,0),FALSE)</f>
        <v/>
      </c>
      <c r="G536" s="35">
        <f>(F536/F535)-1</f>
        <v/>
      </c>
      <c r="H536" s="35">
        <f>((1+G536)^12)-1</f>
        <v/>
      </c>
      <c r="I536" s="35">
        <f>(Table143454[[#This Row],[Core CPI]]-F524)/F524</f>
        <v/>
      </c>
    </row>
    <row r="537">
      <c r="A537" s="33">
        <f>IF(Data!A564="",#N/A,Data!A564)</f>
        <v/>
      </c>
      <c r="B537" s="34">
        <f>VLOOKUP(A537,Data!A:AX,MATCH($B$2,Data!$B$1:$AX$1,0),FALSE)</f>
        <v/>
      </c>
      <c r="C537" s="35">
        <f>(B537/B536)-1</f>
        <v/>
      </c>
      <c r="D537" s="35">
        <f>((1+C537)^12)-1</f>
        <v/>
      </c>
      <c r="E537" s="35">
        <f>(Table143454[[#This Row],[USA]]-B525)/B525</f>
        <v/>
      </c>
      <c r="F537" s="34">
        <f>VLOOKUP(Table143454[[#This Row],[Date]],'Data Core CPI'!$A:$AX,MATCH($B$2,'Data Core CPI'!$B$1:$AX$1,0),FALSE)</f>
        <v/>
      </c>
      <c r="G537" s="35">
        <f>(F537/F536)-1</f>
        <v/>
      </c>
      <c r="H537" s="35">
        <f>((1+G537)^12)-1</f>
        <v/>
      </c>
      <c r="I537" s="35">
        <f>(Table143454[[#This Row],[Core CPI]]-F525)/F525</f>
        <v/>
      </c>
    </row>
    <row r="538">
      <c r="A538" s="33">
        <f>IF(Data!A565="",#N/A,Data!A565)</f>
        <v/>
      </c>
      <c r="B538" s="34">
        <f>VLOOKUP(A538,Data!A:AX,MATCH($B$2,Data!$B$1:$AX$1,0),FALSE)</f>
        <v/>
      </c>
      <c r="C538" s="35">
        <f>(B538/B537)-1</f>
        <v/>
      </c>
      <c r="D538" s="35">
        <f>((1+C538)^12)-1</f>
        <v/>
      </c>
      <c r="E538" s="35">
        <f>(Table143454[[#This Row],[USA]]-B526)/B526</f>
        <v/>
      </c>
      <c r="F538" s="34">
        <f>VLOOKUP(Table143454[[#This Row],[Date]],'Data Core CPI'!$A:$AX,MATCH($B$2,'Data Core CPI'!$B$1:$AX$1,0),FALSE)</f>
        <v/>
      </c>
      <c r="G538" s="35">
        <f>(F538/F537)-1</f>
        <v/>
      </c>
      <c r="H538" s="35">
        <f>((1+G538)^12)-1</f>
        <v/>
      </c>
      <c r="I538" s="35">
        <f>(Table143454[[#This Row],[Core CPI]]-F526)/F526</f>
        <v/>
      </c>
    </row>
    <row r="539">
      <c r="A539" s="33">
        <f>IF(Data!A566="",#N/A,Data!A566)</f>
        <v/>
      </c>
      <c r="B539" s="34">
        <f>VLOOKUP(A539,Data!A:AX,MATCH($B$2,Data!$B$1:$AX$1,0),FALSE)</f>
        <v/>
      </c>
      <c r="C539" s="35">
        <f>(B539/B538)-1</f>
        <v/>
      </c>
      <c r="D539" s="35">
        <f>((1+C539)^12)-1</f>
        <v/>
      </c>
      <c r="E539" s="35">
        <f>(Table143454[[#This Row],[USA]]-B527)/B527</f>
        <v/>
      </c>
      <c r="F539" s="34">
        <f>VLOOKUP(Table143454[[#This Row],[Date]],'Data Core CPI'!$A:$AX,MATCH($B$2,'Data Core CPI'!$B$1:$AX$1,0),FALSE)</f>
        <v/>
      </c>
      <c r="G539" s="35">
        <f>(F539/F538)-1</f>
        <v/>
      </c>
      <c r="H539" s="35">
        <f>((1+G539)^12)-1</f>
        <v/>
      </c>
      <c r="I539" s="35">
        <f>(Table143454[[#This Row],[Core CPI]]-F527)/F527</f>
        <v/>
      </c>
    </row>
    <row r="540">
      <c r="A540" s="33">
        <f>IF(Data!A567="",#N/A,Data!A567)</f>
        <v/>
      </c>
      <c r="B540" s="34">
        <f>VLOOKUP(A540,Data!A:AX,MATCH($B$2,Data!$B$1:$AX$1,0),FALSE)</f>
        <v/>
      </c>
      <c r="C540" s="35">
        <f>(B540/B539)-1</f>
        <v/>
      </c>
      <c r="D540" s="35">
        <f>((1+C540)^12)-1</f>
        <v/>
      </c>
      <c r="E540" s="35">
        <f>(Table143454[[#This Row],[USA]]-B528)/B528</f>
        <v/>
      </c>
      <c r="F540" s="34">
        <f>VLOOKUP(Table143454[[#This Row],[Date]],'Data Core CPI'!$A:$AX,MATCH($B$2,'Data Core CPI'!$B$1:$AX$1,0),FALSE)</f>
        <v/>
      </c>
      <c r="G540" s="35">
        <f>(F540/F539)-1</f>
        <v/>
      </c>
      <c r="H540" s="35">
        <f>((1+G540)^12)-1</f>
        <v/>
      </c>
      <c r="I540" s="35">
        <f>(Table143454[[#This Row],[Core CPI]]-F528)/F528</f>
        <v/>
      </c>
    </row>
    <row r="541">
      <c r="A541" s="33">
        <f>IF(Data!A568="",#N/A,Data!A568)</f>
        <v/>
      </c>
      <c r="B541" s="34">
        <f>VLOOKUP(A541,Data!A:AX,MATCH($B$2,Data!$B$1:$AX$1,0),FALSE)</f>
        <v/>
      </c>
      <c r="C541" s="35">
        <f>(B541/B540)-1</f>
        <v/>
      </c>
      <c r="D541" s="35">
        <f>((1+C541)^12)-1</f>
        <v/>
      </c>
      <c r="E541" s="35">
        <f>(Table143454[[#This Row],[USA]]-B529)/B529</f>
        <v/>
      </c>
      <c r="F541" s="34">
        <f>VLOOKUP(Table143454[[#This Row],[Date]],'Data Core CPI'!$A:$AX,MATCH($B$2,'Data Core CPI'!$B$1:$AX$1,0),FALSE)</f>
        <v/>
      </c>
      <c r="G541" s="35">
        <f>(F541/F540)-1</f>
        <v/>
      </c>
      <c r="H541" s="35">
        <f>((1+G541)^12)-1</f>
        <v/>
      </c>
      <c r="I541" s="35">
        <f>(Table143454[[#This Row],[Core CPI]]-F529)/F529</f>
        <v/>
      </c>
    </row>
    <row r="542">
      <c r="A542" s="33">
        <f>IF(Data!A569="",#N/A,Data!A569)</f>
        <v/>
      </c>
      <c r="B542" s="34">
        <f>VLOOKUP(A542,Data!A:AX,MATCH($B$2,Data!$B$1:$AX$1,0),FALSE)</f>
        <v/>
      </c>
      <c r="C542" s="35">
        <f>(B542/B541)-1</f>
        <v/>
      </c>
      <c r="D542" s="35">
        <f>((1+C542)^12)-1</f>
        <v/>
      </c>
      <c r="E542" s="35">
        <f>(Table143454[[#This Row],[USA]]-B530)/B530</f>
        <v/>
      </c>
      <c r="F542" s="34">
        <f>VLOOKUP(Table143454[[#This Row],[Date]],'Data Core CPI'!$A:$AX,MATCH($B$2,'Data Core CPI'!$B$1:$AX$1,0),FALSE)</f>
        <v/>
      </c>
      <c r="G542" s="35">
        <f>(F542/F541)-1</f>
        <v/>
      </c>
      <c r="H542" s="35">
        <f>((1+G542)^12)-1</f>
        <v/>
      </c>
      <c r="I542" s="35">
        <f>(Table143454[[#This Row],[Core CPI]]-F530)/F530</f>
        <v/>
      </c>
    </row>
    <row r="543">
      <c r="A543" s="33">
        <f>IF(Data!A570="",#N/A,Data!A570)</f>
        <v/>
      </c>
      <c r="B543" s="34">
        <f>VLOOKUP(A543,Data!A:AX,MATCH($B$2,Data!$B$1:$AX$1,0),FALSE)</f>
        <v/>
      </c>
      <c r="C543" s="35">
        <f>(B543/B542)-1</f>
        <v/>
      </c>
      <c r="D543" s="35">
        <f>((1+C543)^12)-1</f>
        <v/>
      </c>
      <c r="E543" s="35">
        <f>(Table143454[[#This Row],[USA]]-B531)/B531</f>
        <v/>
      </c>
      <c r="F543" s="34">
        <f>VLOOKUP(Table143454[[#This Row],[Date]],'Data Core CPI'!$A:$AX,MATCH($B$2,'Data Core CPI'!$B$1:$AX$1,0),FALSE)</f>
        <v/>
      </c>
      <c r="G543" s="35">
        <f>(F543/F542)-1</f>
        <v/>
      </c>
      <c r="H543" s="35">
        <f>((1+G543)^12)-1</f>
        <v/>
      </c>
      <c r="I543" s="35">
        <f>(Table143454[[#This Row],[Core CPI]]-F531)/F531</f>
        <v/>
      </c>
    </row>
    <row r="544">
      <c r="A544" s="33">
        <f>IF(Data!A571="",#N/A,Data!A571)</f>
        <v/>
      </c>
      <c r="B544" s="34">
        <f>VLOOKUP(A544,Data!A:AX,MATCH($B$2,Data!$B$1:$AX$1,0),FALSE)</f>
        <v/>
      </c>
      <c r="C544" s="35">
        <f>(B544/B543)-1</f>
        <v/>
      </c>
      <c r="D544" s="35">
        <f>((1+C544)^12)-1</f>
        <v/>
      </c>
      <c r="E544" s="35">
        <f>(Table143454[[#This Row],[USA]]-B532)/B532</f>
        <v/>
      </c>
      <c r="F544" s="34">
        <f>VLOOKUP(Table143454[[#This Row],[Date]],'Data Core CPI'!$A:$AX,MATCH($B$2,'Data Core CPI'!$B$1:$AX$1,0),FALSE)</f>
        <v/>
      </c>
      <c r="G544" s="35">
        <f>(F544/F543)-1</f>
        <v/>
      </c>
      <c r="H544" s="35">
        <f>((1+G544)^12)-1</f>
        <v/>
      </c>
      <c r="I544" s="35">
        <f>(Table143454[[#This Row],[Core CPI]]-F532)/F532</f>
        <v/>
      </c>
    </row>
    <row r="545">
      <c r="A545" s="33">
        <f>IF(Data!A572="",#N/A,Data!A572)</f>
        <v/>
      </c>
      <c r="B545" s="34">
        <f>VLOOKUP(A545,Data!A:AX,MATCH($B$2,Data!$B$1:$AX$1,0),FALSE)</f>
        <v/>
      </c>
      <c r="C545" s="35">
        <f>(B545/B544)-1</f>
        <v/>
      </c>
      <c r="D545" s="35">
        <f>((1+C545)^12)-1</f>
        <v/>
      </c>
      <c r="E545" s="35">
        <f>(Table143454[[#This Row],[USA]]-B533)/B533</f>
        <v/>
      </c>
      <c r="F545" s="34">
        <f>VLOOKUP(Table143454[[#This Row],[Date]],'Data Core CPI'!$A:$AX,MATCH($B$2,'Data Core CPI'!$B$1:$AX$1,0),FALSE)</f>
        <v/>
      </c>
      <c r="G545" s="35">
        <f>(F545/F544)-1</f>
        <v/>
      </c>
      <c r="H545" s="35">
        <f>((1+G545)^12)-1</f>
        <v/>
      </c>
      <c r="I545" s="35">
        <f>(Table143454[[#This Row],[Core CPI]]-F533)/F533</f>
        <v/>
      </c>
    </row>
    <row r="546">
      <c r="A546" s="33">
        <f>IF(Data!A573="",#N/A,Data!A573)</f>
        <v/>
      </c>
      <c r="B546" s="34">
        <f>VLOOKUP(A546,Data!A:AX,MATCH($B$2,Data!$B$1:$AX$1,0),FALSE)</f>
        <v/>
      </c>
      <c r="C546" s="35">
        <f>(B546/B545)-1</f>
        <v/>
      </c>
      <c r="D546" s="35">
        <f>((1+C546)^12)-1</f>
        <v/>
      </c>
      <c r="E546" s="35">
        <f>(Table143454[[#This Row],[USA]]-B534)/B534</f>
        <v/>
      </c>
      <c r="F546" s="34">
        <f>VLOOKUP(Table143454[[#This Row],[Date]],'Data Core CPI'!$A:$AX,MATCH($B$2,'Data Core CPI'!$B$1:$AX$1,0),FALSE)</f>
        <v/>
      </c>
      <c r="G546" s="35">
        <f>(F546/F545)-1</f>
        <v/>
      </c>
      <c r="H546" s="35">
        <f>((1+G546)^12)-1</f>
        <v/>
      </c>
      <c r="I546" s="35">
        <f>(Table143454[[#This Row],[Core CPI]]-F534)/F534</f>
        <v/>
      </c>
    </row>
    <row r="547">
      <c r="A547" s="33">
        <f>IF(Data!A574="",#N/A,Data!A574)</f>
        <v/>
      </c>
      <c r="B547" s="34">
        <f>VLOOKUP(A547,Data!A:AX,MATCH($B$2,Data!$B$1:$AX$1,0),FALSE)</f>
        <v/>
      </c>
      <c r="C547" s="35">
        <f>(B547/B546)-1</f>
        <v/>
      </c>
      <c r="D547" s="35">
        <f>((1+C547)^12)-1</f>
        <v/>
      </c>
      <c r="E547" s="35">
        <f>(Table143454[[#This Row],[USA]]-B535)/B535</f>
        <v/>
      </c>
      <c r="F547" s="34">
        <f>VLOOKUP(Table143454[[#This Row],[Date]],'Data Core CPI'!$A:$AX,MATCH($B$2,'Data Core CPI'!$B$1:$AX$1,0),FALSE)</f>
        <v/>
      </c>
      <c r="G547" s="35">
        <f>(F547/F546)-1</f>
        <v/>
      </c>
      <c r="H547" s="35">
        <f>((1+G547)^12)-1</f>
        <v/>
      </c>
      <c r="I547" s="35">
        <f>(Table143454[[#This Row],[Core CPI]]-F535)/F535</f>
        <v/>
      </c>
    </row>
    <row r="548">
      <c r="A548" s="33">
        <f>IF(Data!A575="",#N/A,Data!A575)</f>
        <v/>
      </c>
      <c r="B548" s="34">
        <f>VLOOKUP(A548,Data!A:AX,MATCH($B$2,Data!$B$1:$AX$1,0),FALSE)</f>
        <v/>
      </c>
      <c r="C548" s="35">
        <f>(B548/B547)-1</f>
        <v/>
      </c>
      <c r="D548" s="35">
        <f>((1+C548)^12)-1</f>
        <v/>
      </c>
      <c r="E548" s="35">
        <f>(Table143454[[#This Row],[USA]]-B536)/B536</f>
        <v/>
      </c>
      <c r="F548" s="34">
        <f>VLOOKUP(Table143454[[#This Row],[Date]],'Data Core CPI'!$A:$AX,MATCH($B$2,'Data Core CPI'!$B$1:$AX$1,0),FALSE)</f>
        <v/>
      </c>
      <c r="G548" s="35">
        <f>(F548/F547)-1</f>
        <v/>
      </c>
      <c r="H548" s="35">
        <f>((1+G548)^12)-1</f>
        <v/>
      </c>
      <c r="I548" s="35">
        <f>(Table143454[[#This Row],[Core CPI]]-F536)/F536</f>
        <v/>
      </c>
    </row>
    <row r="549">
      <c r="A549" s="33">
        <f>IF(Data!A576="",#N/A,Data!A576)</f>
        <v/>
      </c>
      <c r="B549" s="34">
        <f>VLOOKUP(A549,Data!A:AX,MATCH($B$2,Data!$B$1:$AX$1,0),FALSE)</f>
        <v/>
      </c>
      <c r="C549" s="35">
        <f>(B549/B548)-1</f>
        <v/>
      </c>
      <c r="D549" s="35">
        <f>((1+C549)^12)-1</f>
        <v/>
      </c>
      <c r="E549" s="35">
        <f>(Table143454[[#This Row],[USA]]-B537)/B537</f>
        <v/>
      </c>
      <c r="F549" s="34">
        <f>VLOOKUP(Table143454[[#This Row],[Date]],'Data Core CPI'!$A:$AX,MATCH($B$2,'Data Core CPI'!$B$1:$AX$1,0),FALSE)</f>
        <v/>
      </c>
      <c r="G549" s="35">
        <f>(F549/F548)-1</f>
        <v/>
      </c>
      <c r="H549" s="35">
        <f>((1+G549)^12)-1</f>
        <v/>
      </c>
      <c r="I549" s="35">
        <f>(Table143454[[#This Row],[Core CPI]]-F537)/F537</f>
        <v/>
      </c>
    </row>
    <row r="550">
      <c r="A550" s="33">
        <f>IF(Data!A577="",#N/A,Data!A577)</f>
        <v/>
      </c>
      <c r="B550" s="34">
        <f>VLOOKUP(A550,Data!A:AX,MATCH($B$2,Data!$B$1:$AX$1,0),FALSE)</f>
        <v/>
      </c>
      <c r="C550" s="35">
        <f>(B550/B549)-1</f>
        <v/>
      </c>
      <c r="D550" s="35">
        <f>((1+C550)^12)-1</f>
        <v/>
      </c>
      <c r="E550" s="35">
        <f>(Table143454[[#This Row],[USA]]-B538)/B538</f>
        <v/>
      </c>
      <c r="F550" s="34">
        <f>VLOOKUP(Table143454[[#This Row],[Date]],'Data Core CPI'!$A:$AX,MATCH($B$2,'Data Core CPI'!$B$1:$AX$1,0),FALSE)</f>
        <v/>
      </c>
      <c r="G550" s="35">
        <f>(F550/F549)-1</f>
        <v/>
      </c>
      <c r="H550" s="35">
        <f>((1+G550)^12)-1</f>
        <v/>
      </c>
      <c r="I550" s="35">
        <f>(Table143454[[#This Row],[Core CPI]]-F538)/F538</f>
        <v/>
      </c>
    </row>
    <row r="551">
      <c r="A551" s="33">
        <f>IF(Data!A578="",#N/A,Data!A578)</f>
        <v/>
      </c>
      <c r="B551" s="34">
        <f>VLOOKUP(A551,Data!A:AX,MATCH($B$2,Data!$B$1:$AX$1,0),FALSE)</f>
        <v/>
      </c>
      <c r="C551" s="35">
        <f>(B551/B550)-1</f>
        <v/>
      </c>
      <c r="D551" s="35">
        <f>((1+C551)^12)-1</f>
        <v/>
      </c>
      <c r="E551" s="35">
        <f>(Table143454[[#This Row],[USA]]-B539)/B539</f>
        <v/>
      </c>
      <c r="F551" s="34">
        <f>VLOOKUP(Table143454[[#This Row],[Date]],'Data Core CPI'!$A:$AX,MATCH($B$2,'Data Core CPI'!$B$1:$AX$1,0),FALSE)</f>
        <v/>
      </c>
      <c r="G551" s="35">
        <f>(F551/F550)-1</f>
        <v/>
      </c>
      <c r="H551" s="35">
        <f>((1+G551)^12)-1</f>
        <v/>
      </c>
      <c r="I551" s="35">
        <f>(Table143454[[#This Row],[Core CPI]]-F539)/F539</f>
        <v/>
      </c>
    </row>
    <row r="552">
      <c r="A552" s="33">
        <f>IF(Data!A579="",#N/A,Data!A579)</f>
        <v/>
      </c>
      <c r="B552" s="34">
        <f>VLOOKUP(A552,Data!A:AX,MATCH($B$2,Data!$B$1:$AX$1,0),FALSE)</f>
        <v/>
      </c>
      <c r="C552" s="35">
        <f>(B552/B551)-1</f>
        <v/>
      </c>
      <c r="D552" s="35">
        <f>((1+C552)^12)-1</f>
        <v/>
      </c>
      <c r="E552" s="35">
        <f>(Table143454[[#This Row],[USA]]-B540)/B540</f>
        <v/>
      </c>
      <c r="F552" s="34">
        <f>VLOOKUP(Table143454[[#This Row],[Date]],'Data Core CPI'!$A:$AX,MATCH($B$2,'Data Core CPI'!$B$1:$AX$1,0),FALSE)</f>
        <v/>
      </c>
      <c r="G552" s="35">
        <f>(F552/F551)-1</f>
        <v/>
      </c>
      <c r="H552" s="35">
        <f>((1+G552)^12)-1</f>
        <v/>
      </c>
      <c r="I552" s="35">
        <f>(Table143454[[#This Row],[Core CPI]]-F540)/F540</f>
        <v/>
      </c>
    </row>
    <row r="553">
      <c r="A553" s="33">
        <f>IF(Data!A580="",#N/A,Data!A580)</f>
        <v/>
      </c>
      <c r="B553" s="34">
        <f>VLOOKUP(A553,Data!A:AX,MATCH($B$2,Data!$B$1:$AX$1,0),FALSE)</f>
        <v/>
      </c>
      <c r="C553" s="35">
        <f>(B553/B552)-1</f>
        <v/>
      </c>
      <c r="D553" s="35">
        <f>((1+C553)^12)-1</f>
        <v/>
      </c>
      <c r="E553" s="35">
        <f>(Table143454[[#This Row],[USA]]-B541)/B541</f>
        <v/>
      </c>
      <c r="F553" s="34">
        <f>VLOOKUP(Table143454[[#This Row],[Date]],'Data Core CPI'!$A:$AX,MATCH($B$2,'Data Core CPI'!$B$1:$AX$1,0),FALSE)</f>
        <v/>
      </c>
      <c r="G553" s="35">
        <f>(F553/F552)-1</f>
        <v/>
      </c>
      <c r="H553" s="35">
        <f>((1+G553)^12)-1</f>
        <v/>
      </c>
      <c r="I553" s="35">
        <f>(Table143454[[#This Row],[Core CPI]]-F541)/F541</f>
        <v/>
      </c>
    </row>
    <row r="554">
      <c r="A554" s="33">
        <f>IF(Data!A581="",#N/A,Data!A581)</f>
        <v/>
      </c>
      <c r="B554" s="34">
        <f>VLOOKUP(A554,Data!A:AX,MATCH($B$2,Data!$B$1:$AX$1,0),FALSE)</f>
        <v/>
      </c>
      <c r="C554" s="35">
        <f>(B554/B553)-1</f>
        <v/>
      </c>
      <c r="D554" s="35">
        <f>((1+C554)^12)-1</f>
        <v/>
      </c>
      <c r="E554" s="35">
        <f>(Table143454[[#This Row],[USA]]-B542)/B542</f>
        <v/>
      </c>
      <c r="F554" s="34">
        <f>VLOOKUP(Table143454[[#This Row],[Date]],'Data Core CPI'!$A:$AX,MATCH($B$2,'Data Core CPI'!$B$1:$AX$1,0),FALSE)</f>
        <v/>
      </c>
      <c r="G554" s="35">
        <f>(F554/F553)-1</f>
        <v/>
      </c>
      <c r="H554" s="35">
        <f>((1+G554)^12)-1</f>
        <v/>
      </c>
      <c r="I554" s="35">
        <f>(Table143454[[#This Row],[Core CPI]]-F542)/F542</f>
        <v/>
      </c>
    </row>
    <row r="555">
      <c r="A555" s="33">
        <f>IF(Data!A582="",#N/A,Data!A582)</f>
        <v/>
      </c>
      <c r="B555" s="34">
        <f>VLOOKUP(A555,Data!A:AX,MATCH($B$2,Data!$B$1:$AX$1,0),FALSE)</f>
        <v/>
      </c>
      <c r="C555" s="35">
        <f>(B555/B554)-1</f>
        <v/>
      </c>
      <c r="D555" s="35">
        <f>((1+C555)^12)-1</f>
        <v/>
      </c>
      <c r="E555" s="35">
        <f>(Table143454[[#This Row],[USA]]-B543)/B543</f>
        <v/>
      </c>
      <c r="F555" s="34">
        <f>VLOOKUP(Table143454[[#This Row],[Date]],'Data Core CPI'!$A:$AX,MATCH($B$2,'Data Core CPI'!$B$1:$AX$1,0),FALSE)</f>
        <v/>
      </c>
      <c r="G555" s="35">
        <f>(F555/F554)-1</f>
        <v/>
      </c>
      <c r="H555" s="35">
        <f>((1+G555)^12)-1</f>
        <v/>
      </c>
      <c r="I555" s="35">
        <f>(Table143454[[#This Row],[Core CPI]]-F543)/F543</f>
        <v/>
      </c>
    </row>
    <row r="556">
      <c r="A556" s="33">
        <f>IF(Data!A583="",#N/A,Data!A583)</f>
        <v/>
      </c>
      <c r="B556" s="34">
        <f>VLOOKUP(A556,Data!A:AX,MATCH($B$2,Data!$B$1:$AX$1,0),FALSE)</f>
        <v/>
      </c>
      <c r="C556" s="35">
        <f>(B556/B555)-1</f>
        <v/>
      </c>
      <c r="D556" s="35">
        <f>((1+C556)^12)-1</f>
        <v/>
      </c>
      <c r="E556" s="35">
        <f>(Table143454[[#This Row],[USA]]-B544)/B544</f>
        <v/>
      </c>
      <c r="F556" s="34">
        <f>VLOOKUP(Table143454[[#This Row],[Date]],'Data Core CPI'!$A:$AX,MATCH($B$2,'Data Core CPI'!$B$1:$AX$1,0),FALSE)</f>
        <v/>
      </c>
      <c r="G556" s="35">
        <f>(F556/F555)-1</f>
        <v/>
      </c>
      <c r="H556" s="35">
        <f>((1+G556)^12)-1</f>
        <v/>
      </c>
      <c r="I556" s="35">
        <f>(Table143454[[#This Row],[Core CPI]]-F544)/F544</f>
        <v/>
      </c>
    </row>
    <row r="557">
      <c r="A557" s="33">
        <f>IF(Data!A584="",#N/A,Data!A584)</f>
        <v/>
      </c>
      <c r="B557" s="34">
        <f>VLOOKUP(A557,Data!A:AX,MATCH($B$2,Data!$B$1:$AX$1,0),FALSE)</f>
        <v/>
      </c>
      <c r="C557" s="35">
        <f>(B557/B556)-1</f>
        <v/>
      </c>
      <c r="D557" s="35">
        <f>((1+C557)^12)-1</f>
        <v/>
      </c>
      <c r="E557" s="35">
        <f>(Table143454[[#This Row],[USA]]-B545)/B545</f>
        <v/>
      </c>
      <c r="F557" s="34">
        <f>VLOOKUP(Table143454[[#This Row],[Date]],'Data Core CPI'!$A:$AX,MATCH($B$2,'Data Core CPI'!$B$1:$AX$1,0),FALSE)</f>
        <v/>
      </c>
      <c r="G557" s="35">
        <f>(F557/F556)-1</f>
        <v/>
      </c>
      <c r="H557" s="35">
        <f>((1+G557)^12)-1</f>
        <v/>
      </c>
      <c r="I557" s="35">
        <f>(Table143454[[#This Row],[Core CPI]]-F545)/F545</f>
        <v/>
      </c>
    </row>
    <row r="558">
      <c r="A558" s="33">
        <f>IF(Data!A585="",#N/A,Data!A585)</f>
        <v/>
      </c>
      <c r="B558" s="34">
        <f>VLOOKUP(A558,Data!A:AX,MATCH($B$2,Data!$B$1:$AX$1,0),FALSE)</f>
        <v/>
      </c>
      <c r="C558" s="35">
        <f>(B558/B557)-1</f>
        <v/>
      </c>
      <c r="D558" s="35">
        <f>((1+C558)^12)-1</f>
        <v/>
      </c>
      <c r="E558" s="35">
        <f>(Table143454[[#This Row],[USA]]-B546)/B546</f>
        <v/>
      </c>
      <c r="F558" s="34">
        <f>VLOOKUP(Table143454[[#This Row],[Date]],'Data Core CPI'!$A:$AX,MATCH($B$2,'Data Core CPI'!$B$1:$AX$1,0),FALSE)</f>
        <v/>
      </c>
      <c r="G558" s="35">
        <f>(F558/F557)-1</f>
        <v/>
      </c>
      <c r="H558" s="35">
        <f>((1+G558)^12)-1</f>
        <v/>
      </c>
      <c r="I558" s="35">
        <f>(Table143454[[#This Row],[Core CPI]]-F546)/F546</f>
        <v/>
      </c>
    </row>
    <row r="559">
      <c r="A559" s="33">
        <f>IF(Data!A586="",#N/A,Data!A586)</f>
        <v/>
      </c>
      <c r="B559" s="34">
        <f>VLOOKUP(A559,Data!A:AX,MATCH($B$2,Data!$B$1:$AX$1,0),FALSE)</f>
        <v/>
      </c>
      <c r="C559" s="35">
        <f>(B559/B558)-1</f>
        <v/>
      </c>
      <c r="D559" s="35">
        <f>((1+C559)^12)-1</f>
        <v/>
      </c>
      <c r="E559" s="35">
        <f>(Table143454[[#This Row],[USA]]-B547)/B547</f>
        <v/>
      </c>
      <c r="F559" s="34">
        <f>VLOOKUP(Table143454[[#This Row],[Date]],'Data Core CPI'!$A:$AX,MATCH($B$2,'Data Core CPI'!$B$1:$AX$1,0),FALSE)</f>
        <v/>
      </c>
      <c r="G559" s="35">
        <f>(F559/F558)-1</f>
        <v/>
      </c>
      <c r="H559" s="35">
        <f>((1+G559)^12)-1</f>
        <v/>
      </c>
      <c r="I559" s="35">
        <f>(Table143454[[#This Row],[Core CPI]]-F547)/F547</f>
        <v/>
      </c>
    </row>
    <row r="560">
      <c r="A560" s="33">
        <f>IF(Data!A587="",#N/A,Data!A587)</f>
        <v/>
      </c>
      <c r="B560" s="34">
        <f>VLOOKUP(A560,Data!A:AX,MATCH($B$2,Data!$B$1:$AX$1,0),FALSE)</f>
        <v/>
      </c>
      <c r="C560" s="35">
        <f>(B560/B559)-1</f>
        <v/>
      </c>
      <c r="D560" s="35">
        <f>((1+C560)^12)-1</f>
        <v/>
      </c>
      <c r="E560" s="35">
        <f>(Table143454[[#This Row],[USA]]-B548)/B548</f>
        <v/>
      </c>
      <c r="F560" s="34">
        <f>VLOOKUP(Table143454[[#This Row],[Date]],'Data Core CPI'!$A:$AX,MATCH($B$2,'Data Core CPI'!$B$1:$AX$1,0),FALSE)</f>
        <v/>
      </c>
      <c r="G560" s="35">
        <f>(F560/F559)-1</f>
        <v/>
      </c>
      <c r="H560" s="35">
        <f>((1+G560)^12)-1</f>
        <v/>
      </c>
      <c r="I560" s="35">
        <f>(Table143454[[#This Row],[Core CPI]]-F548)/F548</f>
        <v/>
      </c>
    </row>
    <row r="561">
      <c r="A561" s="33">
        <f>IF(Data!A588="",#N/A,Data!A588)</f>
        <v/>
      </c>
      <c r="B561" s="34">
        <f>VLOOKUP(A561,Data!A:AX,MATCH($B$2,Data!$B$1:$AX$1,0),FALSE)</f>
        <v/>
      </c>
      <c r="C561" s="35">
        <f>(B561/B560)-1</f>
        <v/>
      </c>
      <c r="D561" s="35">
        <f>((1+C561)^12)-1</f>
        <v/>
      </c>
      <c r="E561" s="35">
        <f>(Table143454[[#This Row],[USA]]-B549)/B549</f>
        <v/>
      </c>
      <c r="F561" s="34">
        <f>VLOOKUP(Table143454[[#This Row],[Date]],'Data Core CPI'!$A:$AX,MATCH($B$2,'Data Core CPI'!$B$1:$AX$1,0),FALSE)</f>
        <v/>
      </c>
      <c r="G561" s="35">
        <f>(F561/F560)-1</f>
        <v/>
      </c>
      <c r="H561" s="35">
        <f>((1+G561)^12)-1</f>
        <v/>
      </c>
      <c r="I561" s="35">
        <f>(Table143454[[#This Row],[Core CPI]]-F549)/F549</f>
        <v/>
      </c>
    </row>
    <row r="562">
      <c r="A562" s="33">
        <f>IF(Data!A589="",#N/A,Data!A589)</f>
        <v/>
      </c>
      <c r="B562" s="34">
        <f>VLOOKUP(A562,Data!A:AX,MATCH($B$2,Data!$B$1:$AX$1,0),FALSE)</f>
        <v/>
      </c>
      <c r="C562" s="35">
        <f>(B562/B561)-1</f>
        <v/>
      </c>
      <c r="D562" s="35">
        <f>((1+C562)^12)-1</f>
        <v/>
      </c>
      <c r="E562" s="35">
        <f>(Table143454[[#This Row],[USA]]-B550)/B550</f>
        <v/>
      </c>
      <c r="F562" s="34">
        <f>VLOOKUP(Table143454[[#This Row],[Date]],'Data Core CPI'!$A:$AX,MATCH($B$2,'Data Core CPI'!$B$1:$AX$1,0),FALSE)</f>
        <v/>
      </c>
      <c r="G562" s="35">
        <f>(F562/F561)-1</f>
        <v/>
      </c>
      <c r="H562" s="35">
        <f>((1+G562)^12)-1</f>
        <v/>
      </c>
      <c r="I562" s="35">
        <f>(Table143454[[#This Row],[Core CPI]]-F550)/F550</f>
        <v/>
      </c>
    </row>
    <row r="563">
      <c r="A563" s="33">
        <f>IF(Data!A590="",#N/A,Data!A590)</f>
        <v/>
      </c>
      <c r="B563" s="34">
        <f>VLOOKUP(A563,Data!A:AX,MATCH($B$2,Data!$B$1:$AX$1,0),FALSE)</f>
        <v/>
      </c>
      <c r="C563" s="35">
        <f>(B563/B562)-1</f>
        <v/>
      </c>
      <c r="D563" s="35">
        <f>((1+C563)^12)-1</f>
        <v/>
      </c>
      <c r="E563" s="35">
        <f>(Table143454[[#This Row],[USA]]-B551)/B551</f>
        <v/>
      </c>
      <c r="F563" s="34">
        <f>VLOOKUP(Table143454[[#This Row],[Date]],'Data Core CPI'!$A:$AX,MATCH($B$2,'Data Core CPI'!$B$1:$AX$1,0),FALSE)</f>
        <v/>
      </c>
      <c r="G563" s="35">
        <f>(F563/F562)-1</f>
        <v/>
      </c>
      <c r="H563" s="35">
        <f>((1+G563)^12)-1</f>
        <v/>
      </c>
      <c r="I563" s="35">
        <f>(Table143454[[#This Row],[Core CPI]]-F551)/F551</f>
        <v/>
      </c>
    </row>
    <row r="564">
      <c r="A564" s="33">
        <f>IF(Data!A591="",#N/A,Data!A591)</f>
        <v/>
      </c>
      <c r="B564" s="34">
        <f>VLOOKUP(A564,Data!A:AX,MATCH($B$2,Data!$B$1:$AX$1,0),FALSE)</f>
        <v/>
      </c>
      <c r="C564" s="35">
        <f>(B564/B563)-1</f>
        <v/>
      </c>
      <c r="D564" s="35">
        <f>((1+C564)^12)-1</f>
        <v/>
      </c>
      <c r="E564" s="35">
        <f>(Table143454[[#This Row],[USA]]-B552)/B552</f>
        <v/>
      </c>
      <c r="F564" s="34">
        <f>VLOOKUP(Table143454[[#This Row],[Date]],'Data Core CPI'!$A:$AX,MATCH($B$2,'Data Core CPI'!$B$1:$AX$1,0),FALSE)</f>
        <v/>
      </c>
      <c r="G564" s="35">
        <f>(F564/F563)-1</f>
        <v/>
      </c>
      <c r="H564" s="35">
        <f>((1+G564)^12)-1</f>
        <v/>
      </c>
      <c r="I564" s="35">
        <f>(Table143454[[#This Row],[Core CPI]]-F552)/F552</f>
        <v/>
      </c>
    </row>
    <row r="565">
      <c r="A565" s="33">
        <f>IF(Data!A592="",#N/A,Data!A592)</f>
        <v/>
      </c>
      <c r="B565" s="34">
        <f>VLOOKUP(A565,Data!A:AX,MATCH($B$2,Data!$B$1:$AX$1,0),FALSE)</f>
        <v/>
      </c>
      <c r="C565" s="35">
        <f>(B565/B564)-1</f>
        <v/>
      </c>
      <c r="D565" s="35">
        <f>((1+C565)^12)-1</f>
        <v/>
      </c>
      <c r="E565" s="35">
        <f>(Table143454[[#This Row],[USA]]-B553)/B553</f>
        <v/>
      </c>
      <c r="F565" s="34">
        <f>VLOOKUP(Table143454[[#This Row],[Date]],'Data Core CPI'!$A:$AX,MATCH($B$2,'Data Core CPI'!$B$1:$AX$1,0),FALSE)</f>
        <v/>
      </c>
      <c r="G565" s="35">
        <f>(F565/F564)-1</f>
        <v/>
      </c>
      <c r="H565" s="35">
        <f>((1+G565)^12)-1</f>
        <v/>
      </c>
      <c r="I565" s="35">
        <f>(Table143454[[#This Row],[Core CPI]]-F553)/F553</f>
        <v/>
      </c>
    </row>
    <row r="566">
      <c r="A566" s="33">
        <f>IF(Data!A593="",#N/A,Data!A593)</f>
        <v/>
      </c>
      <c r="B566" s="34">
        <f>VLOOKUP(A566,Data!A:AX,MATCH($B$2,Data!$B$1:$AX$1,0),FALSE)</f>
        <v/>
      </c>
      <c r="C566" s="35">
        <f>(B566/B565)-1</f>
        <v/>
      </c>
      <c r="D566" s="35">
        <f>((1+C566)^12)-1</f>
        <v/>
      </c>
      <c r="E566" s="35">
        <f>(Table143454[[#This Row],[USA]]-B554)/B554</f>
        <v/>
      </c>
      <c r="F566" s="34">
        <f>VLOOKUP(Table143454[[#This Row],[Date]],'Data Core CPI'!$A:$AX,MATCH($B$2,'Data Core CPI'!$B$1:$AX$1,0),FALSE)</f>
        <v/>
      </c>
      <c r="G566" s="35">
        <f>(F566/F565)-1</f>
        <v/>
      </c>
      <c r="H566" s="35">
        <f>((1+G566)^12)-1</f>
        <v/>
      </c>
      <c r="I566" s="35">
        <f>(Table143454[[#This Row],[Core CPI]]-F554)/F554</f>
        <v/>
      </c>
    </row>
    <row r="567">
      <c r="A567" s="33">
        <f>IF(Data!A594="",#N/A,Data!A594)</f>
        <v/>
      </c>
      <c r="B567" s="34">
        <f>VLOOKUP(A567,Data!A:AX,MATCH($B$2,Data!$B$1:$AX$1,0),FALSE)</f>
        <v/>
      </c>
      <c r="C567" s="35">
        <f>(B567/B566)-1</f>
        <v/>
      </c>
      <c r="D567" s="35">
        <f>((1+C567)^12)-1</f>
        <v/>
      </c>
      <c r="E567" s="35">
        <f>(Table143454[[#This Row],[USA]]-B555)/B555</f>
        <v/>
      </c>
      <c r="F567" s="34">
        <f>VLOOKUP(Table143454[[#This Row],[Date]],'Data Core CPI'!$A:$AX,MATCH($B$2,'Data Core CPI'!$B$1:$AX$1,0),FALSE)</f>
        <v/>
      </c>
      <c r="G567" s="35">
        <f>(F567/F566)-1</f>
        <v/>
      </c>
      <c r="H567" s="35">
        <f>((1+G567)^12)-1</f>
        <v/>
      </c>
      <c r="I567" s="35">
        <f>(Table143454[[#This Row],[Core CPI]]-F555)/F555</f>
        <v/>
      </c>
    </row>
    <row r="568">
      <c r="A568" s="33">
        <f>IF(Data!A595="",#N/A,Data!A595)</f>
        <v/>
      </c>
      <c r="B568" s="34">
        <f>VLOOKUP(A568,Data!A:AX,MATCH($B$2,Data!$B$1:$AX$1,0),FALSE)</f>
        <v/>
      </c>
      <c r="C568" s="35">
        <f>(B568/B567)-1</f>
        <v/>
      </c>
      <c r="D568" s="35">
        <f>((1+C568)^12)-1</f>
        <v/>
      </c>
      <c r="E568" s="35">
        <f>(Table143454[[#This Row],[USA]]-B556)/B556</f>
        <v/>
      </c>
      <c r="F568" s="34">
        <f>VLOOKUP(Table143454[[#This Row],[Date]],'Data Core CPI'!$A:$AX,MATCH($B$2,'Data Core CPI'!$B$1:$AX$1,0),FALSE)</f>
        <v/>
      </c>
      <c r="G568" s="35">
        <f>(F568/F567)-1</f>
        <v/>
      </c>
      <c r="H568" s="35">
        <f>((1+G568)^12)-1</f>
        <v/>
      </c>
      <c r="I568" s="35">
        <f>(Table143454[[#This Row],[Core CPI]]-F556)/F556</f>
        <v/>
      </c>
    </row>
    <row r="569">
      <c r="A569" s="33">
        <f>IF(Data!A596="",#N/A,Data!A596)</f>
        <v/>
      </c>
      <c r="B569" s="34">
        <f>VLOOKUP(A569,Data!A:AX,MATCH($B$2,Data!$B$1:$AX$1,0),FALSE)</f>
        <v/>
      </c>
      <c r="C569" s="35">
        <f>(B569/B568)-1</f>
        <v/>
      </c>
      <c r="D569" s="35">
        <f>((1+C569)^12)-1</f>
        <v/>
      </c>
      <c r="E569" s="35">
        <f>(Table143454[[#This Row],[USA]]-B557)/B557</f>
        <v/>
      </c>
      <c r="F569" s="34">
        <f>VLOOKUP(Table143454[[#This Row],[Date]],'Data Core CPI'!$A:$AX,MATCH($B$2,'Data Core CPI'!$B$1:$AX$1,0),FALSE)</f>
        <v/>
      </c>
      <c r="G569" s="35">
        <f>(F569/F568)-1</f>
        <v/>
      </c>
      <c r="H569" s="35">
        <f>((1+G569)^12)-1</f>
        <v/>
      </c>
      <c r="I569" s="35">
        <f>(Table143454[[#This Row],[Core CPI]]-F557)/F557</f>
        <v/>
      </c>
    </row>
    <row r="570">
      <c r="A570" s="33">
        <f>IF(Data!A597="",#N/A,Data!A597)</f>
        <v/>
      </c>
      <c r="B570" s="34">
        <f>VLOOKUP(A570,Data!A:AX,MATCH($B$2,Data!$B$1:$AX$1,0),FALSE)</f>
        <v/>
      </c>
      <c r="C570" s="35">
        <f>(B570/B569)-1</f>
        <v/>
      </c>
      <c r="D570" s="35">
        <f>((1+C570)^12)-1</f>
        <v/>
      </c>
      <c r="E570" s="35">
        <f>(Table143454[[#This Row],[USA]]-B558)/B558</f>
        <v/>
      </c>
      <c r="F570" s="34">
        <f>VLOOKUP(Table143454[[#This Row],[Date]],'Data Core CPI'!$A:$AX,MATCH($B$2,'Data Core CPI'!$B$1:$AX$1,0),FALSE)</f>
        <v/>
      </c>
      <c r="G570" s="35">
        <f>(F570/F569)-1</f>
        <v/>
      </c>
      <c r="H570" s="35">
        <f>((1+G570)^12)-1</f>
        <v/>
      </c>
      <c r="I570" s="35">
        <f>(Table143454[[#This Row],[Core CPI]]-F558)/F558</f>
        <v/>
      </c>
    </row>
    <row r="571">
      <c r="A571" s="33">
        <f>IF(Data!A598="",#N/A,Data!A598)</f>
        <v/>
      </c>
      <c r="B571" s="34">
        <f>VLOOKUP(A571,Data!A:AX,MATCH($B$2,Data!$B$1:$AX$1,0),FALSE)</f>
        <v/>
      </c>
      <c r="C571" s="35">
        <f>(B571/B570)-1</f>
        <v/>
      </c>
      <c r="D571" s="35">
        <f>((1+C571)^12)-1</f>
        <v/>
      </c>
      <c r="E571" s="35">
        <f>(Table143454[[#This Row],[USA]]-B559)/B559</f>
        <v/>
      </c>
      <c r="F571" s="34">
        <f>VLOOKUP(Table143454[[#This Row],[Date]],'Data Core CPI'!$A:$AX,MATCH($B$2,'Data Core CPI'!$B$1:$AX$1,0),FALSE)</f>
        <v/>
      </c>
      <c r="G571" s="35">
        <f>(F571/F570)-1</f>
        <v/>
      </c>
      <c r="H571" s="35">
        <f>((1+G571)^12)-1</f>
        <v/>
      </c>
      <c r="I571" s="35">
        <f>(Table143454[[#This Row],[Core CPI]]-F559)/F559</f>
        <v/>
      </c>
    </row>
    <row r="572">
      <c r="A572" s="33">
        <f>IF(Data!A599="",#N/A,Data!A599)</f>
        <v/>
      </c>
      <c r="B572" s="34">
        <f>VLOOKUP(A572,Data!A:AX,MATCH($B$2,Data!$B$1:$AX$1,0),FALSE)</f>
        <v/>
      </c>
      <c r="C572" s="35">
        <f>(B572/B571)-1</f>
        <v/>
      </c>
      <c r="D572" s="35">
        <f>((1+C572)^12)-1</f>
        <v/>
      </c>
      <c r="E572" s="35">
        <f>(Table143454[[#This Row],[USA]]-B560)/B560</f>
        <v/>
      </c>
      <c r="F572" s="34">
        <f>VLOOKUP(Table143454[[#This Row],[Date]],'Data Core CPI'!$A:$AX,MATCH($B$2,'Data Core CPI'!$B$1:$AX$1,0),FALSE)</f>
        <v/>
      </c>
      <c r="G572" s="35">
        <f>(F572/F571)-1</f>
        <v/>
      </c>
      <c r="H572" s="35">
        <f>((1+G572)^12)-1</f>
        <v/>
      </c>
      <c r="I572" s="35">
        <f>(Table143454[[#This Row],[Core CPI]]-F560)/F560</f>
        <v/>
      </c>
    </row>
    <row r="573">
      <c r="A573" s="33">
        <f>IF(Data!A600="",#N/A,Data!A600)</f>
        <v/>
      </c>
      <c r="B573" s="34">
        <f>VLOOKUP(A573,Data!A:AX,MATCH($B$2,Data!$B$1:$AX$1,0),FALSE)</f>
        <v/>
      </c>
      <c r="C573" s="35">
        <f>(B573/B572)-1</f>
        <v/>
      </c>
      <c r="D573" s="35">
        <f>((1+C573)^12)-1</f>
        <v/>
      </c>
      <c r="E573" s="35">
        <f>(Table143454[[#This Row],[USA]]-B561)/B561</f>
        <v/>
      </c>
      <c r="F573" s="34">
        <f>VLOOKUP(Table143454[[#This Row],[Date]],'Data Core CPI'!$A:$AX,MATCH($B$2,'Data Core CPI'!$B$1:$AX$1,0),FALSE)</f>
        <v/>
      </c>
      <c r="G573" s="35">
        <f>(F573/F572)-1</f>
        <v/>
      </c>
      <c r="H573" s="35">
        <f>((1+G573)^12)-1</f>
        <v/>
      </c>
      <c r="I573" s="35">
        <f>(Table143454[[#This Row],[Core CPI]]-F561)/F561</f>
        <v/>
      </c>
    </row>
    <row r="574">
      <c r="A574" s="33">
        <f>IF(Data!A601="",#N/A,Data!A601)</f>
        <v/>
      </c>
      <c r="B574" s="34">
        <f>VLOOKUP(A574,Data!A:AX,MATCH($B$2,Data!$B$1:$AX$1,0),FALSE)</f>
        <v/>
      </c>
      <c r="C574" s="35">
        <f>(B574/B573)-1</f>
        <v/>
      </c>
      <c r="D574" s="35">
        <f>((1+C574)^12)-1</f>
        <v/>
      </c>
      <c r="E574" s="35">
        <f>(Table143454[[#This Row],[USA]]-B562)/B562</f>
        <v/>
      </c>
      <c r="F574" s="34">
        <f>VLOOKUP(Table143454[[#This Row],[Date]],'Data Core CPI'!$A:$AX,MATCH($B$2,'Data Core CPI'!$B$1:$AX$1,0),FALSE)</f>
        <v/>
      </c>
      <c r="G574" s="35">
        <f>(F574/F573)-1</f>
        <v/>
      </c>
      <c r="H574" s="35">
        <f>((1+G574)^12)-1</f>
        <v/>
      </c>
      <c r="I574" s="35">
        <f>(Table143454[[#This Row],[Core CPI]]-F562)/F562</f>
        <v/>
      </c>
    </row>
    <row r="575">
      <c r="A575" s="33">
        <f>IF(Data!A602="",#N/A,Data!A602)</f>
        <v/>
      </c>
      <c r="B575" s="34">
        <f>VLOOKUP(A575,Data!A:AX,MATCH($B$2,Data!$B$1:$AX$1,0),FALSE)</f>
        <v/>
      </c>
      <c r="C575" s="35">
        <f>(B575/B574)-1</f>
        <v/>
      </c>
      <c r="D575" s="35">
        <f>((1+C575)^12)-1</f>
        <v/>
      </c>
      <c r="E575" s="35">
        <f>(Table143454[[#This Row],[USA]]-B563)/B563</f>
        <v/>
      </c>
      <c r="F575" s="34">
        <f>VLOOKUP(Table143454[[#This Row],[Date]],'Data Core CPI'!$A:$AX,MATCH($B$2,'Data Core CPI'!$B$1:$AX$1,0),FALSE)</f>
        <v/>
      </c>
      <c r="G575" s="35">
        <f>(F575/F574)-1</f>
        <v/>
      </c>
      <c r="H575" s="35">
        <f>((1+G575)^12)-1</f>
        <v/>
      </c>
      <c r="I575" s="35">
        <f>(Table143454[[#This Row],[Core CPI]]-F563)/F563</f>
        <v/>
      </c>
    </row>
    <row r="576">
      <c r="A576" s="33">
        <f>IF(Data!A603="",#N/A,Data!A603)</f>
        <v/>
      </c>
      <c r="B576" s="34">
        <f>VLOOKUP(A576,Data!A:AX,MATCH($B$2,Data!$B$1:$AX$1,0),FALSE)</f>
        <v/>
      </c>
      <c r="C576" s="35">
        <f>(B576/B575)-1</f>
        <v/>
      </c>
      <c r="D576" s="35">
        <f>((1+C576)^12)-1</f>
        <v/>
      </c>
      <c r="E576" s="35">
        <f>(Table143454[[#This Row],[USA]]-B564)/B564</f>
        <v/>
      </c>
      <c r="F576" s="34">
        <f>VLOOKUP(Table143454[[#This Row],[Date]],'Data Core CPI'!$A:$AX,MATCH($B$2,'Data Core CPI'!$B$1:$AX$1,0),FALSE)</f>
        <v/>
      </c>
      <c r="G576" s="35">
        <f>(F576/F575)-1</f>
        <v/>
      </c>
      <c r="H576" s="35">
        <f>((1+G576)^12)-1</f>
        <v/>
      </c>
      <c r="I576" s="35">
        <f>(Table143454[[#This Row],[Core CPI]]-F564)/F564</f>
        <v/>
      </c>
    </row>
    <row r="577">
      <c r="A577" s="33">
        <f>IF(Data!A604="",#N/A,Data!A604)</f>
        <v/>
      </c>
      <c r="B577" s="34">
        <f>VLOOKUP(A577,Data!A:AX,MATCH($B$2,Data!$B$1:$AX$1,0),FALSE)</f>
        <v/>
      </c>
      <c r="C577" s="35">
        <f>(B577/B576)-1</f>
        <v/>
      </c>
      <c r="D577" s="35">
        <f>((1+C577)^12)-1</f>
        <v/>
      </c>
      <c r="E577" s="35">
        <f>(Table143454[[#This Row],[USA]]-B565)/B565</f>
        <v/>
      </c>
      <c r="F577" s="34">
        <f>VLOOKUP(Table143454[[#This Row],[Date]],'Data Core CPI'!$A:$AX,MATCH($B$2,'Data Core CPI'!$B$1:$AX$1,0),FALSE)</f>
        <v/>
      </c>
      <c r="G577" s="35">
        <f>(F577/F576)-1</f>
        <v/>
      </c>
      <c r="H577" s="35">
        <f>((1+G577)^12)-1</f>
        <v/>
      </c>
      <c r="I577" s="35">
        <f>(Table143454[[#This Row],[Core CPI]]-F565)/F565</f>
        <v/>
      </c>
    </row>
    <row r="578">
      <c r="A578" s="33">
        <f>IF(Data!A605="",#N/A,Data!A605)</f>
        <v/>
      </c>
      <c r="B578" s="34">
        <f>VLOOKUP(A578,Data!A:AX,MATCH($B$2,Data!$B$1:$AX$1,0),FALSE)</f>
        <v/>
      </c>
      <c r="C578" s="35">
        <f>(B578/B577)-1</f>
        <v/>
      </c>
      <c r="D578" s="35">
        <f>((1+C578)^12)-1</f>
        <v/>
      </c>
      <c r="E578" s="35">
        <f>(Table143454[[#This Row],[USA]]-B566)/B566</f>
        <v/>
      </c>
      <c r="F578" s="34">
        <f>VLOOKUP(Table143454[[#This Row],[Date]],'Data Core CPI'!$A:$AX,MATCH($B$2,'Data Core CPI'!$B$1:$AX$1,0),FALSE)</f>
        <v/>
      </c>
      <c r="G578" s="35">
        <f>(F578/F577)-1</f>
        <v/>
      </c>
      <c r="H578" s="35">
        <f>((1+G578)^12)-1</f>
        <v/>
      </c>
      <c r="I578" s="35">
        <f>(Table143454[[#This Row],[Core CPI]]-F566)/F566</f>
        <v/>
      </c>
    </row>
    <row r="579">
      <c r="A579" s="33">
        <f>IF(Data!A606="",#N/A,Data!A606)</f>
        <v/>
      </c>
      <c r="B579" s="34">
        <f>VLOOKUP(A579,Data!A:AX,MATCH($B$2,Data!$B$1:$AX$1,0),FALSE)</f>
        <v/>
      </c>
      <c r="C579" s="35">
        <f>(B579/B578)-1</f>
        <v/>
      </c>
      <c r="D579" s="35">
        <f>((1+C579)^12)-1</f>
        <v/>
      </c>
      <c r="E579" s="35">
        <f>(Table143454[[#This Row],[USA]]-B567)/B567</f>
        <v/>
      </c>
      <c r="F579" s="34">
        <f>VLOOKUP(Table143454[[#This Row],[Date]],'Data Core CPI'!$A:$AX,MATCH($B$2,'Data Core CPI'!$B$1:$AX$1,0),FALSE)</f>
        <v/>
      </c>
      <c r="G579" s="35">
        <f>(F579/F578)-1</f>
        <v/>
      </c>
      <c r="H579" s="35">
        <f>((1+G579)^12)-1</f>
        <v/>
      </c>
      <c r="I579" s="35">
        <f>(Table143454[[#This Row],[Core CPI]]-F567)/F567</f>
        <v/>
      </c>
    </row>
    <row r="580">
      <c r="A580" s="33">
        <f>IF(Data!A607="",#N/A,Data!A607)</f>
        <v/>
      </c>
      <c r="B580" s="34">
        <f>VLOOKUP(A580,Data!A:AX,MATCH($B$2,Data!$B$1:$AX$1,0),FALSE)</f>
        <v/>
      </c>
      <c r="C580" s="35">
        <f>(B580/B579)-1</f>
        <v/>
      </c>
      <c r="D580" s="35">
        <f>((1+C580)^12)-1</f>
        <v/>
      </c>
      <c r="E580" s="35">
        <f>(Table143454[[#This Row],[USA]]-B568)/B568</f>
        <v/>
      </c>
      <c r="F580" s="34">
        <f>VLOOKUP(Table143454[[#This Row],[Date]],'Data Core CPI'!$A:$AX,MATCH($B$2,'Data Core CPI'!$B$1:$AX$1,0),FALSE)</f>
        <v/>
      </c>
      <c r="G580" s="35">
        <f>(F580/F579)-1</f>
        <v/>
      </c>
      <c r="H580" s="35">
        <f>((1+G580)^12)-1</f>
        <v/>
      </c>
      <c r="I580" s="35">
        <f>(Table143454[[#This Row],[Core CPI]]-F568)/F568</f>
        <v/>
      </c>
    </row>
    <row r="581">
      <c r="A581" s="33">
        <f>IF(Data!A608="",#N/A,Data!A608)</f>
        <v/>
      </c>
      <c r="B581" s="34">
        <f>VLOOKUP(A581,Data!A:AX,MATCH($B$2,Data!$B$1:$AX$1,0),FALSE)</f>
        <v/>
      </c>
      <c r="C581" s="35">
        <f>(B581/B580)-1</f>
        <v/>
      </c>
      <c r="D581" s="35">
        <f>((1+C581)^12)-1</f>
        <v/>
      </c>
      <c r="E581" s="35">
        <f>(Table143454[[#This Row],[USA]]-B569)/B569</f>
        <v/>
      </c>
      <c r="F581" s="34">
        <f>VLOOKUP(Table143454[[#This Row],[Date]],'Data Core CPI'!$A:$AX,MATCH($B$2,'Data Core CPI'!$B$1:$AX$1,0),FALSE)</f>
        <v/>
      </c>
      <c r="G581" s="35">
        <f>(F581/F580)-1</f>
        <v/>
      </c>
      <c r="H581" s="35">
        <f>((1+G581)^12)-1</f>
        <v/>
      </c>
      <c r="I581" s="35">
        <f>(Table143454[[#This Row],[Core CPI]]-F569)/F569</f>
        <v/>
      </c>
    </row>
    <row r="582">
      <c r="A582" s="33">
        <f>IF(Data!A609="",#N/A,Data!A609)</f>
        <v/>
      </c>
      <c r="B582" s="34">
        <f>VLOOKUP(A582,Data!A:AX,MATCH($B$2,Data!$B$1:$AX$1,0),FALSE)</f>
        <v/>
      </c>
      <c r="C582" s="35">
        <f>(B582/B581)-1</f>
        <v/>
      </c>
      <c r="D582" s="35">
        <f>((1+C582)^12)-1</f>
        <v/>
      </c>
      <c r="E582" s="35">
        <f>(Table143454[[#This Row],[USA]]-B570)/B570</f>
        <v/>
      </c>
      <c r="F582" s="34">
        <f>VLOOKUP(Table143454[[#This Row],[Date]],'Data Core CPI'!$A:$AX,MATCH($B$2,'Data Core CPI'!$B$1:$AX$1,0),FALSE)</f>
        <v/>
      </c>
      <c r="G582" s="35">
        <f>(F582/F581)-1</f>
        <v/>
      </c>
      <c r="H582" s="35">
        <f>((1+G582)^12)-1</f>
        <v/>
      </c>
      <c r="I582" s="35">
        <f>(Table143454[[#This Row],[Core CPI]]-F570)/F570</f>
        <v/>
      </c>
    </row>
    <row r="583">
      <c r="A583" s="33">
        <f>IF(Data!A610="",#N/A,Data!A610)</f>
        <v/>
      </c>
      <c r="B583" s="34">
        <f>VLOOKUP(A583,Data!A:AX,MATCH($B$2,Data!$B$1:$AX$1,0),FALSE)</f>
        <v/>
      </c>
      <c r="C583" s="35">
        <f>(B583/B582)-1</f>
        <v/>
      </c>
      <c r="D583" s="35">
        <f>((1+C583)^12)-1</f>
        <v/>
      </c>
      <c r="E583" s="35">
        <f>(Table143454[[#This Row],[USA]]-B571)/B571</f>
        <v/>
      </c>
      <c r="F583" s="34">
        <f>VLOOKUP(Table143454[[#This Row],[Date]],'Data Core CPI'!$A:$AX,MATCH($B$2,'Data Core CPI'!$B$1:$AX$1,0),FALSE)</f>
        <v/>
      </c>
      <c r="G583" s="35">
        <f>(F583/F582)-1</f>
        <v/>
      </c>
      <c r="H583" s="35">
        <f>((1+G583)^12)-1</f>
        <v/>
      </c>
      <c r="I583" s="35">
        <f>(Table143454[[#This Row],[Core CPI]]-F571)/F571</f>
        <v/>
      </c>
    </row>
    <row r="584">
      <c r="A584" s="33">
        <f>IF(Data!A611="",#N/A,Data!A611)</f>
        <v/>
      </c>
      <c r="B584" s="34">
        <f>VLOOKUP(A584,Data!A:AX,MATCH($B$2,Data!$B$1:$AX$1,0),FALSE)</f>
        <v/>
      </c>
      <c r="C584" s="35">
        <f>(B584/B583)-1</f>
        <v/>
      </c>
      <c r="D584" s="35">
        <f>((1+C584)^12)-1</f>
        <v/>
      </c>
      <c r="E584" s="35">
        <f>(Table143454[[#This Row],[USA]]-B572)/B572</f>
        <v/>
      </c>
      <c r="F584" s="34">
        <f>VLOOKUP(Table143454[[#This Row],[Date]],'Data Core CPI'!$A:$AX,MATCH($B$2,'Data Core CPI'!$B$1:$AX$1,0),FALSE)</f>
        <v/>
      </c>
      <c r="G584" s="35">
        <f>(F584/F583)-1</f>
        <v/>
      </c>
      <c r="H584" s="35">
        <f>((1+G584)^12)-1</f>
        <v/>
      </c>
      <c r="I584" s="35">
        <f>(Table143454[[#This Row],[Core CPI]]-F572)/F572</f>
        <v/>
      </c>
    </row>
    <row r="585">
      <c r="A585" s="33">
        <f>IF(Data!A612="",#N/A,Data!A612)</f>
        <v/>
      </c>
      <c r="B585" s="34">
        <f>VLOOKUP(A585,Data!A:AX,MATCH($B$2,Data!$B$1:$AX$1,0),FALSE)</f>
        <v/>
      </c>
      <c r="C585" s="35">
        <f>(B585/B584)-1</f>
        <v/>
      </c>
      <c r="D585" s="35">
        <f>((1+C585)^12)-1</f>
        <v/>
      </c>
      <c r="E585" s="35">
        <f>(Table143454[[#This Row],[USA]]-B573)/B573</f>
        <v/>
      </c>
      <c r="F585" s="34">
        <f>VLOOKUP(Table143454[[#This Row],[Date]],'Data Core CPI'!$A:$AX,MATCH($B$2,'Data Core CPI'!$B$1:$AX$1,0),FALSE)</f>
        <v/>
      </c>
      <c r="G585" s="35">
        <f>(F585/F584)-1</f>
        <v/>
      </c>
      <c r="H585" s="35">
        <f>((1+G585)^12)-1</f>
        <v/>
      </c>
      <c r="I585" s="35">
        <f>(Table143454[[#This Row],[Core CPI]]-F573)/F573</f>
        <v/>
      </c>
    </row>
    <row r="586">
      <c r="A586" s="33">
        <f>IF(Data!A613="",#N/A,Data!A613)</f>
        <v/>
      </c>
      <c r="B586" s="34">
        <f>VLOOKUP(A586,Data!A:AX,MATCH($B$2,Data!$B$1:$AX$1,0),FALSE)</f>
        <v/>
      </c>
      <c r="C586" s="35">
        <f>(B586/B585)-1</f>
        <v/>
      </c>
      <c r="D586" s="35">
        <f>((1+C586)^12)-1</f>
        <v/>
      </c>
      <c r="E586" s="35">
        <f>(Table143454[[#This Row],[USA]]-B574)/B574</f>
        <v/>
      </c>
      <c r="F586" s="34">
        <f>VLOOKUP(Table143454[[#This Row],[Date]],'Data Core CPI'!$A:$AX,MATCH($B$2,'Data Core CPI'!$B$1:$AX$1,0),FALSE)</f>
        <v/>
      </c>
      <c r="G586" s="35">
        <f>(F586/F585)-1</f>
        <v/>
      </c>
      <c r="H586" s="35">
        <f>((1+G586)^12)-1</f>
        <v/>
      </c>
      <c r="I586" s="35">
        <f>(Table143454[[#This Row],[Core CPI]]-F574)/F574</f>
        <v/>
      </c>
    </row>
    <row r="587">
      <c r="A587" s="33">
        <f>IF(Data!A614="",#N/A,Data!A614)</f>
        <v/>
      </c>
      <c r="B587" s="34">
        <f>VLOOKUP(A587,Data!A:AX,MATCH($B$2,Data!$B$1:$AX$1,0),FALSE)</f>
        <v/>
      </c>
      <c r="C587" s="35">
        <f>(B587/B586)-1</f>
        <v/>
      </c>
      <c r="D587" s="35">
        <f>((1+C587)^12)-1</f>
        <v/>
      </c>
      <c r="E587" s="35">
        <f>(Table143454[[#This Row],[USA]]-B575)/B575</f>
        <v/>
      </c>
      <c r="F587" s="34">
        <f>VLOOKUP(Table143454[[#This Row],[Date]],'Data Core CPI'!$A:$AX,MATCH($B$2,'Data Core CPI'!$B$1:$AX$1,0),FALSE)</f>
        <v/>
      </c>
      <c r="G587" s="35">
        <f>(F587/F586)-1</f>
        <v/>
      </c>
      <c r="H587" s="35">
        <f>((1+G587)^12)-1</f>
        <v/>
      </c>
      <c r="I587" s="35">
        <f>(Table143454[[#This Row],[Core CPI]]-F575)/F575</f>
        <v/>
      </c>
    </row>
    <row r="588">
      <c r="A588" s="33">
        <f>IF(Data!A615="",#N/A,Data!A615)</f>
        <v/>
      </c>
      <c r="B588" s="34">
        <f>VLOOKUP(A588,Data!A:AX,MATCH($B$2,Data!$B$1:$AX$1,0),FALSE)</f>
        <v/>
      </c>
      <c r="C588" s="35">
        <f>(B588/B587)-1</f>
        <v/>
      </c>
      <c r="D588" s="35">
        <f>((1+C588)^12)-1</f>
        <v/>
      </c>
      <c r="E588" s="35">
        <f>(Table143454[[#This Row],[USA]]-B576)/B576</f>
        <v/>
      </c>
      <c r="F588" s="34">
        <f>VLOOKUP(Table143454[[#This Row],[Date]],'Data Core CPI'!$A:$AX,MATCH($B$2,'Data Core CPI'!$B$1:$AX$1,0),FALSE)</f>
        <v/>
      </c>
      <c r="G588" s="35">
        <f>(F588/F587)-1</f>
        <v/>
      </c>
      <c r="H588" s="35">
        <f>((1+G588)^12)-1</f>
        <v/>
      </c>
      <c r="I588" s="35">
        <f>(Table143454[[#This Row],[Core CPI]]-F576)/F576</f>
        <v/>
      </c>
    </row>
    <row r="589">
      <c r="A589" s="33">
        <f>IF(Data!A616="",#N/A,Data!A616)</f>
        <v/>
      </c>
      <c r="B589" s="34">
        <f>VLOOKUP(A589,Data!A:AX,MATCH($B$2,Data!$B$1:$AX$1,0),FALSE)</f>
        <v/>
      </c>
      <c r="C589" s="35">
        <f>(B589/B588)-1</f>
        <v/>
      </c>
      <c r="D589" s="35">
        <f>((1+C589)^12)-1</f>
        <v/>
      </c>
      <c r="E589" s="35">
        <f>(Table143454[[#This Row],[USA]]-B577)/B577</f>
        <v/>
      </c>
      <c r="F589" s="34">
        <f>VLOOKUP(Table143454[[#This Row],[Date]],'Data Core CPI'!$A:$AX,MATCH($B$2,'Data Core CPI'!$B$1:$AX$1,0),FALSE)</f>
        <v/>
      </c>
      <c r="G589" s="35">
        <f>(F589/F588)-1</f>
        <v/>
      </c>
      <c r="H589" s="35">
        <f>((1+G589)^12)-1</f>
        <v/>
      </c>
      <c r="I589" s="35">
        <f>(Table143454[[#This Row],[Core CPI]]-F577)/F577</f>
        <v/>
      </c>
    </row>
    <row r="590">
      <c r="A590" s="33">
        <f>IF(Data!A617="",#N/A,Data!A617)</f>
        <v/>
      </c>
      <c r="B590" s="34">
        <f>VLOOKUP(A590,Data!A:AX,MATCH($B$2,Data!$B$1:$AX$1,0),FALSE)</f>
        <v/>
      </c>
      <c r="C590" s="35">
        <f>(B590/B589)-1</f>
        <v/>
      </c>
      <c r="D590" s="35">
        <f>((1+C590)^12)-1</f>
        <v/>
      </c>
      <c r="E590" s="35">
        <f>(Table143454[[#This Row],[USA]]-B578)/B578</f>
        <v/>
      </c>
      <c r="F590" s="34">
        <f>VLOOKUP(Table143454[[#This Row],[Date]],'Data Core CPI'!$A:$AX,MATCH($B$2,'Data Core CPI'!$B$1:$AX$1,0),FALSE)</f>
        <v/>
      </c>
      <c r="G590" s="35">
        <f>(F590/F589)-1</f>
        <v/>
      </c>
      <c r="H590" s="35">
        <f>((1+G590)^12)-1</f>
        <v/>
      </c>
      <c r="I590" s="35">
        <f>(Table143454[[#This Row],[Core CPI]]-F578)/F578</f>
        <v/>
      </c>
    </row>
    <row r="591">
      <c r="A591" s="33">
        <f>IF(Data!A618="",#N/A,Data!A618)</f>
        <v/>
      </c>
      <c r="B591" s="34">
        <f>VLOOKUP(A591,Data!A:AX,MATCH($B$2,Data!$B$1:$AX$1,0),FALSE)</f>
        <v/>
      </c>
      <c r="C591" s="35">
        <f>(B591/B590)-1</f>
        <v/>
      </c>
      <c r="D591" s="35">
        <f>((1+C591)^12)-1</f>
        <v/>
      </c>
      <c r="E591" s="35">
        <f>(Table143454[[#This Row],[USA]]-B579)/B579</f>
        <v/>
      </c>
      <c r="F591" s="34">
        <f>VLOOKUP(Table143454[[#This Row],[Date]],'Data Core CPI'!$A:$AX,MATCH($B$2,'Data Core CPI'!$B$1:$AX$1,0),FALSE)</f>
        <v/>
      </c>
      <c r="G591" s="35">
        <f>(F591/F590)-1</f>
        <v/>
      </c>
      <c r="H591" s="35">
        <f>((1+G591)^12)-1</f>
        <v/>
      </c>
      <c r="I591" s="35">
        <f>(Table143454[[#This Row],[Core CPI]]-F579)/F579</f>
        <v/>
      </c>
    </row>
    <row r="592">
      <c r="A592" s="33">
        <f>IF(Data!A619="",#N/A,Data!A619)</f>
        <v/>
      </c>
      <c r="B592" s="34">
        <f>VLOOKUP(A592,Data!A:AX,MATCH($B$2,Data!$B$1:$AX$1,0),FALSE)</f>
        <v/>
      </c>
      <c r="C592" s="35">
        <f>(B592/B591)-1</f>
        <v/>
      </c>
      <c r="D592" s="35">
        <f>((1+C592)^12)-1</f>
        <v/>
      </c>
      <c r="E592" s="35">
        <f>(Table143454[[#This Row],[USA]]-B580)/B580</f>
        <v/>
      </c>
      <c r="F592" s="34">
        <f>VLOOKUP(Table143454[[#This Row],[Date]],'Data Core CPI'!$A:$AX,MATCH($B$2,'Data Core CPI'!$B$1:$AX$1,0),FALSE)</f>
        <v/>
      </c>
      <c r="G592" s="35">
        <f>(F592/F591)-1</f>
        <v/>
      </c>
      <c r="H592" s="35">
        <f>((1+G592)^12)-1</f>
        <v/>
      </c>
      <c r="I592" s="35">
        <f>(Table143454[[#This Row],[Core CPI]]-F580)/F580</f>
        <v/>
      </c>
    </row>
    <row r="593">
      <c r="A593" s="33">
        <f>IF(Data!A620="",#N/A,Data!A620)</f>
        <v/>
      </c>
      <c r="B593" s="34">
        <f>VLOOKUP(A593,Data!A:AX,MATCH($B$2,Data!$B$1:$AX$1,0),FALSE)</f>
        <v/>
      </c>
      <c r="C593" s="35">
        <f>(B593/B592)-1</f>
        <v/>
      </c>
      <c r="D593" s="35">
        <f>((1+C593)^12)-1</f>
        <v/>
      </c>
      <c r="E593" s="35">
        <f>(Table143454[[#This Row],[USA]]-B581)/B581</f>
        <v/>
      </c>
      <c r="F593" s="34">
        <f>VLOOKUP(Table143454[[#This Row],[Date]],'Data Core CPI'!$A:$AX,MATCH($B$2,'Data Core CPI'!$B$1:$AX$1,0),FALSE)</f>
        <v/>
      </c>
      <c r="G593" s="35">
        <f>(F593/F592)-1</f>
        <v/>
      </c>
      <c r="H593" s="35">
        <f>((1+G593)^12)-1</f>
        <v/>
      </c>
      <c r="I593" s="35">
        <f>(Table143454[[#This Row],[Core CPI]]-F581)/F581</f>
        <v/>
      </c>
    </row>
    <row r="594">
      <c r="A594" s="33">
        <f>IF(Data!A621="",#N/A,Data!A621)</f>
        <v/>
      </c>
      <c r="B594" s="34">
        <f>VLOOKUP(A594,Data!A:AX,MATCH($B$2,Data!$B$1:$AX$1,0),FALSE)</f>
        <v/>
      </c>
      <c r="C594" s="35">
        <f>(B594/B593)-1</f>
        <v/>
      </c>
      <c r="D594" s="35">
        <f>((1+C594)^12)-1</f>
        <v/>
      </c>
      <c r="E594" s="35">
        <f>(Table143454[[#This Row],[USA]]-B582)/B582</f>
        <v/>
      </c>
      <c r="F594" s="34">
        <f>VLOOKUP(Table143454[[#This Row],[Date]],'Data Core CPI'!$A:$AX,MATCH($B$2,'Data Core CPI'!$B$1:$AX$1,0),FALSE)</f>
        <v/>
      </c>
      <c r="G594" s="35">
        <f>(F594/F593)-1</f>
        <v/>
      </c>
      <c r="H594" s="35">
        <f>((1+G594)^12)-1</f>
        <v/>
      </c>
      <c r="I594" s="35">
        <f>(Table143454[[#This Row],[Core CPI]]-F582)/F582</f>
        <v/>
      </c>
    </row>
    <row r="595">
      <c r="A595" s="33">
        <f>IF(Data!A622="",#N/A,Data!A622)</f>
        <v/>
      </c>
      <c r="B595" s="34">
        <f>VLOOKUP(A595,Data!A:AX,MATCH($B$2,Data!$B$1:$AX$1,0),FALSE)</f>
        <v/>
      </c>
      <c r="C595" s="35">
        <f>(B595/B594)-1</f>
        <v/>
      </c>
      <c r="D595" s="35">
        <f>((1+C595)^12)-1</f>
        <v/>
      </c>
      <c r="E595" s="35">
        <f>(Table143454[[#This Row],[USA]]-B583)/B583</f>
        <v/>
      </c>
      <c r="F595" s="34">
        <f>VLOOKUP(Table143454[[#This Row],[Date]],'Data Core CPI'!$A:$AX,MATCH($B$2,'Data Core CPI'!$B$1:$AX$1,0),FALSE)</f>
        <v/>
      </c>
      <c r="G595" s="35">
        <f>(F595/F594)-1</f>
        <v/>
      </c>
      <c r="H595" s="35">
        <f>((1+G595)^12)-1</f>
        <v/>
      </c>
      <c r="I595" s="35">
        <f>(Table143454[[#This Row],[Core CPI]]-F583)/F583</f>
        <v/>
      </c>
    </row>
    <row r="596">
      <c r="A596" s="33">
        <f>IF(Data!A623="",#N/A,Data!A623)</f>
        <v/>
      </c>
      <c r="B596" s="34">
        <f>VLOOKUP(A596,Data!A:AX,MATCH($B$2,Data!$B$1:$AX$1,0),FALSE)</f>
        <v/>
      </c>
      <c r="C596" s="35">
        <f>(B596/B595)-1</f>
        <v/>
      </c>
      <c r="D596" s="35">
        <f>((1+C596)^12)-1</f>
        <v/>
      </c>
      <c r="E596" s="35">
        <f>(Table143454[[#This Row],[USA]]-B584)/B584</f>
        <v/>
      </c>
      <c r="F596" s="34">
        <f>VLOOKUP(Table143454[[#This Row],[Date]],'Data Core CPI'!$A:$AX,MATCH($B$2,'Data Core CPI'!$B$1:$AX$1,0),FALSE)</f>
        <v/>
      </c>
      <c r="G596" s="35">
        <f>(F596/F595)-1</f>
        <v/>
      </c>
      <c r="H596" s="35">
        <f>((1+G596)^12)-1</f>
        <v/>
      </c>
      <c r="I596" s="35">
        <f>(Table143454[[#This Row],[Core CPI]]-F584)/F584</f>
        <v/>
      </c>
    </row>
    <row r="597">
      <c r="A597" s="33">
        <f>IF(Data!A624="",#N/A,Data!A624)</f>
        <v/>
      </c>
      <c r="B597" s="34">
        <f>VLOOKUP(A597,Data!A:AX,MATCH($B$2,Data!$B$1:$AX$1,0),FALSE)</f>
        <v/>
      </c>
      <c r="C597" s="35">
        <f>(B597/B596)-1</f>
        <v/>
      </c>
      <c r="D597" s="35">
        <f>((1+C597)^12)-1</f>
        <v/>
      </c>
      <c r="E597" s="35">
        <f>(Table143454[[#This Row],[USA]]-B585)/B585</f>
        <v/>
      </c>
      <c r="F597" s="34">
        <f>VLOOKUP(Table143454[[#This Row],[Date]],'Data Core CPI'!$A:$AX,MATCH($B$2,'Data Core CPI'!$B$1:$AX$1,0),FALSE)</f>
        <v/>
      </c>
      <c r="G597" s="35">
        <f>(F597/F596)-1</f>
        <v/>
      </c>
      <c r="H597" s="35">
        <f>((1+G597)^12)-1</f>
        <v/>
      </c>
      <c r="I597" s="35">
        <f>(Table143454[[#This Row],[Core CPI]]-F585)/F585</f>
        <v/>
      </c>
    </row>
    <row r="598">
      <c r="A598" s="33">
        <f>IF(Data!A625="",#N/A,Data!A625)</f>
        <v/>
      </c>
      <c r="B598" s="34">
        <f>VLOOKUP(A598,Data!A:AX,MATCH($B$2,Data!$B$1:$AX$1,0),FALSE)</f>
        <v/>
      </c>
      <c r="C598" s="35">
        <f>(B598/B597)-1</f>
        <v/>
      </c>
      <c r="D598" s="35">
        <f>((1+C598)^12)-1</f>
        <v/>
      </c>
      <c r="E598" s="35">
        <f>(Table143454[[#This Row],[USA]]-B586)/B586</f>
        <v/>
      </c>
      <c r="F598" s="34">
        <f>VLOOKUP(Table143454[[#This Row],[Date]],'Data Core CPI'!$A:$AX,MATCH($B$2,'Data Core CPI'!$B$1:$AX$1,0),FALSE)</f>
        <v/>
      </c>
      <c r="G598" s="35">
        <f>(F598/F597)-1</f>
        <v/>
      </c>
      <c r="H598" s="35">
        <f>((1+G598)^12)-1</f>
        <v/>
      </c>
      <c r="I598" s="35">
        <f>(Table143454[[#This Row],[Core CPI]]-F586)/F586</f>
        <v/>
      </c>
    </row>
    <row r="599">
      <c r="A599" s="33">
        <f>IF(Data!A626="",#N/A,Data!A626)</f>
        <v/>
      </c>
      <c r="B599" s="34">
        <f>VLOOKUP(A599,Data!A:AX,MATCH($B$2,Data!$B$1:$AX$1,0),FALSE)</f>
        <v/>
      </c>
      <c r="C599" s="35">
        <f>(B599/B598)-1</f>
        <v/>
      </c>
      <c r="D599" s="35">
        <f>((1+C599)^12)-1</f>
        <v/>
      </c>
      <c r="E599" s="35">
        <f>(Table143454[[#This Row],[USA]]-B587)/B587</f>
        <v/>
      </c>
      <c r="F599" s="34">
        <f>VLOOKUP(Table143454[[#This Row],[Date]],'Data Core CPI'!$A:$AX,MATCH($B$2,'Data Core CPI'!$B$1:$AX$1,0),FALSE)</f>
        <v/>
      </c>
      <c r="G599" s="35">
        <f>(F599/F598)-1</f>
        <v/>
      </c>
      <c r="H599" s="35">
        <f>((1+G599)^12)-1</f>
        <v/>
      </c>
      <c r="I599" s="35">
        <f>(Table143454[[#This Row],[Core CPI]]-F587)/F587</f>
        <v/>
      </c>
    </row>
    <row r="600">
      <c r="A600" s="33">
        <f>IF(Data!A627="",#N/A,Data!A627)</f>
        <v/>
      </c>
      <c r="B600" s="34">
        <f>VLOOKUP(A600,Data!A:AX,MATCH($B$2,Data!$B$1:$AX$1,0),FALSE)</f>
        <v/>
      </c>
      <c r="C600" s="35">
        <f>(B600/B599)-1</f>
        <v/>
      </c>
      <c r="D600" s="35">
        <f>((1+C600)^12)-1</f>
        <v/>
      </c>
      <c r="E600" s="35">
        <f>(Table143454[[#This Row],[USA]]-B588)/B588</f>
        <v/>
      </c>
      <c r="F600" s="34">
        <f>VLOOKUP(Table143454[[#This Row],[Date]],'Data Core CPI'!$A:$AX,MATCH($B$2,'Data Core CPI'!$B$1:$AX$1,0),FALSE)</f>
        <v/>
      </c>
      <c r="G600" s="35">
        <f>(F600/F599)-1</f>
        <v/>
      </c>
      <c r="H600" s="35">
        <f>((1+G600)^12)-1</f>
        <v/>
      </c>
      <c r="I600" s="35">
        <f>(Table143454[[#This Row],[Core CPI]]-F588)/F588</f>
        <v/>
      </c>
    </row>
    <row r="601">
      <c r="A601" s="33">
        <f>IF(Data!A628="",#N/A,Data!A628)</f>
        <v/>
      </c>
      <c r="B601" s="34">
        <f>VLOOKUP(A601,Data!A:AX,MATCH($B$2,Data!$B$1:$AX$1,0),FALSE)</f>
        <v/>
      </c>
      <c r="C601" s="35">
        <f>(B601/B600)-1</f>
        <v/>
      </c>
      <c r="D601" s="35">
        <f>((1+C601)^12)-1</f>
        <v/>
      </c>
      <c r="E601" s="35">
        <f>(Table143454[[#This Row],[USA]]-B589)/B589</f>
        <v/>
      </c>
      <c r="F601" s="34">
        <f>VLOOKUP(Table143454[[#This Row],[Date]],'Data Core CPI'!$A:$AX,MATCH($B$2,'Data Core CPI'!$B$1:$AX$1,0),FALSE)</f>
        <v/>
      </c>
      <c r="G601" s="35">
        <f>(F601/F600)-1</f>
        <v/>
      </c>
      <c r="H601" s="35">
        <f>((1+G601)^12)-1</f>
        <v/>
      </c>
      <c r="I601" s="35">
        <f>(Table143454[[#This Row],[Core CPI]]-F589)/F589</f>
        <v/>
      </c>
    </row>
    <row r="602">
      <c r="A602" s="33">
        <f>IF(Data!A629="",#N/A,Data!A629)</f>
        <v/>
      </c>
      <c r="B602" s="34">
        <f>VLOOKUP(A602,Data!A:AX,MATCH($B$2,Data!$B$1:$AX$1,0),FALSE)</f>
        <v/>
      </c>
      <c r="C602" s="35">
        <f>(B602/B601)-1</f>
        <v/>
      </c>
      <c r="D602" s="35">
        <f>((1+C602)^12)-1</f>
        <v/>
      </c>
      <c r="E602" s="35">
        <f>(Table143454[[#This Row],[USA]]-B590)/B590</f>
        <v/>
      </c>
      <c r="F602" s="34">
        <f>VLOOKUP(Table143454[[#This Row],[Date]],'Data Core CPI'!$A:$AX,MATCH($B$2,'Data Core CPI'!$B$1:$AX$1,0),FALSE)</f>
        <v/>
      </c>
      <c r="G602" s="35">
        <f>(F602/F601)-1</f>
        <v/>
      </c>
      <c r="H602" s="35">
        <f>((1+G602)^12)-1</f>
        <v/>
      </c>
      <c r="I602" s="35">
        <f>(Table143454[[#This Row],[Core CPI]]-F590)/F590</f>
        <v/>
      </c>
    </row>
    <row r="603">
      <c r="A603" s="33">
        <f>IF(Data!A630="",#N/A,Data!A630)</f>
        <v/>
      </c>
      <c r="B603" s="34">
        <f>VLOOKUP(A603,Data!A:AX,MATCH($B$2,Data!$B$1:$AX$1,0),FALSE)</f>
        <v/>
      </c>
      <c r="C603" s="35">
        <f>(B603/B602)-1</f>
        <v/>
      </c>
      <c r="D603" s="35">
        <f>((1+C603)^12)-1</f>
        <v/>
      </c>
      <c r="E603" s="35">
        <f>(Table143454[[#This Row],[USA]]-B591)/B591</f>
        <v/>
      </c>
      <c r="F603" s="34">
        <f>VLOOKUP(Table143454[[#This Row],[Date]],'Data Core CPI'!$A:$AX,MATCH($B$2,'Data Core CPI'!$B$1:$AX$1,0),FALSE)</f>
        <v/>
      </c>
      <c r="G603" s="35">
        <f>(F603/F602)-1</f>
        <v/>
      </c>
      <c r="H603" s="35">
        <f>((1+G603)^12)-1</f>
        <v/>
      </c>
      <c r="I603" s="35">
        <f>(Table143454[[#This Row],[Core CPI]]-F591)/F591</f>
        <v/>
      </c>
    </row>
    <row r="604">
      <c r="A604" s="33">
        <f>IF(Data!A631="",#N/A,Data!A631)</f>
        <v/>
      </c>
      <c r="B604" s="34">
        <f>VLOOKUP(A604,Data!A:AX,MATCH($B$2,Data!$B$1:$AX$1,0),FALSE)</f>
        <v/>
      </c>
      <c r="C604" s="35">
        <f>(B604/B603)-1</f>
        <v/>
      </c>
      <c r="D604" s="35">
        <f>((1+C604)^12)-1</f>
        <v/>
      </c>
      <c r="E604" s="35">
        <f>(Table143454[[#This Row],[USA]]-B592)/B592</f>
        <v/>
      </c>
      <c r="F604" s="34">
        <f>VLOOKUP(Table143454[[#This Row],[Date]],'Data Core CPI'!$A:$AX,MATCH($B$2,'Data Core CPI'!$B$1:$AX$1,0),FALSE)</f>
        <v/>
      </c>
      <c r="G604" s="35">
        <f>(F604/F603)-1</f>
        <v/>
      </c>
      <c r="H604" s="35">
        <f>((1+G604)^12)-1</f>
        <v/>
      </c>
      <c r="I604" s="35">
        <f>(Table143454[[#This Row],[Core CPI]]-F592)/F592</f>
        <v/>
      </c>
    </row>
    <row r="605">
      <c r="A605" s="33">
        <f>IF(Data!A632="",#N/A,Data!A632)</f>
        <v/>
      </c>
      <c r="B605" s="34">
        <f>VLOOKUP(A605,Data!A:AX,MATCH($B$2,Data!$B$1:$AX$1,0),FALSE)</f>
        <v/>
      </c>
      <c r="C605" s="35">
        <f>(B605/B604)-1</f>
        <v/>
      </c>
      <c r="D605" s="35">
        <f>((1+C605)^12)-1</f>
        <v/>
      </c>
      <c r="E605" s="35">
        <f>(Table143454[[#This Row],[USA]]-B593)/B593</f>
        <v/>
      </c>
      <c r="F605" s="34">
        <f>VLOOKUP(Table143454[[#This Row],[Date]],'Data Core CPI'!$A:$AX,MATCH($B$2,'Data Core CPI'!$B$1:$AX$1,0),FALSE)</f>
        <v/>
      </c>
      <c r="G605" s="35">
        <f>(F605/F604)-1</f>
        <v/>
      </c>
      <c r="H605" s="35">
        <f>((1+G605)^12)-1</f>
        <v/>
      </c>
      <c r="I605" s="35">
        <f>(Table143454[[#This Row],[Core CPI]]-F593)/F593</f>
        <v/>
      </c>
    </row>
    <row r="606">
      <c r="A606" s="33">
        <f>IF(Data!A633="",#N/A,Data!A633)</f>
        <v/>
      </c>
      <c r="B606" s="34">
        <f>VLOOKUP(A606,Data!A:AX,MATCH($B$2,Data!$B$1:$AX$1,0),FALSE)</f>
        <v/>
      </c>
      <c r="C606" s="35">
        <f>(B606/B605)-1</f>
        <v/>
      </c>
      <c r="D606" s="35">
        <f>((1+C606)^12)-1</f>
        <v/>
      </c>
      <c r="E606" s="35">
        <f>(Table143454[[#This Row],[USA]]-B594)/B594</f>
        <v/>
      </c>
      <c r="F606" s="34">
        <f>VLOOKUP(Table143454[[#This Row],[Date]],'Data Core CPI'!$A:$AX,MATCH($B$2,'Data Core CPI'!$B$1:$AX$1,0),FALSE)</f>
        <v/>
      </c>
      <c r="G606" s="35">
        <f>(F606/F605)-1</f>
        <v/>
      </c>
      <c r="H606" s="35">
        <f>((1+G606)^12)-1</f>
        <v/>
      </c>
      <c r="I606" s="35">
        <f>(Table143454[[#This Row],[Core CPI]]-F594)/F594</f>
        <v/>
      </c>
    </row>
    <row r="607">
      <c r="A607" s="33">
        <f>IF(Data!A634="",#N/A,Data!A634)</f>
        <v/>
      </c>
      <c r="B607" s="34">
        <f>VLOOKUP(A607,Data!A:AX,MATCH($B$2,Data!$B$1:$AX$1,0),FALSE)</f>
        <v/>
      </c>
      <c r="C607" s="35">
        <f>(B607/B606)-1</f>
        <v/>
      </c>
      <c r="D607" s="35">
        <f>((1+C607)^12)-1</f>
        <v/>
      </c>
      <c r="E607" s="35">
        <f>(Table143454[[#This Row],[USA]]-B595)/B595</f>
        <v/>
      </c>
      <c r="F607" s="34">
        <f>VLOOKUP(Table143454[[#This Row],[Date]],'Data Core CPI'!$A:$AX,MATCH($B$2,'Data Core CPI'!$B$1:$AX$1,0),FALSE)</f>
        <v/>
      </c>
      <c r="G607" s="35">
        <f>(F607/F606)-1</f>
        <v/>
      </c>
      <c r="H607" s="35">
        <f>((1+G607)^12)-1</f>
        <v/>
      </c>
      <c r="I607" s="35">
        <f>(Table143454[[#This Row],[Core CPI]]-F595)/F595</f>
        <v/>
      </c>
    </row>
    <row r="608">
      <c r="A608" s="33">
        <f>IF(Data!A635="",#N/A,Data!A635)</f>
        <v/>
      </c>
      <c r="B608" s="34">
        <f>VLOOKUP(A608,Data!A:AX,MATCH($B$2,Data!$B$1:$AX$1,0),FALSE)</f>
        <v/>
      </c>
      <c r="C608" s="35">
        <f>(B608/B607)-1</f>
        <v/>
      </c>
      <c r="D608" s="35">
        <f>((1+C608)^12)-1</f>
        <v/>
      </c>
      <c r="E608" s="35">
        <f>(Table143454[[#This Row],[USA]]-B596)/B596</f>
        <v/>
      </c>
      <c r="F608" s="34">
        <f>VLOOKUP(Table143454[[#This Row],[Date]],'Data Core CPI'!$A:$AX,MATCH($B$2,'Data Core CPI'!$B$1:$AX$1,0),FALSE)</f>
        <v/>
      </c>
      <c r="G608" s="35">
        <f>(F608/F607)-1</f>
        <v/>
      </c>
      <c r="H608" s="35">
        <f>((1+G608)^12)-1</f>
        <v/>
      </c>
      <c r="I608" s="35">
        <f>(Table143454[[#This Row],[Core CPI]]-F596)/F596</f>
        <v/>
      </c>
    </row>
    <row r="609">
      <c r="A609" s="33">
        <f>IF(Data!A636="",#N/A,Data!A636)</f>
        <v/>
      </c>
      <c r="B609" s="34">
        <f>VLOOKUP(A609,Data!A:AX,MATCH($B$2,Data!$B$1:$AX$1,0),FALSE)</f>
        <v/>
      </c>
      <c r="C609" s="35">
        <f>(B609/B608)-1</f>
        <v/>
      </c>
      <c r="D609" s="35">
        <f>((1+C609)^12)-1</f>
        <v/>
      </c>
      <c r="E609" s="35">
        <f>(Table143454[[#This Row],[USA]]-B597)/B597</f>
        <v/>
      </c>
      <c r="F609" s="34">
        <f>VLOOKUP(Table143454[[#This Row],[Date]],'Data Core CPI'!$A:$AX,MATCH($B$2,'Data Core CPI'!$B$1:$AX$1,0),FALSE)</f>
        <v/>
      </c>
      <c r="G609" s="35">
        <f>(F609/F608)-1</f>
        <v/>
      </c>
      <c r="H609" s="35">
        <f>((1+G609)^12)-1</f>
        <v/>
      </c>
      <c r="I609" s="35">
        <f>(Table143454[[#This Row],[Core CPI]]-F597)/F597</f>
        <v/>
      </c>
    </row>
    <row r="610">
      <c r="A610" s="33">
        <f>IF(Data!A637="",#N/A,Data!A637)</f>
        <v/>
      </c>
      <c r="B610" s="34">
        <f>VLOOKUP(A610,Data!A:AX,MATCH($B$2,Data!$B$1:$AX$1,0),FALSE)</f>
        <v/>
      </c>
      <c r="C610" s="35">
        <f>(B610/B609)-1</f>
        <v/>
      </c>
      <c r="D610" s="35">
        <f>((1+C610)^12)-1</f>
        <v/>
      </c>
      <c r="E610" s="35">
        <f>(Table143454[[#This Row],[USA]]-B598)/B598</f>
        <v/>
      </c>
      <c r="F610" s="34">
        <f>VLOOKUP(Table143454[[#This Row],[Date]],'Data Core CPI'!$A:$AX,MATCH($B$2,'Data Core CPI'!$B$1:$AX$1,0),FALSE)</f>
        <v/>
      </c>
      <c r="G610" s="35">
        <f>(F610/F609)-1</f>
        <v/>
      </c>
      <c r="H610" s="35">
        <f>((1+G610)^12)-1</f>
        <v/>
      </c>
      <c r="I610" s="35">
        <f>(Table143454[[#This Row],[Core CPI]]-F598)/F598</f>
        <v/>
      </c>
    </row>
    <row r="611">
      <c r="A611" s="33">
        <f>IF(Data!A638="",#N/A,Data!A638)</f>
        <v/>
      </c>
      <c r="B611" s="34">
        <f>VLOOKUP(A611,Data!A:AX,MATCH($B$2,Data!$B$1:$AX$1,0),FALSE)</f>
        <v/>
      </c>
      <c r="C611" s="35">
        <f>(B611/B610)-1</f>
        <v/>
      </c>
      <c r="D611" s="35">
        <f>((1+C611)^12)-1</f>
        <v/>
      </c>
      <c r="E611" s="35">
        <f>(Table143454[[#This Row],[USA]]-B599)/B599</f>
        <v/>
      </c>
      <c r="F611" s="34">
        <f>VLOOKUP(Table143454[[#This Row],[Date]],'Data Core CPI'!$A:$AX,MATCH($B$2,'Data Core CPI'!$B$1:$AX$1,0),FALSE)</f>
        <v/>
      </c>
      <c r="G611" s="35">
        <f>(F611/F610)-1</f>
        <v/>
      </c>
      <c r="H611" s="35">
        <f>((1+G611)^12)-1</f>
        <v/>
      </c>
      <c r="I611" s="35">
        <f>(Table143454[[#This Row],[Core CPI]]-F599)/F599</f>
        <v/>
      </c>
    </row>
    <row r="612">
      <c r="A612" s="33">
        <f>IF(Data!A639="",#N/A,Data!A639)</f>
        <v/>
      </c>
      <c r="B612" s="34">
        <f>VLOOKUP(A612,Data!A:AX,MATCH($B$2,Data!$B$1:$AX$1,0),FALSE)</f>
        <v/>
      </c>
      <c r="C612" s="35">
        <f>(B612/B611)-1</f>
        <v/>
      </c>
      <c r="D612" s="35">
        <f>((1+C612)^12)-1</f>
        <v/>
      </c>
      <c r="E612" s="35">
        <f>(Table143454[[#This Row],[USA]]-B600)/B600</f>
        <v/>
      </c>
      <c r="F612" s="34">
        <f>VLOOKUP(Table143454[[#This Row],[Date]],'Data Core CPI'!$A:$AX,MATCH($B$2,'Data Core CPI'!$B$1:$AX$1,0),FALSE)</f>
        <v/>
      </c>
      <c r="G612" s="35">
        <f>(F612/F611)-1</f>
        <v/>
      </c>
      <c r="H612" s="35">
        <f>((1+G612)^12)-1</f>
        <v/>
      </c>
      <c r="I612" s="35">
        <f>(Table143454[[#This Row],[Core CPI]]-F600)/F600</f>
        <v/>
      </c>
    </row>
    <row r="613">
      <c r="A613" s="33">
        <f>IF(Data!A640="",#N/A,Data!A640)</f>
        <v/>
      </c>
      <c r="B613" s="34">
        <f>VLOOKUP(A613,Data!A:AX,MATCH($B$2,Data!$B$1:$AX$1,0),FALSE)</f>
        <v/>
      </c>
      <c r="C613" s="35">
        <f>(B613/B612)-1</f>
        <v/>
      </c>
      <c r="D613" s="35">
        <f>((1+C613)^12)-1</f>
        <v/>
      </c>
      <c r="E613" s="35">
        <f>(Table143454[[#This Row],[USA]]-B601)/B601</f>
        <v/>
      </c>
      <c r="F613" s="34">
        <f>VLOOKUP(Table143454[[#This Row],[Date]],'Data Core CPI'!$A:$AX,MATCH($B$2,'Data Core CPI'!$B$1:$AX$1,0),FALSE)</f>
        <v/>
      </c>
      <c r="G613" s="35">
        <f>(F613/F612)-1</f>
        <v/>
      </c>
      <c r="H613" s="35">
        <f>((1+G613)^12)-1</f>
        <v/>
      </c>
      <c r="I613" s="35">
        <f>(Table143454[[#This Row],[Core CPI]]-F601)/F601</f>
        <v/>
      </c>
    </row>
    <row r="614">
      <c r="A614" s="33">
        <f>IF(Data!A641="",#N/A,Data!A641)</f>
        <v/>
      </c>
      <c r="B614" s="34">
        <f>VLOOKUP(A614,Data!A:AX,MATCH($B$2,Data!$B$1:$AX$1,0),FALSE)</f>
        <v/>
      </c>
      <c r="C614" s="35">
        <f>(B614/B613)-1</f>
        <v/>
      </c>
      <c r="D614" s="35">
        <f>((1+C614)^12)-1</f>
        <v/>
      </c>
      <c r="E614" s="35">
        <f>(Table143454[[#This Row],[USA]]-B602)/B602</f>
        <v/>
      </c>
      <c r="F614" s="34">
        <f>VLOOKUP(Table143454[[#This Row],[Date]],'Data Core CPI'!$A:$AX,MATCH($B$2,'Data Core CPI'!$B$1:$AX$1,0),FALSE)</f>
        <v/>
      </c>
      <c r="G614" s="35">
        <f>(F614/F613)-1</f>
        <v/>
      </c>
      <c r="H614" s="35">
        <f>((1+G614)^12)-1</f>
        <v/>
      </c>
      <c r="I614" s="35">
        <f>(Table143454[[#This Row],[Core CPI]]-F602)/F602</f>
        <v/>
      </c>
    </row>
    <row r="615">
      <c r="A615" s="33">
        <f>IF(Data!A642="",#N/A,Data!A642)</f>
        <v/>
      </c>
      <c r="B615" s="34">
        <f>VLOOKUP(A615,Data!A:AX,MATCH($B$2,Data!$B$1:$AX$1,0),FALSE)</f>
        <v/>
      </c>
      <c r="C615" s="35">
        <f>(B615/B614)-1</f>
        <v/>
      </c>
      <c r="D615" s="35">
        <f>((1+C615)^12)-1</f>
        <v/>
      </c>
      <c r="E615" s="35">
        <f>(Table143454[[#This Row],[USA]]-B603)/B603</f>
        <v/>
      </c>
      <c r="F615" s="34">
        <f>VLOOKUP(Table143454[[#This Row],[Date]],'Data Core CPI'!$A:$AX,MATCH($B$2,'Data Core CPI'!$B$1:$AX$1,0),FALSE)</f>
        <v/>
      </c>
      <c r="G615" s="35">
        <f>(F615/F614)-1</f>
        <v/>
      </c>
      <c r="H615" s="35">
        <f>((1+G615)^12)-1</f>
        <v/>
      </c>
      <c r="I615" s="35">
        <f>(Table143454[[#This Row],[Core CPI]]-F603)/F603</f>
        <v/>
      </c>
    </row>
    <row r="616">
      <c r="A616" s="33">
        <f>IF(Data!A643="",#N/A,Data!A643)</f>
        <v/>
      </c>
      <c r="B616" s="34">
        <f>VLOOKUP(A616,Data!A:AX,MATCH($B$2,Data!$B$1:$AX$1,0),FALSE)</f>
        <v/>
      </c>
      <c r="C616" s="35">
        <f>(B616/B615)-1</f>
        <v/>
      </c>
      <c r="D616" s="35">
        <f>((1+C616)^12)-1</f>
        <v/>
      </c>
      <c r="E616" s="35">
        <f>(Table143454[[#This Row],[USA]]-B604)/B604</f>
        <v/>
      </c>
      <c r="F616" s="34">
        <f>VLOOKUP(Table143454[[#This Row],[Date]],'Data Core CPI'!$A:$AX,MATCH($B$2,'Data Core CPI'!$B$1:$AX$1,0),FALSE)</f>
        <v/>
      </c>
      <c r="G616" s="35">
        <f>(F616/F615)-1</f>
        <v/>
      </c>
      <c r="H616" s="35">
        <f>((1+G616)^12)-1</f>
        <v/>
      </c>
      <c r="I616" s="35">
        <f>(Table143454[[#This Row],[Core CPI]]-F604)/F604</f>
        <v/>
      </c>
    </row>
    <row r="617">
      <c r="A617" s="33">
        <f>IF(Data!A644="",#N/A,Data!A644)</f>
        <v/>
      </c>
      <c r="B617" s="34">
        <f>VLOOKUP(A617,Data!A:AX,MATCH($B$2,Data!$B$1:$AX$1,0),FALSE)</f>
        <v/>
      </c>
      <c r="C617" s="35">
        <f>(B617/B616)-1</f>
        <v/>
      </c>
      <c r="D617" s="35">
        <f>((1+C617)^12)-1</f>
        <v/>
      </c>
      <c r="E617" s="35">
        <f>(Table143454[[#This Row],[USA]]-B605)/B605</f>
        <v/>
      </c>
      <c r="F617" s="34">
        <f>VLOOKUP(Table143454[[#This Row],[Date]],'Data Core CPI'!$A:$AX,MATCH($B$2,'Data Core CPI'!$B$1:$AX$1,0),FALSE)</f>
        <v/>
      </c>
      <c r="G617" s="35">
        <f>(F617/F616)-1</f>
        <v/>
      </c>
      <c r="H617" s="35">
        <f>((1+G617)^12)-1</f>
        <v/>
      </c>
      <c r="I617" s="35">
        <f>(Table143454[[#This Row],[Core CPI]]-F605)/F605</f>
        <v/>
      </c>
    </row>
    <row r="618">
      <c r="A618" s="33">
        <f>IF(Data!A645="",#N/A,Data!A645)</f>
        <v/>
      </c>
      <c r="B618" s="34">
        <f>VLOOKUP(A618,Data!A:AX,MATCH($B$2,Data!$B$1:$AX$1,0),FALSE)</f>
        <v/>
      </c>
      <c r="C618" s="35">
        <f>(B618/B617)-1</f>
        <v/>
      </c>
      <c r="D618" s="35">
        <f>((1+C618)^12)-1</f>
        <v/>
      </c>
      <c r="E618" s="35">
        <f>(Table143454[[#This Row],[USA]]-B606)/B606</f>
        <v/>
      </c>
      <c r="F618" s="34">
        <f>VLOOKUP(Table143454[[#This Row],[Date]],'Data Core CPI'!$A:$AX,MATCH($B$2,'Data Core CPI'!$B$1:$AX$1,0),FALSE)</f>
        <v/>
      </c>
      <c r="G618" s="35">
        <f>(F618/F617)-1</f>
        <v/>
      </c>
      <c r="H618" s="35">
        <f>((1+G618)^12)-1</f>
        <v/>
      </c>
      <c r="I618" s="35">
        <f>(Table143454[[#This Row],[Core CPI]]-F606)/F606</f>
        <v/>
      </c>
    </row>
    <row r="619">
      <c r="A619" s="33">
        <f>IF(Data!A646="",#N/A,Data!A646)</f>
        <v/>
      </c>
      <c r="B619" s="34">
        <f>VLOOKUP(A619,Data!A:AX,MATCH($B$2,Data!$B$1:$AX$1,0),FALSE)</f>
        <v/>
      </c>
      <c r="C619" s="35">
        <f>(B619/B618)-1</f>
        <v/>
      </c>
      <c r="D619" s="35">
        <f>((1+C619)^12)-1</f>
        <v/>
      </c>
      <c r="E619" s="35">
        <f>(Table143454[[#This Row],[USA]]-B607)/B607</f>
        <v/>
      </c>
      <c r="F619" s="34">
        <f>VLOOKUP(Table143454[[#This Row],[Date]],'Data Core CPI'!$A:$AX,MATCH($B$2,'Data Core CPI'!$B$1:$AX$1,0),FALSE)</f>
        <v/>
      </c>
      <c r="G619" s="35">
        <f>(F619/F618)-1</f>
        <v/>
      </c>
      <c r="H619" s="35">
        <f>((1+G619)^12)-1</f>
        <v/>
      </c>
      <c r="I619" s="35">
        <f>(Table143454[[#This Row],[Core CPI]]-F607)/F607</f>
        <v/>
      </c>
    </row>
    <row r="620">
      <c r="A620" s="33">
        <f>IF(Data!A647="",#N/A,Data!A647)</f>
        <v/>
      </c>
      <c r="B620" s="34">
        <f>VLOOKUP(A620,Data!A:AX,MATCH($B$2,Data!$B$1:$AX$1,0),FALSE)</f>
        <v/>
      </c>
      <c r="C620" s="35">
        <f>(B620/B619)-1</f>
        <v/>
      </c>
      <c r="D620" s="35">
        <f>((1+C620)^12)-1</f>
        <v/>
      </c>
      <c r="E620" s="35">
        <f>(Table143454[[#This Row],[USA]]-B608)/B608</f>
        <v/>
      </c>
      <c r="F620" s="34">
        <f>VLOOKUP(Table143454[[#This Row],[Date]],'Data Core CPI'!$A:$AX,MATCH($B$2,'Data Core CPI'!$B$1:$AX$1,0),FALSE)</f>
        <v/>
      </c>
      <c r="G620" s="35">
        <f>(F620/F619)-1</f>
        <v/>
      </c>
      <c r="H620" s="35">
        <f>((1+G620)^12)-1</f>
        <v/>
      </c>
      <c r="I620" s="35">
        <f>(Table143454[[#This Row],[Core CPI]]-F608)/F608</f>
        <v/>
      </c>
    </row>
    <row r="621">
      <c r="A621" s="33">
        <f>IF(Data!A648="",#N/A,Data!A648)</f>
        <v/>
      </c>
      <c r="B621" s="34">
        <f>VLOOKUP(A621,Data!A:AX,MATCH($B$2,Data!$B$1:$AX$1,0),FALSE)</f>
        <v/>
      </c>
      <c r="C621" s="35">
        <f>(B621/B620)-1</f>
        <v/>
      </c>
      <c r="D621" s="35">
        <f>((1+C621)^12)-1</f>
        <v/>
      </c>
      <c r="E621" s="35">
        <f>(Table143454[[#This Row],[USA]]-B609)/B609</f>
        <v/>
      </c>
      <c r="F621" s="34">
        <f>VLOOKUP(Table143454[[#This Row],[Date]],'Data Core CPI'!$A:$AX,MATCH($B$2,'Data Core CPI'!$B$1:$AX$1,0),FALSE)</f>
        <v/>
      </c>
      <c r="G621" s="35">
        <f>(F621/F620)-1</f>
        <v/>
      </c>
      <c r="H621" s="35">
        <f>((1+G621)^12)-1</f>
        <v/>
      </c>
      <c r="I621" s="35">
        <f>(Table143454[[#This Row],[Core CPI]]-F609)/F609</f>
        <v/>
      </c>
    </row>
    <row r="622">
      <c r="A622" s="33">
        <f>IF(Data!A649="",#N/A,Data!A649)</f>
        <v/>
      </c>
      <c r="B622" s="34">
        <f>VLOOKUP(A622,Data!A:AX,MATCH($B$2,Data!$B$1:$AX$1,0),FALSE)</f>
        <v/>
      </c>
      <c r="C622" s="35">
        <f>(B622/B621)-1</f>
        <v/>
      </c>
      <c r="D622" s="35">
        <f>((1+C622)^12)-1</f>
        <v/>
      </c>
      <c r="E622" s="35">
        <f>(Table143454[[#This Row],[USA]]-B610)/B610</f>
        <v/>
      </c>
      <c r="F622" s="34">
        <f>VLOOKUP(Table143454[[#This Row],[Date]],'Data Core CPI'!$A:$AX,MATCH($B$2,'Data Core CPI'!$B$1:$AX$1,0),FALSE)</f>
        <v/>
      </c>
      <c r="G622" s="35">
        <f>(F622/F621)-1</f>
        <v/>
      </c>
      <c r="H622" s="35">
        <f>((1+G622)^12)-1</f>
        <v/>
      </c>
      <c r="I622" s="35">
        <f>(Table143454[[#This Row],[Core CPI]]-F610)/F610</f>
        <v/>
      </c>
    </row>
    <row r="623">
      <c r="A623" s="33">
        <f>IF(Data!A650="",#N/A,Data!A650)</f>
        <v/>
      </c>
      <c r="B623" s="34">
        <f>VLOOKUP(A623,Data!A:AX,MATCH($B$2,Data!$B$1:$AX$1,0),FALSE)</f>
        <v/>
      </c>
      <c r="C623" s="35">
        <f>(B623/B622)-1</f>
        <v/>
      </c>
      <c r="D623" s="35">
        <f>((1+C623)^12)-1</f>
        <v/>
      </c>
      <c r="E623" s="35">
        <f>(Table143454[[#This Row],[USA]]-B611)/B611</f>
        <v/>
      </c>
      <c r="F623" s="34">
        <f>VLOOKUP(Table143454[[#This Row],[Date]],'Data Core CPI'!$A:$AX,MATCH($B$2,'Data Core CPI'!$B$1:$AX$1,0),FALSE)</f>
        <v/>
      </c>
      <c r="G623" s="35">
        <f>(F623/F622)-1</f>
        <v/>
      </c>
      <c r="H623" s="35">
        <f>((1+G623)^12)-1</f>
        <v/>
      </c>
      <c r="I623" s="35">
        <f>(Table143454[[#This Row],[Core CPI]]-F611)/F611</f>
        <v/>
      </c>
    </row>
    <row r="624">
      <c r="A624" s="33">
        <f>IF(Data!A651="",#N/A,Data!A651)</f>
        <v/>
      </c>
      <c r="B624" s="34">
        <f>VLOOKUP(A624,Data!A:AX,MATCH($B$2,Data!$B$1:$AX$1,0),FALSE)</f>
        <v/>
      </c>
      <c r="C624" s="35">
        <f>(B624/B623)-1</f>
        <v/>
      </c>
      <c r="D624" s="35">
        <f>((1+C624)^12)-1</f>
        <v/>
      </c>
      <c r="E624" s="35">
        <f>(Table143454[[#This Row],[USA]]-B612)/B612</f>
        <v/>
      </c>
      <c r="F624" s="34">
        <f>VLOOKUP(Table143454[[#This Row],[Date]],'Data Core CPI'!$A:$AX,MATCH($B$2,'Data Core CPI'!$B$1:$AX$1,0),FALSE)</f>
        <v/>
      </c>
      <c r="G624" s="35">
        <f>(F624/F623)-1</f>
        <v/>
      </c>
      <c r="H624" s="35">
        <f>((1+G624)^12)-1</f>
        <v/>
      </c>
      <c r="I624" s="35">
        <f>(Table143454[[#This Row],[Core CPI]]-F612)/F612</f>
        <v/>
      </c>
    </row>
    <row r="625">
      <c r="A625" s="33">
        <f>IF(Data!A652="",#N/A,Data!A652)</f>
        <v/>
      </c>
      <c r="B625" s="34">
        <f>VLOOKUP(A625,Data!A:AX,MATCH($B$2,Data!$B$1:$AX$1,0),FALSE)</f>
        <v/>
      </c>
      <c r="C625" s="35">
        <f>(B625/B624)-1</f>
        <v/>
      </c>
      <c r="D625" s="35">
        <f>((1+C625)^12)-1</f>
        <v/>
      </c>
      <c r="E625" s="35">
        <f>(Table143454[[#This Row],[USA]]-B613)/B613</f>
        <v/>
      </c>
      <c r="F625" s="34">
        <f>VLOOKUP(Table143454[[#This Row],[Date]],'Data Core CPI'!$A:$AX,MATCH($B$2,'Data Core CPI'!$B$1:$AX$1,0),FALSE)</f>
        <v/>
      </c>
      <c r="G625" s="35">
        <f>(F625/F624)-1</f>
        <v/>
      </c>
      <c r="H625" s="35">
        <f>((1+G625)^12)-1</f>
        <v/>
      </c>
      <c r="I625" s="35">
        <f>(Table143454[[#This Row],[Core CPI]]-F613)/F613</f>
        <v/>
      </c>
    </row>
    <row r="626">
      <c r="A626" s="33">
        <f>IF(Data!A653="",#N/A,Data!A653)</f>
        <v/>
      </c>
      <c r="B626" s="34">
        <f>VLOOKUP(A626,Data!A:AX,MATCH($B$2,Data!$B$1:$AX$1,0),FALSE)</f>
        <v/>
      </c>
      <c r="C626" s="35">
        <f>(B626/B625)-1</f>
        <v/>
      </c>
      <c r="D626" s="35">
        <f>((1+C626)^12)-1</f>
        <v/>
      </c>
      <c r="E626" s="35">
        <f>(Table143454[[#This Row],[USA]]-B614)/B614</f>
        <v/>
      </c>
      <c r="F626" s="34">
        <f>VLOOKUP(Table143454[[#This Row],[Date]],'Data Core CPI'!$A:$AX,MATCH($B$2,'Data Core CPI'!$B$1:$AX$1,0),FALSE)</f>
        <v/>
      </c>
      <c r="G626" s="35">
        <f>(F626/F625)-1</f>
        <v/>
      </c>
      <c r="H626" s="35">
        <f>((1+G626)^12)-1</f>
        <v/>
      </c>
      <c r="I626" s="35">
        <f>(Table143454[[#This Row],[Core CPI]]-F614)/F614</f>
        <v/>
      </c>
    </row>
    <row r="627">
      <c r="A627" s="33">
        <f>IF(Data!A654="",#N/A,Data!A654)</f>
        <v/>
      </c>
      <c r="B627" s="34">
        <f>VLOOKUP(A627,Data!A:AX,MATCH($B$2,Data!$B$1:$AX$1,0),FALSE)</f>
        <v/>
      </c>
      <c r="C627" s="35">
        <f>(B627/B626)-1</f>
        <v/>
      </c>
      <c r="D627" s="35">
        <f>((1+C627)^12)-1</f>
        <v/>
      </c>
      <c r="E627" s="35">
        <f>(Table143454[[#This Row],[USA]]-B615)/B615</f>
        <v/>
      </c>
      <c r="F627" s="34">
        <f>VLOOKUP(Table143454[[#This Row],[Date]],'Data Core CPI'!$A:$AX,MATCH($B$2,'Data Core CPI'!$B$1:$AX$1,0),FALSE)</f>
        <v/>
      </c>
      <c r="G627" s="35">
        <f>(F627/F626)-1</f>
        <v/>
      </c>
      <c r="H627" s="35">
        <f>((1+G627)^12)-1</f>
        <v/>
      </c>
      <c r="I627" s="35">
        <f>(Table143454[[#This Row],[Core CPI]]-F615)/F615</f>
        <v/>
      </c>
    </row>
    <row r="628">
      <c r="A628" s="33">
        <f>IF(Data!A655="",#N/A,Data!A655)</f>
        <v/>
      </c>
      <c r="B628" s="34">
        <f>VLOOKUP(A628,Data!A:AX,MATCH($B$2,Data!$B$1:$AX$1,0),FALSE)</f>
        <v/>
      </c>
      <c r="C628" s="35">
        <f>(B628/B627)-1</f>
        <v/>
      </c>
      <c r="D628" s="35">
        <f>((1+C628)^12)-1</f>
        <v/>
      </c>
      <c r="E628" s="35">
        <f>(Table143454[[#This Row],[USA]]-B616)/B616</f>
        <v/>
      </c>
      <c r="F628" s="34">
        <f>VLOOKUP(Table143454[[#This Row],[Date]],'Data Core CPI'!$A:$AX,MATCH($B$2,'Data Core CPI'!$B$1:$AX$1,0),FALSE)</f>
        <v/>
      </c>
      <c r="G628" s="35">
        <f>(F628/F627)-1</f>
        <v/>
      </c>
      <c r="H628" s="35">
        <f>((1+G628)^12)-1</f>
        <v/>
      </c>
      <c r="I628" s="35">
        <f>(Table143454[[#This Row],[Core CPI]]-F616)/F616</f>
        <v/>
      </c>
    </row>
    <row r="629">
      <c r="A629" s="33">
        <f>IF(Data!A656="",#N/A,Data!A656)</f>
        <v/>
      </c>
      <c r="B629" s="34">
        <f>VLOOKUP(A629,Data!A:AX,MATCH($B$2,Data!$B$1:$AX$1,0),FALSE)</f>
        <v/>
      </c>
      <c r="C629" s="35">
        <f>(B629/B628)-1</f>
        <v/>
      </c>
      <c r="D629" s="35">
        <f>((1+C629)^12)-1</f>
        <v/>
      </c>
      <c r="E629" s="35">
        <f>(Table143454[[#This Row],[USA]]-B617)/B617</f>
        <v/>
      </c>
      <c r="F629" s="34">
        <f>VLOOKUP(Table143454[[#This Row],[Date]],'Data Core CPI'!$A:$AX,MATCH($B$2,'Data Core CPI'!$B$1:$AX$1,0),FALSE)</f>
        <v/>
      </c>
      <c r="G629" s="35">
        <f>(F629/F628)-1</f>
        <v/>
      </c>
      <c r="H629" s="35">
        <f>((1+G629)^12)-1</f>
        <v/>
      </c>
      <c r="I629" s="35">
        <f>(Table143454[[#This Row],[Core CPI]]-F617)/F617</f>
        <v/>
      </c>
    </row>
    <row r="630">
      <c r="A630" s="33">
        <f>IF(Data!A657="",#N/A,Data!A657)</f>
        <v/>
      </c>
      <c r="B630" s="34">
        <f>VLOOKUP(A630,Data!A:AX,MATCH($B$2,Data!$B$1:$AX$1,0),FALSE)</f>
        <v/>
      </c>
      <c r="C630" s="35">
        <f>(B630/B629)-1</f>
        <v/>
      </c>
      <c r="D630" s="35">
        <f>((1+C630)^12)-1</f>
        <v/>
      </c>
      <c r="E630" s="35">
        <f>(Table143454[[#This Row],[USA]]-B618)/B618</f>
        <v/>
      </c>
      <c r="F630" s="34">
        <f>VLOOKUP(Table143454[[#This Row],[Date]],'Data Core CPI'!$A:$AX,MATCH($B$2,'Data Core CPI'!$B$1:$AX$1,0),FALSE)</f>
        <v/>
      </c>
      <c r="G630" s="35">
        <f>(F630/F629)-1</f>
        <v/>
      </c>
      <c r="H630" s="35">
        <f>((1+G630)^12)-1</f>
        <v/>
      </c>
      <c r="I630" s="35">
        <f>(Table143454[[#This Row],[Core CPI]]-F618)/F618</f>
        <v/>
      </c>
    </row>
    <row r="631">
      <c r="A631" s="33">
        <f>IF(Data!A658="",#N/A,Data!A658)</f>
        <v/>
      </c>
      <c r="B631" s="34">
        <f>VLOOKUP(A631,Data!A:AX,MATCH($B$2,Data!$B$1:$AX$1,0),FALSE)</f>
        <v/>
      </c>
      <c r="C631" s="35">
        <f>(B631/B630)-1</f>
        <v/>
      </c>
      <c r="D631" s="35">
        <f>((1+C631)^12)-1</f>
        <v/>
      </c>
      <c r="E631" s="35">
        <f>(Table143454[[#This Row],[USA]]-B619)/B619</f>
        <v/>
      </c>
      <c r="F631" s="34">
        <f>VLOOKUP(Table143454[[#This Row],[Date]],'Data Core CPI'!$A:$AX,MATCH($B$2,'Data Core CPI'!$B$1:$AX$1,0),FALSE)</f>
        <v/>
      </c>
      <c r="G631" s="35">
        <f>(F631/F630)-1</f>
        <v/>
      </c>
      <c r="H631" s="35">
        <f>((1+G631)^12)-1</f>
        <v/>
      </c>
      <c r="I631" s="35">
        <f>(Table143454[[#This Row],[Core CPI]]-F619)/F619</f>
        <v/>
      </c>
    </row>
    <row r="632">
      <c r="A632" s="33">
        <f>IF(Data!A659="",#N/A,Data!A659)</f>
        <v/>
      </c>
      <c r="B632" s="34">
        <f>VLOOKUP(A632,Data!A:AX,MATCH($B$2,Data!$B$1:$AX$1,0),FALSE)</f>
        <v/>
      </c>
      <c r="C632" s="35">
        <f>(B632/B631)-1</f>
        <v/>
      </c>
      <c r="D632" s="35">
        <f>((1+C632)^12)-1</f>
        <v/>
      </c>
      <c r="E632" s="35">
        <f>(Table143454[[#This Row],[USA]]-B620)/B620</f>
        <v/>
      </c>
      <c r="F632" s="34">
        <f>VLOOKUP(Table143454[[#This Row],[Date]],'Data Core CPI'!$A:$AX,MATCH($B$2,'Data Core CPI'!$B$1:$AX$1,0),FALSE)</f>
        <v/>
      </c>
      <c r="G632" s="35">
        <f>(F632/F631)-1</f>
        <v/>
      </c>
      <c r="H632" s="35">
        <f>((1+G632)^12)-1</f>
        <v/>
      </c>
      <c r="I632" s="35">
        <f>(Table143454[[#This Row],[Core CPI]]-F620)/F620</f>
        <v/>
      </c>
    </row>
    <row r="633">
      <c r="A633" s="33">
        <f>IF(Data!A660="",#N/A,Data!A660)</f>
        <v/>
      </c>
      <c r="B633" s="34">
        <f>VLOOKUP(A633,Data!A:AX,MATCH($B$2,Data!$B$1:$AX$1,0),FALSE)</f>
        <v/>
      </c>
      <c r="C633" s="35">
        <f>(B633/B632)-1</f>
        <v/>
      </c>
      <c r="D633" s="35">
        <f>((1+C633)^12)-1</f>
        <v/>
      </c>
      <c r="E633" s="35">
        <f>(Table143454[[#This Row],[USA]]-B621)/B621</f>
        <v/>
      </c>
      <c r="F633" s="34">
        <f>VLOOKUP(Table143454[[#This Row],[Date]],'Data Core CPI'!$A:$AX,MATCH($B$2,'Data Core CPI'!$B$1:$AX$1,0),FALSE)</f>
        <v/>
      </c>
      <c r="G633" s="35">
        <f>(F633/F632)-1</f>
        <v/>
      </c>
      <c r="H633" s="35">
        <f>((1+G633)^12)-1</f>
        <v/>
      </c>
      <c r="I633" s="35">
        <f>(Table143454[[#This Row],[Core CPI]]-F621)/F621</f>
        <v/>
      </c>
    </row>
    <row r="634">
      <c r="A634" s="33">
        <f>IF(Data!A661="",#N/A,Data!A661)</f>
        <v/>
      </c>
      <c r="B634" s="34">
        <f>VLOOKUP(A634,Data!A:AX,MATCH($B$2,Data!$B$1:$AX$1,0),FALSE)</f>
        <v/>
      </c>
      <c r="C634" s="35">
        <f>(B634/B633)-1</f>
        <v/>
      </c>
      <c r="D634" s="35">
        <f>((1+C634)^12)-1</f>
        <v/>
      </c>
      <c r="E634" s="35">
        <f>(Table143454[[#This Row],[USA]]-B622)/B622</f>
        <v/>
      </c>
      <c r="F634" s="34">
        <f>VLOOKUP(Table143454[[#This Row],[Date]],'Data Core CPI'!$A:$AX,MATCH($B$2,'Data Core CPI'!$B$1:$AX$1,0),FALSE)</f>
        <v/>
      </c>
      <c r="G634" s="35">
        <f>(F634/F633)-1</f>
        <v/>
      </c>
      <c r="H634" s="35">
        <f>((1+G634)^12)-1</f>
        <v/>
      </c>
      <c r="I634" s="35">
        <f>(Table143454[[#This Row],[Core CPI]]-F622)/F622</f>
        <v/>
      </c>
    </row>
    <row r="635">
      <c r="A635" s="33">
        <f>IF(Data!A662="",#N/A,Data!A662)</f>
        <v/>
      </c>
      <c r="B635" s="34">
        <f>VLOOKUP(A635,Data!A:AX,MATCH($B$2,Data!$B$1:$AX$1,0),FALSE)</f>
        <v/>
      </c>
      <c r="C635" s="35">
        <f>(B635/B634)-1</f>
        <v/>
      </c>
      <c r="D635" s="35">
        <f>((1+C635)^12)-1</f>
        <v/>
      </c>
      <c r="E635" s="35">
        <f>(Table143454[[#This Row],[USA]]-B623)/B623</f>
        <v/>
      </c>
      <c r="F635" s="34">
        <f>VLOOKUP(Table143454[[#This Row],[Date]],'Data Core CPI'!$A:$AX,MATCH($B$2,'Data Core CPI'!$B$1:$AX$1,0),FALSE)</f>
        <v/>
      </c>
      <c r="G635" s="35">
        <f>(F635/F634)-1</f>
        <v/>
      </c>
      <c r="H635" s="35">
        <f>((1+G635)^12)-1</f>
        <v/>
      </c>
      <c r="I635" s="35">
        <f>(Table143454[[#This Row],[Core CPI]]-F623)/F623</f>
        <v/>
      </c>
    </row>
    <row r="636">
      <c r="A636" s="33">
        <f>IF(Data!A663="",#N/A,Data!A663)</f>
        <v/>
      </c>
      <c r="B636" s="34">
        <f>VLOOKUP(A636,Data!A:AX,MATCH($B$2,Data!$B$1:$AX$1,0),FALSE)</f>
        <v/>
      </c>
      <c r="C636" s="35">
        <f>(B636/B635)-1</f>
        <v/>
      </c>
      <c r="D636" s="35">
        <f>((1+C636)^12)-1</f>
        <v/>
      </c>
      <c r="E636" s="35">
        <f>(Table143454[[#This Row],[USA]]-B624)/B624</f>
        <v/>
      </c>
      <c r="F636" s="34">
        <f>VLOOKUP(Table143454[[#This Row],[Date]],'Data Core CPI'!$A:$AX,MATCH($B$2,'Data Core CPI'!$B$1:$AX$1,0),FALSE)</f>
        <v/>
      </c>
      <c r="G636" s="35">
        <f>(F636/F635)-1</f>
        <v/>
      </c>
      <c r="H636" s="35">
        <f>((1+G636)^12)-1</f>
        <v/>
      </c>
      <c r="I636" s="35">
        <f>(Table143454[[#This Row],[Core CPI]]-F624)/F624</f>
        <v/>
      </c>
    </row>
    <row r="637">
      <c r="A637" s="33">
        <f>IF(Data!A664="",#N/A,Data!A664)</f>
        <v/>
      </c>
      <c r="B637" s="34">
        <f>VLOOKUP(A637,Data!A:AX,MATCH($B$2,Data!$B$1:$AX$1,0),FALSE)</f>
        <v/>
      </c>
      <c r="C637" s="35">
        <f>(B637/B636)-1</f>
        <v/>
      </c>
      <c r="D637" s="35">
        <f>((1+C637)^12)-1</f>
        <v/>
      </c>
      <c r="E637" s="35">
        <f>(Table143454[[#This Row],[USA]]-B625)/B625</f>
        <v/>
      </c>
      <c r="F637" s="34">
        <f>VLOOKUP(Table143454[[#This Row],[Date]],'Data Core CPI'!$A:$AX,MATCH($B$2,'Data Core CPI'!$B$1:$AX$1,0),FALSE)</f>
        <v/>
      </c>
      <c r="G637" s="35">
        <f>(F637/F636)-1</f>
        <v/>
      </c>
      <c r="H637" s="35">
        <f>((1+G637)^12)-1</f>
        <v/>
      </c>
      <c r="I637" s="35">
        <f>(Table143454[[#This Row],[Core CPI]]-F625)/F625</f>
        <v/>
      </c>
    </row>
    <row r="638">
      <c r="A638" s="33">
        <f>IF(Data!A665="",#N/A,Data!A665)</f>
        <v/>
      </c>
      <c r="B638" s="34">
        <f>VLOOKUP(A638,Data!A:AX,MATCH($B$2,Data!$B$1:$AX$1,0),FALSE)</f>
        <v/>
      </c>
      <c r="C638" s="35">
        <f>(B638/B637)-1</f>
        <v/>
      </c>
      <c r="D638" s="35">
        <f>((1+C638)^12)-1</f>
        <v/>
      </c>
      <c r="E638" s="35">
        <f>(Table143454[[#This Row],[USA]]-B626)/B626</f>
        <v/>
      </c>
      <c r="F638" s="34">
        <f>VLOOKUP(Table143454[[#This Row],[Date]],'Data Core CPI'!$A:$AX,MATCH($B$2,'Data Core CPI'!$B$1:$AX$1,0),FALSE)</f>
        <v/>
      </c>
      <c r="G638" s="35">
        <f>(F638/F637)-1</f>
        <v/>
      </c>
      <c r="H638" s="35">
        <f>((1+G638)^12)-1</f>
        <v/>
      </c>
      <c r="I638" s="35">
        <f>(Table143454[[#This Row],[Core CPI]]-F626)/F626</f>
        <v/>
      </c>
    </row>
    <row r="639">
      <c r="A639" s="33">
        <f>IF(Data!A666="",#N/A,Data!A666)</f>
        <v/>
      </c>
      <c r="B639" s="34">
        <f>VLOOKUP(A639,Data!A:AX,MATCH($B$2,Data!$B$1:$AX$1,0),FALSE)</f>
        <v/>
      </c>
      <c r="C639" s="35">
        <f>(B639/B638)-1</f>
        <v/>
      </c>
      <c r="D639" s="35">
        <f>((1+C639)^12)-1</f>
        <v/>
      </c>
      <c r="E639" s="35">
        <f>(Table143454[[#This Row],[USA]]-B627)/B627</f>
        <v/>
      </c>
      <c r="F639" s="34">
        <f>VLOOKUP(Table143454[[#This Row],[Date]],'Data Core CPI'!$A:$AX,MATCH($B$2,'Data Core CPI'!$B$1:$AX$1,0),FALSE)</f>
        <v/>
      </c>
      <c r="G639" s="35">
        <f>(F639/F638)-1</f>
        <v/>
      </c>
      <c r="H639" s="35">
        <f>((1+G639)^12)-1</f>
        <v/>
      </c>
      <c r="I639" s="35">
        <f>(Table143454[[#This Row],[Core CPI]]-F627)/F627</f>
        <v/>
      </c>
    </row>
    <row r="640">
      <c r="A640" s="33">
        <f>IF(Data!A667="",#N/A,Data!A667)</f>
        <v/>
      </c>
      <c r="B640" s="34">
        <f>VLOOKUP(A640,Data!A:AX,MATCH($B$2,Data!$B$1:$AX$1,0),FALSE)</f>
        <v/>
      </c>
      <c r="C640" s="35">
        <f>(B640/B639)-1</f>
        <v/>
      </c>
      <c r="D640" s="35">
        <f>((1+C640)^12)-1</f>
        <v/>
      </c>
      <c r="E640" s="35">
        <f>(Table143454[[#This Row],[USA]]-B628)/B628</f>
        <v/>
      </c>
      <c r="F640" s="34">
        <f>VLOOKUP(Table143454[[#This Row],[Date]],'Data Core CPI'!$A:$AX,MATCH($B$2,'Data Core CPI'!$B$1:$AX$1,0),FALSE)</f>
        <v/>
      </c>
      <c r="G640" s="35">
        <f>(F640/F639)-1</f>
        <v/>
      </c>
      <c r="H640" s="35">
        <f>((1+G640)^12)-1</f>
        <v/>
      </c>
      <c r="I640" s="35">
        <f>(Table143454[[#This Row],[Core CPI]]-F628)/F628</f>
        <v/>
      </c>
    </row>
    <row r="641">
      <c r="A641" s="33">
        <f>IF(Data!A668="",#N/A,Data!A668)</f>
        <v/>
      </c>
      <c r="B641" s="34">
        <f>VLOOKUP(A641,Data!A:AX,MATCH($B$2,Data!$B$1:$AX$1,0),FALSE)</f>
        <v/>
      </c>
      <c r="C641" s="35">
        <f>(B641/B640)-1</f>
        <v/>
      </c>
      <c r="D641" s="35">
        <f>((1+C641)^12)-1</f>
        <v/>
      </c>
      <c r="E641" s="35">
        <f>(Table143454[[#This Row],[USA]]-B629)/B629</f>
        <v/>
      </c>
      <c r="F641" s="34">
        <f>VLOOKUP(Table143454[[#This Row],[Date]],'Data Core CPI'!$A:$AX,MATCH($B$2,'Data Core CPI'!$B$1:$AX$1,0),FALSE)</f>
        <v/>
      </c>
      <c r="G641" s="35">
        <f>(F641/F640)-1</f>
        <v/>
      </c>
      <c r="H641" s="35">
        <f>((1+G641)^12)-1</f>
        <v/>
      </c>
      <c r="I641" s="35">
        <f>(Table143454[[#This Row],[Core CPI]]-F629)/F629</f>
        <v/>
      </c>
    </row>
    <row r="642">
      <c r="A642" s="33">
        <f>IF(Data!A669="",#N/A,Data!A669)</f>
        <v/>
      </c>
      <c r="B642" s="34">
        <f>VLOOKUP(A642,Data!A:AX,MATCH($B$2,Data!$B$1:$AX$1,0),FALSE)</f>
        <v/>
      </c>
      <c r="C642" s="35">
        <f>(B642/B641)-1</f>
        <v/>
      </c>
      <c r="D642" s="35">
        <f>((1+C642)^12)-1</f>
        <v/>
      </c>
      <c r="E642" s="35">
        <f>(Table143454[[#This Row],[USA]]-B630)/B630</f>
        <v/>
      </c>
      <c r="F642" s="34">
        <f>VLOOKUP(Table143454[[#This Row],[Date]],'Data Core CPI'!$A:$AX,MATCH($B$2,'Data Core CPI'!$B$1:$AX$1,0),FALSE)</f>
        <v/>
      </c>
      <c r="G642" s="35">
        <f>(F642/F641)-1</f>
        <v/>
      </c>
      <c r="H642" s="35">
        <f>((1+G642)^12)-1</f>
        <v/>
      </c>
      <c r="I642" s="35">
        <f>(Table143454[[#This Row],[Core CPI]]-F630)/F630</f>
        <v/>
      </c>
    </row>
    <row r="643">
      <c r="A643" s="33">
        <f>IF(Data!A670="",#N/A,Data!A670)</f>
        <v/>
      </c>
      <c r="B643" s="34">
        <f>VLOOKUP(A643,Data!A:AX,MATCH($B$2,Data!$B$1:$AX$1,0),FALSE)</f>
        <v/>
      </c>
      <c r="C643" s="35">
        <f>(B643/B642)-1</f>
        <v/>
      </c>
      <c r="D643" s="35">
        <f>((1+C643)^12)-1</f>
        <v/>
      </c>
      <c r="E643" s="35">
        <f>(Table143454[[#This Row],[USA]]-B631)/B631</f>
        <v/>
      </c>
      <c r="F643" s="34">
        <f>VLOOKUP(Table143454[[#This Row],[Date]],'Data Core CPI'!$A:$AX,MATCH($B$2,'Data Core CPI'!$B$1:$AX$1,0),FALSE)</f>
        <v/>
      </c>
      <c r="G643" s="35">
        <f>(F643/F642)-1</f>
        <v/>
      </c>
      <c r="H643" s="35">
        <f>((1+G643)^12)-1</f>
        <v/>
      </c>
      <c r="I643" s="35">
        <f>(Table143454[[#This Row],[Core CPI]]-F631)/F631</f>
        <v/>
      </c>
    </row>
    <row r="644">
      <c r="A644" s="33">
        <f>IF(Data!A671="",#N/A,Data!A671)</f>
        <v/>
      </c>
      <c r="B644" s="34">
        <f>VLOOKUP(A644,Data!A:AX,MATCH($B$2,Data!$B$1:$AX$1,0),FALSE)</f>
        <v/>
      </c>
      <c r="C644" s="35">
        <f>(B644/B643)-1</f>
        <v/>
      </c>
      <c r="D644" s="35">
        <f>((1+C644)^12)-1</f>
        <v/>
      </c>
      <c r="E644" s="35">
        <f>(Table143454[[#This Row],[USA]]-B632)/B632</f>
        <v/>
      </c>
      <c r="F644" s="34">
        <f>VLOOKUP(Table143454[[#This Row],[Date]],'Data Core CPI'!$A:$AX,MATCH($B$2,'Data Core CPI'!$B$1:$AX$1,0),FALSE)</f>
        <v/>
      </c>
      <c r="G644" s="35">
        <f>(F644/F643)-1</f>
        <v/>
      </c>
      <c r="H644" s="35">
        <f>((1+G644)^12)-1</f>
        <v/>
      </c>
      <c r="I644" s="35">
        <f>(Table143454[[#This Row],[Core CPI]]-F632)/F632</f>
        <v/>
      </c>
    </row>
    <row r="645">
      <c r="A645" s="33">
        <f>IF(Data!A672="",#N/A,Data!A672)</f>
        <v/>
      </c>
      <c r="B645" s="34">
        <f>VLOOKUP(A645,Data!A:AX,MATCH($B$2,Data!$B$1:$AX$1,0),FALSE)</f>
        <v/>
      </c>
      <c r="C645" s="35">
        <f>(B645/B644)-1</f>
        <v/>
      </c>
      <c r="D645" s="35">
        <f>((1+C645)^12)-1</f>
        <v/>
      </c>
      <c r="E645" s="35">
        <f>(Table143454[[#This Row],[USA]]-B633)/B633</f>
        <v/>
      </c>
      <c r="F645" s="34">
        <f>VLOOKUP(Table143454[[#This Row],[Date]],'Data Core CPI'!$A:$AX,MATCH($B$2,'Data Core CPI'!$B$1:$AX$1,0),FALSE)</f>
        <v/>
      </c>
      <c r="G645" s="35">
        <f>(F645/F644)-1</f>
        <v/>
      </c>
      <c r="H645" s="35">
        <f>((1+G645)^12)-1</f>
        <v/>
      </c>
      <c r="I645" s="35">
        <f>(Table143454[[#This Row],[Core CPI]]-F633)/F633</f>
        <v/>
      </c>
    </row>
    <row r="646">
      <c r="A646" s="33">
        <f>IF(Data!A673="",#N/A,Data!A673)</f>
        <v/>
      </c>
      <c r="B646" s="34">
        <f>VLOOKUP(A646,Data!A:AX,MATCH($B$2,Data!$B$1:$AX$1,0),FALSE)</f>
        <v/>
      </c>
      <c r="C646" s="35">
        <f>(B646/B645)-1</f>
        <v/>
      </c>
      <c r="D646" s="35">
        <f>((1+C646)^12)-1</f>
        <v/>
      </c>
      <c r="E646" s="35">
        <f>(Table143454[[#This Row],[USA]]-B634)/B634</f>
        <v/>
      </c>
      <c r="F646" s="34">
        <f>VLOOKUP(Table143454[[#This Row],[Date]],'Data Core CPI'!$A:$AX,MATCH($B$2,'Data Core CPI'!$B$1:$AX$1,0),FALSE)</f>
        <v/>
      </c>
      <c r="G646" s="35">
        <f>(F646/F645)-1</f>
        <v/>
      </c>
      <c r="H646" s="35">
        <f>((1+G646)^12)-1</f>
        <v/>
      </c>
      <c r="I646" s="35">
        <f>(Table143454[[#This Row],[Core CPI]]-F634)/F634</f>
        <v/>
      </c>
    </row>
    <row r="647">
      <c r="A647" s="33">
        <f>IF(Data!A674="",#N/A,Data!A674)</f>
        <v/>
      </c>
      <c r="B647" s="34">
        <f>VLOOKUP(A647,Data!A:AX,MATCH($B$2,Data!$B$1:$AX$1,0),FALSE)</f>
        <v/>
      </c>
      <c r="C647" s="35">
        <f>(B647/B646)-1</f>
        <v/>
      </c>
      <c r="D647" s="35">
        <f>((1+C647)^12)-1</f>
        <v/>
      </c>
      <c r="E647" s="35">
        <f>(Table143454[[#This Row],[USA]]-B635)/B635</f>
        <v/>
      </c>
      <c r="F647" s="34">
        <f>VLOOKUP(Table143454[[#This Row],[Date]],'Data Core CPI'!$A:$AX,MATCH($B$2,'Data Core CPI'!$B$1:$AX$1,0),FALSE)</f>
        <v/>
      </c>
      <c r="G647" s="35">
        <f>(F647/F646)-1</f>
        <v/>
      </c>
      <c r="H647" s="35">
        <f>((1+G647)^12)-1</f>
        <v/>
      </c>
      <c r="I647" s="35">
        <f>(Table143454[[#This Row],[Core CPI]]-F635)/F635</f>
        <v/>
      </c>
    </row>
    <row r="648">
      <c r="A648" s="33">
        <f>IF(Data!A675="",#N/A,Data!A675)</f>
        <v/>
      </c>
      <c r="B648" s="34">
        <f>VLOOKUP(A648,Data!A:AX,MATCH($B$2,Data!$B$1:$AX$1,0),FALSE)</f>
        <v/>
      </c>
      <c r="C648" s="35">
        <f>(B648/B647)-1</f>
        <v/>
      </c>
      <c r="D648" s="35">
        <f>((1+C648)^12)-1</f>
        <v/>
      </c>
      <c r="E648" s="35">
        <f>(Table143454[[#This Row],[USA]]-B636)/B636</f>
        <v/>
      </c>
      <c r="F648" s="34">
        <f>VLOOKUP(Table143454[[#This Row],[Date]],'Data Core CPI'!$A:$AX,MATCH($B$2,'Data Core CPI'!$B$1:$AX$1,0),FALSE)</f>
        <v/>
      </c>
      <c r="G648" s="35">
        <f>(F648/F647)-1</f>
        <v/>
      </c>
      <c r="H648" s="35">
        <f>((1+G648)^12)-1</f>
        <v/>
      </c>
      <c r="I648" s="35">
        <f>(Table143454[[#This Row],[Core CPI]]-F636)/F636</f>
        <v/>
      </c>
    </row>
    <row r="649">
      <c r="A649" s="33">
        <f>IF(Data!A676="",#N/A,Data!A676)</f>
        <v/>
      </c>
      <c r="B649" s="34">
        <f>VLOOKUP(A649,Data!A:AX,MATCH($B$2,Data!$B$1:$AX$1,0),FALSE)</f>
        <v/>
      </c>
      <c r="C649" s="35">
        <f>(B649/B648)-1</f>
        <v/>
      </c>
      <c r="D649" s="35">
        <f>((1+C649)^12)-1</f>
        <v/>
      </c>
      <c r="E649" s="35">
        <f>(Table143454[[#This Row],[USA]]-B637)/B637</f>
        <v/>
      </c>
      <c r="F649" s="34">
        <f>VLOOKUP(Table143454[[#This Row],[Date]],'Data Core CPI'!$A:$AX,MATCH($B$2,'Data Core CPI'!$B$1:$AX$1,0),FALSE)</f>
        <v/>
      </c>
      <c r="G649" s="35">
        <f>(F649/F648)-1</f>
        <v/>
      </c>
      <c r="H649" s="35">
        <f>((1+G649)^12)-1</f>
        <v/>
      </c>
      <c r="I649" s="35">
        <f>(Table143454[[#This Row],[Core CPI]]-F637)/F637</f>
        <v/>
      </c>
    </row>
    <row r="650">
      <c r="A650" s="33">
        <f>IF(Data!A677="",#N/A,Data!A677)</f>
        <v/>
      </c>
      <c r="B650" s="34">
        <f>VLOOKUP(A650,Data!A:AX,MATCH($B$2,Data!$B$1:$AX$1,0),FALSE)</f>
        <v/>
      </c>
      <c r="C650" s="35">
        <f>(B650/B649)-1</f>
        <v/>
      </c>
      <c r="D650" s="35">
        <f>((1+C650)^12)-1</f>
        <v/>
      </c>
      <c r="E650" s="35">
        <f>(Table143454[[#This Row],[USA]]-B638)/B638</f>
        <v/>
      </c>
      <c r="F650" s="34">
        <f>VLOOKUP(Table143454[[#This Row],[Date]],'Data Core CPI'!$A:$AX,MATCH($B$2,'Data Core CPI'!$B$1:$AX$1,0),FALSE)</f>
        <v/>
      </c>
      <c r="G650" s="35">
        <f>(F650/F649)-1</f>
        <v/>
      </c>
      <c r="H650" s="35">
        <f>((1+G650)^12)-1</f>
        <v/>
      </c>
      <c r="I650" s="35">
        <f>(Table143454[[#This Row],[Core CPI]]-F638)/F638</f>
        <v/>
      </c>
    </row>
    <row r="651">
      <c r="A651" s="33">
        <f>IF(Data!A678="",#N/A,Data!A678)</f>
        <v/>
      </c>
      <c r="B651" s="34">
        <f>VLOOKUP(A651,Data!A:AX,MATCH($B$2,Data!$B$1:$AX$1,0),FALSE)</f>
        <v/>
      </c>
      <c r="C651" s="35">
        <f>(B651/B650)-1</f>
        <v/>
      </c>
      <c r="D651" s="35">
        <f>((1+C651)^12)-1</f>
        <v/>
      </c>
      <c r="E651" s="35">
        <f>(Table143454[[#This Row],[USA]]-B639)/B639</f>
        <v/>
      </c>
      <c r="F651" s="34">
        <f>VLOOKUP(Table143454[[#This Row],[Date]],'Data Core CPI'!$A:$AX,MATCH($B$2,'Data Core CPI'!$B$1:$AX$1,0),FALSE)</f>
        <v/>
      </c>
      <c r="G651" s="35">
        <f>(F651/F650)-1</f>
        <v/>
      </c>
      <c r="H651" s="35">
        <f>((1+G651)^12)-1</f>
        <v/>
      </c>
      <c r="I651" s="35">
        <f>(Table143454[[#This Row],[Core CPI]]-F639)/F639</f>
        <v/>
      </c>
    </row>
    <row r="652">
      <c r="A652" s="33">
        <f>IF(Data!A679="",#N/A,Data!A679)</f>
        <v/>
      </c>
      <c r="B652" s="34">
        <f>VLOOKUP(A652,Data!A:AX,MATCH($B$2,Data!$B$1:$AX$1,0),FALSE)</f>
        <v/>
      </c>
      <c r="C652" s="35">
        <f>(B652/B651)-1</f>
        <v/>
      </c>
      <c r="D652" s="35">
        <f>((1+C652)^12)-1</f>
        <v/>
      </c>
      <c r="E652" s="35">
        <f>(Table143454[[#This Row],[USA]]-B640)/B640</f>
        <v/>
      </c>
      <c r="F652" s="34">
        <f>VLOOKUP(Table143454[[#This Row],[Date]],'Data Core CPI'!$A:$AX,MATCH($B$2,'Data Core CPI'!$B$1:$AX$1,0),FALSE)</f>
        <v/>
      </c>
      <c r="G652" s="35">
        <f>(F652/F651)-1</f>
        <v/>
      </c>
      <c r="H652" s="35">
        <f>((1+G652)^12)-1</f>
        <v/>
      </c>
      <c r="I652" s="35">
        <f>(Table143454[[#This Row],[Core CPI]]-F640)/F640</f>
        <v/>
      </c>
    </row>
    <row r="653">
      <c r="A653" s="33">
        <f>IF(Data!A680="",#N/A,Data!A680)</f>
        <v/>
      </c>
      <c r="B653" s="34">
        <f>VLOOKUP(A653,Data!A:AX,MATCH($B$2,Data!$B$1:$AX$1,0),FALSE)</f>
        <v/>
      </c>
      <c r="C653" s="35">
        <f>(B653/B652)-1</f>
        <v/>
      </c>
      <c r="D653" s="35">
        <f>((1+C653)^12)-1</f>
        <v/>
      </c>
      <c r="E653" s="35">
        <f>(Table143454[[#This Row],[USA]]-B641)/B641</f>
        <v/>
      </c>
      <c r="F653" s="34">
        <f>VLOOKUP(Table143454[[#This Row],[Date]],'Data Core CPI'!$A:$AX,MATCH($B$2,'Data Core CPI'!$B$1:$AX$1,0),FALSE)</f>
        <v/>
      </c>
      <c r="G653" s="35">
        <f>(F653/F652)-1</f>
        <v/>
      </c>
      <c r="H653" s="35">
        <f>((1+G653)^12)-1</f>
        <v/>
      </c>
      <c r="I653" s="35">
        <f>(Table143454[[#This Row],[Core CPI]]-F641)/F641</f>
        <v/>
      </c>
    </row>
    <row r="654">
      <c r="A654" s="33">
        <f>IF(Data!A681="",#N/A,Data!A681)</f>
        <v/>
      </c>
      <c r="B654" s="34">
        <f>VLOOKUP(A654,Data!A:AX,MATCH($B$2,Data!$B$1:$AX$1,0),FALSE)</f>
        <v/>
      </c>
      <c r="C654" s="35">
        <f>(B654/B653)-1</f>
        <v/>
      </c>
      <c r="D654" s="35">
        <f>((1+C654)^12)-1</f>
        <v/>
      </c>
      <c r="E654" s="35">
        <f>(Table143454[[#This Row],[USA]]-B642)/B642</f>
        <v/>
      </c>
      <c r="F654" s="34">
        <f>VLOOKUP(Table143454[[#This Row],[Date]],'Data Core CPI'!$A:$AX,MATCH($B$2,'Data Core CPI'!$B$1:$AX$1,0),FALSE)</f>
        <v/>
      </c>
      <c r="G654" s="35">
        <f>(F654/F653)-1</f>
        <v/>
      </c>
      <c r="H654" s="35">
        <f>((1+G654)^12)-1</f>
        <v/>
      </c>
      <c r="I654" s="35">
        <f>(Table143454[[#This Row],[Core CPI]]-F642)/F642</f>
        <v/>
      </c>
    </row>
    <row r="655">
      <c r="A655" s="33">
        <f>IF(Data!A682="",#N/A,Data!A682)</f>
        <v/>
      </c>
      <c r="B655" s="34">
        <f>VLOOKUP(A655,Data!A:AX,MATCH($B$2,Data!$B$1:$AX$1,0),FALSE)</f>
        <v/>
      </c>
      <c r="C655" s="35">
        <f>(B655/B654)-1</f>
        <v/>
      </c>
      <c r="D655" s="35">
        <f>((1+C655)^12)-1</f>
        <v/>
      </c>
      <c r="E655" s="35">
        <f>(Table143454[[#This Row],[USA]]-B643)/B643</f>
        <v/>
      </c>
      <c r="F655" s="34">
        <f>VLOOKUP(Table143454[[#This Row],[Date]],'Data Core CPI'!$A:$AX,MATCH($B$2,'Data Core CPI'!$B$1:$AX$1,0),FALSE)</f>
        <v/>
      </c>
      <c r="G655" s="35">
        <f>(F655/F654)-1</f>
        <v/>
      </c>
      <c r="H655" s="35">
        <f>((1+G655)^12)-1</f>
        <v/>
      </c>
      <c r="I655" s="35">
        <f>(Table143454[[#This Row],[Core CPI]]-F643)/F643</f>
        <v/>
      </c>
    </row>
    <row r="656">
      <c r="A656" s="33">
        <f>IF(Data!A683="",#N/A,Data!A683)</f>
        <v/>
      </c>
      <c r="B656" s="34">
        <f>VLOOKUP(A656,Data!A:AX,MATCH($B$2,Data!$B$1:$AX$1,0),FALSE)</f>
        <v/>
      </c>
      <c r="C656" s="35">
        <f>(B656/B655)-1</f>
        <v/>
      </c>
      <c r="D656" s="35">
        <f>((1+C656)^12)-1</f>
        <v/>
      </c>
      <c r="E656" s="35">
        <f>(Table143454[[#This Row],[USA]]-B644)/B644</f>
        <v/>
      </c>
      <c r="F656" s="34">
        <f>VLOOKUP(Table143454[[#This Row],[Date]],'Data Core CPI'!$A:$AX,MATCH($B$2,'Data Core CPI'!$B$1:$AX$1,0),FALSE)</f>
        <v/>
      </c>
      <c r="G656" s="35">
        <f>(F656/F655)-1</f>
        <v/>
      </c>
      <c r="H656" s="35">
        <f>((1+G656)^12)-1</f>
        <v/>
      </c>
      <c r="I656" s="35">
        <f>(Table143454[[#This Row],[Core CPI]]-F644)/F644</f>
        <v/>
      </c>
    </row>
    <row r="657">
      <c r="A657" s="33">
        <f>IF(Data!A684="",#N/A,Data!A684)</f>
        <v/>
      </c>
      <c r="B657" s="34">
        <f>VLOOKUP(A657,Data!A:AX,MATCH($B$2,Data!$B$1:$AX$1,0),FALSE)</f>
        <v/>
      </c>
      <c r="C657" s="35">
        <f>(B657/B656)-1</f>
        <v/>
      </c>
      <c r="D657" s="35">
        <f>((1+C657)^12)-1</f>
        <v/>
      </c>
      <c r="E657" s="35">
        <f>(Table143454[[#This Row],[USA]]-B645)/B645</f>
        <v/>
      </c>
      <c r="F657" s="34">
        <f>VLOOKUP(Table143454[[#This Row],[Date]],'Data Core CPI'!$A:$AX,MATCH($B$2,'Data Core CPI'!$B$1:$AX$1,0),FALSE)</f>
        <v/>
      </c>
      <c r="G657" s="35">
        <f>(F657/F656)-1</f>
        <v/>
      </c>
      <c r="H657" s="35">
        <f>((1+G657)^12)-1</f>
        <v/>
      </c>
      <c r="I657" s="35">
        <f>(Table143454[[#This Row],[Core CPI]]-F645)/F645</f>
        <v/>
      </c>
    </row>
    <row r="658">
      <c r="A658" s="33">
        <f>IF(Data!A685="",#N/A,Data!A685)</f>
        <v/>
      </c>
      <c r="B658" s="34">
        <f>VLOOKUP(A658,Data!A:AX,MATCH($B$2,Data!$B$1:$AX$1,0),FALSE)</f>
        <v/>
      </c>
      <c r="C658" s="35">
        <f>(B658/B657)-1</f>
        <v/>
      </c>
      <c r="D658" s="35">
        <f>((1+C658)^12)-1</f>
        <v/>
      </c>
      <c r="E658" s="35">
        <f>(Table143454[[#This Row],[USA]]-B646)/B646</f>
        <v/>
      </c>
      <c r="F658" s="34">
        <f>VLOOKUP(Table143454[[#This Row],[Date]],'Data Core CPI'!$A:$AX,MATCH($B$2,'Data Core CPI'!$B$1:$AX$1,0),FALSE)</f>
        <v/>
      </c>
      <c r="G658" s="35">
        <f>(F658/F657)-1</f>
        <v/>
      </c>
      <c r="H658" s="35">
        <f>((1+G658)^12)-1</f>
        <v/>
      </c>
      <c r="I658" s="35">
        <f>(Table143454[[#This Row],[Core CPI]]-F646)/F646</f>
        <v/>
      </c>
    </row>
    <row r="659">
      <c r="A659" s="33">
        <f>IF(Data!A686="",#N/A,Data!A686)</f>
        <v/>
      </c>
      <c r="B659" s="34">
        <f>VLOOKUP(A659,Data!A:AX,MATCH($B$2,Data!$B$1:$AX$1,0),FALSE)</f>
        <v/>
      </c>
      <c r="C659" s="35">
        <f>(B659/B658)-1</f>
        <v/>
      </c>
      <c r="D659" s="35">
        <f>((1+C659)^12)-1</f>
        <v/>
      </c>
      <c r="E659" s="35">
        <f>(Table143454[[#This Row],[USA]]-B647)/B647</f>
        <v/>
      </c>
      <c r="F659" s="34">
        <f>VLOOKUP(Table143454[[#This Row],[Date]],'Data Core CPI'!$A:$AX,MATCH($B$2,'Data Core CPI'!$B$1:$AX$1,0),FALSE)</f>
        <v/>
      </c>
      <c r="G659" s="35">
        <f>(F659/F658)-1</f>
        <v/>
      </c>
      <c r="H659" s="35">
        <f>((1+G659)^12)-1</f>
        <v/>
      </c>
      <c r="I659" s="35">
        <f>(Table143454[[#This Row],[Core CPI]]-F647)/F647</f>
        <v/>
      </c>
    </row>
    <row r="660">
      <c r="A660" s="33">
        <f>IF(Data!A687="",#N/A,Data!A687)</f>
        <v/>
      </c>
      <c r="B660" s="34">
        <f>VLOOKUP(A660,Data!A:AX,MATCH($B$2,Data!$B$1:$AX$1,0),FALSE)</f>
        <v/>
      </c>
      <c r="C660" s="35">
        <f>(B660/B659)-1</f>
        <v/>
      </c>
      <c r="D660" s="35">
        <f>((1+C660)^12)-1</f>
        <v/>
      </c>
      <c r="E660" s="35">
        <f>(Table143454[[#This Row],[USA]]-B648)/B648</f>
        <v/>
      </c>
      <c r="F660" s="34">
        <f>VLOOKUP(Table143454[[#This Row],[Date]],'Data Core CPI'!$A:$AX,MATCH($B$2,'Data Core CPI'!$B$1:$AX$1,0),FALSE)</f>
        <v/>
      </c>
      <c r="G660" s="35">
        <f>(F660/F659)-1</f>
        <v/>
      </c>
      <c r="H660" s="35">
        <f>((1+G660)^12)-1</f>
        <v/>
      </c>
      <c r="I660" s="35">
        <f>(Table143454[[#This Row],[Core CPI]]-F648)/F648</f>
        <v/>
      </c>
    </row>
    <row r="661">
      <c r="A661" s="33">
        <f>IF(Data!A688="",#N/A,Data!A688)</f>
        <v/>
      </c>
      <c r="B661" s="34">
        <f>VLOOKUP(A661,Data!A:AX,MATCH($B$2,Data!$B$1:$AX$1,0),FALSE)</f>
        <v/>
      </c>
      <c r="C661" s="35">
        <f>(B661/B660)-1</f>
        <v/>
      </c>
      <c r="D661" s="35">
        <f>((1+C661)^12)-1</f>
        <v/>
      </c>
      <c r="E661" s="35">
        <f>(Table143454[[#This Row],[USA]]-B649)/B649</f>
        <v/>
      </c>
      <c r="F661" s="34">
        <f>VLOOKUP(Table143454[[#This Row],[Date]],'Data Core CPI'!$A:$AX,MATCH($B$2,'Data Core CPI'!$B$1:$AX$1,0),FALSE)</f>
        <v/>
      </c>
      <c r="G661" s="35">
        <f>(F661/F660)-1</f>
        <v/>
      </c>
      <c r="H661" s="35">
        <f>((1+G661)^12)-1</f>
        <v/>
      </c>
      <c r="I661" s="35">
        <f>(Table143454[[#This Row],[Core CPI]]-F649)/F649</f>
        <v/>
      </c>
    </row>
    <row r="662">
      <c r="A662" s="33">
        <f>IF(Data!A689="",#N/A,Data!A689)</f>
        <v/>
      </c>
      <c r="B662" s="34">
        <f>VLOOKUP(A662,Data!A:AX,MATCH($B$2,Data!$B$1:$AX$1,0),FALSE)</f>
        <v/>
      </c>
      <c r="C662" s="35">
        <f>(B662/B661)-1</f>
        <v/>
      </c>
      <c r="D662" s="35">
        <f>((1+C662)^12)-1</f>
        <v/>
      </c>
      <c r="E662" s="35">
        <f>(Table143454[[#This Row],[USA]]-B650)/B650</f>
        <v/>
      </c>
      <c r="F662" s="34">
        <f>VLOOKUP(Table143454[[#This Row],[Date]],'Data Core CPI'!$A:$AX,MATCH($B$2,'Data Core CPI'!$B$1:$AX$1,0),FALSE)</f>
        <v/>
      </c>
      <c r="G662" s="35">
        <f>(F662/F661)-1</f>
        <v/>
      </c>
      <c r="H662" s="35">
        <f>((1+G662)^12)-1</f>
        <v/>
      </c>
      <c r="I662" s="35">
        <f>(Table143454[[#This Row],[Core CPI]]-F650)/F650</f>
        <v/>
      </c>
    </row>
    <row r="663">
      <c r="A663" s="33">
        <f>IF(Data!A690="",#N/A,Data!A690)</f>
        <v/>
      </c>
      <c r="B663" s="34">
        <f>VLOOKUP(A663,Data!A:AX,MATCH($B$2,Data!$B$1:$AX$1,0),FALSE)</f>
        <v/>
      </c>
      <c r="C663" s="35">
        <f>(B663/B662)-1</f>
        <v/>
      </c>
      <c r="D663" s="35">
        <f>((1+C663)^12)-1</f>
        <v/>
      </c>
      <c r="E663" s="35">
        <f>(Table143454[[#This Row],[USA]]-B651)/B651</f>
        <v/>
      </c>
      <c r="F663" s="34">
        <f>VLOOKUP(Table143454[[#This Row],[Date]],'Data Core CPI'!$A:$AX,MATCH($B$2,'Data Core CPI'!$B$1:$AX$1,0),FALSE)</f>
        <v/>
      </c>
      <c r="G663" s="35">
        <f>(F663/F662)-1</f>
        <v/>
      </c>
      <c r="H663" s="35">
        <f>((1+G663)^12)-1</f>
        <v/>
      </c>
      <c r="I663" s="35">
        <f>(Table143454[[#This Row],[Core CPI]]-F651)/F651</f>
        <v/>
      </c>
    </row>
    <row r="664">
      <c r="A664" s="33">
        <f>IF(Data!A691="",#N/A,Data!A691)</f>
        <v/>
      </c>
      <c r="B664" s="34">
        <f>VLOOKUP(A664,Data!A:AX,MATCH($B$2,Data!$B$1:$AX$1,0),FALSE)</f>
        <v/>
      </c>
      <c r="C664" s="35">
        <f>(B664/B663)-1</f>
        <v/>
      </c>
      <c r="D664" s="35">
        <f>((1+C664)^12)-1</f>
        <v/>
      </c>
      <c r="E664" s="35">
        <f>(Table143454[[#This Row],[USA]]-B652)/B652</f>
        <v/>
      </c>
      <c r="F664" s="34">
        <f>VLOOKUP(Table143454[[#This Row],[Date]],'Data Core CPI'!$A:$AX,MATCH($B$2,'Data Core CPI'!$B$1:$AX$1,0),FALSE)</f>
        <v/>
      </c>
      <c r="G664" s="35">
        <f>(F664/F663)-1</f>
        <v/>
      </c>
      <c r="H664" s="35">
        <f>((1+G664)^12)-1</f>
        <v/>
      </c>
      <c r="I664" s="35">
        <f>(Table143454[[#This Row],[Core CPI]]-F652)/F652</f>
        <v/>
      </c>
    </row>
    <row r="665">
      <c r="A665" s="33">
        <f>IF(Data!A692="",#N/A,Data!A692)</f>
        <v/>
      </c>
      <c r="B665" s="34">
        <f>VLOOKUP(A665,Data!A:AX,MATCH($B$2,Data!$B$1:$AX$1,0),FALSE)</f>
        <v/>
      </c>
      <c r="C665" s="35">
        <f>(B665/B664)-1</f>
        <v/>
      </c>
      <c r="D665" s="35">
        <f>((1+C665)^12)-1</f>
        <v/>
      </c>
      <c r="E665" s="35">
        <f>(Table143454[[#This Row],[USA]]-B653)/B653</f>
        <v/>
      </c>
      <c r="F665" s="34">
        <f>VLOOKUP(Table143454[[#This Row],[Date]],'Data Core CPI'!$A:$AX,MATCH($B$2,'Data Core CPI'!$B$1:$AX$1,0),FALSE)</f>
        <v/>
      </c>
      <c r="G665" s="35">
        <f>(F665/F664)-1</f>
        <v/>
      </c>
      <c r="H665" s="35">
        <f>((1+G665)^12)-1</f>
        <v/>
      </c>
      <c r="I665" s="35">
        <f>(Table143454[[#This Row],[Core CPI]]-F653)/F653</f>
        <v/>
      </c>
    </row>
    <row r="666">
      <c r="A666" s="33">
        <f>IF(Data!A693="",#N/A,Data!A693)</f>
        <v/>
      </c>
      <c r="B666" s="34">
        <f>VLOOKUP(A666,Data!A:AX,MATCH($B$2,Data!$B$1:$AX$1,0),FALSE)</f>
        <v/>
      </c>
      <c r="C666" s="35">
        <f>(B666/B665)-1</f>
        <v/>
      </c>
      <c r="D666" s="35">
        <f>((1+C666)^12)-1</f>
        <v/>
      </c>
      <c r="E666" s="35">
        <f>(Table143454[[#This Row],[USA]]-B654)/B654</f>
        <v/>
      </c>
      <c r="F666" s="34">
        <f>VLOOKUP(Table143454[[#This Row],[Date]],'Data Core CPI'!$A:$AX,MATCH($B$2,'Data Core CPI'!$B$1:$AX$1,0),FALSE)</f>
        <v/>
      </c>
      <c r="G666" s="35">
        <f>(F666/F665)-1</f>
        <v/>
      </c>
      <c r="H666" s="35">
        <f>((1+G666)^12)-1</f>
        <v/>
      </c>
      <c r="I666" s="35">
        <f>(Table143454[[#This Row],[Core CPI]]-F654)/F654</f>
        <v/>
      </c>
    </row>
    <row r="667">
      <c r="A667" s="33">
        <f>IF(Data!A694="",#N/A,Data!A694)</f>
        <v/>
      </c>
      <c r="B667" s="34">
        <f>VLOOKUP(A667,Data!A:AX,MATCH($B$2,Data!$B$1:$AX$1,0),FALSE)</f>
        <v/>
      </c>
      <c r="C667" s="35">
        <f>(B667/B666)-1</f>
        <v/>
      </c>
      <c r="D667" s="35">
        <f>((1+C667)^12)-1</f>
        <v/>
      </c>
      <c r="E667" s="35">
        <f>(Table143454[[#This Row],[USA]]-B655)/B655</f>
        <v/>
      </c>
      <c r="F667" s="34">
        <f>VLOOKUP(Table143454[[#This Row],[Date]],'Data Core CPI'!$A:$AX,MATCH($B$2,'Data Core CPI'!$B$1:$AX$1,0),FALSE)</f>
        <v/>
      </c>
      <c r="G667" s="35">
        <f>(F667/F666)-1</f>
        <v/>
      </c>
      <c r="H667" s="35">
        <f>((1+G667)^12)-1</f>
        <v/>
      </c>
      <c r="I667" s="35">
        <f>(Table143454[[#This Row],[Core CPI]]-F655)/F655</f>
        <v/>
      </c>
    </row>
    <row r="668">
      <c r="A668" s="33">
        <f>IF(Data!A695="",#N/A,Data!A695)</f>
        <v/>
      </c>
      <c r="B668" s="34">
        <f>VLOOKUP(A668,Data!A:AX,MATCH($B$2,Data!$B$1:$AX$1,0),FALSE)</f>
        <v/>
      </c>
      <c r="C668" s="35">
        <f>(B668/B667)-1</f>
        <v/>
      </c>
      <c r="D668" s="35">
        <f>((1+C668)^12)-1</f>
        <v/>
      </c>
      <c r="E668" s="35">
        <f>(Table143454[[#This Row],[USA]]-B656)/B656</f>
        <v/>
      </c>
      <c r="F668" s="34">
        <f>VLOOKUP(Table143454[[#This Row],[Date]],'Data Core CPI'!$A:$AX,MATCH($B$2,'Data Core CPI'!$B$1:$AX$1,0),FALSE)</f>
        <v/>
      </c>
      <c r="G668" s="35">
        <f>(F668/F667)-1</f>
        <v/>
      </c>
      <c r="H668" s="35">
        <f>((1+G668)^12)-1</f>
        <v/>
      </c>
      <c r="I668" s="35">
        <f>(Table143454[[#This Row],[Core CPI]]-F656)/F656</f>
        <v/>
      </c>
    </row>
    <row r="669">
      <c r="A669" s="33">
        <f>IF(Data!A696="",#N/A,Data!A696)</f>
        <v/>
      </c>
      <c r="B669" s="34">
        <f>VLOOKUP(A669,Data!A:AX,MATCH($B$2,Data!$B$1:$AX$1,0),FALSE)</f>
        <v/>
      </c>
      <c r="C669" s="35">
        <f>(B669/B668)-1</f>
        <v/>
      </c>
      <c r="D669" s="35">
        <f>((1+C669)^12)-1</f>
        <v/>
      </c>
      <c r="E669" s="35">
        <f>(Table143454[[#This Row],[USA]]-B657)/B657</f>
        <v/>
      </c>
      <c r="F669" s="34">
        <f>VLOOKUP(Table143454[[#This Row],[Date]],'Data Core CPI'!$A:$AX,MATCH($B$2,'Data Core CPI'!$B$1:$AX$1,0),FALSE)</f>
        <v/>
      </c>
      <c r="G669" s="35">
        <f>(F669/F668)-1</f>
        <v/>
      </c>
      <c r="H669" s="35">
        <f>((1+G669)^12)-1</f>
        <v/>
      </c>
      <c r="I669" s="35">
        <f>(Table143454[[#This Row],[Core CPI]]-F657)/F657</f>
        <v/>
      </c>
    </row>
    <row r="670">
      <c r="A670" s="33">
        <f>IF(Data!A697="",#N/A,Data!A697)</f>
        <v/>
      </c>
      <c r="B670" s="34">
        <f>VLOOKUP(A670,Data!A:AX,MATCH($B$2,Data!$B$1:$AX$1,0),FALSE)</f>
        <v/>
      </c>
      <c r="C670" s="35">
        <f>(B670/B669)-1</f>
        <v/>
      </c>
      <c r="D670" s="35">
        <f>((1+C670)^12)-1</f>
        <v/>
      </c>
      <c r="E670" s="35">
        <f>(Table143454[[#This Row],[USA]]-B658)/B658</f>
        <v/>
      </c>
      <c r="F670" s="34">
        <f>VLOOKUP(Table143454[[#This Row],[Date]],'Data Core CPI'!$A:$AX,MATCH($B$2,'Data Core CPI'!$B$1:$AX$1,0),FALSE)</f>
        <v/>
      </c>
      <c r="G670" s="35">
        <f>(F670/F669)-1</f>
        <v/>
      </c>
      <c r="H670" s="35">
        <f>((1+G670)^12)-1</f>
        <v/>
      </c>
      <c r="I670" s="35">
        <f>(Table143454[[#This Row],[Core CPI]]-F658)/F658</f>
        <v/>
      </c>
    </row>
    <row r="671">
      <c r="A671" s="33">
        <f>IF(Data!A698="",#N/A,Data!A698)</f>
        <v/>
      </c>
      <c r="B671" s="34">
        <f>VLOOKUP(A671,Data!A:AX,MATCH($B$2,Data!$B$1:$AX$1,0),FALSE)</f>
        <v/>
      </c>
      <c r="C671" s="35">
        <f>(B671/B670)-1</f>
        <v/>
      </c>
      <c r="D671" s="35">
        <f>((1+C671)^12)-1</f>
        <v/>
      </c>
      <c r="E671" s="35">
        <f>(Table143454[[#This Row],[USA]]-B659)/B659</f>
        <v/>
      </c>
      <c r="F671" s="34">
        <f>VLOOKUP(Table143454[[#This Row],[Date]],'Data Core CPI'!$A:$AX,MATCH($B$2,'Data Core CPI'!$B$1:$AX$1,0),FALSE)</f>
        <v/>
      </c>
      <c r="G671" s="35">
        <f>(F671/F670)-1</f>
        <v/>
      </c>
      <c r="H671" s="35">
        <f>((1+G671)^12)-1</f>
        <v/>
      </c>
      <c r="I671" s="35">
        <f>(Table143454[[#This Row],[Core CPI]]-F659)/F659</f>
        <v/>
      </c>
    </row>
    <row r="672">
      <c r="A672" s="33">
        <f>IF(Data!A699="",#N/A,Data!A699)</f>
        <v/>
      </c>
      <c r="B672" s="34">
        <f>VLOOKUP(A672,Data!A:AX,MATCH($B$2,Data!$B$1:$AX$1,0),FALSE)</f>
        <v/>
      </c>
      <c r="C672" s="35">
        <f>(B672/B671)-1</f>
        <v/>
      </c>
      <c r="D672" s="35">
        <f>((1+C672)^12)-1</f>
        <v/>
      </c>
      <c r="E672" s="35">
        <f>(Table143454[[#This Row],[USA]]-B660)/B660</f>
        <v/>
      </c>
      <c r="F672" s="34">
        <f>VLOOKUP(Table143454[[#This Row],[Date]],'Data Core CPI'!$A:$AX,MATCH($B$2,'Data Core CPI'!$B$1:$AX$1,0),FALSE)</f>
        <v/>
      </c>
      <c r="G672" s="35">
        <f>(F672/F671)-1</f>
        <v/>
      </c>
      <c r="H672" s="35">
        <f>((1+G672)^12)-1</f>
        <v/>
      </c>
      <c r="I672" s="35">
        <f>(Table143454[[#This Row],[Core CPI]]-F660)/F660</f>
        <v/>
      </c>
    </row>
    <row r="673">
      <c r="A673" s="33">
        <f>IF(Data!A700="",#N/A,Data!A700)</f>
        <v/>
      </c>
      <c r="B673" s="34">
        <f>VLOOKUP(A673,Data!A:AX,MATCH($B$2,Data!$B$1:$AX$1,0),FALSE)</f>
        <v/>
      </c>
      <c r="C673" s="35">
        <f>(B673/B672)-1</f>
        <v/>
      </c>
      <c r="D673" s="35">
        <f>((1+C673)^12)-1</f>
        <v/>
      </c>
      <c r="E673" s="35">
        <f>(Table143454[[#This Row],[USA]]-B661)/B661</f>
        <v/>
      </c>
      <c r="F673" s="34">
        <f>VLOOKUP(Table143454[[#This Row],[Date]],'Data Core CPI'!$A:$AX,MATCH($B$2,'Data Core CPI'!$B$1:$AX$1,0),FALSE)</f>
        <v/>
      </c>
      <c r="G673" s="35">
        <f>(F673/F672)-1</f>
        <v/>
      </c>
      <c r="H673" s="35">
        <f>((1+G673)^12)-1</f>
        <v/>
      </c>
      <c r="I673" s="35">
        <f>(Table143454[[#This Row],[Core CPI]]-F661)/F661</f>
        <v/>
      </c>
    </row>
    <row r="674">
      <c r="A674" s="33">
        <f>IF(Data!A701="",#N/A,Data!A701)</f>
        <v/>
      </c>
      <c r="B674" s="34">
        <f>VLOOKUP(A674,Data!A:AX,MATCH($B$2,Data!$B$1:$AX$1,0),FALSE)</f>
        <v/>
      </c>
      <c r="C674" s="35">
        <f>(B674/B673)-1</f>
        <v/>
      </c>
      <c r="D674" s="35">
        <f>((1+C674)^12)-1</f>
        <v/>
      </c>
      <c r="E674" s="35">
        <f>(Table143454[[#This Row],[USA]]-B662)/B662</f>
        <v/>
      </c>
      <c r="F674" s="34">
        <f>VLOOKUP(Table143454[[#This Row],[Date]],'Data Core CPI'!$A:$AX,MATCH($B$2,'Data Core CPI'!$B$1:$AX$1,0),FALSE)</f>
        <v/>
      </c>
      <c r="G674" s="35">
        <f>(F674/F673)-1</f>
        <v/>
      </c>
      <c r="H674" s="35">
        <f>((1+G674)^12)-1</f>
        <v/>
      </c>
      <c r="I674" s="35">
        <f>(Table143454[[#This Row],[Core CPI]]-F662)/F662</f>
        <v/>
      </c>
    </row>
    <row r="675">
      <c r="A675" s="33">
        <f>IF(Data!A702="",#N/A,Data!A702)</f>
        <v/>
      </c>
      <c r="B675" s="34">
        <f>VLOOKUP(A675,Data!A:AX,MATCH($B$2,Data!$B$1:$AX$1,0),FALSE)</f>
        <v/>
      </c>
      <c r="C675" s="35">
        <f>(B675/B674)-1</f>
        <v/>
      </c>
      <c r="D675" s="35">
        <f>((1+C675)^12)-1</f>
        <v/>
      </c>
      <c r="E675" s="35">
        <f>(Table143454[[#This Row],[USA]]-B663)/B663</f>
        <v/>
      </c>
      <c r="F675" s="34">
        <f>VLOOKUP(Table143454[[#This Row],[Date]],'Data Core CPI'!$A:$AX,MATCH($B$2,'Data Core CPI'!$B$1:$AX$1,0),FALSE)</f>
        <v/>
      </c>
      <c r="G675" s="35">
        <f>(F675/F674)-1</f>
        <v/>
      </c>
      <c r="H675" s="35">
        <f>((1+G675)^12)-1</f>
        <v/>
      </c>
      <c r="I675" s="35">
        <f>(Table143454[[#This Row],[Core CPI]]-F663)/F663</f>
        <v/>
      </c>
    </row>
    <row r="676">
      <c r="A676" s="33">
        <f>IF(Data!A703="",#N/A,Data!A703)</f>
        <v/>
      </c>
      <c r="B676" s="34">
        <f>VLOOKUP(A676,Data!A:AX,MATCH($B$2,Data!$B$1:$AX$1,0),FALSE)</f>
        <v/>
      </c>
      <c r="C676" s="35">
        <f>(B676/B675)-1</f>
        <v/>
      </c>
      <c r="D676" s="35">
        <f>((1+C676)^12)-1</f>
        <v/>
      </c>
      <c r="E676" s="35">
        <f>(Table143454[[#This Row],[USA]]-B664)/B664</f>
        <v/>
      </c>
      <c r="F676" s="34">
        <f>VLOOKUP(Table143454[[#This Row],[Date]],'Data Core CPI'!$A:$AX,MATCH($B$2,'Data Core CPI'!$B$1:$AX$1,0),FALSE)</f>
        <v/>
      </c>
      <c r="G676" s="35">
        <f>(F676/F675)-1</f>
        <v/>
      </c>
      <c r="H676" s="35">
        <f>((1+G676)^12)-1</f>
        <v/>
      </c>
      <c r="I676" s="35">
        <f>(Table143454[[#This Row],[Core CPI]]-F664)/F664</f>
        <v/>
      </c>
    </row>
    <row r="677">
      <c r="A677" s="33">
        <f>IF(Data!A704="",#N/A,Data!A704)</f>
        <v/>
      </c>
      <c r="B677" s="34">
        <f>VLOOKUP(A677,Data!A:AX,MATCH($B$2,Data!$B$1:$AX$1,0),FALSE)</f>
        <v/>
      </c>
      <c r="C677" s="35">
        <f>(B677/B676)-1</f>
        <v/>
      </c>
      <c r="D677" s="35">
        <f>((1+C677)^12)-1</f>
        <v/>
      </c>
      <c r="E677" s="35">
        <f>(Table143454[[#This Row],[USA]]-B665)/B665</f>
        <v/>
      </c>
      <c r="F677" s="34">
        <f>VLOOKUP(Table143454[[#This Row],[Date]],'Data Core CPI'!$A:$AX,MATCH($B$2,'Data Core CPI'!$B$1:$AX$1,0),FALSE)</f>
        <v/>
      </c>
      <c r="G677" s="35">
        <f>(F677/F676)-1</f>
        <v/>
      </c>
      <c r="H677" s="35">
        <f>((1+G677)^12)-1</f>
        <v/>
      </c>
      <c r="I677" s="35">
        <f>(Table143454[[#This Row],[Core CPI]]-F665)/F665</f>
        <v/>
      </c>
    </row>
    <row r="678">
      <c r="A678" s="33">
        <f>IF(Data!A705="",#N/A,Data!A705)</f>
        <v/>
      </c>
      <c r="B678" s="34">
        <f>VLOOKUP(A678,Data!A:AX,MATCH($B$2,Data!$B$1:$AX$1,0),FALSE)</f>
        <v/>
      </c>
      <c r="C678" s="35">
        <f>(B678/B677)-1</f>
        <v/>
      </c>
      <c r="D678" s="35">
        <f>((1+C678)^12)-1</f>
        <v/>
      </c>
      <c r="E678" s="35">
        <f>(Table143454[[#This Row],[USA]]-B666)/B666</f>
        <v/>
      </c>
      <c r="F678" s="34">
        <f>VLOOKUP(Table143454[[#This Row],[Date]],'Data Core CPI'!$A:$AX,MATCH($B$2,'Data Core CPI'!$B$1:$AX$1,0),FALSE)</f>
        <v/>
      </c>
      <c r="G678" s="35">
        <f>(F678/F677)-1</f>
        <v/>
      </c>
      <c r="H678" s="35">
        <f>((1+G678)^12)-1</f>
        <v/>
      </c>
      <c r="I678" s="35">
        <f>(Table143454[[#This Row],[Core CPI]]-F666)/F666</f>
        <v/>
      </c>
    </row>
    <row r="679">
      <c r="A679" s="33">
        <f>IF(Data!A706="",#N/A,Data!A706)</f>
        <v/>
      </c>
      <c r="B679" s="34">
        <f>VLOOKUP(A679,Data!A:AX,MATCH($B$2,Data!$B$1:$AX$1,0),FALSE)</f>
        <v/>
      </c>
      <c r="C679" s="35">
        <f>(B679/B678)-1</f>
        <v/>
      </c>
      <c r="D679" s="35">
        <f>((1+C679)^12)-1</f>
        <v/>
      </c>
      <c r="E679" s="35">
        <f>(Table143454[[#This Row],[USA]]-B667)/B667</f>
        <v/>
      </c>
      <c r="F679" s="34">
        <f>VLOOKUP(Table143454[[#This Row],[Date]],'Data Core CPI'!$A:$AX,MATCH($B$2,'Data Core CPI'!$B$1:$AX$1,0),FALSE)</f>
        <v/>
      </c>
      <c r="G679" s="35">
        <f>(F679/F678)-1</f>
        <v/>
      </c>
      <c r="H679" s="35">
        <f>((1+G679)^12)-1</f>
        <v/>
      </c>
      <c r="I679" s="35">
        <f>(Table143454[[#This Row],[Core CPI]]-F667)/F667</f>
        <v/>
      </c>
    </row>
    <row r="680">
      <c r="A680" s="33">
        <f>IF(Data!A707="",#N/A,Data!A707)</f>
        <v/>
      </c>
      <c r="B680" s="34">
        <f>VLOOKUP(A680,Data!A:AX,MATCH($B$2,Data!$B$1:$AX$1,0),FALSE)</f>
        <v/>
      </c>
      <c r="C680" s="35">
        <f>(B680/B679)-1</f>
        <v/>
      </c>
      <c r="D680" s="35">
        <f>((1+C680)^12)-1</f>
        <v/>
      </c>
      <c r="E680" s="35">
        <f>(Table143454[[#This Row],[USA]]-B668)/B668</f>
        <v/>
      </c>
      <c r="F680" s="34">
        <f>VLOOKUP(Table143454[[#This Row],[Date]],'Data Core CPI'!$A:$AX,MATCH($B$2,'Data Core CPI'!$B$1:$AX$1,0),FALSE)</f>
        <v/>
      </c>
      <c r="G680" s="35">
        <f>(F680/F679)-1</f>
        <v/>
      </c>
      <c r="H680" s="35">
        <f>((1+G680)^12)-1</f>
        <v/>
      </c>
      <c r="I680" s="35">
        <f>(Table143454[[#This Row],[Core CPI]]-F668)/F668</f>
        <v/>
      </c>
    </row>
    <row r="681">
      <c r="A681" s="33">
        <f>IF(Data!A708="",#N/A,Data!A708)</f>
        <v/>
      </c>
      <c r="B681" s="34">
        <f>VLOOKUP(A681,Data!A:AX,MATCH($B$2,Data!$B$1:$AX$1,0),FALSE)</f>
        <v/>
      </c>
      <c r="C681" s="35">
        <f>(B681/B680)-1</f>
        <v/>
      </c>
      <c r="D681" s="35">
        <f>((1+C681)^12)-1</f>
        <v/>
      </c>
      <c r="E681" s="35">
        <f>(Table143454[[#This Row],[USA]]-B669)/B669</f>
        <v/>
      </c>
      <c r="F681" s="34">
        <f>VLOOKUP(Table143454[[#This Row],[Date]],'Data Core CPI'!$A:$AX,MATCH($B$2,'Data Core CPI'!$B$1:$AX$1,0),FALSE)</f>
        <v/>
      </c>
      <c r="G681" s="35">
        <f>(F681/F680)-1</f>
        <v/>
      </c>
      <c r="H681" s="35">
        <f>((1+G681)^12)-1</f>
        <v/>
      </c>
      <c r="I681" s="35">
        <f>(Table143454[[#This Row],[Core CPI]]-F669)/F669</f>
        <v/>
      </c>
    </row>
    <row r="682">
      <c r="A682" s="33">
        <f>IF(Data!A709="",#N/A,Data!A709)</f>
        <v/>
      </c>
      <c r="B682" s="34">
        <f>VLOOKUP(A682,Data!A:AX,MATCH($B$2,Data!$B$1:$AX$1,0),FALSE)</f>
        <v/>
      </c>
      <c r="C682" s="35">
        <f>(B682/B681)-1</f>
        <v/>
      </c>
      <c r="D682" s="35">
        <f>((1+C682)^12)-1</f>
        <v/>
      </c>
      <c r="E682" s="35">
        <f>(Table143454[[#This Row],[USA]]-B670)/B670</f>
        <v/>
      </c>
      <c r="F682" s="34">
        <f>VLOOKUP(Table143454[[#This Row],[Date]],'Data Core CPI'!$A:$AX,MATCH($B$2,'Data Core CPI'!$B$1:$AX$1,0),FALSE)</f>
        <v/>
      </c>
      <c r="G682" s="35">
        <f>(F682/F681)-1</f>
        <v/>
      </c>
      <c r="H682" s="35">
        <f>((1+G682)^12)-1</f>
        <v/>
      </c>
      <c r="I682" s="35">
        <f>(Table143454[[#This Row],[Core CPI]]-F670)/F670</f>
        <v/>
      </c>
    </row>
    <row r="683">
      <c r="A683" s="33">
        <f>IF(Data!A710="",#N/A,Data!A710)</f>
        <v/>
      </c>
      <c r="B683" s="34">
        <f>VLOOKUP(A683,Data!A:AX,MATCH($B$2,Data!$B$1:$AX$1,0),FALSE)</f>
        <v/>
      </c>
      <c r="C683" s="35">
        <f>(B683/B682)-1</f>
        <v/>
      </c>
      <c r="D683" s="35">
        <f>((1+C683)^12)-1</f>
        <v/>
      </c>
      <c r="E683" s="35">
        <f>(Table143454[[#This Row],[USA]]-B671)/B671</f>
        <v/>
      </c>
      <c r="F683" s="34">
        <f>VLOOKUP(Table143454[[#This Row],[Date]],'Data Core CPI'!$A:$AX,MATCH($B$2,'Data Core CPI'!$B$1:$AX$1,0),FALSE)</f>
        <v/>
      </c>
      <c r="G683" s="35">
        <f>(F683/F682)-1</f>
        <v/>
      </c>
      <c r="H683" s="35">
        <f>((1+G683)^12)-1</f>
        <v/>
      </c>
      <c r="I683" s="35">
        <f>(Table143454[[#This Row],[Core CPI]]-F671)/F671</f>
        <v/>
      </c>
    </row>
    <row r="684">
      <c r="A684" s="33">
        <f>IF(Data!A711="",#N/A,Data!A711)</f>
        <v/>
      </c>
      <c r="B684" s="34">
        <f>VLOOKUP(A684,Data!A:AX,MATCH($B$2,Data!$B$1:$AX$1,0),FALSE)</f>
        <v/>
      </c>
      <c r="C684" s="35">
        <f>(B684/B683)-1</f>
        <v/>
      </c>
      <c r="D684" s="35">
        <f>((1+C684)^12)-1</f>
        <v/>
      </c>
      <c r="E684" s="35">
        <f>(Table143454[[#This Row],[USA]]-B672)/B672</f>
        <v/>
      </c>
      <c r="F684" s="34">
        <f>VLOOKUP(Table143454[[#This Row],[Date]],'Data Core CPI'!$A:$AX,MATCH($B$2,'Data Core CPI'!$B$1:$AX$1,0),FALSE)</f>
        <v/>
      </c>
      <c r="G684" s="35">
        <f>(F684/F683)-1</f>
        <v/>
      </c>
      <c r="H684" s="35">
        <f>((1+G684)^12)-1</f>
        <v/>
      </c>
      <c r="I684" s="35">
        <f>(Table143454[[#This Row],[Core CPI]]-F672)/F672</f>
        <v/>
      </c>
    </row>
    <row r="685">
      <c r="A685" s="33">
        <f>IF(Data!A712="",#N/A,Data!A712)</f>
        <v/>
      </c>
      <c r="B685" s="34">
        <f>VLOOKUP(A685,Data!A:AX,MATCH($B$2,Data!$B$1:$AX$1,0),FALSE)</f>
        <v/>
      </c>
      <c r="C685" s="35">
        <f>(B685/B684)-1</f>
        <v/>
      </c>
      <c r="D685" s="35">
        <f>((1+C685)^12)-1</f>
        <v/>
      </c>
      <c r="E685" s="35">
        <f>(Table143454[[#This Row],[USA]]-B673)/B673</f>
        <v/>
      </c>
      <c r="F685" s="34">
        <f>VLOOKUP(Table143454[[#This Row],[Date]],'Data Core CPI'!$A:$AX,MATCH($B$2,'Data Core CPI'!$B$1:$AX$1,0),FALSE)</f>
        <v/>
      </c>
      <c r="G685" s="35">
        <f>(F685/F684)-1</f>
        <v/>
      </c>
      <c r="H685" s="35">
        <f>((1+G685)^12)-1</f>
        <v/>
      </c>
      <c r="I685" s="35">
        <f>(Table143454[[#This Row],[Core CPI]]-F673)/F673</f>
        <v/>
      </c>
    </row>
    <row r="686">
      <c r="A686" s="33">
        <f>IF(Data!A713="",#N/A,Data!A713)</f>
        <v/>
      </c>
      <c r="B686" s="34">
        <f>VLOOKUP(A686,Data!A:AX,MATCH($B$2,Data!$B$1:$AX$1,0),FALSE)</f>
        <v/>
      </c>
      <c r="C686" s="35">
        <f>(B686/B685)-1</f>
        <v/>
      </c>
      <c r="D686" s="35">
        <f>((1+C686)^12)-1</f>
        <v/>
      </c>
      <c r="E686" s="35">
        <f>(Table143454[[#This Row],[USA]]-B674)/B674</f>
        <v/>
      </c>
      <c r="F686" s="34">
        <f>VLOOKUP(Table143454[[#This Row],[Date]],'Data Core CPI'!$A:$AX,MATCH($B$2,'Data Core CPI'!$B$1:$AX$1,0),FALSE)</f>
        <v/>
      </c>
      <c r="G686" s="35">
        <f>(F686/F685)-1</f>
        <v/>
      </c>
      <c r="H686" s="35">
        <f>((1+G686)^12)-1</f>
        <v/>
      </c>
      <c r="I686" s="35">
        <f>(Table143454[[#This Row],[Core CPI]]-F674)/F674</f>
        <v/>
      </c>
    </row>
    <row r="687">
      <c r="A687" s="33">
        <f>IF(Data!A714="",#N/A,Data!A714)</f>
        <v/>
      </c>
      <c r="B687" s="34">
        <f>VLOOKUP(A687,Data!A:AX,MATCH($B$2,Data!$B$1:$AX$1,0),FALSE)</f>
        <v/>
      </c>
      <c r="C687" s="35">
        <f>(B687/B686)-1</f>
        <v/>
      </c>
      <c r="D687" s="35">
        <f>((1+C687)^12)-1</f>
        <v/>
      </c>
      <c r="E687" s="35">
        <f>(Table143454[[#This Row],[USA]]-B675)/B675</f>
        <v/>
      </c>
      <c r="F687" s="34">
        <f>VLOOKUP(Table143454[[#This Row],[Date]],'Data Core CPI'!$A:$AX,MATCH($B$2,'Data Core CPI'!$B$1:$AX$1,0),FALSE)</f>
        <v/>
      </c>
      <c r="G687" s="35">
        <f>(F687/F686)-1</f>
        <v/>
      </c>
      <c r="H687" s="35">
        <f>((1+G687)^12)-1</f>
        <v/>
      </c>
      <c r="I687" s="35">
        <f>(Table143454[[#This Row],[Core CPI]]-F675)/F675</f>
        <v/>
      </c>
    </row>
    <row r="688">
      <c r="A688" s="33">
        <f>IF(Data!A715="",#N/A,Data!A715)</f>
        <v/>
      </c>
      <c r="B688" s="34">
        <f>VLOOKUP(A688,Data!A:AX,MATCH($B$2,Data!$B$1:$AX$1,0),FALSE)</f>
        <v/>
      </c>
      <c r="C688" s="35">
        <f>(B688/B687)-1</f>
        <v/>
      </c>
      <c r="D688" s="35">
        <f>((1+C688)^12)-1</f>
        <v/>
      </c>
      <c r="E688" s="35">
        <f>(Table143454[[#This Row],[USA]]-B676)/B676</f>
        <v/>
      </c>
      <c r="F688" s="34">
        <f>VLOOKUP(Table143454[[#This Row],[Date]],'Data Core CPI'!$A:$AX,MATCH($B$2,'Data Core CPI'!$B$1:$AX$1,0),FALSE)</f>
        <v/>
      </c>
      <c r="G688" s="35">
        <f>(F688/F687)-1</f>
        <v/>
      </c>
      <c r="H688" s="35">
        <f>((1+G688)^12)-1</f>
        <v/>
      </c>
      <c r="I688" s="35">
        <f>(Table143454[[#This Row],[Core CPI]]-F676)/F676</f>
        <v/>
      </c>
    </row>
    <row r="689">
      <c r="A689" s="33">
        <f>IF(Data!A716="",#N/A,Data!A716)</f>
        <v/>
      </c>
      <c r="B689" s="34">
        <f>VLOOKUP(A689,Data!A:AX,MATCH($B$2,Data!$B$1:$AX$1,0),FALSE)</f>
        <v/>
      </c>
      <c r="C689" s="35">
        <f>(B689/B688)-1</f>
        <v/>
      </c>
      <c r="D689" s="35">
        <f>((1+C689)^12)-1</f>
        <v/>
      </c>
      <c r="E689" s="35">
        <f>(Table143454[[#This Row],[USA]]-B677)/B677</f>
        <v/>
      </c>
      <c r="F689" s="34">
        <f>VLOOKUP(Table143454[[#This Row],[Date]],'Data Core CPI'!$A:$AX,MATCH($B$2,'Data Core CPI'!$B$1:$AX$1,0),FALSE)</f>
        <v/>
      </c>
      <c r="G689" s="35">
        <f>(F689/F688)-1</f>
        <v/>
      </c>
      <c r="H689" s="35">
        <f>((1+G689)^12)-1</f>
        <v/>
      </c>
      <c r="I689" s="35">
        <f>(Table143454[[#This Row],[Core CPI]]-F677)/F677</f>
        <v/>
      </c>
    </row>
    <row r="690">
      <c r="A690" s="33">
        <f>IF(Data!A717="",#N/A,Data!A717)</f>
        <v/>
      </c>
      <c r="B690" s="34">
        <f>VLOOKUP(A690,Data!A:AX,MATCH($B$2,Data!$B$1:$AX$1,0),FALSE)</f>
        <v/>
      </c>
      <c r="C690" s="35">
        <f>(B690/B689)-1</f>
        <v/>
      </c>
      <c r="D690" s="35">
        <f>((1+C690)^12)-1</f>
        <v/>
      </c>
      <c r="E690" s="35">
        <f>(Table143454[[#This Row],[USA]]-B678)/B678</f>
        <v/>
      </c>
      <c r="F690" s="34">
        <f>VLOOKUP(Table143454[[#This Row],[Date]],'Data Core CPI'!$A:$AX,MATCH($B$2,'Data Core CPI'!$B$1:$AX$1,0),FALSE)</f>
        <v/>
      </c>
      <c r="G690" s="35">
        <f>(F690/F689)-1</f>
        <v/>
      </c>
      <c r="H690" s="35">
        <f>((1+G690)^12)-1</f>
        <v/>
      </c>
      <c r="I690" s="35">
        <f>(Table143454[[#This Row],[Core CPI]]-F678)/F678</f>
        <v/>
      </c>
    </row>
    <row r="691">
      <c r="A691" s="33">
        <f>IF(Data!A718="",#N/A,Data!A718)</f>
        <v/>
      </c>
      <c r="B691" s="34">
        <f>VLOOKUP(A691,Data!A:AX,MATCH($B$2,Data!$B$1:$AX$1,0),FALSE)</f>
        <v/>
      </c>
      <c r="C691" s="35">
        <f>(B691/B690)-1</f>
        <v/>
      </c>
      <c r="D691" s="35">
        <f>((1+C691)^12)-1</f>
        <v/>
      </c>
      <c r="E691" s="35">
        <f>(Table143454[[#This Row],[USA]]-B679)/B679</f>
        <v/>
      </c>
      <c r="F691" s="34">
        <f>VLOOKUP(Table143454[[#This Row],[Date]],'Data Core CPI'!$A:$AX,MATCH($B$2,'Data Core CPI'!$B$1:$AX$1,0),FALSE)</f>
        <v/>
      </c>
      <c r="G691" s="35">
        <f>(F691/F690)-1</f>
        <v/>
      </c>
      <c r="H691" s="35">
        <f>((1+G691)^12)-1</f>
        <v/>
      </c>
      <c r="I691" s="35">
        <f>(Table143454[[#This Row],[Core CPI]]-F679)/F679</f>
        <v/>
      </c>
    </row>
    <row r="692">
      <c r="A692" s="33">
        <f>IF(Data!A719="",#N/A,Data!A719)</f>
        <v/>
      </c>
      <c r="B692" s="34">
        <f>VLOOKUP(A692,Data!A:AX,MATCH($B$2,Data!$B$1:$AX$1,0),FALSE)</f>
        <v/>
      </c>
      <c r="C692" s="35">
        <f>(B692/B691)-1</f>
        <v/>
      </c>
      <c r="D692" s="35">
        <f>((1+C692)^12)-1</f>
        <v/>
      </c>
      <c r="E692" s="35">
        <f>(Table143454[[#This Row],[USA]]-B680)/B680</f>
        <v/>
      </c>
      <c r="F692" s="34">
        <f>VLOOKUP(Table143454[[#This Row],[Date]],'Data Core CPI'!$A:$AX,MATCH($B$2,'Data Core CPI'!$B$1:$AX$1,0),FALSE)</f>
        <v/>
      </c>
      <c r="G692" s="35">
        <f>(F692/F691)-1</f>
        <v/>
      </c>
      <c r="H692" s="35">
        <f>((1+G692)^12)-1</f>
        <v/>
      </c>
      <c r="I692" s="35">
        <f>(Table143454[[#This Row],[Core CPI]]-F680)/F680</f>
        <v/>
      </c>
    </row>
    <row r="693">
      <c r="A693" s="33">
        <f>IF(Data!A720="",#N/A,Data!A720)</f>
        <v/>
      </c>
      <c r="B693" s="34">
        <f>VLOOKUP(A693,Data!A:AX,MATCH($B$2,Data!$B$1:$AX$1,0),FALSE)</f>
        <v/>
      </c>
      <c r="C693" s="35">
        <f>(B693/B692)-1</f>
        <v/>
      </c>
      <c r="D693" s="35">
        <f>((1+C693)^12)-1</f>
        <v/>
      </c>
      <c r="E693" s="35">
        <f>(Table143454[[#This Row],[USA]]-B681)/B681</f>
        <v/>
      </c>
      <c r="F693" s="34">
        <f>VLOOKUP(Table143454[[#This Row],[Date]],'Data Core CPI'!$A:$AX,MATCH($B$2,'Data Core CPI'!$B$1:$AX$1,0),FALSE)</f>
        <v/>
      </c>
      <c r="G693" s="35">
        <f>(F693/F692)-1</f>
        <v/>
      </c>
      <c r="H693" s="35">
        <f>((1+G693)^12)-1</f>
        <v/>
      </c>
      <c r="I693" s="35">
        <f>(Table143454[[#This Row],[Core CPI]]-F681)/F681</f>
        <v/>
      </c>
    </row>
    <row r="694">
      <c r="A694" s="33">
        <f>IF(Data!A721="",#N/A,Data!A721)</f>
        <v/>
      </c>
      <c r="B694" s="34">
        <f>VLOOKUP(A694,Data!A:AX,MATCH($B$2,Data!$B$1:$AX$1,0),FALSE)</f>
        <v/>
      </c>
      <c r="C694" s="35">
        <f>(B694/B693)-1</f>
        <v/>
      </c>
      <c r="D694" s="35">
        <f>((1+C694)^12)-1</f>
        <v/>
      </c>
      <c r="E694" s="35">
        <f>(Table143454[[#This Row],[USA]]-B682)/B682</f>
        <v/>
      </c>
      <c r="F694" s="34">
        <f>VLOOKUP(Table143454[[#This Row],[Date]],'Data Core CPI'!$A:$AX,MATCH($B$2,'Data Core CPI'!$B$1:$AX$1,0),FALSE)</f>
        <v/>
      </c>
      <c r="G694" s="35">
        <f>(F694/F693)-1</f>
        <v/>
      </c>
      <c r="H694" s="35">
        <f>((1+G694)^12)-1</f>
        <v/>
      </c>
      <c r="I694" s="35">
        <f>(Table143454[[#This Row],[Core CPI]]-F682)/F682</f>
        <v/>
      </c>
    </row>
    <row r="695">
      <c r="A695" s="33">
        <f>IF(Data!A722="",#N/A,Data!A722)</f>
        <v/>
      </c>
      <c r="B695" s="34">
        <f>VLOOKUP(A695,Data!A:AX,MATCH($B$2,Data!$B$1:$AX$1,0),FALSE)</f>
        <v/>
      </c>
      <c r="C695" s="35">
        <f>(B695/B694)-1</f>
        <v/>
      </c>
      <c r="D695" s="35">
        <f>((1+C695)^12)-1</f>
        <v/>
      </c>
      <c r="E695" s="35">
        <f>(Table143454[[#This Row],[USA]]-B683)/B683</f>
        <v/>
      </c>
      <c r="F695" s="34">
        <f>VLOOKUP(Table143454[[#This Row],[Date]],'Data Core CPI'!$A:$AX,MATCH($B$2,'Data Core CPI'!$B$1:$AX$1,0),FALSE)</f>
        <v/>
      </c>
      <c r="G695" s="35">
        <f>(F695/F694)-1</f>
        <v/>
      </c>
      <c r="H695" s="35">
        <f>((1+G695)^12)-1</f>
        <v/>
      </c>
      <c r="I695" s="35">
        <f>(Table143454[[#This Row],[Core CPI]]-F683)/F683</f>
        <v/>
      </c>
    </row>
    <row r="696">
      <c r="A696" s="33">
        <f>IF(Data!A723="",#N/A,Data!A723)</f>
        <v/>
      </c>
      <c r="B696" s="34">
        <f>VLOOKUP(A696,Data!A:AX,MATCH($B$2,Data!$B$1:$AX$1,0),FALSE)</f>
        <v/>
      </c>
      <c r="C696" s="35">
        <f>(B696/B695)-1</f>
        <v/>
      </c>
      <c r="D696" s="35">
        <f>((1+C696)^12)-1</f>
        <v/>
      </c>
      <c r="E696" s="35">
        <f>(Table143454[[#This Row],[USA]]-B684)/B684</f>
        <v/>
      </c>
      <c r="F696" s="34">
        <f>VLOOKUP(Table143454[[#This Row],[Date]],'Data Core CPI'!$A:$AX,MATCH($B$2,'Data Core CPI'!$B$1:$AX$1,0),FALSE)</f>
        <v/>
      </c>
      <c r="G696" s="35">
        <f>(F696/F695)-1</f>
        <v/>
      </c>
      <c r="H696" s="35">
        <f>((1+G696)^12)-1</f>
        <v/>
      </c>
      <c r="I696" s="35">
        <f>(Table143454[[#This Row],[Core CPI]]-F684)/F684</f>
        <v/>
      </c>
    </row>
    <row r="697">
      <c r="A697" s="33">
        <f>IF(Data!A724="",#N/A,Data!A724)</f>
        <v/>
      </c>
      <c r="B697" s="34">
        <f>VLOOKUP(A697,Data!A:AX,MATCH($B$2,Data!$B$1:$AX$1,0),FALSE)</f>
        <v/>
      </c>
      <c r="C697" s="35">
        <f>(B697/B696)-1</f>
        <v/>
      </c>
      <c r="D697" s="35">
        <f>((1+C697)^12)-1</f>
        <v/>
      </c>
      <c r="E697" s="35">
        <f>(Table143454[[#This Row],[USA]]-B685)/B685</f>
        <v/>
      </c>
      <c r="F697" s="34">
        <f>VLOOKUP(Table143454[[#This Row],[Date]],'Data Core CPI'!$A:$AX,MATCH($B$2,'Data Core CPI'!$B$1:$AX$1,0),FALSE)</f>
        <v/>
      </c>
      <c r="G697" s="35">
        <f>(F697/F696)-1</f>
        <v/>
      </c>
      <c r="H697" s="35">
        <f>((1+G697)^12)-1</f>
        <v/>
      </c>
      <c r="I697" s="35">
        <f>(Table143454[[#This Row],[Core CPI]]-F685)/F685</f>
        <v/>
      </c>
    </row>
    <row r="698">
      <c r="A698" s="33">
        <f>IF(Data!A725="",#N/A,Data!A725)</f>
        <v/>
      </c>
      <c r="B698" s="34">
        <f>VLOOKUP(A698,Data!A:AX,MATCH($B$2,Data!$B$1:$AX$1,0),FALSE)</f>
        <v/>
      </c>
      <c r="C698" s="35">
        <f>(B698/B697)-1</f>
        <v/>
      </c>
      <c r="D698" s="35">
        <f>((1+C698)^12)-1</f>
        <v/>
      </c>
      <c r="E698" s="35">
        <f>(Table143454[[#This Row],[USA]]-B686)/B686</f>
        <v/>
      </c>
      <c r="F698" s="34">
        <f>VLOOKUP(Table143454[[#This Row],[Date]],'Data Core CPI'!$A:$AX,MATCH($B$2,'Data Core CPI'!$B$1:$AX$1,0),FALSE)</f>
        <v/>
      </c>
      <c r="G698" s="35">
        <f>(F698/F697)-1</f>
        <v/>
      </c>
      <c r="H698" s="35">
        <f>((1+G698)^12)-1</f>
        <v/>
      </c>
      <c r="I698" s="35">
        <f>(Table143454[[#This Row],[Core CPI]]-F686)/F686</f>
        <v/>
      </c>
    </row>
    <row r="699">
      <c r="A699" s="33">
        <f>IF(Data!A726="",#N/A,Data!A726)</f>
        <v/>
      </c>
      <c r="B699" s="34">
        <f>VLOOKUP(A699,Data!A:AX,MATCH($B$2,Data!$B$1:$AX$1,0),FALSE)</f>
        <v/>
      </c>
      <c r="C699" s="35">
        <f>(B699/B698)-1</f>
        <v/>
      </c>
      <c r="D699" s="35">
        <f>((1+C699)^12)-1</f>
        <v/>
      </c>
      <c r="E699" s="35">
        <f>(Table143454[[#This Row],[USA]]-B687)/B687</f>
        <v/>
      </c>
      <c r="F699" s="34">
        <f>VLOOKUP(Table143454[[#This Row],[Date]],'Data Core CPI'!$A:$AX,MATCH($B$2,'Data Core CPI'!$B$1:$AX$1,0),FALSE)</f>
        <v/>
      </c>
      <c r="G699" s="35">
        <f>(F699/F698)-1</f>
        <v/>
      </c>
      <c r="H699" s="35">
        <f>((1+G699)^12)-1</f>
        <v/>
      </c>
      <c r="I699" s="35">
        <f>(Table143454[[#This Row],[Core CPI]]-F687)/F687</f>
        <v/>
      </c>
    </row>
    <row r="700">
      <c r="A700" s="33">
        <f>IF(Data!A727="",#N/A,Data!A727)</f>
        <v/>
      </c>
      <c r="B700" s="34">
        <f>VLOOKUP(A700,Data!A:AX,MATCH($B$2,Data!$B$1:$AX$1,0),FALSE)</f>
        <v/>
      </c>
      <c r="C700" s="35">
        <f>(B700/B699)-1</f>
        <v/>
      </c>
      <c r="D700" s="35">
        <f>((1+C700)^12)-1</f>
        <v/>
      </c>
      <c r="E700" s="35">
        <f>(Table143454[[#This Row],[USA]]-B688)/B688</f>
        <v/>
      </c>
      <c r="F700" s="34">
        <f>VLOOKUP(Table143454[[#This Row],[Date]],'Data Core CPI'!$A:$AX,MATCH($B$2,'Data Core CPI'!$B$1:$AX$1,0),FALSE)</f>
        <v/>
      </c>
      <c r="G700" s="35">
        <f>(F700/F699)-1</f>
        <v/>
      </c>
      <c r="H700" s="35">
        <f>((1+G700)^12)-1</f>
        <v/>
      </c>
      <c r="I700" s="35">
        <f>(Table143454[[#This Row],[Core CPI]]-F688)/F688</f>
        <v/>
      </c>
    </row>
    <row r="701">
      <c r="A701" s="33">
        <f>IF(Data!A728="",#N/A,Data!A728)</f>
        <v/>
      </c>
      <c r="B701" s="34">
        <f>VLOOKUP(A701,Data!A:AX,MATCH($B$2,Data!$B$1:$AX$1,0),FALSE)</f>
        <v/>
      </c>
      <c r="C701" s="35">
        <f>(B701/B700)-1</f>
        <v/>
      </c>
      <c r="D701" s="35">
        <f>((1+C701)^12)-1</f>
        <v/>
      </c>
      <c r="E701" s="35">
        <f>(Table143454[[#This Row],[USA]]-B689)/B689</f>
        <v/>
      </c>
      <c r="F701" s="34">
        <f>VLOOKUP(Table143454[[#This Row],[Date]],'Data Core CPI'!$A:$AX,MATCH($B$2,'Data Core CPI'!$B$1:$AX$1,0),FALSE)</f>
        <v/>
      </c>
      <c r="G701" s="35">
        <f>(F701/F700)-1</f>
        <v/>
      </c>
      <c r="H701" s="35">
        <f>((1+G701)^12)-1</f>
        <v/>
      </c>
      <c r="I701" s="35">
        <f>(Table143454[[#This Row],[Core CPI]]-F689)/F689</f>
        <v/>
      </c>
    </row>
    <row r="702">
      <c r="A702" s="33">
        <f>IF(Data!A729="",#N/A,Data!A729)</f>
        <v/>
      </c>
      <c r="B702" s="34">
        <f>VLOOKUP(A702,Data!A:AX,MATCH($B$2,Data!$B$1:$AX$1,0),FALSE)</f>
        <v/>
      </c>
      <c r="C702" s="35">
        <f>(B702/B701)-1</f>
        <v/>
      </c>
      <c r="D702" s="35">
        <f>((1+C702)^12)-1</f>
        <v/>
      </c>
      <c r="E702" s="35">
        <f>(Table143454[[#This Row],[USA]]-B690)/B690</f>
        <v/>
      </c>
      <c r="F702" s="34">
        <f>VLOOKUP(Table143454[[#This Row],[Date]],'Data Core CPI'!$A:$AX,MATCH($B$2,'Data Core CPI'!$B$1:$AX$1,0),FALSE)</f>
        <v/>
      </c>
      <c r="G702" s="35">
        <f>(F702/F701)-1</f>
        <v/>
      </c>
      <c r="H702" s="35">
        <f>((1+G702)^12)-1</f>
        <v/>
      </c>
      <c r="I702" s="35">
        <f>(Table143454[[#This Row],[Core CPI]]-F690)/F690</f>
        <v/>
      </c>
    </row>
    <row r="703">
      <c r="A703" s="33">
        <f>IF(Data!A730="",#N/A,Data!A730)</f>
        <v/>
      </c>
      <c r="B703" s="34">
        <f>VLOOKUP(A703,Data!A:AX,MATCH($B$2,Data!$B$1:$AX$1,0),FALSE)</f>
        <v/>
      </c>
      <c r="C703" s="35">
        <f>(B703/B702)-1</f>
        <v/>
      </c>
      <c r="D703" s="35">
        <f>((1+C703)^12)-1</f>
        <v/>
      </c>
      <c r="E703" s="35">
        <f>(Table143454[[#This Row],[USA]]-B691)/B691</f>
        <v/>
      </c>
      <c r="F703" s="34">
        <f>VLOOKUP(Table143454[[#This Row],[Date]],'Data Core CPI'!$A:$AX,MATCH($B$2,'Data Core CPI'!$B$1:$AX$1,0),FALSE)</f>
        <v/>
      </c>
      <c r="G703" s="35">
        <f>(F703/F702)-1</f>
        <v/>
      </c>
      <c r="H703" s="35">
        <f>((1+G703)^12)-1</f>
        <v/>
      </c>
      <c r="I703" s="35">
        <f>(Table143454[[#This Row],[Core CPI]]-F691)/F691</f>
        <v/>
      </c>
    </row>
    <row r="704">
      <c r="A704" s="33">
        <f>IF(Data!A731="",#N/A,Data!A731)</f>
        <v/>
      </c>
      <c r="B704" s="34">
        <f>VLOOKUP(A704,Data!A:AX,MATCH($B$2,Data!$B$1:$AX$1,0),FALSE)</f>
        <v/>
      </c>
      <c r="C704" s="35">
        <f>(B704/B703)-1</f>
        <v/>
      </c>
      <c r="D704" s="35">
        <f>((1+C704)^12)-1</f>
        <v/>
      </c>
      <c r="E704" s="35">
        <f>(Table143454[[#This Row],[USA]]-B692)/B692</f>
        <v/>
      </c>
      <c r="F704" s="34">
        <f>VLOOKUP(Table143454[[#This Row],[Date]],'Data Core CPI'!$A:$AX,MATCH($B$2,'Data Core CPI'!$B$1:$AX$1,0),FALSE)</f>
        <v/>
      </c>
      <c r="G704" s="35">
        <f>(F704/F703)-1</f>
        <v/>
      </c>
      <c r="H704" s="35">
        <f>((1+G704)^12)-1</f>
        <v/>
      </c>
      <c r="I704" s="35">
        <f>(Table143454[[#This Row],[Core CPI]]-F692)/F692</f>
        <v/>
      </c>
    </row>
    <row r="705">
      <c r="A705" s="33">
        <f>IF(Data!A732="",#N/A,Data!A732)</f>
        <v/>
      </c>
      <c r="B705" s="34">
        <f>VLOOKUP(A705,Data!A:AX,MATCH($B$2,Data!$B$1:$AX$1,0),FALSE)</f>
        <v/>
      </c>
      <c r="C705" s="35">
        <f>(B705/B704)-1</f>
        <v/>
      </c>
      <c r="D705" s="35">
        <f>((1+C705)^12)-1</f>
        <v/>
      </c>
      <c r="E705" s="35">
        <f>(Table143454[[#This Row],[USA]]-B693)/B693</f>
        <v/>
      </c>
      <c r="F705" s="34">
        <f>VLOOKUP(Table143454[[#This Row],[Date]],'Data Core CPI'!$A:$AX,MATCH($B$2,'Data Core CPI'!$B$1:$AX$1,0),FALSE)</f>
        <v/>
      </c>
      <c r="G705" s="35">
        <f>(F705/F704)-1</f>
        <v/>
      </c>
      <c r="H705" s="35">
        <f>((1+G705)^12)-1</f>
        <v/>
      </c>
      <c r="I705" s="35">
        <f>(Table143454[[#This Row],[Core CPI]]-F693)/F693</f>
        <v/>
      </c>
    </row>
    <row r="706">
      <c r="A706" s="33">
        <f>IF(Data!A733="",#N/A,Data!A733)</f>
        <v/>
      </c>
      <c r="B706" s="34">
        <f>VLOOKUP(A706,Data!A:AX,MATCH($B$2,Data!$B$1:$AX$1,0),FALSE)</f>
        <v/>
      </c>
      <c r="C706" s="35">
        <f>(B706/B705)-1</f>
        <v/>
      </c>
      <c r="D706" s="35">
        <f>((1+C706)^12)-1</f>
        <v/>
      </c>
      <c r="E706" s="35">
        <f>(Table143454[[#This Row],[USA]]-B694)/B694</f>
        <v/>
      </c>
      <c r="F706" s="34">
        <f>VLOOKUP(Table143454[[#This Row],[Date]],'Data Core CPI'!$A:$AX,MATCH($B$2,'Data Core CPI'!$B$1:$AX$1,0),FALSE)</f>
        <v/>
      </c>
      <c r="G706" s="35">
        <f>(F706/F705)-1</f>
        <v/>
      </c>
      <c r="H706" s="35">
        <f>((1+G706)^12)-1</f>
        <v/>
      </c>
      <c r="I706" s="35">
        <f>(Table143454[[#This Row],[Core CPI]]-F694)/F694</f>
        <v/>
      </c>
    </row>
    <row r="707">
      <c r="A707" s="33">
        <f>IF(Data!A734="",#N/A,Data!A734)</f>
        <v/>
      </c>
      <c r="B707" s="34">
        <f>VLOOKUP(A707,Data!A:AX,MATCH($B$2,Data!$B$1:$AX$1,0),FALSE)</f>
        <v/>
      </c>
      <c r="C707" s="35">
        <f>(B707/B706)-1</f>
        <v/>
      </c>
      <c r="D707" s="35">
        <f>((1+C707)^12)-1</f>
        <v/>
      </c>
      <c r="E707" s="35">
        <f>(Table143454[[#This Row],[USA]]-B695)/B695</f>
        <v/>
      </c>
      <c r="F707" s="34">
        <f>VLOOKUP(Table143454[[#This Row],[Date]],'Data Core CPI'!$A:$AX,MATCH($B$2,'Data Core CPI'!$B$1:$AX$1,0),FALSE)</f>
        <v/>
      </c>
      <c r="G707" s="35">
        <f>(F707/F706)-1</f>
        <v/>
      </c>
      <c r="H707" s="35">
        <f>((1+G707)^12)-1</f>
        <v/>
      </c>
      <c r="I707" s="35">
        <f>(Table143454[[#This Row],[Core CPI]]-F695)/F695</f>
        <v/>
      </c>
    </row>
    <row r="708">
      <c r="A708" s="33">
        <f>IF(Data!A735="",#N/A,Data!A735)</f>
        <v/>
      </c>
      <c r="B708" s="34">
        <f>VLOOKUP(A708,Data!A:AX,MATCH($B$2,Data!$B$1:$AX$1,0),FALSE)</f>
        <v/>
      </c>
      <c r="C708" s="35">
        <f>(B708/B707)-1</f>
        <v/>
      </c>
      <c r="D708" s="35">
        <f>((1+C708)^12)-1</f>
        <v/>
      </c>
      <c r="E708" s="35">
        <f>(Table143454[[#This Row],[USA]]-B696)/B696</f>
        <v/>
      </c>
      <c r="F708" s="34">
        <f>VLOOKUP(Table143454[[#This Row],[Date]],'Data Core CPI'!$A:$AX,MATCH($B$2,'Data Core CPI'!$B$1:$AX$1,0),FALSE)</f>
        <v/>
      </c>
      <c r="G708" s="35">
        <f>(F708/F707)-1</f>
        <v/>
      </c>
      <c r="H708" s="35">
        <f>((1+G708)^12)-1</f>
        <v/>
      </c>
      <c r="I708" s="35">
        <f>(Table143454[[#This Row],[Core CPI]]-F696)/F696</f>
        <v/>
      </c>
    </row>
    <row r="709">
      <c r="A709" s="33">
        <f>IF(Data!A736="",#N/A,Data!A736)</f>
        <v/>
      </c>
      <c r="B709" s="34">
        <f>VLOOKUP(A709,Data!A:AX,MATCH($B$2,Data!$B$1:$AX$1,0),FALSE)</f>
        <v/>
      </c>
      <c r="C709" s="35">
        <f>(B709/B708)-1</f>
        <v/>
      </c>
      <c r="D709" s="35">
        <f>((1+C709)^12)-1</f>
        <v/>
      </c>
      <c r="E709" s="35">
        <f>(Table143454[[#This Row],[USA]]-B697)/B697</f>
        <v/>
      </c>
      <c r="F709" s="34">
        <f>VLOOKUP(Table143454[[#This Row],[Date]],'Data Core CPI'!$A:$AX,MATCH($B$2,'Data Core CPI'!$B$1:$AX$1,0),FALSE)</f>
        <v/>
      </c>
      <c r="G709" s="35">
        <f>(F709/F708)-1</f>
        <v/>
      </c>
      <c r="H709" s="35">
        <f>((1+G709)^12)-1</f>
        <v/>
      </c>
      <c r="I709" s="35">
        <f>(Table143454[[#This Row],[Core CPI]]-F697)/F697</f>
        <v/>
      </c>
    </row>
    <row r="710">
      <c r="A710" s="33">
        <f>IF(Data!A737="",#N/A,Data!A737)</f>
        <v/>
      </c>
      <c r="B710" s="34">
        <f>VLOOKUP(A710,Data!A:AX,MATCH($B$2,Data!$B$1:$AX$1,0),FALSE)</f>
        <v/>
      </c>
      <c r="C710" s="35">
        <f>(B710/B709)-1</f>
        <v/>
      </c>
      <c r="D710" s="35">
        <f>((1+C710)^12)-1</f>
        <v/>
      </c>
      <c r="E710" s="35">
        <f>(Table143454[[#This Row],[USA]]-B698)/B698</f>
        <v/>
      </c>
      <c r="F710" s="34">
        <f>VLOOKUP(Table143454[[#This Row],[Date]],'Data Core CPI'!$A:$AX,MATCH($B$2,'Data Core CPI'!$B$1:$AX$1,0),FALSE)</f>
        <v/>
      </c>
      <c r="G710" s="35">
        <f>(F710/F709)-1</f>
        <v/>
      </c>
      <c r="H710" s="35">
        <f>((1+G710)^12)-1</f>
        <v/>
      </c>
      <c r="I710" s="35">
        <f>(Table143454[[#This Row],[Core CPI]]-F698)/F698</f>
        <v/>
      </c>
    </row>
    <row r="711">
      <c r="A711" s="33">
        <f>IF(Data!A738="",#N/A,Data!A738)</f>
        <v/>
      </c>
      <c r="B711" s="34">
        <f>VLOOKUP(A711,Data!A:AX,MATCH($B$2,Data!$B$1:$AX$1,0),FALSE)</f>
        <v/>
      </c>
      <c r="C711" s="35">
        <f>(B711/B710)-1</f>
        <v/>
      </c>
      <c r="D711" s="35">
        <f>((1+C711)^12)-1</f>
        <v/>
      </c>
      <c r="E711" s="35">
        <f>(Table143454[[#This Row],[USA]]-B699)/B699</f>
        <v/>
      </c>
      <c r="F711" s="34">
        <f>VLOOKUP(Table143454[[#This Row],[Date]],'Data Core CPI'!$A:$AX,MATCH($B$2,'Data Core CPI'!$B$1:$AX$1,0),FALSE)</f>
        <v/>
      </c>
      <c r="G711" s="35">
        <f>(F711/F710)-1</f>
        <v/>
      </c>
      <c r="H711" s="35">
        <f>((1+G711)^12)-1</f>
        <v/>
      </c>
      <c r="I711" s="35">
        <f>(Table143454[[#This Row],[Core CPI]]-F699)/F699</f>
        <v/>
      </c>
    </row>
    <row r="712">
      <c r="A712" s="33">
        <f>IF(Data!A739="",#N/A,Data!A739)</f>
        <v/>
      </c>
      <c r="B712" s="34">
        <f>VLOOKUP(A712,Data!A:AX,MATCH($B$2,Data!$B$1:$AX$1,0),FALSE)</f>
        <v/>
      </c>
      <c r="C712" s="35">
        <f>(B712/B711)-1</f>
        <v/>
      </c>
      <c r="D712" s="35">
        <f>((1+C712)^12)-1</f>
        <v/>
      </c>
      <c r="E712" s="35">
        <f>(Table143454[[#This Row],[USA]]-B700)/B700</f>
        <v/>
      </c>
      <c r="F712" s="34">
        <f>VLOOKUP(Table143454[[#This Row],[Date]],'Data Core CPI'!$A:$AX,MATCH($B$2,'Data Core CPI'!$B$1:$AX$1,0),FALSE)</f>
        <v/>
      </c>
      <c r="G712" s="35">
        <f>(F712/F711)-1</f>
        <v/>
      </c>
      <c r="H712" s="35">
        <f>((1+G712)^12)-1</f>
        <v/>
      </c>
      <c r="I712" s="35">
        <f>(Table143454[[#This Row],[Core CPI]]-F700)/F700</f>
        <v/>
      </c>
    </row>
    <row r="713">
      <c r="A713" s="33">
        <f>IF(Data!A740="",#N/A,Data!A740)</f>
        <v/>
      </c>
      <c r="B713" s="34">
        <f>VLOOKUP(A713,Data!A:AX,MATCH($B$2,Data!$B$1:$AX$1,0),FALSE)</f>
        <v/>
      </c>
      <c r="C713" s="35">
        <f>(B713/B712)-1</f>
        <v/>
      </c>
      <c r="D713" s="35">
        <f>((1+C713)^12)-1</f>
        <v/>
      </c>
      <c r="E713" s="35">
        <f>(Table143454[[#This Row],[USA]]-B701)/B701</f>
        <v/>
      </c>
      <c r="F713" s="34">
        <f>VLOOKUP(Table143454[[#This Row],[Date]],'Data Core CPI'!$A:$AX,MATCH($B$2,'Data Core CPI'!$B$1:$AX$1,0),FALSE)</f>
        <v/>
      </c>
      <c r="G713" s="35">
        <f>(F713/F712)-1</f>
        <v/>
      </c>
      <c r="H713" s="35">
        <f>((1+G713)^12)-1</f>
        <v/>
      </c>
      <c r="I713" s="35">
        <f>(Table143454[[#This Row],[Core CPI]]-F701)/F701</f>
        <v/>
      </c>
    </row>
    <row r="714">
      <c r="A714" s="33">
        <f>IF(Data!A741="",#N/A,Data!A741)</f>
        <v/>
      </c>
      <c r="B714" s="34">
        <f>VLOOKUP(A714,Data!A:AX,MATCH($B$2,Data!$B$1:$AX$1,0),FALSE)</f>
        <v/>
      </c>
      <c r="C714" s="35">
        <f>(B714/B713)-1</f>
        <v/>
      </c>
      <c r="D714" s="35">
        <f>((1+C714)^12)-1</f>
        <v/>
      </c>
      <c r="E714" s="35">
        <f>(Table143454[[#This Row],[USA]]-B702)/B702</f>
        <v/>
      </c>
      <c r="F714" s="34">
        <f>VLOOKUP(Table143454[[#This Row],[Date]],'Data Core CPI'!$A:$AX,MATCH($B$2,'Data Core CPI'!$B$1:$AX$1,0),FALSE)</f>
        <v/>
      </c>
      <c r="G714" s="35">
        <f>(F714/F713)-1</f>
        <v/>
      </c>
      <c r="H714" s="35">
        <f>((1+G714)^12)-1</f>
        <v/>
      </c>
      <c r="I714" s="35">
        <f>(Table143454[[#This Row],[Core CPI]]-F702)/F702</f>
        <v/>
      </c>
    </row>
    <row r="715">
      <c r="A715" s="33">
        <f>IF(Data!A742="",#N/A,Data!A742)</f>
        <v/>
      </c>
      <c r="B715" s="34">
        <f>VLOOKUP(A715,Data!A:AX,MATCH($B$2,Data!$B$1:$AX$1,0),FALSE)</f>
        <v/>
      </c>
      <c r="C715" s="35">
        <f>(B715/B714)-1</f>
        <v/>
      </c>
      <c r="D715" s="35">
        <f>((1+C715)^12)-1</f>
        <v/>
      </c>
      <c r="E715" s="35">
        <f>(Table143454[[#This Row],[USA]]-B703)/B703</f>
        <v/>
      </c>
      <c r="F715" s="34">
        <f>VLOOKUP(Table143454[[#This Row],[Date]],'Data Core CPI'!$A:$AX,MATCH($B$2,'Data Core CPI'!$B$1:$AX$1,0),FALSE)</f>
        <v/>
      </c>
      <c r="G715" s="35">
        <f>(F715/F714)-1</f>
        <v/>
      </c>
      <c r="H715" s="35">
        <f>((1+G715)^12)-1</f>
        <v/>
      </c>
      <c r="I715" s="35">
        <f>(Table143454[[#This Row],[Core CPI]]-F703)/F703</f>
        <v/>
      </c>
    </row>
    <row r="716">
      <c r="A716" s="33">
        <f>IF(Data!A743="",#N/A,Data!A743)</f>
        <v/>
      </c>
      <c r="B716" s="34">
        <f>VLOOKUP(A716,Data!A:AX,MATCH($B$2,Data!$B$1:$AX$1,0),FALSE)</f>
        <v/>
      </c>
      <c r="C716" s="35">
        <f>(B716/B715)-1</f>
        <v/>
      </c>
      <c r="D716" s="35">
        <f>((1+C716)^12)-1</f>
        <v/>
      </c>
      <c r="E716" s="35">
        <f>(Table143454[[#This Row],[USA]]-B704)/B704</f>
        <v/>
      </c>
      <c r="F716" s="34">
        <f>VLOOKUP(Table143454[[#This Row],[Date]],'Data Core CPI'!$A:$AX,MATCH($B$2,'Data Core CPI'!$B$1:$AX$1,0),FALSE)</f>
        <v/>
      </c>
      <c r="G716" s="35">
        <f>(F716/F715)-1</f>
        <v/>
      </c>
      <c r="H716" s="35">
        <f>((1+G716)^12)-1</f>
        <v/>
      </c>
      <c r="I716" s="35">
        <f>(Table143454[[#This Row],[Core CPI]]-F704)/F704</f>
        <v/>
      </c>
    </row>
    <row r="717">
      <c r="A717" s="33">
        <f>IF(Data!A744="",#N/A,Data!A744)</f>
        <v/>
      </c>
      <c r="B717" s="34">
        <f>VLOOKUP(A717,Data!A:AX,MATCH($B$2,Data!$B$1:$AX$1,0),FALSE)</f>
        <v/>
      </c>
      <c r="C717" s="35">
        <f>(B717/B716)-1</f>
        <v/>
      </c>
      <c r="D717" s="35">
        <f>((1+C717)^12)-1</f>
        <v/>
      </c>
      <c r="E717" s="35">
        <f>(Table143454[[#This Row],[USA]]-B705)/B705</f>
        <v/>
      </c>
      <c r="F717" s="34">
        <f>VLOOKUP(Table143454[[#This Row],[Date]],'Data Core CPI'!$A:$AX,MATCH($B$2,'Data Core CPI'!$B$1:$AX$1,0),FALSE)</f>
        <v/>
      </c>
      <c r="G717" s="35">
        <f>(F717/F716)-1</f>
        <v/>
      </c>
      <c r="H717" s="35">
        <f>((1+G717)^12)-1</f>
        <v/>
      </c>
      <c r="I717" s="35">
        <f>(Table143454[[#This Row],[Core CPI]]-F705)/F705</f>
        <v/>
      </c>
    </row>
    <row r="718">
      <c r="A718" s="33">
        <f>IF(Data!A745="",#N/A,Data!A745)</f>
        <v/>
      </c>
      <c r="B718" s="34">
        <f>VLOOKUP(A718,Data!A:AX,MATCH($B$2,Data!$B$1:$AX$1,0),FALSE)</f>
        <v/>
      </c>
      <c r="C718" s="35">
        <f>(B718/B717)-1</f>
        <v/>
      </c>
      <c r="D718" s="35">
        <f>((1+C718)^12)-1</f>
        <v/>
      </c>
      <c r="E718" s="35">
        <f>(Table143454[[#This Row],[USA]]-B706)/B706</f>
        <v/>
      </c>
      <c r="F718" s="34">
        <f>VLOOKUP(Table143454[[#This Row],[Date]],'Data Core CPI'!$A:$AX,MATCH($B$2,'Data Core CPI'!$B$1:$AX$1,0),FALSE)</f>
        <v/>
      </c>
      <c r="G718" s="35">
        <f>(F718/F717)-1</f>
        <v/>
      </c>
      <c r="H718" s="35">
        <f>((1+G718)^12)-1</f>
        <v/>
      </c>
      <c r="I718" s="35">
        <f>(Table143454[[#This Row],[Core CPI]]-F706)/F706</f>
        <v/>
      </c>
    </row>
    <row r="719">
      <c r="A719" s="33">
        <f>IF(Data!A746="",#N/A,Data!A746)</f>
        <v/>
      </c>
      <c r="B719" s="34">
        <f>VLOOKUP(A719,Data!A:AX,MATCH($B$2,Data!$B$1:$AX$1,0),FALSE)</f>
        <v/>
      </c>
      <c r="C719" s="35">
        <f>(B719/B718)-1</f>
        <v/>
      </c>
      <c r="D719" s="35">
        <f>((1+C719)^12)-1</f>
        <v/>
      </c>
      <c r="E719" s="35">
        <f>(Table143454[[#This Row],[USA]]-B707)/B707</f>
        <v/>
      </c>
      <c r="F719" s="34">
        <f>VLOOKUP(Table143454[[#This Row],[Date]],'Data Core CPI'!$A:$AX,MATCH($B$2,'Data Core CPI'!$B$1:$AX$1,0),FALSE)</f>
        <v/>
      </c>
      <c r="G719" s="35">
        <f>(F719/F718)-1</f>
        <v/>
      </c>
      <c r="H719" s="35">
        <f>((1+G719)^12)-1</f>
        <v/>
      </c>
      <c r="I719" s="35">
        <f>(Table143454[[#This Row],[Core CPI]]-F707)/F707</f>
        <v/>
      </c>
    </row>
    <row r="720">
      <c r="A720" s="33">
        <f>IF(Data!A747="",#N/A,Data!A747)</f>
        <v/>
      </c>
      <c r="B720" s="34">
        <f>VLOOKUP(A720,Data!A:AX,MATCH($B$2,Data!$B$1:$AX$1,0),FALSE)</f>
        <v/>
      </c>
      <c r="C720" s="35">
        <f>(B720/B719)-1</f>
        <v/>
      </c>
      <c r="D720" s="35">
        <f>((1+C720)^12)-1</f>
        <v/>
      </c>
      <c r="E720" s="35">
        <f>(Table143454[[#This Row],[USA]]-B708)/B708</f>
        <v/>
      </c>
      <c r="F720" s="34">
        <f>VLOOKUP(Table143454[[#This Row],[Date]],'Data Core CPI'!$A:$AX,MATCH($B$2,'Data Core CPI'!$B$1:$AX$1,0),FALSE)</f>
        <v/>
      </c>
      <c r="G720" s="35">
        <f>(F720/F719)-1</f>
        <v/>
      </c>
      <c r="H720" s="35">
        <f>((1+G720)^12)-1</f>
        <v/>
      </c>
      <c r="I720" s="35">
        <f>(Table143454[[#This Row],[Core CPI]]-F708)/F708</f>
        <v/>
      </c>
    </row>
    <row r="721">
      <c r="A721" s="33">
        <f>IF(Data!A748="",#N/A,Data!A748)</f>
        <v/>
      </c>
      <c r="B721" s="34">
        <f>VLOOKUP(A721,Data!A:AX,MATCH($B$2,Data!$B$1:$AX$1,0),FALSE)</f>
        <v/>
      </c>
      <c r="C721" s="35">
        <f>(B721/B720)-1</f>
        <v/>
      </c>
      <c r="D721" s="35">
        <f>((1+C721)^12)-1</f>
        <v/>
      </c>
      <c r="E721" s="35">
        <f>(Table143454[[#This Row],[USA]]-B709)/B709</f>
        <v/>
      </c>
      <c r="F721" s="34">
        <f>VLOOKUP(Table143454[[#This Row],[Date]],'Data Core CPI'!$A:$AX,MATCH($B$2,'Data Core CPI'!$B$1:$AX$1,0),FALSE)</f>
        <v/>
      </c>
      <c r="G721" s="35">
        <f>(F721/F720)-1</f>
        <v/>
      </c>
      <c r="H721" s="35">
        <f>((1+G721)^12)-1</f>
        <v/>
      </c>
      <c r="I721" s="35">
        <f>(Table143454[[#This Row],[Core CPI]]-F709)/F709</f>
        <v/>
      </c>
    </row>
    <row r="722">
      <c r="A722" s="33">
        <f>IF(Data!A749="",#N/A,Data!A749)</f>
        <v/>
      </c>
      <c r="B722" s="34">
        <f>VLOOKUP(A722,Data!A:AX,MATCH($B$2,Data!$B$1:$AX$1,0),FALSE)</f>
        <v/>
      </c>
      <c r="C722" s="35">
        <f>(B722/B721)-1</f>
        <v/>
      </c>
      <c r="D722" s="35">
        <f>((1+C722)^12)-1</f>
        <v/>
      </c>
      <c r="E722" s="35">
        <f>(Table143454[[#This Row],[USA]]-B710)/B710</f>
        <v/>
      </c>
      <c r="F722" s="34">
        <f>VLOOKUP(Table143454[[#This Row],[Date]],'Data Core CPI'!$A:$AX,MATCH($B$2,'Data Core CPI'!$B$1:$AX$1,0),FALSE)</f>
        <v/>
      </c>
      <c r="G722" s="35">
        <f>(F722/F721)-1</f>
        <v/>
      </c>
      <c r="H722" s="35">
        <f>((1+G722)^12)-1</f>
        <v/>
      </c>
      <c r="I722" s="35">
        <f>(Table143454[[#This Row],[Core CPI]]-F710)/F710</f>
        <v/>
      </c>
    </row>
    <row r="723">
      <c r="A723" s="33">
        <f>IF(Data!A750="",#N/A,Data!A750)</f>
        <v/>
      </c>
      <c r="B723" s="34">
        <f>VLOOKUP(A723,Data!A:AX,MATCH($B$2,Data!$B$1:$AX$1,0),FALSE)</f>
        <v/>
      </c>
      <c r="C723" s="35">
        <f>(B723/B722)-1</f>
        <v/>
      </c>
      <c r="D723" s="35">
        <f>((1+C723)^12)-1</f>
        <v/>
      </c>
      <c r="E723" s="35">
        <f>(Table143454[[#This Row],[USA]]-B711)/B711</f>
        <v/>
      </c>
      <c r="F723" s="34">
        <f>VLOOKUP(Table143454[[#This Row],[Date]],'Data Core CPI'!$A:$AX,MATCH($B$2,'Data Core CPI'!$B$1:$AX$1,0),FALSE)</f>
        <v/>
      </c>
      <c r="G723" s="35">
        <f>(F723/F722)-1</f>
        <v/>
      </c>
      <c r="H723" s="35">
        <f>((1+G723)^12)-1</f>
        <v/>
      </c>
      <c r="I723" s="35">
        <f>(Table143454[[#This Row],[Core CPI]]-F711)/F711</f>
        <v/>
      </c>
    </row>
    <row r="724">
      <c r="A724" s="33">
        <f>IF(Data!A751="",#N/A,Data!A751)</f>
        <v/>
      </c>
      <c r="B724" s="34">
        <f>VLOOKUP(A724,Data!A:AX,MATCH($B$2,Data!$B$1:$AX$1,0),FALSE)</f>
        <v/>
      </c>
      <c r="C724" s="35">
        <f>(B724/B723)-1</f>
        <v/>
      </c>
      <c r="D724" s="35">
        <f>((1+C724)^12)-1</f>
        <v/>
      </c>
      <c r="E724" s="35">
        <f>(Table143454[[#This Row],[USA]]-B712)/B712</f>
        <v/>
      </c>
      <c r="F724" s="34">
        <f>VLOOKUP(Table143454[[#This Row],[Date]],'Data Core CPI'!$A:$AX,MATCH($B$2,'Data Core CPI'!$B$1:$AX$1,0),FALSE)</f>
        <v/>
      </c>
      <c r="G724" s="35">
        <f>(F724/F723)-1</f>
        <v/>
      </c>
      <c r="H724" s="35">
        <f>((1+G724)^12)-1</f>
        <v/>
      </c>
      <c r="I724" s="35">
        <f>(Table143454[[#This Row],[Core CPI]]-F712)/F712</f>
        <v/>
      </c>
    </row>
    <row r="725">
      <c r="A725" s="33">
        <f>IF(Data!A752="",#N/A,Data!A752)</f>
        <v/>
      </c>
      <c r="B725" s="34">
        <f>VLOOKUP(A725,Data!A:AX,MATCH($B$2,Data!$B$1:$AX$1,0),FALSE)</f>
        <v/>
      </c>
      <c r="C725" s="35">
        <f>(B725/B724)-1</f>
        <v/>
      </c>
      <c r="D725" s="35">
        <f>((1+C725)^12)-1</f>
        <v/>
      </c>
      <c r="E725" s="35">
        <f>(Table143454[[#This Row],[USA]]-B713)/B713</f>
        <v/>
      </c>
      <c r="F725" s="34">
        <f>VLOOKUP(Table143454[[#This Row],[Date]],'Data Core CPI'!$A:$AX,MATCH($B$2,'Data Core CPI'!$B$1:$AX$1,0),FALSE)</f>
        <v/>
      </c>
      <c r="G725" s="35">
        <f>(F725/F724)-1</f>
        <v/>
      </c>
      <c r="H725" s="35">
        <f>((1+G725)^12)-1</f>
        <v/>
      </c>
      <c r="I725" s="35">
        <f>(Table143454[[#This Row],[Core CPI]]-F713)/F713</f>
        <v/>
      </c>
    </row>
    <row r="726">
      <c r="A726" s="33">
        <f>IF(Data!A753="",#N/A,Data!A753)</f>
        <v/>
      </c>
      <c r="B726" s="34">
        <f>VLOOKUP(A726,Data!A:AX,MATCH($B$2,Data!$B$1:$AX$1,0),FALSE)</f>
        <v/>
      </c>
      <c r="C726" s="35">
        <f>(B726/B725)-1</f>
        <v/>
      </c>
      <c r="D726" s="35">
        <f>((1+C726)^12)-1</f>
        <v/>
      </c>
      <c r="E726" s="35">
        <f>(Table143454[[#This Row],[USA]]-B714)/B714</f>
        <v/>
      </c>
      <c r="F726" s="34">
        <f>VLOOKUP(Table143454[[#This Row],[Date]],'Data Core CPI'!$A:$AX,MATCH($B$2,'Data Core CPI'!$B$1:$AX$1,0),FALSE)</f>
        <v/>
      </c>
      <c r="G726" s="35">
        <f>(F726/F725)-1</f>
        <v/>
      </c>
      <c r="H726" s="35">
        <f>((1+G726)^12)-1</f>
        <v/>
      </c>
      <c r="I726" s="35">
        <f>(Table143454[[#This Row],[Core CPI]]-F714)/F714</f>
        <v/>
      </c>
    </row>
    <row r="727">
      <c r="A727" s="33">
        <f>IF(Data!A754="",#N/A,Data!A754)</f>
        <v/>
      </c>
      <c r="B727" s="34">
        <f>VLOOKUP(A727,Data!A:AX,MATCH($B$2,Data!$B$1:$AX$1,0),FALSE)</f>
        <v/>
      </c>
      <c r="C727" s="35">
        <f>(B727/B726)-1</f>
        <v/>
      </c>
      <c r="D727" s="35">
        <f>((1+C727)^12)-1</f>
        <v/>
      </c>
      <c r="E727" s="35">
        <f>(Table143454[[#This Row],[USA]]-B715)/B715</f>
        <v/>
      </c>
      <c r="F727" s="34">
        <f>VLOOKUP(Table143454[[#This Row],[Date]],'Data Core CPI'!$A:$AX,MATCH($B$2,'Data Core CPI'!$B$1:$AX$1,0),FALSE)</f>
        <v/>
      </c>
      <c r="G727" s="35">
        <f>(F727/F726)-1</f>
        <v/>
      </c>
      <c r="H727" s="35">
        <f>((1+G727)^12)-1</f>
        <v/>
      </c>
      <c r="I727" s="35">
        <f>(Table143454[[#This Row],[Core CPI]]-F715)/F715</f>
        <v/>
      </c>
    </row>
    <row r="728">
      <c r="A728" s="33">
        <f>IF(Data!A755="",#N/A,Data!A755)</f>
        <v/>
      </c>
      <c r="B728" s="34">
        <f>VLOOKUP(A728,Data!A:AX,MATCH($B$2,Data!$B$1:$AX$1,0),FALSE)</f>
        <v/>
      </c>
      <c r="C728" s="35">
        <f>(B728/B727)-1</f>
        <v/>
      </c>
      <c r="D728" s="35">
        <f>((1+C728)^12)-1</f>
        <v/>
      </c>
      <c r="E728" s="35">
        <f>(Table143454[[#This Row],[USA]]-B716)/B716</f>
        <v/>
      </c>
      <c r="F728" s="34">
        <f>VLOOKUP(Table143454[[#This Row],[Date]],'Data Core CPI'!$A:$AX,MATCH($B$2,'Data Core CPI'!$B$1:$AX$1,0),FALSE)</f>
        <v/>
      </c>
      <c r="G728" s="35">
        <f>(F728/F727)-1</f>
        <v/>
      </c>
      <c r="H728" s="35">
        <f>((1+G728)^12)-1</f>
        <v/>
      </c>
      <c r="I728" s="35">
        <f>(Table143454[[#This Row],[Core CPI]]-F716)/F716</f>
        <v/>
      </c>
    </row>
    <row r="729">
      <c r="A729" s="33">
        <f>IF(Data!A756="",#N/A,Data!A756)</f>
        <v/>
      </c>
      <c r="B729" s="34">
        <f>VLOOKUP(A729,Data!A:AX,MATCH($B$2,Data!$B$1:$AX$1,0),FALSE)</f>
        <v/>
      </c>
      <c r="C729" s="35">
        <f>(B729/B728)-1</f>
        <v/>
      </c>
      <c r="D729" s="35">
        <f>((1+C729)^12)-1</f>
        <v/>
      </c>
      <c r="E729" s="35">
        <f>(Table143454[[#This Row],[USA]]-B717)/B717</f>
        <v/>
      </c>
      <c r="F729" s="34">
        <f>VLOOKUP(Table143454[[#This Row],[Date]],'Data Core CPI'!$A:$AX,MATCH($B$2,'Data Core CPI'!$B$1:$AX$1,0),FALSE)</f>
        <v/>
      </c>
      <c r="G729" s="35">
        <f>(F729/F728)-1</f>
        <v/>
      </c>
      <c r="H729" s="35">
        <f>((1+G729)^12)-1</f>
        <v/>
      </c>
      <c r="I729" s="35">
        <f>(Table143454[[#This Row],[Core CPI]]-F717)/F717</f>
        <v/>
      </c>
    </row>
    <row r="730">
      <c r="A730" s="33">
        <f>IF(Data!A757="",#N/A,Data!A757)</f>
        <v/>
      </c>
      <c r="B730" s="34">
        <f>VLOOKUP(A730,Data!A:AX,MATCH($B$2,Data!$B$1:$AX$1,0),FALSE)</f>
        <v/>
      </c>
      <c r="C730" s="35">
        <f>(B730/B729)-1</f>
        <v/>
      </c>
      <c r="D730" s="35">
        <f>((1+C730)^12)-1</f>
        <v/>
      </c>
      <c r="E730" s="35">
        <f>(Table143454[[#This Row],[USA]]-B718)/B718</f>
        <v/>
      </c>
      <c r="F730" s="34">
        <f>VLOOKUP(Table143454[[#This Row],[Date]],'Data Core CPI'!$A:$AX,MATCH($B$2,'Data Core CPI'!$B$1:$AX$1,0),FALSE)</f>
        <v/>
      </c>
      <c r="G730" s="35">
        <f>(F730/F729)-1</f>
        <v/>
      </c>
      <c r="H730" s="35">
        <f>((1+G730)^12)-1</f>
        <v/>
      </c>
      <c r="I730" s="35">
        <f>(Table143454[[#This Row],[Core CPI]]-F718)/F718</f>
        <v/>
      </c>
    </row>
    <row r="731">
      <c r="A731" s="33">
        <f>IF(Data!A758="",#N/A,Data!A758)</f>
        <v/>
      </c>
      <c r="B731" s="34">
        <f>VLOOKUP(A731,Data!A:AX,MATCH($B$2,Data!$B$1:$AX$1,0),FALSE)</f>
        <v/>
      </c>
      <c r="C731" s="35">
        <f>(B731/B730)-1</f>
        <v/>
      </c>
      <c r="D731" s="35">
        <f>((1+C731)^12)-1</f>
        <v/>
      </c>
      <c r="E731" s="35">
        <f>(Table143454[[#This Row],[USA]]-B719)/B719</f>
        <v/>
      </c>
      <c r="F731" s="34">
        <f>VLOOKUP(Table143454[[#This Row],[Date]],'Data Core CPI'!$A:$AX,MATCH($B$2,'Data Core CPI'!$B$1:$AX$1,0),FALSE)</f>
        <v/>
      </c>
      <c r="G731" s="35">
        <f>(F731/F730)-1</f>
        <v/>
      </c>
      <c r="H731" s="35">
        <f>((1+G731)^12)-1</f>
        <v/>
      </c>
      <c r="I731" s="35">
        <f>(Table143454[[#This Row],[Core CPI]]-F719)/F719</f>
        <v/>
      </c>
    </row>
    <row r="732">
      <c r="A732" s="33">
        <f>IF(Data!A759="",#N/A,Data!A759)</f>
        <v/>
      </c>
      <c r="B732" s="34">
        <f>VLOOKUP(A732,Data!A:AX,MATCH($B$2,Data!$B$1:$AX$1,0),FALSE)</f>
        <v/>
      </c>
      <c r="C732" s="35">
        <f>(B732/B731)-1</f>
        <v/>
      </c>
      <c r="D732" s="35">
        <f>((1+C732)^12)-1</f>
        <v/>
      </c>
      <c r="E732" s="35">
        <f>(Table143454[[#This Row],[USA]]-B720)/B720</f>
        <v/>
      </c>
      <c r="F732" s="34">
        <f>VLOOKUP(Table143454[[#This Row],[Date]],'Data Core CPI'!$A:$AX,MATCH($B$2,'Data Core CPI'!$B$1:$AX$1,0),FALSE)</f>
        <v/>
      </c>
      <c r="G732" s="35">
        <f>(F732/F731)-1</f>
        <v/>
      </c>
      <c r="H732" s="35">
        <f>((1+G732)^12)-1</f>
        <v/>
      </c>
      <c r="I732" s="35">
        <f>(Table143454[[#This Row],[Core CPI]]-F720)/F720</f>
        <v/>
      </c>
    </row>
    <row r="733">
      <c r="A733" s="33">
        <f>IF(Data!A760="",#N/A,Data!A760)</f>
        <v/>
      </c>
      <c r="B733" s="34">
        <f>VLOOKUP(A733,Data!A:AX,MATCH($B$2,Data!$B$1:$AX$1,0),FALSE)</f>
        <v/>
      </c>
      <c r="C733" s="35">
        <f>(B733/B732)-1</f>
        <v/>
      </c>
      <c r="D733" s="35">
        <f>((1+C733)^12)-1</f>
        <v/>
      </c>
      <c r="E733" s="35">
        <f>(Table143454[[#This Row],[USA]]-B721)/B721</f>
        <v/>
      </c>
      <c r="F733" s="34">
        <f>VLOOKUP(Table143454[[#This Row],[Date]],'Data Core CPI'!$A:$AX,MATCH($B$2,'Data Core CPI'!$B$1:$AX$1,0),FALSE)</f>
        <v/>
      </c>
      <c r="G733" s="35">
        <f>(F733/F732)-1</f>
        <v/>
      </c>
      <c r="H733" s="35">
        <f>((1+G733)^12)-1</f>
        <v/>
      </c>
      <c r="I733" s="35">
        <f>(Table143454[[#This Row],[Core CPI]]-F721)/F721</f>
        <v/>
      </c>
    </row>
    <row r="734">
      <c r="A734" s="33">
        <f>IF(Data!A761="",#N/A,Data!A761)</f>
        <v/>
      </c>
      <c r="B734" s="34">
        <f>VLOOKUP(A734,Data!A:AX,MATCH($B$2,Data!$B$1:$AX$1,0),FALSE)</f>
        <v/>
      </c>
      <c r="C734" s="35">
        <f>(B734/B733)-1</f>
        <v/>
      </c>
      <c r="D734" s="35">
        <f>((1+C734)^12)-1</f>
        <v/>
      </c>
      <c r="E734" s="35">
        <f>(Table143454[[#This Row],[USA]]-B722)/B722</f>
        <v/>
      </c>
      <c r="F734" s="34">
        <f>VLOOKUP(Table143454[[#This Row],[Date]],'Data Core CPI'!$A:$AX,MATCH($B$2,'Data Core CPI'!$B$1:$AX$1,0),FALSE)</f>
        <v/>
      </c>
      <c r="G734" s="35">
        <f>(F734/F733)-1</f>
        <v/>
      </c>
      <c r="H734" s="35">
        <f>((1+G734)^12)-1</f>
        <v/>
      </c>
      <c r="I734" s="35">
        <f>(Table143454[[#This Row],[Core CPI]]-F722)/F722</f>
        <v/>
      </c>
    </row>
    <row r="735">
      <c r="A735" s="33">
        <f>IF(Data!A762="",#N/A,Data!A762)</f>
        <v/>
      </c>
      <c r="B735" s="34">
        <f>VLOOKUP(A735,Data!A:AX,MATCH($B$2,Data!$B$1:$AX$1,0),FALSE)</f>
        <v/>
      </c>
      <c r="C735" s="35">
        <f>(B735/B734)-1</f>
        <v/>
      </c>
      <c r="D735" s="35">
        <f>((1+C735)^12)-1</f>
        <v/>
      </c>
      <c r="E735" s="35">
        <f>(Table143454[[#This Row],[USA]]-B723)/B723</f>
        <v/>
      </c>
      <c r="F735" s="34">
        <f>VLOOKUP(Table143454[[#This Row],[Date]],'Data Core CPI'!$A:$AX,MATCH($B$2,'Data Core CPI'!$B$1:$AX$1,0),FALSE)</f>
        <v/>
      </c>
      <c r="G735" s="35">
        <f>(F735/F734)-1</f>
        <v/>
      </c>
      <c r="H735" s="35">
        <f>((1+G735)^12)-1</f>
        <v/>
      </c>
      <c r="I735" s="35">
        <f>(Table143454[[#This Row],[Core CPI]]-F723)/F723</f>
        <v/>
      </c>
    </row>
    <row r="736">
      <c r="A736" s="33">
        <f>IF(Data!A763="",#N/A,Data!A763)</f>
        <v/>
      </c>
      <c r="B736" s="34">
        <f>VLOOKUP(A736,Data!A:AX,MATCH($B$2,Data!$B$1:$AX$1,0),FALSE)</f>
        <v/>
      </c>
      <c r="C736" s="35">
        <f>(B736/B735)-1</f>
        <v/>
      </c>
      <c r="D736" s="35">
        <f>((1+C736)^12)-1</f>
        <v/>
      </c>
      <c r="E736" s="35">
        <f>(Table143454[[#This Row],[USA]]-B724)/B724</f>
        <v/>
      </c>
      <c r="F736" s="34">
        <f>VLOOKUP(Table143454[[#This Row],[Date]],'Data Core CPI'!$A:$AX,MATCH($B$2,'Data Core CPI'!$B$1:$AX$1,0),FALSE)</f>
        <v/>
      </c>
      <c r="G736" s="35">
        <f>(F736/F735)-1</f>
        <v/>
      </c>
      <c r="H736" s="35">
        <f>((1+G736)^12)-1</f>
        <v/>
      </c>
      <c r="I736" s="35">
        <f>(Table143454[[#This Row],[Core CPI]]-F724)/F724</f>
        <v/>
      </c>
    </row>
    <row r="737">
      <c r="A737" s="33">
        <f>IF(Data!A764="",#N/A,Data!A764)</f>
        <v/>
      </c>
      <c r="B737" s="34">
        <f>VLOOKUP(A737,Data!A:AX,MATCH($B$2,Data!$B$1:$AX$1,0),FALSE)</f>
        <v/>
      </c>
      <c r="C737" s="35">
        <f>(B737/B736)-1</f>
        <v/>
      </c>
      <c r="D737" s="35">
        <f>((1+C737)^12)-1</f>
        <v/>
      </c>
      <c r="E737" s="35">
        <f>(Table143454[[#This Row],[USA]]-B725)/B725</f>
        <v/>
      </c>
      <c r="F737" s="34">
        <f>VLOOKUP(Table143454[[#This Row],[Date]],'Data Core CPI'!$A:$AX,MATCH($B$2,'Data Core CPI'!$B$1:$AX$1,0),FALSE)</f>
        <v/>
      </c>
      <c r="G737" s="35">
        <f>(F737/F736)-1</f>
        <v/>
      </c>
      <c r="H737" s="35">
        <f>((1+G737)^12)-1</f>
        <v/>
      </c>
      <c r="I737" s="35">
        <f>(Table143454[[#This Row],[Core CPI]]-F725)/F725</f>
        <v/>
      </c>
    </row>
    <row r="738">
      <c r="A738" s="33">
        <f>IF(Data!A765="",#N/A,Data!A765)</f>
        <v/>
      </c>
      <c r="B738" s="34">
        <f>VLOOKUP(A738,Data!A:AX,MATCH($B$2,Data!$B$1:$AX$1,0),FALSE)</f>
        <v/>
      </c>
      <c r="C738" s="35">
        <f>(B738/B737)-1</f>
        <v/>
      </c>
      <c r="D738" s="35">
        <f>((1+C738)^12)-1</f>
        <v/>
      </c>
      <c r="E738" s="35">
        <f>(Table143454[[#This Row],[USA]]-B726)/B726</f>
        <v/>
      </c>
      <c r="F738" s="34">
        <f>VLOOKUP(Table143454[[#This Row],[Date]],'Data Core CPI'!$A:$AX,MATCH($B$2,'Data Core CPI'!$B$1:$AX$1,0),FALSE)</f>
        <v/>
      </c>
      <c r="G738" s="35">
        <f>(F738/F737)-1</f>
        <v/>
      </c>
      <c r="H738" s="35">
        <f>((1+G738)^12)-1</f>
        <v/>
      </c>
      <c r="I738" s="35">
        <f>(Table143454[[#This Row],[Core CPI]]-F726)/F726</f>
        <v/>
      </c>
    </row>
    <row r="739">
      <c r="A739" s="33">
        <f>IF(Data!A766="",#N/A,Data!A766)</f>
        <v/>
      </c>
      <c r="B739" s="34">
        <f>VLOOKUP(A739,Data!A:AX,MATCH($B$2,Data!$B$1:$AX$1,0),FALSE)</f>
        <v/>
      </c>
      <c r="C739" s="35">
        <f>(B739/B738)-1</f>
        <v/>
      </c>
      <c r="D739" s="35">
        <f>((1+C739)^12)-1</f>
        <v/>
      </c>
      <c r="E739" s="35">
        <f>(Table143454[[#This Row],[USA]]-B727)/B727</f>
        <v/>
      </c>
      <c r="F739" s="34">
        <f>VLOOKUP(Table143454[[#This Row],[Date]],'Data Core CPI'!$A:$AX,MATCH($B$2,'Data Core CPI'!$B$1:$AX$1,0),FALSE)</f>
        <v/>
      </c>
      <c r="G739" s="35">
        <f>(F739/F738)-1</f>
        <v/>
      </c>
      <c r="H739" s="35">
        <f>((1+G739)^12)-1</f>
        <v/>
      </c>
      <c r="I739" s="35">
        <f>(Table143454[[#This Row],[Core CPI]]-F727)/F727</f>
        <v/>
      </c>
    </row>
    <row r="740">
      <c r="A740" s="33">
        <f>IF(Data!A767="",#N/A,Data!A767)</f>
        <v/>
      </c>
      <c r="B740" s="34">
        <f>VLOOKUP(A740,Data!A:AX,MATCH($B$2,Data!$B$1:$AX$1,0),FALSE)</f>
        <v/>
      </c>
      <c r="C740" s="35">
        <f>(B740/B739)-1</f>
        <v/>
      </c>
      <c r="D740" s="35">
        <f>((1+C740)^12)-1</f>
        <v/>
      </c>
      <c r="E740" s="35">
        <f>(Table143454[[#This Row],[USA]]-B728)/B728</f>
        <v/>
      </c>
      <c r="F740" s="34">
        <f>VLOOKUP(Table143454[[#This Row],[Date]],'Data Core CPI'!$A:$AX,MATCH($B$2,'Data Core CPI'!$B$1:$AX$1,0),FALSE)</f>
        <v/>
      </c>
      <c r="G740" s="35">
        <f>(F740/F739)-1</f>
        <v/>
      </c>
      <c r="H740" s="35">
        <f>((1+G740)^12)-1</f>
        <v/>
      </c>
      <c r="I740" s="35">
        <f>(Table143454[[#This Row],[Core CPI]]-F728)/F728</f>
        <v/>
      </c>
    </row>
    <row r="741">
      <c r="A741" s="33">
        <f>IF(Data!A768="",#N/A,Data!A768)</f>
        <v/>
      </c>
      <c r="B741" s="34">
        <f>VLOOKUP(A741,Data!A:AX,MATCH($B$2,Data!$B$1:$AX$1,0),FALSE)</f>
        <v/>
      </c>
      <c r="C741" s="35">
        <f>(B741/B740)-1</f>
        <v/>
      </c>
      <c r="D741" s="35">
        <f>((1+C741)^12)-1</f>
        <v/>
      </c>
      <c r="E741" s="35">
        <f>(Table143454[[#This Row],[USA]]-B729)/B729</f>
        <v/>
      </c>
      <c r="F741" s="34">
        <f>VLOOKUP(Table143454[[#This Row],[Date]],'Data Core CPI'!$A:$AX,MATCH($B$2,'Data Core CPI'!$B$1:$AX$1,0),FALSE)</f>
        <v/>
      </c>
      <c r="G741" s="35">
        <f>(F741/F740)-1</f>
        <v/>
      </c>
      <c r="H741" s="35">
        <f>((1+G741)^12)-1</f>
        <v/>
      </c>
      <c r="I741" s="35">
        <f>(Table143454[[#This Row],[Core CPI]]-F729)/F729</f>
        <v/>
      </c>
    </row>
    <row r="742">
      <c r="A742" s="33">
        <f>IF(Data!A769="",#N/A,Data!A769)</f>
        <v/>
      </c>
      <c r="B742" s="34">
        <f>VLOOKUP(A742,Data!A:AX,MATCH($B$2,Data!$B$1:$AX$1,0),FALSE)</f>
        <v/>
      </c>
      <c r="C742" s="35">
        <f>(B742/B741)-1</f>
        <v/>
      </c>
      <c r="D742" s="35">
        <f>((1+C742)^12)-1</f>
        <v/>
      </c>
      <c r="E742" s="35">
        <f>(Table143454[[#This Row],[USA]]-B730)/B730</f>
        <v/>
      </c>
      <c r="F742" s="34">
        <f>VLOOKUP(Table143454[[#This Row],[Date]],'Data Core CPI'!$A:$AX,MATCH($B$2,'Data Core CPI'!$B$1:$AX$1,0),FALSE)</f>
        <v/>
      </c>
      <c r="G742" s="35">
        <f>(F742/F741)-1</f>
        <v/>
      </c>
      <c r="H742" s="35">
        <f>((1+G742)^12)-1</f>
        <v/>
      </c>
      <c r="I742" s="35">
        <f>(Table143454[[#This Row],[Core CPI]]-F730)/F730</f>
        <v/>
      </c>
    </row>
    <row r="743">
      <c r="A743" s="33">
        <f>IF(Data!A770="",#N/A,Data!A770)</f>
        <v/>
      </c>
      <c r="B743" s="34">
        <f>VLOOKUP(A743,Data!A:AX,MATCH($B$2,Data!$B$1:$AX$1,0),FALSE)</f>
        <v/>
      </c>
      <c r="C743" s="35">
        <f>(B743/B742)-1</f>
        <v/>
      </c>
      <c r="D743" s="35">
        <f>((1+C743)^12)-1</f>
        <v/>
      </c>
      <c r="E743" s="35">
        <f>(Table143454[[#This Row],[USA]]-B731)/B731</f>
        <v/>
      </c>
      <c r="F743" s="34">
        <f>VLOOKUP(Table143454[[#This Row],[Date]],'Data Core CPI'!$A:$AX,MATCH($B$2,'Data Core CPI'!$B$1:$AX$1,0),FALSE)</f>
        <v/>
      </c>
      <c r="G743" s="35">
        <f>(F743/F742)-1</f>
        <v/>
      </c>
      <c r="H743" s="35">
        <f>((1+G743)^12)-1</f>
        <v/>
      </c>
      <c r="I743" s="35">
        <f>(Table143454[[#This Row],[Core CPI]]-F731)/F731</f>
        <v/>
      </c>
    </row>
    <row r="744">
      <c r="A744" s="33">
        <f>IF(Data!A771="",#N/A,Data!A771)</f>
        <v/>
      </c>
      <c r="B744" s="34">
        <f>VLOOKUP(A744,Data!A:AX,MATCH($B$2,Data!$B$1:$AX$1,0),FALSE)</f>
        <v/>
      </c>
      <c r="C744" s="35">
        <f>(B744/B743)-1</f>
        <v/>
      </c>
      <c r="D744" s="35">
        <f>((1+C744)^12)-1</f>
        <v/>
      </c>
      <c r="E744" s="35">
        <f>(Table143454[[#This Row],[USA]]-B732)/B732</f>
        <v/>
      </c>
      <c r="F744" s="34">
        <f>VLOOKUP(Table143454[[#This Row],[Date]],'Data Core CPI'!$A:$AX,MATCH($B$2,'Data Core CPI'!$B$1:$AX$1,0),FALSE)</f>
        <v/>
      </c>
      <c r="G744" s="35">
        <f>(F744/F743)-1</f>
        <v/>
      </c>
      <c r="H744" s="35">
        <f>((1+G744)^12)-1</f>
        <v/>
      </c>
      <c r="I744" s="35">
        <f>(Table143454[[#This Row],[Core CPI]]-F732)/F732</f>
        <v/>
      </c>
    </row>
    <row r="745">
      <c r="A745" s="33">
        <f>IF(Data!A772="",#N/A,Data!A772)</f>
        <v/>
      </c>
      <c r="B745" s="34">
        <f>VLOOKUP(A745,Data!A:AX,MATCH($B$2,Data!$B$1:$AX$1,0),FALSE)</f>
        <v/>
      </c>
      <c r="C745" s="35">
        <f>(B745/B744)-1</f>
        <v/>
      </c>
      <c r="D745" s="35">
        <f>((1+C745)^12)-1</f>
        <v/>
      </c>
      <c r="E745" s="35">
        <f>(Table143454[[#This Row],[USA]]-B733)/B733</f>
        <v/>
      </c>
      <c r="F745" s="34">
        <f>VLOOKUP(Table143454[[#This Row],[Date]],'Data Core CPI'!$A:$AX,MATCH($B$2,'Data Core CPI'!$B$1:$AX$1,0),FALSE)</f>
        <v/>
      </c>
      <c r="G745" s="35">
        <f>(F745/F744)-1</f>
        <v/>
      </c>
      <c r="H745" s="35">
        <f>((1+G745)^12)-1</f>
        <v/>
      </c>
      <c r="I745" s="35">
        <f>(Table143454[[#This Row],[Core CPI]]-F733)/F733</f>
        <v/>
      </c>
    </row>
    <row r="746">
      <c r="A746" s="33">
        <f>IF(Data!A773="",#N/A,Data!A773)</f>
        <v/>
      </c>
      <c r="B746" s="34">
        <f>VLOOKUP(A746,Data!A:AX,MATCH($B$2,Data!$B$1:$AX$1,0),FALSE)</f>
        <v/>
      </c>
      <c r="C746" s="35">
        <f>(B746/B745)-1</f>
        <v/>
      </c>
      <c r="D746" s="35">
        <f>((1+C746)^12)-1</f>
        <v/>
      </c>
      <c r="E746" s="35">
        <f>(Table143454[[#This Row],[USA]]-B734)/B734</f>
        <v/>
      </c>
      <c r="F746" s="34">
        <f>VLOOKUP(Table143454[[#This Row],[Date]],'Data Core CPI'!$A:$AX,MATCH($B$2,'Data Core CPI'!$B$1:$AX$1,0),FALSE)</f>
        <v/>
      </c>
      <c r="G746" s="35">
        <f>(F746/F745)-1</f>
        <v/>
      </c>
      <c r="H746" s="35">
        <f>((1+G746)^12)-1</f>
        <v/>
      </c>
      <c r="I746" s="35">
        <f>(Table143454[[#This Row],[Core CPI]]-F734)/F734</f>
        <v/>
      </c>
    </row>
    <row r="747">
      <c r="A747" s="33">
        <f>IF(Data!A774="",#N/A,Data!A774)</f>
        <v/>
      </c>
      <c r="B747" s="34">
        <f>VLOOKUP(A747,Data!A:AX,MATCH($B$2,Data!$B$1:$AX$1,0),FALSE)</f>
        <v/>
      </c>
      <c r="C747" s="35">
        <f>(B747/B746)-1</f>
        <v/>
      </c>
      <c r="D747" s="35">
        <f>((1+C747)^12)-1</f>
        <v/>
      </c>
      <c r="E747" s="35">
        <f>(Table143454[[#This Row],[USA]]-B735)/B735</f>
        <v/>
      </c>
      <c r="F747" s="34">
        <f>VLOOKUP(Table143454[[#This Row],[Date]],'Data Core CPI'!$A:$AX,MATCH($B$2,'Data Core CPI'!$B$1:$AX$1,0),FALSE)</f>
        <v/>
      </c>
      <c r="G747" s="35">
        <f>(F747/F746)-1</f>
        <v/>
      </c>
      <c r="H747" s="35">
        <f>((1+G747)^12)-1</f>
        <v/>
      </c>
      <c r="I747" s="35">
        <f>(Table143454[[#This Row],[Core CPI]]-F735)/F735</f>
        <v/>
      </c>
    </row>
    <row r="748">
      <c r="A748" s="33">
        <f>IF(Data!A775="",#N/A,Data!A775)</f>
        <v/>
      </c>
      <c r="B748" s="34">
        <f>VLOOKUP(A748,Data!A:AX,MATCH($B$2,Data!$B$1:$AX$1,0),FALSE)</f>
        <v/>
      </c>
      <c r="C748" s="35">
        <f>(B748/B747)-1</f>
        <v/>
      </c>
      <c r="D748" s="35">
        <f>((1+C748)^12)-1</f>
        <v/>
      </c>
      <c r="E748" s="35">
        <f>(Table143454[[#This Row],[USA]]-B736)/B736</f>
        <v/>
      </c>
      <c r="F748" s="34">
        <f>VLOOKUP(Table143454[[#This Row],[Date]],'Data Core CPI'!$A:$AX,MATCH($B$2,'Data Core CPI'!$B$1:$AX$1,0),FALSE)</f>
        <v/>
      </c>
      <c r="G748" s="35">
        <f>(F748/F747)-1</f>
        <v/>
      </c>
      <c r="H748" s="35">
        <f>((1+G748)^12)-1</f>
        <v/>
      </c>
      <c r="I748" s="35">
        <f>(Table143454[[#This Row],[Core CPI]]-F736)/F736</f>
        <v/>
      </c>
    </row>
    <row r="749">
      <c r="A749" s="33">
        <f>IF(Data!A776="",#N/A,Data!A776)</f>
        <v/>
      </c>
      <c r="B749" s="34">
        <f>VLOOKUP(A749,Data!A:AX,MATCH($B$2,Data!$B$1:$AX$1,0),FALSE)</f>
        <v/>
      </c>
      <c r="C749" s="35">
        <f>(B749/B748)-1</f>
        <v/>
      </c>
      <c r="D749" s="35">
        <f>((1+C749)^12)-1</f>
        <v/>
      </c>
      <c r="E749" s="35">
        <f>(Table143454[[#This Row],[USA]]-B737)/B737</f>
        <v/>
      </c>
      <c r="F749" s="34">
        <f>VLOOKUP(Table143454[[#This Row],[Date]],'Data Core CPI'!$A:$AX,MATCH($B$2,'Data Core CPI'!$B$1:$AX$1,0),FALSE)</f>
        <v/>
      </c>
      <c r="G749" s="35">
        <f>(F749/F748)-1</f>
        <v/>
      </c>
      <c r="H749" s="35">
        <f>((1+G749)^12)-1</f>
        <v/>
      </c>
      <c r="I749" s="35">
        <f>(Table143454[[#This Row],[Core CPI]]-F737)/F737</f>
        <v/>
      </c>
    </row>
    <row r="750">
      <c r="A750" s="33">
        <f>IF(Data!A777="",#N/A,Data!A777)</f>
        <v/>
      </c>
      <c r="B750" s="34">
        <f>VLOOKUP(A750,Data!A:AX,MATCH($B$2,Data!$B$1:$AX$1,0),FALSE)</f>
        <v/>
      </c>
      <c r="C750" s="35">
        <f>(B750/B749)-1</f>
        <v/>
      </c>
      <c r="D750" s="35">
        <f>((1+C750)^12)-1</f>
        <v/>
      </c>
      <c r="E750" s="35">
        <f>(Table143454[[#This Row],[USA]]-B738)/B738</f>
        <v/>
      </c>
      <c r="F750" s="34">
        <f>VLOOKUP(Table143454[[#This Row],[Date]],'Data Core CPI'!$A:$AX,MATCH($B$2,'Data Core CPI'!$B$1:$AX$1,0),FALSE)</f>
        <v/>
      </c>
      <c r="G750" s="35">
        <f>(F750/F749)-1</f>
        <v/>
      </c>
      <c r="H750" s="35">
        <f>((1+G750)^12)-1</f>
        <v/>
      </c>
      <c r="I750" s="35">
        <f>(Table143454[[#This Row],[Core CPI]]-F738)/F738</f>
        <v/>
      </c>
    </row>
    <row r="751">
      <c r="A751" s="33">
        <f>IF(Data!A778="",#N/A,Data!A778)</f>
        <v/>
      </c>
      <c r="B751" s="34">
        <f>VLOOKUP(A751,Data!A:AX,MATCH($B$2,Data!$B$1:$AX$1,0),FALSE)</f>
        <v/>
      </c>
      <c r="C751" s="35">
        <f>(B751/B750)-1</f>
        <v/>
      </c>
      <c r="D751" s="35">
        <f>((1+C751)^12)-1</f>
        <v/>
      </c>
      <c r="E751" s="35">
        <f>(Table143454[[#This Row],[USA]]-B739)/B739</f>
        <v/>
      </c>
      <c r="F751" s="34">
        <f>VLOOKUP(Table143454[[#This Row],[Date]],'Data Core CPI'!$A:$AX,MATCH($B$2,'Data Core CPI'!$B$1:$AX$1,0),FALSE)</f>
        <v/>
      </c>
      <c r="G751" s="35">
        <f>(F751/F750)-1</f>
        <v/>
      </c>
      <c r="H751" s="35">
        <f>((1+G751)^12)-1</f>
        <v/>
      </c>
      <c r="I751" s="35">
        <f>(Table143454[[#This Row],[Core CPI]]-F739)/F739</f>
        <v/>
      </c>
    </row>
    <row r="752">
      <c r="A752" s="33">
        <f>IF(Data!A779="",#N/A,Data!A779)</f>
        <v/>
      </c>
      <c r="B752" s="34">
        <f>VLOOKUP(A752,Data!A:AX,MATCH($B$2,Data!$B$1:$AX$1,0),FALSE)</f>
        <v/>
      </c>
      <c r="C752" s="35">
        <f>(B752/B751)-1</f>
        <v/>
      </c>
      <c r="D752" s="35">
        <f>((1+C752)^12)-1</f>
        <v/>
      </c>
      <c r="E752" s="35">
        <f>(Table143454[[#This Row],[USA]]-B740)/B740</f>
        <v/>
      </c>
      <c r="F752" s="34">
        <f>VLOOKUP(Table143454[[#This Row],[Date]],'Data Core CPI'!$A:$AX,MATCH($B$2,'Data Core CPI'!$B$1:$AX$1,0),FALSE)</f>
        <v/>
      </c>
      <c r="G752" s="35">
        <f>(F752/F751)-1</f>
        <v/>
      </c>
      <c r="H752" s="35">
        <f>((1+G752)^12)-1</f>
        <v/>
      </c>
      <c r="I752" s="35">
        <f>(Table143454[[#This Row],[Core CPI]]-F740)/F740</f>
        <v/>
      </c>
    </row>
    <row r="753">
      <c r="A753" s="33">
        <f>IF(Data!A780="",#N/A,Data!A780)</f>
        <v/>
      </c>
      <c r="B753" s="34">
        <f>VLOOKUP(A753,Data!A:AX,MATCH($B$2,Data!$B$1:$AX$1,0),FALSE)</f>
        <v/>
      </c>
      <c r="C753" s="35">
        <f>(B753/B752)-1</f>
        <v/>
      </c>
      <c r="D753" s="35">
        <f>((1+C753)^12)-1</f>
        <v/>
      </c>
      <c r="E753" s="35">
        <f>(Table143454[[#This Row],[USA]]-B741)/B741</f>
        <v/>
      </c>
      <c r="F753" s="34">
        <f>VLOOKUP(Table143454[[#This Row],[Date]],'Data Core CPI'!$A:$AX,MATCH($B$2,'Data Core CPI'!$B$1:$AX$1,0),FALSE)</f>
        <v/>
      </c>
      <c r="G753" s="35">
        <f>(F753/F752)-1</f>
        <v/>
      </c>
      <c r="H753" s="35">
        <f>((1+G753)^12)-1</f>
        <v/>
      </c>
      <c r="I753" s="35">
        <f>(Table143454[[#This Row],[Core CPI]]-F741)/F741</f>
        <v/>
      </c>
    </row>
    <row r="754">
      <c r="A754" s="33">
        <f>IF(Data!A781="",#N/A,Data!A781)</f>
        <v/>
      </c>
      <c r="B754" s="34">
        <f>VLOOKUP(A754,Data!A:AX,MATCH($B$2,Data!$B$1:$AX$1,0),FALSE)</f>
        <v/>
      </c>
      <c r="C754" s="35">
        <f>(B754/B753)-1</f>
        <v/>
      </c>
      <c r="D754" s="35">
        <f>((1+C754)^12)-1</f>
        <v/>
      </c>
      <c r="E754" s="35">
        <f>(Table143454[[#This Row],[USA]]-B742)/B742</f>
        <v/>
      </c>
      <c r="F754" s="34">
        <f>VLOOKUP(Table143454[[#This Row],[Date]],'Data Core CPI'!$A:$AX,MATCH($B$2,'Data Core CPI'!$B$1:$AX$1,0),FALSE)</f>
        <v/>
      </c>
      <c r="G754" s="35">
        <f>(F754/F753)-1</f>
        <v/>
      </c>
      <c r="H754" s="35">
        <f>((1+G754)^12)-1</f>
        <v/>
      </c>
      <c r="I754" s="35">
        <f>(Table143454[[#This Row],[Core CPI]]-F742)/F742</f>
        <v/>
      </c>
    </row>
    <row r="755">
      <c r="A755" s="33">
        <f>IF(Data!A782="",#N/A,Data!A782)</f>
        <v/>
      </c>
      <c r="B755" s="34">
        <f>VLOOKUP(A755,Data!A:AX,MATCH($B$2,Data!$B$1:$AX$1,0),FALSE)</f>
        <v/>
      </c>
      <c r="C755" s="35">
        <f>(B755/B754)-1</f>
        <v/>
      </c>
      <c r="D755" s="35">
        <f>((1+C755)^12)-1</f>
        <v/>
      </c>
      <c r="E755" s="35">
        <f>(Table143454[[#This Row],[USA]]-B743)/B743</f>
        <v/>
      </c>
      <c r="F755" s="34">
        <f>VLOOKUP(Table143454[[#This Row],[Date]],'Data Core CPI'!$A:$AX,MATCH($B$2,'Data Core CPI'!$B$1:$AX$1,0),FALSE)</f>
        <v/>
      </c>
      <c r="G755" s="35">
        <f>(F755/F754)-1</f>
        <v/>
      </c>
      <c r="H755" s="35">
        <f>((1+G755)^12)-1</f>
        <v/>
      </c>
      <c r="I755" s="35">
        <f>(Table143454[[#This Row],[Core CPI]]-F743)/F743</f>
        <v/>
      </c>
    </row>
    <row r="756">
      <c r="A756" s="33">
        <f>IF(Data!A783="",#N/A,Data!A783)</f>
        <v/>
      </c>
      <c r="B756" s="34">
        <f>VLOOKUP(A756,Data!A:AX,MATCH($B$2,Data!$B$1:$AX$1,0),FALSE)</f>
        <v/>
      </c>
      <c r="C756" s="35">
        <f>(B756/B755)-1</f>
        <v/>
      </c>
      <c r="D756" s="35">
        <f>((1+C756)^12)-1</f>
        <v/>
      </c>
      <c r="E756" s="35">
        <f>(Table143454[[#This Row],[USA]]-B744)/B744</f>
        <v/>
      </c>
      <c r="F756" s="34">
        <f>VLOOKUP(Table143454[[#This Row],[Date]],'Data Core CPI'!$A:$AX,MATCH($B$2,'Data Core CPI'!$B$1:$AX$1,0),FALSE)</f>
        <v/>
      </c>
      <c r="G756" s="35">
        <f>(F756/F755)-1</f>
        <v/>
      </c>
      <c r="H756" s="35">
        <f>((1+G756)^12)-1</f>
        <v/>
      </c>
      <c r="I756" s="35">
        <f>(Table143454[[#This Row],[Core CPI]]-F744)/F744</f>
        <v/>
      </c>
    </row>
    <row r="757">
      <c r="A757" s="33">
        <f>IF(Data!A784="",#N/A,Data!A784)</f>
        <v/>
      </c>
      <c r="B757" s="34">
        <f>VLOOKUP(A757,Data!A:AX,MATCH($B$2,Data!$B$1:$AX$1,0),FALSE)</f>
        <v/>
      </c>
      <c r="C757" s="35">
        <f>(B757/B756)-1</f>
        <v/>
      </c>
      <c r="D757" s="35">
        <f>((1+C757)^12)-1</f>
        <v/>
      </c>
      <c r="E757" s="35">
        <f>(Table143454[[#This Row],[USA]]-B745)/B745</f>
        <v/>
      </c>
      <c r="F757" s="34">
        <f>VLOOKUP(Table143454[[#This Row],[Date]],'Data Core CPI'!$A:$AX,MATCH($B$2,'Data Core CPI'!$B$1:$AX$1,0),FALSE)</f>
        <v/>
      </c>
      <c r="G757" s="35">
        <f>(F757/F756)-1</f>
        <v/>
      </c>
      <c r="H757" s="35">
        <f>((1+G757)^12)-1</f>
        <v/>
      </c>
      <c r="I757" s="35">
        <f>(Table143454[[#This Row],[Core CPI]]-F745)/F745</f>
        <v/>
      </c>
    </row>
    <row r="758">
      <c r="A758" s="33">
        <f>IF(Data!A785="",#N/A,Data!A785)</f>
        <v/>
      </c>
      <c r="B758" s="34">
        <f>VLOOKUP(A758,Data!A:AX,MATCH($B$2,Data!$B$1:$AX$1,0),FALSE)</f>
        <v/>
      </c>
      <c r="C758" s="35">
        <f>(B758/B757)-1</f>
        <v/>
      </c>
      <c r="D758" s="35">
        <f>((1+C758)^12)-1</f>
        <v/>
      </c>
      <c r="E758" s="35">
        <f>(Table143454[[#This Row],[USA]]-B746)/B746</f>
        <v/>
      </c>
      <c r="F758" s="34">
        <f>VLOOKUP(Table143454[[#This Row],[Date]],'Data Core CPI'!$A:$AX,MATCH($B$2,'Data Core CPI'!$B$1:$AX$1,0),FALSE)</f>
        <v/>
      </c>
      <c r="G758" s="35">
        <f>(F758/F757)-1</f>
        <v/>
      </c>
      <c r="H758" s="35">
        <f>((1+G758)^12)-1</f>
        <v/>
      </c>
      <c r="I758" s="35">
        <f>(Table143454[[#This Row],[Core CPI]]-F746)/F746</f>
        <v/>
      </c>
    </row>
    <row r="759">
      <c r="A759" s="33">
        <f>IF(Data!A786="",#N/A,Data!A786)</f>
        <v/>
      </c>
      <c r="B759" s="34">
        <f>VLOOKUP(A759,Data!A:AX,MATCH($B$2,Data!$B$1:$AX$1,0),FALSE)</f>
        <v/>
      </c>
      <c r="C759" s="35">
        <f>(B759/B758)-1</f>
        <v/>
      </c>
      <c r="D759" s="35">
        <f>((1+C759)^12)-1</f>
        <v/>
      </c>
      <c r="E759" s="35">
        <f>(Table143454[[#This Row],[USA]]-B747)/B747</f>
        <v/>
      </c>
      <c r="F759" s="34">
        <f>VLOOKUP(Table143454[[#This Row],[Date]],'Data Core CPI'!$A:$AX,MATCH($B$2,'Data Core CPI'!$B$1:$AX$1,0),FALSE)</f>
        <v/>
      </c>
      <c r="G759" s="35">
        <f>(F759/F758)-1</f>
        <v/>
      </c>
      <c r="H759" s="35">
        <f>((1+G759)^12)-1</f>
        <v/>
      </c>
      <c r="I759" s="35">
        <f>(Table143454[[#This Row],[Core CPI]]-F747)/F747</f>
        <v/>
      </c>
    </row>
    <row r="760">
      <c r="A760" s="33">
        <f>IF(Data!A787="",#N/A,Data!A787)</f>
        <v/>
      </c>
      <c r="B760" s="34">
        <f>VLOOKUP(A760,Data!A:AX,MATCH($B$2,Data!$B$1:$AX$1,0),FALSE)</f>
        <v/>
      </c>
      <c r="C760" s="35">
        <f>(B760/B759)-1</f>
        <v/>
      </c>
      <c r="D760" s="35">
        <f>((1+C760)^12)-1</f>
        <v/>
      </c>
      <c r="E760" s="35">
        <f>(Table143454[[#This Row],[USA]]-B748)/B748</f>
        <v/>
      </c>
      <c r="F760" s="34">
        <f>VLOOKUP(Table143454[[#This Row],[Date]],'Data Core CPI'!$A:$AX,MATCH($B$2,'Data Core CPI'!$B$1:$AX$1,0),FALSE)</f>
        <v/>
      </c>
      <c r="G760" s="35">
        <f>(F760/F759)-1</f>
        <v/>
      </c>
      <c r="H760" s="35">
        <f>((1+G760)^12)-1</f>
        <v/>
      </c>
      <c r="I760" s="35">
        <f>(Table143454[[#This Row],[Core CPI]]-F748)/F748</f>
        <v/>
      </c>
    </row>
    <row r="761">
      <c r="A761" s="33">
        <f>IF(Data!A788="",#N/A,Data!A788)</f>
        <v/>
      </c>
      <c r="B761" s="34">
        <f>VLOOKUP(A761,Data!A:AX,MATCH($B$2,Data!$B$1:$AX$1,0),FALSE)</f>
        <v/>
      </c>
      <c r="C761" s="35">
        <f>(B761/B760)-1</f>
        <v/>
      </c>
      <c r="D761" s="35">
        <f>((1+C761)^12)-1</f>
        <v/>
      </c>
      <c r="E761" s="35">
        <f>(Table143454[[#This Row],[USA]]-B749)/B749</f>
        <v/>
      </c>
      <c r="F761" s="34">
        <f>VLOOKUP(Table143454[[#This Row],[Date]],'Data Core CPI'!$A:$AX,MATCH($B$2,'Data Core CPI'!$B$1:$AX$1,0),FALSE)</f>
        <v/>
      </c>
      <c r="G761" s="35">
        <f>(F761/F760)-1</f>
        <v/>
      </c>
      <c r="H761" s="35">
        <f>((1+G761)^12)-1</f>
        <v/>
      </c>
      <c r="I761" s="35">
        <f>(Table143454[[#This Row],[Core CPI]]-F749)/F749</f>
        <v/>
      </c>
    </row>
    <row r="762">
      <c r="A762" s="33">
        <f>IF(Data!A789="",#N/A,Data!A789)</f>
        <v/>
      </c>
      <c r="B762" s="34">
        <f>VLOOKUP(A762,Data!A:AX,MATCH($B$2,Data!$B$1:$AX$1,0),FALSE)</f>
        <v/>
      </c>
      <c r="C762" s="35">
        <f>(B762/B761)-1</f>
        <v/>
      </c>
      <c r="D762" s="35">
        <f>((1+C762)^12)-1</f>
        <v/>
      </c>
      <c r="E762" s="35">
        <f>(Table143454[[#This Row],[USA]]-B750)/B750</f>
        <v/>
      </c>
      <c r="F762" s="34">
        <f>VLOOKUP(Table143454[[#This Row],[Date]],'Data Core CPI'!$A:$AX,MATCH($B$2,'Data Core CPI'!$B$1:$AX$1,0),FALSE)</f>
        <v/>
      </c>
      <c r="G762" s="35">
        <f>(F762/F761)-1</f>
        <v/>
      </c>
      <c r="H762" s="35">
        <f>((1+G762)^12)-1</f>
        <v/>
      </c>
      <c r="I762" s="35">
        <f>(Table143454[[#This Row],[Core CPI]]-F750)/F750</f>
        <v/>
      </c>
    </row>
    <row r="763">
      <c r="A763" s="33">
        <f>IF(Data!A790="",#N/A,Data!A790)</f>
        <v/>
      </c>
      <c r="B763" s="34">
        <f>VLOOKUP(A763,Data!A:AX,MATCH($B$2,Data!$B$1:$AX$1,0),FALSE)</f>
        <v/>
      </c>
      <c r="C763" s="35">
        <f>(B763/B762)-1</f>
        <v/>
      </c>
      <c r="D763" s="35">
        <f>((1+C763)^12)-1</f>
        <v/>
      </c>
      <c r="E763" s="35">
        <f>(Table143454[[#This Row],[USA]]-B751)/B751</f>
        <v/>
      </c>
      <c r="F763" s="34">
        <f>VLOOKUP(Table143454[[#This Row],[Date]],'Data Core CPI'!$A:$AX,MATCH($B$2,'Data Core CPI'!$B$1:$AX$1,0),FALSE)</f>
        <v/>
      </c>
      <c r="G763" s="35">
        <f>(F763/F762)-1</f>
        <v/>
      </c>
      <c r="H763" s="35">
        <f>((1+G763)^12)-1</f>
        <v/>
      </c>
      <c r="I763" s="35">
        <f>(Table143454[[#This Row],[Core CPI]]-F751)/F751</f>
        <v/>
      </c>
    </row>
    <row r="764">
      <c r="A764" s="33">
        <f>IF(Data!A791="",#N/A,Data!A791)</f>
        <v/>
      </c>
      <c r="B764" s="34">
        <f>VLOOKUP(A764,Data!A:AX,MATCH($B$2,Data!$B$1:$AX$1,0),FALSE)</f>
        <v/>
      </c>
      <c r="C764" s="35">
        <f>(B764/B763)-1</f>
        <v/>
      </c>
      <c r="D764" s="35">
        <f>((1+C764)^12)-1</f>
        <v/>
      </c>
      <c r="E764" s="35">
        <f>(Table143454[[#This Row],[USA]]-B752)/B752</f>
        <v/>
      </c>
      <c r="F764" s="34">
        <f>VLOOKUP(Table143454[[#This Row],[Date]],'Data Core CPI'!$A:$AX,MATCH($B$2,'Data Core CPI'!$B$1:$AX$1,0),FALSE)</f>
        <v/>
      </c>
      <c r="G764" s="35">
        <f>(F764/F763)-1</f>
        <v/>
      </c>
      <c r="H764" s="35">
        <f>((1+G764)^12)-1</f>
        <v/>
      </c>
      <c r="I764" s="35">
        <f>(Table143454[[#This Row],[Core CPI]]-F752)/F752</f>
        <v/>
      </c>
    </row>
    <row r="765">
      <c r="A765" s="33">
        <f>IF(Data!A792="",#N/A,Data!A792)</f>
        <v/>
      </c>
      <c r="B765" s="34">
        <f>VLOOKUP(A765,Data!A:AX,MATCH($B$2,Data!$B$1:$AX$1,0),FALSE)</f>
        <v/>
      </c>
      <c r="C765" s="35">
        <f>(B765/B764)-1</f>
        <v/>
      </c>
      <c r="D765" s="35">
        <f>((1+C765)^12)-1</f>
        <v/>
      </c>
      <c r="E765" s="35">
        <f>(Table143454[[#This Row],[USA]]-B753)/B753</f>
        <v/>
      </c>
      <c r="F765" s="34">
        <f>VLOOKUP(Table143454[[#This Row],[Date]],'Data Core CPI'!$A:$AX,MATCH($B$2,'Data Core CPI'!$B$1:$AX$1,0),FALSE)</f>
        <v/>
      </c>
      <c r="G765" s="35">
        <f>(F765/F764)-1</f>
        <v/>
      </c>
      <c r="H765" s="35">
        <f>((1+G765)^12)-1</f>
        <v/>
      </c>
      <c r="I765" s="35">
        <f>(Table143454[[#This Row],[Core CPI]]-F753)/F753</f>
        <v/>
      </c>
    </row>
    <row r="766">
      <c r="A766" s="33">
        <f>IF(Data!A793="",#N/A,Data!A793)</f>
        <v/>
      </c>
      <c r="B766" s="34">
        <f>VLOOKUP(A766,Data!A:AX,MATCH($B$2,Data!$B$1:$AX$1,0),FALSE)</f>
        <v/>
      </c>
      <c r="C766" s="35">
        <f>(B766/B765)-1</f>
        <v/>
      </c>
      <c r="D766" s="35">
        <f>((1+C766)^12)-1</f>
        <v/>
      </c>
      <c r="E766" s="35">
        <f>(Table143454[[#This Row],[USA]]-B754)/B754</f>
        <v/>
      </c>
      <c r="F766" s="34">
        <f>VLOOKUP(Table143454[[#This Row],[Date]],'Data Core CPI'!$A:$AX,MATCH($B$2,'Data Core CPI'!$B$1:$AX$1,0),FALSE)</f>
        <v/>
      </c>
      <c r="G766" s="35">
        <f>(F766/F765)-1</f>
        <v/>
      </c>
      <c r="H766" s="35">
        <f>((1+G766)^12)-1</f>
        <v/>
      </c>
      <c r="I766" s="35">
        <f>(Table143454[[#This Row],[Core CPI]]-F754)/F754</f>
        <v/>
      </c>
    </row>
    <row r="767">
      <c r="A767" s="33">
        <f>IF(Data!A794="",#N/A,Data!A794)</f>
        <v/>
      </c>
      <c r="B767" s="34">
        <f>VLOOKUP(A767,Data!A:AX,MATCH($B$2,Data!$B$1:$AX$1,0),FALSE)</f>
        <v/>
      </c>
      <c r="C767" s="35">
        <f>(B767/B766)-1</f>
        <v/>
      </c>
      <c r="D767" s="35">
        <f>((1+C767)^12)-1</f>
        <v/>
      </c>
      <c r="E767" s="35">
        <f>(Table143454[[#This Row],[USA]]-B755)/B755</f>
        <v/>
      </c>
      <c r="F767" s="34">
        <f>VLOOKUP(Table143454[[#This Row],[Date]],'Data Core CPI'!$A:$AX,MATCH($B$2,'Data Core CPI'!$B$1:$AX$1,0),FALSE)</f>
        <v/>
      </c>
      <c r="G767" s="35">
        <f>(F767/F766)-1</f>
        <v/>
      </c>
      <c r="H767" s="35">
        <f>((1+G767)^12)-1</f>
        <v/>
      </c>
      <c r="I767" s="35">
        <f>(Table143454[[#This Row],[Core CPI]]-F755)/F755</f>
        <v/>
      </c>
    </row>
    <row r="768">
      <c r="A768" s="33">
        <f>IF(Data!A795="",#N/A,Data!A795)</f>
        <v/>
      </c>
      <c r="B768" s="34">
        <f>VLOOKUP(A768,Data!A:AX,MATCH($B$2,Data!$B$1:$AX$1,0),FALSE)</f>
        <v/>
      </c>
      <c r="C768" s="35">
        <f>(B768/B767)-1</f>
        <v/>
      </c>
      <c r="D768" s="35">
        <f>((1+C768)^12)-1</f>
        <v/>
      </c>
      <c r="E768" s="35">
        <f>(Table143454[[#This Row],[USA]]-B756)/B756</f>
        <v/>
      </c>
      <c r="F768" s="34">
        <f>VLOOKUP(Table143454[[#This Row],[Date]],'Data Core CPI'!$A:$AX,MATCH($B$2,'Data Core CPI'!$B$1:$AX$1,0),FALSE)</f>
        <v/>
      </c>
      <c r="G768" s="35">
        <f>(F768/F767)-1</f>
        <v/>
      </c>
      <c r="H768" s="35">
        <f>((1+G768)^12)-1</f>
        <v/>
      </c>
      <c r="I768" s="35">
        <f>(Table143454[[#This Row],[Core CPI]]-F756)/F756</f>
        <v/>
      </c>
    </row>
    <row r="769">
      <c r="A769" s="33">
        <f>IF(Data!A796="",#N/A,Data!A796)</f>
        <v/>
      </c>
      <c r="B769" s="34">
        <f>VLOOKUP(A769,Data!A:AX,MATCH($B$2,Data!$B$1:$AX$1,0),FALSE)</f>
        <v/>
      </c>
      <c r="C769" s="35">
        <f>(B769/B768)-1</f>
        <v/>
      </c>
      <c r="D769" s="35">
        <f>((1+C769)^12)-1</f>
        <v/>
      </c>
      <c r="E769" s="35">
        <f>(Table143454[[#This Row],[USA]]-B757)/B757</f>
        <v/>
      </c>
      <c r="F769" s="34">
        <f>VLOOKUP(Table143454[[#This Row],[Date]],'Data Core CPI'!$A:$AX,MATCH($B$2,'Data Core CPI'!$B$1:$AX$1,0),FALSE)</f>
        <v/>
      </c>
      <c r="G769" s="35">
        <f>(F769/F768)-1</f>
        <v/>
      </c>
      <c r="H769" s="35">
        <f>((1+G769)^12)-1</f>
        <v/>
      </c>
      <c r="I769" s="35">
        <f>(Table143454[[#This Row],[Core CPI]]-F757)/F757</f>
        <v/>
      </c>
    </row>
    <row r="770">
      <c r="A770" s="33">
        <f>IF(Data!A797="",#N/A,Data!A797)</f>
        <v/>
      </c>
      <c r="B770" s="34">
        <f>VLOOKUP(A770,Data!A:AX,MATCH($B$2,Data!$B$1:$AX$1,0),FALSE)</f>
        <v/>
      </c>
      <c r="C770" s="35">
        <f>(B770/B769)-1</f>
        <v/>
      </c>
      <c r="D770" s="35">
        <f>((1+C770)^12)-1</f>
        <v/>
      </c>
      <c r="E770" s="35">
        <f>(Table143454[[#This Row],[USA]]-B758)/B758</f>
        <v/>
      </c>
      <c r="F770" s="34">
        <f>VLOOKUP(Table143454[[#This Row],[Date]],'Data Core CPI'!$A:$AX,MATCH($B$2,'Data Core CPI'!$B$1:$AX$1,0),FALSE)</f>
        <v/>
      </c>
      <c r="G770" s="35">
        <f>(F770/F769)-1</f>
        <v/>
      </c>
      <c r="H770" s="35">
        <f>((1+G770)^12)-1</f>
        <v/>
      </c>
      <c r="I770" s="35">
        <f>(Table143454[[#This Row],[Core CPI]]-F758)/F758</f>
        <v/>
      </c>
    </row>
    <row r="771">
      <c r="A771" s="33">
        <f>IF(Data!A798="",#N/A,Data!A798)</f>
        <v/>
      </c>
      <c r="B771" s="34">
        <f>VLOOKUP(A771,Data!A:AX,MATCH($B$2,Data!$B$1:$AX$1,0),FALSE)</f>
        <v/>
      </c>
      <c r="C771" s="35">
        <f>(B771/B770)-1</f>
        <v/>
      </c>
      <c r="D771" s="35">
        <f>((1+C771)^12)-1</f>
        <v/>
      </c>
      <c r="E771" s="35">
        <f>(Table143454[[#This Row],[USA]]-B759)/B759</f>
        <v/>
      </c>
      <c r="F771" s="34">
        <f>VLOOKUP(Table143454[[#This Row],[Date]],'Data Core CPI'!$A:$AX,MATCH($B$2,'Data Core CPI'!$B$1:$AX$1,0),FALSE)</f>
        <v/>
      </c>
      <c r="G771" s="35">
        <f>(F771/F770)-1</f>
        <v/>
      </c>
      <c r="H771" s="35">
        <f>((1+G771)^12)-1</f>
        <v/>
      </c>
      <c r="I771" s="35">
        <f>(Table143454[[#This Row],[Core CPI]]-F759)/F759</f>
        <v/>
      </c>
    </row>
    <row r="772">
      <c r="A772" s="33">
        <f>IF(Data!A799="",#N/A,Data!A799)</f>
        <v/>
      </c>
      <c r="B772" s="34">
        <f>VLOOKUP(A772,Data!A:AX,MATCH($B$2,Data!$B$1:$AX$1,0),FALSE)</f>
        <v/>
      </c>
      <c r="C772" s="35">
        <f>(B772/B771)-1</f>
        <v/>
      </c>
      <c r="D772" s="35">
        <f>((1+C772)^12)-1</f>
        <v/>
      </c>
      <c r="E772" s="35">
        <f>(Table143454[[#This Row],[USA]]-B760)/B760</f>
        <v/>
      </c>
      <c r="F772" s="34">
        <f>VLOOKUP(Table143454[[#This Row],[Date]],'Data Core CPI'!$A:$AX,MATCH($B$2,'Data Core CPI'!$B$1:$AX$1,0),FALSE)</f>
        <v/>
      </c>
      <c r="G772" s="35">
        <f>(F772/F771)-1</f>
        <v/>
      </c>
      <c r="H772" s="35">
        <f>((1+G772)^12)-1</f>
        <v/>
      </c>
      <c r="I772" s="35">
        <f>(Table143454[[#This Row],[Core CPI]]-F760)/F760</f>
        <v/>
      </c>
    </row>
    <row r="773">
      <c r="A773" s="33">
        <f>IF(Data!A800="",#N/A,Data!A800)</f>
        <v/>
      </c>
      <c r="B773" s="34">
        <f>VLOOKUP(A773,Data!A:AX,MATCH($B$2,Data!$B$1:$AX$1,0),FALSE)</f>
        <v/>
      </c>
      <c r="C773" s="35">
        <f>(B773/B772)-1</f>
        <v/>
      </c>
      <c r="D773" s="35">
        <f>((1+C773)^12)-1</f>
        <v/>
      </c>
      <c r="E773" s="35">
        <f>(Table143454[[#This Row],[USA]]-B761)/B761</f>
        <v/>
      </c>
      <c r="F773" s="34">
        <f>VLOOKUP(Table143454[[#This Row],[Date]],'Data Core CPI'!$A:$AX,MATCH($B$2,'Data Core CPI'!$B$1:$AX$1,0),FALSE)</f>
        <v/>
      </c>
      <c r="G773" s="35">
        <f>(F773/F772)-1</f>
        <v/>
      </c>
      <c r="H773" s="35">
        <f>((1+G773)^12)-1</f>
        <v/>
      </c>
      <c r="I773" s="35">
        <f>(Table143454[[#This Row],[Core CPI]]-F761)/F761</f>
        <v/>
      </c>
    </row>
    <row r="774">
      <c r="A774" s="33">
        <f>IF(Data!A801="",#N/A,Data!A801)</f>
        <v/>
      </c>
      <c r="B774" s="34">
        <f>VLOOKUP(A774,Data!A:AX,MATCH($B$2,Data!$B$1:$AX$1,0),FALSE)</f>
        <v/>
      </c>
      <c r="C774" s="35">
        <f>(B774/B773)-1</f>
        <v/>
      </c>
      <c r="D774" s="35">
        <f>((1+C774)^12)-1</f>
        <v/>
      </c>
      <c r="E774" s="35">
        <f>(Table143454[[#This Row],[USA]]-B762)/B762</f>
        <v/>
      </c>
      <c r="F774" s="34">
        <f>VLOOKUP(Table143454[[#This Row],[Date]],'Data Core CPI'!$A:$AX,MATCH($B$2,'Data Core CPI'!$B$1:$AX$1,0),FALSE)</f>
        <v/>
      </c>
      <c r="G774" s="35">
        <f>(F774/F773)-1</f>
        <v/>
      </c>
      <c r="H774" s="35">
        <f>((1+G774)^12)-1</f>
        <v/>
      </c>
      <c r="I774" s="35">
        <f>(Table143454[[#This Row],[Core CPI]]-F762)/F762</f>
        <v/>
      </c>
    </row>
    <row r="775">
      <c r="A775" s="33">
        <f>IF(Data!A802="",#N/A,Data!A802)</f>
        <v/>
      </c>
      <c r="B775" s="34">
        <f>VLOOKUP(A775,Data!A:AX,MATCH($B$2,Data!$B$1:$AX$1,0),FALSE)</f>
        <v/>
      </c>
      <c r="C775" s="35">
        <f>(B775/B774)-1</f>
        <v/>
      </c>
      <c r="D775" s="35">
        <f>((1+C775)^12)-1</f>
        <v/>
      </c>
      <c r="E775" s="35">
        <f>(Table143454[[#This Row],[USA]]-B763)/B763</f>
        <v/>
      </c>
      <c r="F775" s="34">
        <f>VLOOKUP(Table143454[[#This Row],[Date]],'Data Core CPI'!$A:$AX,MATCH($B$2,'Data Core CPI'!$B$1:$AX$1,0),FALSE)</f>
        <v/>
      </c>
      <c r="G775" s="35">
        <f>(F775/F774)-1</f>
        <v/>
      </c>
      <c r="H775" s="35">
        <f>((1+G775)^12)-1</f>
        <v/>
      </c>
      <c r="I775" s="35">
        <f>(Table143454[[#This Row],[Core CPI]]-F763)/F763</f>
        <v/>
      </c>
    </row>
    <row r="776">
      <c r="A776" s="33">
        <f>IF(Data!A803="",#N/A,Data!A803)</f>
        <v/>
      </c>
      <c r="B776" s="34">
        <f>VLOOKUP(A776,Data!A:AX,MATCH($B$2,Data!$B$1:$AX$1,0),FALSE)</f>
        <v/>
      </c>
      <c r="C776" s="35">
        <f>(B776/B775)-1</f>
        <v/>
      </c>
      <c r="D776" s="35">
        <f>((1+C776)^12)-1</f>
        <v/>
      </c>
      <c r="E776" s="35">
        <f>(Table143454[[#This Row],[USA]]-B764)/B764</f>
        <v/>
      </c>
      <c r="F776" s="34">
        <f>VLOOKUP(Table143454[[#This Row],[Date]],'Data Core CPI'!$A:$AX,MATCH($B$2,'Data Core CPI'!$B$1:$AX$1,0),FALSE)</f>
        <v/>
      </c>
      <c r="G776" s="35">
        <f>(F776/F775)-1</f>
        <v/>
      </c>
      <c r="H776" s="35">
        <f>((1+G776)^12)-1</f>
        <v/>
      </c>
      <c r="I776" s="35">
        <f>(Table143454[[#This Row],[Core CPI]]-F764)/F764</f>
        <v/>
      </c>
    </row>
    <row r="777">
      <c r="A777" s="33">
        <f>IF(Data!A804="",#N/A,Data!A804)</f>
        <v/>
      </c>
      <c r="B777" s="34">
        <f>VLOOKUP(A777,Data!A:AX,MATCH($B$2,Data!$B$1:$AX$1,0),FALSE)</f>
        <v/>
      </c>
      <c r="C777" s="35">
        <f>(B777/B776)-1</f>
        <v/>
      </c>
      <c r="D777" s="35">
        <f>((1+C777)^12)-1</f>
        <v/>
      </c>
      <c r="E777" s="35">
        <f>(Table143454[[#This Row],[USA]]-B765)/B765</f>
        <v/>
      </c>
      <c r="F777" s="34">
        <f>VLOOKUP(Table143454[[#This Row],[Date]],'Data Core CPI'!$A:$AX,MATCH($B$2,'Data Core CPI'!$B$1:$AX$1,0),FALSE)</f>
        <v/>
      </c>
      <c r="G777" s="35">
        <f>(F777/F776)-1</f>
        <v/>
      </c>
      <c r="H777" s="35">
        <f>((1+G777)^12)-1</f>
        <v/>
      </c>
      <c r="I777" s="35">
        <f>(Table143454[[#This Row],[Core CPI]]-F765)/F765</f>
        <v/>
      </c>
    </row>
    <row r="778">
      <c r="A778" s="33">
        <f>IF(Data!A805="",#N/A,Data!A805)</f>
        <v/>
      </c>
      <c r="B778" s="34">
        <f>VLOOKUP(A778,Data!A:AX,MATCH($B$2,Data!$B$1:$AX$1,0),FALSE)</f>
        <v/>
      </c>
      <c r="C778" s="35">
        <f>(B778/B777)-1</f>
        <v/>
      </c>
      <c r="D778" s="35">
        <f>((1+C778)^12)-1</f>
        <v/>
      </c>
      <c r="E778" s="35">
        <f>(Table143454[[#This Row],[USA]]-B766)/B766</f>
        <v/>
      </c>
      <c r="F778" s="34">
        <f>VLOOKUP(Table143454[[#This Row],[Date]],'Data Core CPI'!$A:$AX,MATCH($B$2,'Data Core CPI'!$B$1:$AX$1,0),FALSE)</f>
        <v/>
      </c>
      <c r="G778" s="35">
        <f>(F778/F777)-1</f>
        <v/>
      </c>
      <c r="H778" s="35">
        <f>((1+G778)^12)-1</f>
        <v/>
      </c>
      <c r="I778" s="35">
        <f>(Table143454[[#This Row],[Core CPI]]-F766)/F766</f>
        <v/>
      </c>
    </row>
    <row r="779">
      <c r="A779" s="33">
        <f>IF(Data!A806="",#N/A,Data!A806)</f>
        <v/>
      </c>
      <c r="B779" s="34">
        <f>VLOOKUP(A779,Data!A:AX,MATCH($B$2,Data!$B$1:$AX$1,0),FALSE)</f>
        <v/>
      </c>
      <c r="C779" s="35">
        <f>(B779/B778)-1</f>
        <v/>
      </c>
      <c r="D779" s="35">
        <f>((1+C779)^12)-1</f>
        <v/>
      </c>
      <c r="E779" s="35">
        <f>(Table143454[[#This Row],[USA]]-B767)/B767</f>
        <v/>
      </c>
      <c r="F779" s="34">
        <f>VLOOKUP(Table143454[[#This Row],[Date]],'Data Core CPI'!$A:$AX,MATCH($B$2,'Data Core CPI'!$B$1:$AX$1,0),FALSE)</f>
        <v/>
      </c>
      <c r="G779" s="35">
        <f>(F779/F778)-1</f>
        <v/>
      </c>
      <c r="H779" s="35">
        <f>((1+G779)^12)-1</f>
        <v/>
      </c>
      <c r="I779" s="35">
        <f>(Table143454[[#This Row],[Core CPI]]-F767)/F767</f>
        <v/>
      </c>
    </row>
    <row r="780">
      <c r="A780" s="33">
        <f>IF(Data!A807="",#N/A,Data!A807)</f>
        <v/>
      </c>
      <c r="B780" s="34">
        <f>VLOOKUP(A780,Data!A:AX,MATCH($B$2,Data!$B$1:$AX$1,0),FALSE)</f>
        <v/>
      </c>
      <c r="C780" s="35">
        <f>(B780/B779)-1</f>
        <v/>
      </c>
      <c r="D780" s="35">
        <f>((1+C780)^12)-1</f>
        <v/>
      </c>
      <c r="E780" s="35">
        <f>(Table143454[[#This Row],[USA]]-B768)/B768</f>
        <v/>
      </c>
      <c r="F780" s="34">
        <f>VLOOKUP(Table143454[[#This Row],[Date]],'Data Core CPI'!$A:$AX,MATCH($B$2,'Data Core CPI'!$B$1:$AX$1,0),FALSE)</f>
        <v/>
      </c>
      <c r="G780" s="35">
        <f>(F780/F779)-1</f>
        <v/>
      </c>
      <c r="H780" s="35">
        <f>((1+G780)^12)-1</f>
        <v/>
      </c>
      <c r="I780" s="35">
        <f>(Table143454[[#This Row],[Core CPI]]-F768)/F768</f>
        <v/>
      </c>
    </row>
    <row r="781">
      <c r="A781" s="33">
        <f>IF(Data!A808="",#N/A,Data!A808)</f>
        <v/>
      </c>
      <c r="B781" s="34">
        <f>VLOOKUP(A781,Data!A:AX,MATCH($B$2,Data!$B$1:$AX$1,0),FALSE)</f>
        <v/>
      </c>
      <c r="C781" s="35">
        <f>(B781/B780)-1</f>
        <v/>
      </c>
      <c r="D781" s="35">
        <f>((1+C781)^12)-1</f>
        <v/>
      </c>
      <c r="E781" s="35">
        <f>(Table143454[[#This Row],[USA]]-B769)/B769</f>
        <v/>
      </c>
      <c r="F781" s="34">
        <f>VLOOKUP(Table143454[[#This Row],[Date]],'Data Core CPI'!$A:$AX,MATCH($B$2,'Data Core CPI'!$B$1:$AX$1,0),FALSE)</f>
        <v/>
      </c>
      <c r="G781" s="35">
        <f>(F781/F780)-1</f>
        <v/>
      </c>
      <c r="H781" s="35">
        <f>((1+G781)^12)-1</f>
        <v/>
      </c>
      <c r="I781" s="35">
        <f>(Table143454[[#This Row],[Core CPI]]-F769)/F769</f>
        <v/>
      </c>
    </row>
    <row r="782">
      <c r="A782" s="33">
        <f>IF(Data!A809="",#N/A,Data!A809)</f>
        <v/>
      </c>
      <c r="B782" s="34">
        <f>VLOOKUP(A782,Data!A:AX,MATCH($B$2,Data!$B$1:$AX$1,0),FALSE)</f>
        <v/>
      </c>
      <c r="C782" s="35">
        <f>(B782/B781)-1</f>
        <v/>
      </c>
      <c r="D782" s="35">
        <f>((1+C782)^12)-1</f>
        <v/>
      </c>
      <c r="E782" s="35">
        <f>(Table143454[[#This Row],[USA]]-B770)/B770</f>
        <v/>
      </c>
      <c r="F782" s="34">
        <f>VLOOKUP(Table143454[[#This Row],[Date]],'Data Core CPI'!$A:$AX,MATCH($B$2,'Data Core CPI'!$B$1:$AX$1,0),FALSE)</f>
        <v/>
      </c>
      <c r="G782" s="35">
        <f>(F782/F781)-1</f>
        <v/>
      </c>
      <c r="H782" s="35">
        <f>((1+G782)^12)-1</f>
        <v/>
      </c>
      <c r="I782" s="35">
        <f>(Table143454[[#This Row],[Core CPI]]-F770)/F770</f>
        <v/>
      </c>
    </row>
    <row r="783">
      <c r="A783" s="33">
        <f>IF(Data!A810="",#N/A,Data!A810)</f>
        <v/>
      </c>
      <c r="B783" s="34">
        <f>VLOOKUP(A783,Data!A:AX,MATCH($B$2,Data!$B$1:$AX$1,0),FALSE)</f>
        <v/>
      </c>
      <c r="C783" s="35">
        <f>(B783/B782)-1</f>
        <v/>
      </c>
      <c r="D783" s="35">
        <f>((1+C783)^12)-1</f>
        <v/>
      </c>
      <c r="E783" s="35">
        <f>(Table143454[[#This Row],[USA]]-B771)/B771</f>
        <v/>
      </c>
      <c r="F783" s="34">
        <f>VLOOKUP(Table143454[[#This Row],[Date]],'Data Core CPI'!$A:$AX,MATCH($B$2,'Data Core CPI'!$B$1:$AX$1,0),FALSE)</f>
        <v/>
      </c>
      <c r="G783" s="35">
        <f>(F783/F782)-1</f>
        <v/>
      </c>
      <c r="H783" s="35">
        <f>((1+G783)^12)-1</f>
        <v/>
      </c>
      <c r="I783" s="35">
        <f>(Table143454[[#This Row],[Core CPI]]-F771)/F771</f>
        <v/>
      </c>
    </row>
    <row r="784">
      <c r="A784" s="33">
        <f>IF(Data!A811="",#N/A,Data!A811)</f>
        <v/>
      </c>
      <c r="B784" s="34">
        <f>VLOOKUP(A784,Data!A:AX,MATCH($B$2,Data!$B$1:$AX$1,0),FALSE)</f>
        <v/>
      </c>
      <c r="C784" s="35">
        <f>(B784/B783)-1</f>
        <v/>
      </c>
      <c r="D784" s="35">
        <f>((1+C784)^12)-1</f>
        <v/>
      </c>
      <c r="E784" s="35">
        <f>(Table143454[[#This Row],[USA]]-B772)/B772</f>
        <v/>
      </c>
      <c r="F784" s="34">
        <f>VLOOKUP(Table143454[[#This Row],[Date]],'Data Core CPI'!$A:$AX,MATCH($B$2,'Data Core CPI'!$B$1:$AX$1,0),FALSE)</f>
        <v/>
      </c>
      <c r="G784" s="35">
        <f>(F784/F783)-1</f>
        <v/>
      </c>
      <c r="H784" s="35">
        <f>((1+G784)^12)-1</f>
        <v/>
      </c>
      <c r="I784" s="35">
        <f>(Table143454[[#This Row],[Core CPI]]-F772)/F772</f>
        <v/>
      </c>
    </row>
    <row r="785">
      <c r="A785" s="33">
        <f>IF(Data!A812="",#N/A,Data!A812)</f>
        <v/>
      </c>
      <c r="B785" s="34">
        <f>VLOOKUP(A785,Data!A:AX,MATCH($B$2,Data!$B$1:$AX$1,0),FALSE)</f>
        <v/>
      </c>
      <c r="C785" s="35">
        <f>(B785/B784)-1</f>
        <v/>
      </c>
      <c r="D785" s="35">
        <f>((1+C785)^12)-1</f>
        <v/>
      </c>
      <c r="E785" s="35">
        <f>(Table143454[[#This Row],[USA]]-B773)/B773</f>
        <v/>
      </c>
      <c r="F785" s="34">
        <f>VLOOKUP(Table143454[[#This Row],[Date]],'Data Core CPI'!$A:$AX,MATCH($B$2,'Data Core CPI'!$B$1:$AX$1,0),FALSE)</f>
        <v/>
      </c>
      <c r="G785" s="35">
        <f>(F785/F784)-1</f>
        <v/>
      </c>
      <c r="H785" s="35">
        <f>((1+G785)^12)-1</f>
        <v/>
      </c>
      <c r="I785" s="35">
        <f>(Table143454[[#This Row],[Core CPI]]-F773)/F773</f>
        <v/>
      </c>
    </row>
    <row r="786">
      <c r="A786" s="33">
        <f>IF(Data!A813="",#N/A,Data!A813)</f>
        <v/>
      </c>
      <c r="B786" s="34">
        <f>VLOOKUP(A786,Data!A:AX,MATCH($B$2,Data!$B$1:$AX$1,0),FALSE)</f>
        <v/>
      </c>
      <c r="C786" s="35">
        <f>(B786/B785)-1</f>
        <v/>
      </c>
      <c r="D786" s="35">
        <f>((1+C786)^12)-1</f>
        <v/>
      </c>
      <c r="E786" s="35">
        <f>(Table143454[[#This Row],[USA]]-B774)/B774</f>
        <v/>
      </c>
      <c r="F786" s="34">
        <f>VLOOKUP(Table143454[[#This Row],[Date]],'Data Core CPI'!$A:$AX,MATCH($B$2,'Data Core CPI'!$B$1:$AX$1,0),FALSE)</f>
        <v/>
      </c>
      <c r="G786" s="35">
        <f>(F786/F785)-1</f>
        <v/>
      </c>
      <c r="H786" s="35">
        <f>((1+G786)^12)-1</f>
        <v/>
      </c>
      <c r="I786" s="35">
        <f>(Table143454[[#This Row],[Core CPI]]-F774)/F774</f>
        <v/>
      </c>
    </row>
    <row r="787">
      <c r="A787" s="33">
        <f>IF(Data!A814="",#N/A,Data!A814)</f>
        <v/>
      </c>
      <c r="B787" s="34">
        <f>VLOOKUP(A787,Data!A:AX,MATCH($B$2,Data!$B$1:$AX$1,0),FALSE)</f>
        <v/>
      </c>
      <c r="C787" s="35">
        <f>(B787/B786)-1</f>
        <v/>
      </c>
      <c r="D787" s="35">
        <f>((1+C787)^12)-1</f>
        <v/>
      </c>
      <c r="E787" s="35">
        <f>(Table143454[[#This Row],[USA]]-B775)/B775</f>
        <v/>
      </c>
      <c r="F787" s="34">
        <f>VLOOKUP(Table143454[[#This Row],[Date]],'Data Core CPI'!$A:$AX,MATCH($B$2,'Data Core CPI'!$B$1:$AX$1,0),FALSE)</f>
        <v/>
      </c>
      <c r="G787" s="35">
        <f>(F787/F786)-1</f>
        <v/>
      </c>
      <c r="H787" s="35">
        <f>((1+G787)^12)-1</f>
        <v/>
      </c>
      <c r="I787" s="35">
        <f>(Table143454[[#This Row],[Core CPI]]-F775)/F775</f>
        <v/>
      </c>
    </row>
    <row r="788">
      <c r="A788" s="33">
        <f>IF(Data!A815="",#N/A,Data!A815)</f>
        <v/>
      </c>
      <c r="B788" s="34">
        <f>VLOOKUP(A788,Data!A:AX,MATCH($B$2,Data!$B$1:$AX$1,0),FALSE)</f>
        <v/>
      </c>
      <c r="C788" s="35">
        <f>(B788/B787)-1</f>
        <v/>
      </c>
      <c r="D788" s="35">
        <f>((1+C788)^12)-1</f>
        <v/>
      </c>
      <c r="E788" s="35">
        <f>(Table143454[[#This Row],[USA]]-B776)/B776</f>
        <v/>
      </c>
      <c r="F788" s="34">
        <f>VLOOKUP(Table143454[[#This Row],[Date]],'Data Core CPI'!$A:$AX,MATCH($B$2,'Data Core CPI'!$B$1:$AX$1,0),FALSE)</f>
        <v/>
      </c>
      <c r="G788" s="35">
        <f>(F788/F787)-1</f>
        <v/>
      </c>
      <c r="H788" s="35">
        <f>((1+G788)^12)-1</f>
        <v/>
      </c>
      <c r="I788" s="35">
        <f>(Table143454[[#This Row],[Core CPI]]-F776)/F776</f>
        <v/>
      </c>
    </row>
    <row r="789">
      <c r="A789" s="33">
        <f>IF(Data!A816="",#N/A,Data!A816)</f>
        <v/>
      </c>
      <c r="B789" s="34">
        <f>VLOOKUP(A789,Data!A:AX,MATCH($B$2,Data!$B$1:$AX$1,0),FALSE)</f>
        <v/>
      </c>
      <c r="C789" s="35">
        <f>(B789/B788)-1</f>
        <v/>
      </c>
      <c r="D789" s="35">
        <f>((1+C789)^12)-1</f>
        <v/>
      </c>
      <c r="E789" s="35">
        <f>(Table143454[[#This Row],[USA]]-B777)/B777</f>
        <v/>
      </c>
      <c r="F789" s="34">
        <f>VLOOKUP(Table143454[[#This Row],[Date]],'Data Core CPI'!$A:$AX,MATCH($B$2,'Data Core CPI'!$B$1:$AX$1,0),FALSE)</f>
        <v/>
      </c>
      <c r="G789" s="35">
        <f>(F789/F788)-1</f>
        <v/>
      </c>
      <c r="H789" s="35">
        <f>((1+G789)^12)-1</f>
        <v/>
      </c>
      <c r="I789" s="35">
        <f>(Table143454[[#This Row],[Core CPI]]-F777)/F777</f>
        <v/>
      </c>
    </row>
    <row r="790">
      <c r="A790" s="33">
        <f>IF(Data!A817="",#N/A,Data!A817)</f>
        <v/>
      </c>
      <c r="B790" s="34">
        <f>VLOOKUP(A790,Data!A:AX,MATCH($B$2,Data!$B$1:$AX$1,0),FALSE)</f>
        <v/>
      </c>
      <c r="C790" s="35">
        <f>(B790/B789)-1</f>
        <v/>
      </c>
      <c r="D790" s="35">
        <f>((1+C790)^12)-1</f>
        <v/>
      </c>
      <c r="E790" s="35">
        <f>(Table143454[[#This Row],[USA]]-B778)/B778</f>
        <v/>
      </c>
      <c r="F790" s="34">
        <f>VLOOKUP(Table143454[[#This Row],[Date]],'Data Core CPI'!$A:$AX,MATCH($B$2,'Data Core CPI'!$B$1:$AX$1,0),FALSE)</f>
        <v/>
      </c>
      <c r="G790" s="35">
        <f>(F790/F789)-1</f>
        <v/>
      </c>
      <c r="H790" s="35">
        <f>((1+G790)^12)-1</f>
        <v/>
      </c>
      <c r="I790" s="35">
        <f>(Table143454[[#This Row],[Core CPI]]-F778)/F778</f>
        <v/>
      </c>
    </row>
    <row r="791">
      <c r="A791" s="33">
        <f>IF(Data!A818="",#N/A,Data!A818)</f>
        <v/>
      </c>
      <c r="B791" s="34">
        <f>VLOOKUP(A791,Data!A:AX,MATCH($B$2,Data!$B$1:$AX$1,0),FALSE)</f>
        <v/>
      </c>
      <c r="C791" s="35">
        <f>(B791/B790)-1</f>
        <v/>
      </c>
      <c r="D791" s="35">
        <f>((1+C791)^12)-1</f>
        <v/>
      </c>
      <c r="E791" s="35">
        <f>(Table143454[[#This Row],[USA]]-B779)/B779</f>
        <v/>
      </c>
      <c r="F791" s="34">
        <f>VLOOKUP(Table143454[[#This Row],[Date]],'Data Core CPI'!$A:$AX,MATCH($B$2,'Data Core CPI'!$B$1:$AX$1,0),FALSE)</f>
        <v/>
      </c>
      <c r="G791" s="35">
        <f>(F791/F790)-1</f>
        <v/>
      </c>
      <c r="H791" s="35">
        <f>((1+G791)^12)-1</f>
        <v/>
      </c>
      <c r="I791" s="35">
        <f>(Table143454[[#This Row],[Core CPI]]-F779)/F779</f>
        <v/>
      </c>
    </row>
    <row r="792">
      <c r="A792" s="33">
        <f>IF(Data!A819="",#N/A,Data!A819)</f>
        <v/>
      </c>
      <c r="B792" s="34">
        <f>VLOOKUP(A792,Data!A:AX,MATCH($B$2,Data!$B$1:$AX$1,0),FALSE)</f>
        <v/>
      </c>
      <c r="C792" s="35">
        <f>(B792/B791)-1</f>
        <v/>
      </c>
      <c r="D792" s="35">
        <f>((1+C792)^12)-1</f>
        <v/>
      </c>
      <c r="E792" s="35">
        <f>(Table143454[[#This Row],[USA]]-B780)/B780</f>
        <v/>
      </c>
      <c r="F792" s="34">
        <f>VLOOKUP(Table143454[[#This Row],[Date]],'Data Core CPI'!$A:$AX,MATCH($B$2,'Data Core CPI'!$B$1:$AX$1,0),FALSE)</f>
        <v/>
      </c>
      <c r="G792" s="35">
        <f>(F792/F791)-1</f>
        <v/>
      </c>
      <c r="H792" s="35">
        <f>((1+G792)^12)-1</f>
        <v/>
      </c>
      <c r="I792" s="35">
        <f>(Table143454[[#This Row],[Core CPI]]-F780)/F780</f>
        <v/>
      </c>
    </row>
    <row r="793">
      <c r="A793" s="33">
        <f>IF(Data!A820="",#N/A,Data!A820)</f>
        <v/>
      </c>
      <c r="B793" s="34">
        <f>VLOOKUP(A793,Data!A:AX,MATCH($B$2,Data!$B$1:$AX$1,0),FALSE)</f>
        <v/>
      </c>
      <c r="C793" s="35">
        <f>(B793/B792)-1</f>
        <v/>
      </c>
      <c r="D793" s="35">
        <f>((1+C793)^12)-1</f>
        <v/>
      </c>
      <c r="E793" s="35">
        <f>(Table143454[[#This Row],[USA]]-B781)/B781</f>
        <v/>
      </c>
      <c r="F793" s="34">
        <f>VLOOKUP(Table143454[[#This Row],[Date]],'Data Core CPI'!$A:$AX,MATCH($B$2,'Data Core CPI'!$B$1:$AX$1,0),FALSE)</f>
        <v/>
      </c>
      <c r="G793" s="35">
        <f>(F793/F792)-1</f>
        <v/>
      </c>
      <c r="H793" s="35">
        <f>((1+G793)^12)-1</f>
        <v/>
      </c>
      <c r="I793" s="35">
        <f>(Table143454[[#This Row],[Core CPI]]-F781)/F781</f>
        <v/>
      </c>
    </row>
    <row r="794">
      <c r="A794" s="33">
        <f>IF(Data!A821="",#N/A,Data!A821)</f>
        <v/>
      </c>
      <c r="B794" s="34">
        <f>VLOOKUP(A794,Data!A:AX,MATCH($B$2,Data!$B$1:$AX$1,0),FALSE)</f>
        <v/>
      </c>
      <c r="C794" s="35">
        <f>(B794/B793)-1</f>
        <v/>
      </c>
      <c r="D794" s="35">
        <f>((1+C794)^12)-1</f>
        <v/>
      </c>
      <c r="E794" s="35">
        <f>(Table143454[[#This Row],[USA]]-B782)/B782</f>
        <v/>
      </c>
      <c r="F794" s="34">
        <f>VLOOKUP(Table143454[[#This Row],[Date]],'Data Core CPI'!$A:$AX,MATCH($B$2,'Data Core CPI'!$B$1:$AX$1,0),FALSE)</f>
        <v/>
      </c>
      <c r="G794" s="35">
        <f>(F794/F793)-1</f>
        <v/>
      </c>
      <c r="H794" s="35">
        <f>((1+G794)^12)-1</f>
        <v/>
      </c>
      <c r="I794" s="35">
        <f>(Table143454[[#This Row],[Core CPI]]-F782)/F782</f>
        <v/>
      </c>
    </row>
    <row r="795">
      <c r="A795" s="33">
        <f>IF(Data!A822="",#N/A,Data!A822)</f>
        <v/>
      </c>
      <c r="B795" s="34">
        <f>VLOOKUP(A795,Data!A:AX,MATCH($B$2,Data!$B$1:$AX$1,0),FALSE)</f>
        <v/>
      </c>
      <c r="C795" s="35">
        <f>(B795/B794)-1</f>
        <v/>
      </c>
      <c r="D795" s="35">
        <f>((1+C795)^12)-1</f>
        <v/>
      </c>
      <c r="E795" s="35">
        <f>(Table143454[[#This Row],[USA]]-B783)/B783</f>
        <v/>
      </c>
      <c r="F795" s="34">
        <f>VLOOKUP(Table143454[[#This Row],[Date]],'Data Core CPI'!$A:$AX,MATCH($B$2,'Data Core CPI'!$B$1:$AX$1,0),FALSE)</f>
        <v/>
      </c>
      <c r="G795" s="35">
        <f>(F795/F794)-1</f>
        <v/>
      </c>
      <c r="H795" s="35">
        <f>((1+G795)^12)-1</f>
        <v/>
      </c>
      <c r="I795" s="35">
        <f>(Table143454[[#This Row],[Core CPI]]-F783)/F783</f>
        <v/>
      </c>
    </row>
    <row r="796">
      <c r="A796" s="33">
        <f>IF(Data!A823="",#N/A,Data!A823)</f>
        <v/>
      </c>
      <c r="B796" s="34">
        <f>VLOOKUP(A796,Data!A:AX,MATCH($B$2,Data!$B$1:$AX$1,0),FALSE)</f>
        <v/>
      </c>
      <c r="C796" s="35">
        <f>(B796/B795)-1</f>
        <v/>
      </c>
      <c r="D796" s="35">
        <f>((1+C796)^12)-1</f>
        <v/>
      </c>
      <c r="E796" s="35">
        <f>(Table143454[[#This Row],[USA]]-B784)/B784</f>
        <v/>
      </c>
      <c r="F796" s="34">
        <f>VLOOKUP(Table143454[[#This Row],[Date]],'Data Core CPI'!$A:$AX,MATCH($B$2,'Data Core CPI'!$B$1:$AX$1,0),FALSE)</f>
        <v/>
      </c>
      <c r="G796" s="35">
        <f>(F796/F795)-1</f>
        <v/>
      </c>
      <c r="H796" s="35">
        <f>((1+G796)^12)-1</f>
        <v/>
      </c>
      <c r="I796" s="35">
        <f>(Table143454[[#This Row],[Core CPI]]-F784)/F784</f>
        <v/>
      </c>
    </row>
    <row r="797">
      <c r="A797" s="33">
        <f>IF(Data!A824="",#N/A,Data!A824)</f>
        <v/>
      </c>
      <c r="B797" s="34">
        <f>VLOOKUP(A797,Data!A:AX,MATCH($B$2,Data!$B$1:$AX$1,0),FALSE)</f>
        <v/>
      </c>
      <c r="C797" s="35">
        <f>(B797/B796)-1</f>
        <v/>
      </c>
      <c r="D797" s="35">
        <f>((1+C797)^12)-1</f>
        <v/>
      </c>
      <c r="E797" s="35">
        <f>(Table143454[[#This Row],[USA]]-B785)/B785</f>
        <v/>
      </c>
      <c r="F797" s="34">
        <f>VLOOKUP(Table143454[[#This Row],[Date]],'Data Core CPI'!$A:$AX,MATCH($B$2,'Data Core CPI'!$B$1:$AX$1,0),FALSE)</f>
        <v/>
      </c>
      <c r="G797" s="35">
        <f>(F797/F796)-1</f>
        <v/>
      </c>
      <c r="H797" s="35">
        <f>((1+G797)^12)-1</f>
        <v/>
      </c>
      <c r="I797" s="35">
        <f>(Table143454[[#This Row],[Core CPI]]-F785)/F785</f>
        <v/>
      </c>
    </row>
    <row r="798">
      <c r="A798" s="33">
        <f>IF(Data!A825="",#N/A,Data!A825)</f>
        <v/>
      </c>
      <c r="B798" s="34">
        <f>VLOOKUP(A798,Data!A:AX,MATCH($B$2,Data!$B$1:$AX$1,0),FALSE)</f>
        <v/>
      </c>
      <c r="C798" s="35">
        <f>(B798/B797)-1</f>
        <v/>
      </c>
      <c r="D798" s="35">
        <f>((1+C798)^12)-1</f>
        <v/>
      </c>
      <c r="E798" s="35">
        <f>(Table143454[[#This Row],[USA]]-B786)/B786</f>
        <v/>
      </c>
      <c r="F798" s="34">
        <f>VLOOKUP(Table143454[[#This Row],[Date]],'Data Core CPI'!$A:$AX,MATCH($B$2,'Data Core CPI'!$B$1:$AX$1,0),FALSE)</f>
        <v/>
      </c>
      <c r="G798" s="35">
        <f>(F798/F797)-1</f>
        <v/>
      </c>
      <c r="H798" s="35">
        <f>((1+G798)^12)-1</f>
        <v/>
      </c>
      <c r="I798" s="35">
        <f>(Table143454[[#This Row],[Core CPI]]-F786)/F786</f>
        <v/>
      </c>
    </row>
    <row r="799">
      <c r="A799" s="33">
        <f>IF(Data!A826="",#N/A,Data!A826)</f>
        <v/>
      </c>
      <c r="B799" s="34">
        <f>VLOOKUP(A799,Data!A:AX,MATCH($B$2,Data!$B$1:$AX$1,0),FALSE)</f>
        <v/>
      </c>
      <c r="C799" s="35">
        <f>(B799/B798)-1</f>
        <v/>
      </c>
      <c r="D799" s="35">
        <f>((1+C799)^12)-1</f>
        <v/>
      </c>
      <c r="E799" s="35">
        <f>(Table143454[[#This Row],[USA]]-B787)/B787</f>
        <v/>
      </c>
      <c r="F799" s="34">
        <f>VLOOKUP(Table143454[[#This Row],[Date]],'Data Core CPI'!$A:$AX,MATCH($B$2,'Data Core CPI'!$B$1:$AX$1,0),FALSE)</f>
        <v/>
      </c>
      <c r="G799" s="35">
        <f>(F799/F798)-1</f>
        <v/>
      </c>
      <c r="H799" s="35">
        <f>((1+G799)^12)-1</f>
        <v/>
      </c>
      <c r="I799" s="35">
        <f>(Table143454[[#This Row],[Core CPI]]-F787)/F787</f>
        <v/>
      </c>
    </row>
    <row r="800">
      <c r="A800" s="33">
        <f>IF(Data!A827="",#N/A,Data!A827)</f>
        <v/>
      </c>
      <c r="B800" s="34">
        <f>VLOOKUP(A800,Data!A:AX,MATCH($B$2,Data!$B$1:$AX$1,0),FALSE)</f>
        <v/>
      </c>
      <c r="C800" s="35">
        <f>(B800/B799)-1</f>
        <v/>
      </c>
      <c r="D800" s="35">
        <f>((1+C800)^12)-1</f>
        <v/>
      </c>
      <c r="E800" s="35">
        <f>(Table143454[[#This Row],[USA]]-B788)/B788</f>
        <v/>
      </c>
      <c r="F800" s="34">
        <f>VLOOKUP(Table143454[[#This Row],[Date]],'Data Core CPI'!$A:$AX,MATCH($B$2,'Data Core CPI'!$B$1:$AX$1,0),FALSE)</f>
        <v/>
      </c>
      <c r="G800" s="35">
        <f>(F800/F799)-1</f>
        <v/>
      </c>
      <c r="H800" s="35">
        <f>((1+G800)^12)-1</f>
        <v/>
      </c>
      <c r="I800" s="35">
        <f>(Table143454[[#This Row],[Core CPI]]-F788)/F788</f>
        <v/>
      </c>
    </row>
    <row r="801">
      <c r="A801" s="33">
        <f>IF(Data!A828="",#N/A,Data!A828)</f>
        <v/>
      </c>
      <c r="B801" s="34">
        <f>VLOOKUP(A801,Data!A:AX,MATCH($B$2,Data!$B$1:$AX$1,0),FALSE)</f>
        <v/>
      </c>
      <c r="C801" s="35">
        <f>(B801/B800)-1</f>
        <v/>
      </c>
      <c r="D801" s="35">
        <f>((1+C801)^12)-1</f>
        <v/>
      </c>
      <c r="E801" s="35">
        <f>(Table143454[[#This Row],[USA]]-B789)/B789</f>
        <v/>
      </c>
      <c r="F801" s="34">
        <f>VLOOKUP(Table143454[[#This Row],[Date]],'Data Core CPI'!$A:$AX,MATCH($B$2,'Data Core CPI'!$B$1:$AX$1,0),FALSE)</f>
        <v/>
      </c>
      <c r="G801" s="35">
        <f>(F801/F800)-1</f>
        <v/>
      </c>
      <c r="H801" s="35">
        <f>((1+G801)^12)-1</f>
        <v/>
      </c>
      <c r="I801" s="35">
        <f>(Table143454[[#This Row],[Core CPI]]-F789)/F789</f>
        <v/>
      </c>
    </row>
    <row r="802">
      <c r="A802" s="33">
        <f>IF(Data!A829="",#N/A,Data!A829)</f>
        <v/>
      </c>
      <c r="B802" s="34">
        <f>VLOOKUP(A802,Data!A:AX,MATCH($B$2,Data!$B$1:$AX$1,0),FALSE)</f>
        <v/>
      </c>
      <c r="C802" s="35">
        <f>(B802/B801)-1</f>
        <v/>
      </c>
      <c r="D802" s="35">
        <f>((1+C802)^12)-1</f>
        <v/>
      </c>
      <c r="E802" s="35">
        <f>(Table143454[[#This Row],[USA]]-B790)/B790</f>
        <v/>
      </c>
      <c r="F802" s="34">
        <f>VLOOKUP(Table143454[[#This Row],[Date]],'Data Core CPI'!$A:$AX,MATCH($B$2,'Data Core CPI'!$B$1:$AX$1,0),FALSE)</f>
        <v/>
      </c>
      <c r="G802" s="35">
        <f>(F802/F801)-1</f>
        <v/>
      </c>
      <c r="H802" s="35">
        <f>((1+G802)^12)-1</f>
        <v/>
      </c>
      <c r="I802" s="35">
        <f>(Table143454[[#This Row],[Core CPI]]-F790)/F790</f>
        <v/>
      </c>
    </row>
    <row r="803">
      <c r="A803" s="33">
        <f>IF(Data!A830="",#N/A,Data!A830)</f>
        <v/>
      </c>
      <c r="B803" s="34">
        <f>VLOOKUP(A803,Data!A:AX,MATCH($B$2,Data!$B$1:$AX$1,0),FALSE)</f>
        <v/>
      </c>
      <c r="C803" s="35">
        <f>(B803/B802)-1</f>
        <v/>
      </c>
      <c r="D803" s="35">
        <f>((1+C803)^12)-1</f>
        <v/>
      </c>
      <c r="E803" s="35">
        <f>(Table143454[[#This Row],[USA]]-B791)/B791</f>
        <v/>
      </c>
      <c r="F803" s="34">
        <f>VLOOKUP(Table143454[[#This Row],[Date]],'Data Core CPI'!$A:$AX,MATCH($B$2,'Data Core CPI'!$B$1:$AX$1,0),FALSE)</f>
        <v/>
      </c>
      <c r="G803" s="35">
        <f>(F803/F802)-1</f>
        <v/>
      </c>
      <c r="H803" s="35">
        <f>((1+G803)^12)-1</f>
        <v/>
      </c>
      <c r="I803" s="35">
        <f>(Table143454[[#This Row],[Core CPI]]-F791)/F791</f>
        <v/>
      </c>
    </row>
    <row r="804">
      <c r="A804" s="33">
        <f>IF(Data!A831="",#N/A,Data!A831)</f>
        <v/>
      </c>
      <c r="B804" s="34">
        <f>VLOOKUP(A804,Data!A:AX,MATCH($B$2,Data!$B$1:$AX$1,0),FALSE)</f>
        <v/>
      </c>
      <c r="C804" s="35">
        <f>(B804/B803)-1</f>
        <v/>
      </c>
      <c r="D804" s="35">
        <f>((1+C804)^12)-1</f>
        <v/>
      </c>
      <c r="E804" s="35">
        <f>(Table143454[[#This Row],[USA]]-B792)/B792</f>
        <v/>
      </c>
      <c r="F804" s="34">
        <f>VLOOKUP(Table143454[[#This Row],[Date]],'Data Core CPI'!$A:$AX,MATCH($B$2,'Data Core CPI'!$B$1:$AX$1,0),FALSE)</f>
        <v/>
      </c>
      <c r="G804" s="35">
        <f>(F804/F803)-1</f>
        <v/>
      </c>
      <c r="H804" s="35">
        <f>((1+G804)^12)-1</f>
        <v/>
      </c>
      <c r="I804" s="35">
        <f>(Table143454[[#This Row],[Core CPI]]-F792)/F792</f>
        <v/>
      </c>
    </row>
    <row r="805">
      <c r="A805" s="33">
        <f>IF(Data!A832="",#N/A,Data!A832)</f>
        <v/>
      </c>
      <c r="B805" s="34">
        <f>VLOOKUP(A805,Data!A:AX,MATCH($B$2,Data!$B$1:$AX$1,0),FALSE)</f>
        <v/>
      </c>
      <c r="C805" s="35">
        <f>(B805/B804)-1</f>
        <v/>
      </c>
      <c r="D805" s="35">
        <f>((1+C805)^12)-1</f>
        <v/>
      </c>
      <c r="E805" s="35">
        <f>(Table143454[[#This Row],[USA]]-B793)/B793</f>
        <v/>
      </c>
      <c r="F805" s="34">
        <f>VLOOKUP(Table143454[[#This Row],[Date]],'Data Core CPI'!$A:$AX,MATCH($B$2,'Data Core CPI'!$B$1:$AX$1,0),FALSE)</f>
        <v/>
      </c>
      <c r="G805" s="35">
        <f>(F805/F804)-1</f>
        <v/>
      </c>
      <c r="H805" s="35">
        <f>((1+G805)^12)-1</f>
        <v/>
      </c>
      <c r="I805" s="35">
        <f>(Table143454[[#This Row],[Core CPI]]-F793)/F793</f>
        <v/>
      </c>
    </row>
    <row r="806">
      <c r="A806" s="33">
        <f>IF(Data!A833="",#N/A,Data!A833)</f>
        <v/>
      </c>
      <c r="B806" s="34">
        <f>VLOOKUP(A806,Data!A:AX,MATCH($B$2,Data!$B$1:$AX$1,0),FALSE)</f>
        <v/>
      </c>
      <c r="C806" s="35">
        <f>(B806/B805)-1</f>
        <v/>
      </c>
      <c r="D806" s="35">
        <f>((1+C806)^12)-1</f>
        <v/>
      </c>
      <c r="E806" s="35">
        <f>(Table143454[[#This Row],[USA]]-B794)/B794</f>
        <v/>
      </c>
      <c r="F806" s="34">
        <f>VLOOKUP(Table143454[[#This Row],[Date]],'Data Core CPI'!$A:$AX,MATCH($B$2,'Data Core CPI'!$B$1:$AX$1,0),FALSE)</f>
        <v/>
      </c>
      <c r="G806" s="35">
        <f>(F806/F805)-1</f>
        <v/>
      </c>
      <c r="H806" s="35">
        <f>((1+G806)^12)-1</f>
        <v/>
      </c>
      <c r="I806" s="35">
        <f>(Table143454[[#This Row],[Core CPI]]-F794)/F794</f>
        <v/>
      </c>
    </row>
    <row r="807">
      <c r="A807" s="33">
        <f>IF(Data!A834="",#N/A,Data!A834)</f>
        <v/>
      </c>
      <c r="B807" s="34">
        <f>VLOOKUP(A807,Data!A:AX,MATCH($B$2,Data!$B$1:$AX$1,0),FALSE)</f>
        <v/>
      </c>
      <c r="C807" s="35">
        <f>(B807/B806)-1</f>
        <v/>
      </c>
      <c r="D807" s="35">
        <f>((1+C807)^12)-1</f>
        <v/>
      </c>
      <c r="E807" s="35">
        <f>(Table143454[[#This Row],[USA]]-B795)/B795</f>
        <v/>
      </c>
      <c r="F807" s="34">
        <f>VLOOKUP(Table143454[[#This Row],[Date]],'Data Core CPI'!$A:$AX,MATCH($B$2,'Data Core CPI'!$B$1:$AX$1,0),FALSE)</f>
        <v/>
      </c>
      <c r="G807" s="35">
        <f>(F807/F806)-1</f>
        <v/>
      </c>
      <c r="H807" s="35">
        <f>((1+G807)^12)-1</f>
        <v/>
      </c>
      <c r="I807" s="35">
        <f>(Table143454[[#This Row],[Core CPI]]-F795)/F795</f>
        <v/>
      </c>
    </row>
    <row r="808">
      <c r="A808" s="33">
        <f>IF(Data!A835="",#N/A,Data!A835)</f>
        <v/>
      </c>
      <c r="B808" s="34">
        <f>VLOOKUP(A808,Data!A:AX,MATCH($B$2,Data!$B$1:$AX$1,0),FALSE)</f>
        <v/>
      </c>
      <c r="C808" s="35">
        <f>(B808/B807)-1</f>
        <v/>
      </c>
      <c r="D808" s="35">
        <f>((1+C808)^12)-1</f>
        <v/>
      </c>
      <c r="E808" s="35">
        <f>(Table143454[[#This Row],[USA]]-B796)/B796</f>
        <v/>
      </c>
      <c r="F808" s="34">
        <f>VLOOKUP(Table143454[[#This Row],[Date]],'Data Core CPI'!$A:$AX,MATCH($B$2,'Data Core CPI'!$B$1:$AX$1,0),FALSE)</f>
        <v/>
      </c>
      <c r="G808" s="35">
        <f>(F808/F807)-1</f>
        <v/>
      </c>
      <c r="H808" s="35">
        <f>((1+G808)^12)-1</f>
        <v/>
      </c>
      <c r="I808" s="35">
        <f>(Table143454[[#This Row],[Core CPI]]-F796)/F796</f>
        <v/>
      </c>
    </row>
    <row r="809">
      <c r="A809" s="33">
        <f>IF(Data!A836="",#N/A,Data!A836)</f>
        <v/>
      </c>
      <c r="B809" s="34">
        <f>VLOOKUP(A809,Data!A:AX,MATCH($B$2,Data!$B$1:$AX$1,0),FALSE)</f>
        <v/>
      </c>
      <c r="C809" s="35">
        <f>(B809/B808)-1</f>
        <v/>
      </c>
      <c r="D809" s="35">
        <f>((1+C809)^12)-1</f>
        <v/>
      </c>
      <c r="E809" s="35">
        <f>(Table143454[[#This Row],[USA]]-B797)/B797</f>
        <v/>
      </c>
      <c r="F809" s="34">
        <f>VLOOKUP(Table143454[[#This Row],[Date]],'Data Core CPI'!$A:$AX,MATCH($B$2,'Data Core CPI'!$B$1:$AX$1,0),FALSE)</f>
        <v/>
      </c>
      <c r="G809" s="35">
        <f>(F809/F808)-1</f>
        <v/>
      </c>
      <c r="H809" s="35">
        <f>((1+G809)^12)-1</f>
        <v/>
      </c>
      <c r="I809" s="35">
        <f>(Table143454[[#This Row],[Core CPI]]-F797)/F797</f>
        <v/>
      </c>
    </row>
    <row r="810">
      <c r="A810" s="33">
        <f>IF(Data!A837="",#N/A,Data!A837)</f>
        <v/>
      </c>
      <c r="B810" s="34">
        <f>VLOOKUP(A810,Data!A:AX,MATCH($B$2,Data!$B$1:$AX$1,0),FALSE)</f>
        <v/>
      </c>
      <c r="C810" s="35">
        <f>(B810/B809)-1</f>
        <v/>
      </c>
      <c r="D810" s="35">
        <f>((1+C810)^12)-1</f>
        <v/>
      </c>
      <c r="E810" s="35">
        <f>(Table143454[[#This Row],[USA]]-B798)/B798</f>
        <v/>
      </c>
      <c r="F810" s="34">
        <f>VLOOKUP(Table143454[[#This Row],[Date]],'Data Core CPI'!$A:$AX,MATCH($B$2,'Data Core CPI'!$B$1:$AX$1,0),FALSE)</f>
        <v/>
      </c>
      <c r="G810" s="35">
        <f>(F810/F809)-1</f>
        <v/>
      </c>
      <c r="H810" s="35">
        <f>((1+G810)^12)-1</f>
        <v/>
      </c>
      <c r="I810" s="35">
        <f>(Table143454[[#This Row],[Core CPI]]-F798)/F798</f>
        <v/>
      </c>
    </row>
    <row r="811">
      <c r="A811" s="33">
        <f>IF(Data!A838="",#N/A,Data!A838)</f>
        <v/>
      </c>
      <c r="B811" s="34">
        <f>VLOOKUP(A811,Data!A:AX,MATCH($B$2,Data!$B$1:$AX$1,0),FALSE)</f>
        <v/>
      </c>
      <c r="C811" s="35">
        <f>(B811/B810)-1</f>
        <v/>
      </c>
      <c r="D811" s="35">
        <f>((1+C811)^12)-1</f>
        <v/>
      </c>
      <c r="E811" s="35">
        <f>(Table143454[[#This Row],[USA]]-B799)/B799</f>
        <v/>
      </c>
      <c r="F811" s="34">
        <f>VLOOKUP(Table143454[[#This Row],[Date]],'Data Core CPI'!$A:$AX,MATCH($B$2,'Data Core CPI'!$B$1:$AX$1,0),FALSE)</f>
        <v/>
      </c>
      <c r="G811" s="35">
        <f>(F811/F810)-1</f>
        <v/>
      </c>
      <c r="H811" s="35">
        <f>((1+G811)^12)-1</f>
        <v/>
      </c>
      <c r="I811" s="35">
        <f>(Table143454[[#This Row],[Core CPI]]-F799)/F799</f>
        <v/>
      </c>
    </row>
    <row r="812">
      <c r="A812" s="33">
        <f>IF(Data!A839="",#N/A,Data!A839)</f>
        <v/>
      </c>
      <c r="B812" s="34">
        <f>VLOOKUP(A812,Data!A:AX,MATCH($B$2,Data!$B$1:$AX$1,0),FALSE)</f>
        <v/>
      </c>
      <c r="C812" s="35">
        <f>(B812/B811)-1</f>
        <v/>
      </c>
      <c r="D812" s="35">
        <f>((1+C812)^12)-1</f>
        <v/>
      </c>
      <c r="E812" s="35">
        <f>(Table143454[[#This Row],[USA]]-B800)/B800</f>
        <v/>
      </c>
      <c r="F812" s="34">
        <f>VLOOKUP(Table143454[[#This Row],[Date]],'Data Core CPI'!$A:$AX,MATCH($B$2,'Data Core CPI'!$B$1:$AX$1,0),FALSE)</f>
        <v/>
      </c>
      <c r="G812" s="35">
        <f>(F812/F811)-1</f>
        <v/>
      </c>
      <c r="H812" s="35">
        <f>((1+G812)^12)-1</f>
        <v/>
      </c>
      <c r="I812" s="35">
        <f>(Table143454[[#This Row],[Core CPI]]-F800)/F800</f>
        <v/>
      </c>
    </row>
    <row r="813">
      <c r="A813" s="33">
        <f>IF(Data!A840="",#N/A,Data!A840)</f>
        <v/>
      </c>
      <c r="B813" s="34">
        <f>VLOOKUP(A813,Data!A:AX,MATCH($B$2,Data!$B$1:$AX$1,0),FALSE)</f>
        <v/>
      </c>
      <c r="C813" s="35">
        <f>(B813/B812)-1</f>
        <v/>
      </c>
      <c r="D813" s="35">
        <f>((1+C813)^12)-1</f>
        <v/>
      </c>
      <c r="E813" s="35">
        <f>(Table143454[[#This Row],[USA]]-B801)/B801</f>
        <v/>
      </c>
      <c r="F813" s="34">
        <f>VLOOKUP(Table143454[[#This Row],[Date]],'Data Core CPI'!$A:$AX,MATCH($B$2,'Data Core CPI'!$B$1:$AX$1,0),FALSE)</f>
        <v/>
      </c>
      <c r="G813" s="35">
        <f>(F813/F812)-1</f>
        <v/>
      </c>
      <c r="H813" s="35">
        <f>((1+G813)^12)-1</f>
        <v/>
      </c>
      <c r="I813" s="35">
        <f>(Table143454[[#This Row],[Core CPI]]-F801)/F801</f>
        <v/>
      </c>
    </row>
    <row r="814">
      <c r="A814" s="33">
        <f>IF(Data!A841="",#N/A,Data!A841)</f>
        <v/>
      </c>
      <c r="B814" s="34">
        <f>VLOOKUP(A814,Data!A:AX,MATCH($B$2,Data!$B$1:$AX$1,0),FALSE)</f>
        <v/>
      </c>
      <c r="C814" s="35">
        <f>(B814/B813)-1</f>
        <v/>
      </c>
      <c r="D814" s="35">
        <f>((1+C814)^12)-1</f>
        <v/>
      </c>
      <c r="E814" s="35">
        <f>(Table143454[[#This Row],[USA]]-B802)/B802</f>
        <v/>
      </c>
      <c r="F814" s="34">
        <f>VLOOKUP(Table143454[[#This Row],[Date]],'Data Core CPI'!$A:$AX,MATCH($B$2,'Data Core CPI'!$B$1:$AX$1,0),FALSE)</f>
        <v/>
      </c>
      <c r="G814" s="35">
        <f>(F814/F813)-1</f>
        <v/>
      </c>
      <c r="H814" s="35">
        <f>((1+G814)^12)-1</f>
        <v/>
      </c>
      <c r="I814" s="35">
        <f>(Table143454[[#This Row],[Core CPI]]-F802)/F802</f>
        <v/>
      </c>
    </row>
    <row r="815">
      <c r="A815" s="33">
        <f>IF(Data!A842="",#N/A,Data!A842)</f>
        <v/>
      </c>
      <c r="B815" s="34">
        <f>VLOOKUP(A815,Data!A:AX,MATCH($B$2,Data!$B$1:$AX$1,0),FALSE)</f>
        <v/>
      </c>
      <c r="C815" s="35">
        <f>(B815/B814)-1</f>
        <v/>
      </c>
      <c r="D815" s="35">
        <f>((1+C815)^12)-1</f>
        <v/>
      </c>
      <c r="E815" s="35">
        <f>(Table143454[[#This Row],[USA]]-B803)/B803</f>
        <v/>
      </c>
      <c r="F815" s="34">
        <f>VLOOKUP(Table143454[[#This Row],[Date]],'Data Core CPI'!$A:$AX,MATCH($B$2,'Data Core CPI'!$B$1:$AX$1,0),FALSE)</f>
        <v/>
      </c>
      <c r="G815" s="35">
        <f>(F815/F814)-1</f>
        <v/>
      </c>
      <c r="H815" s="35">
        <f>((1+G815)^12)-1</f>
        <v/>
      </c>
      <c r="I815" s="35">
        <f>(Table143454[[#This Row],[Core CPI]]-F803)/F803</f>
        <v/>
      </c>
    </row>
    <row r="816">
      <c r="A816" s="33">
        <f>IF(Data!A843="",#N/A,Data!A843)</f>
        <v/>
      </c>
      <c r="B816" s="34">
        <f>VLOOKUP(A816,Data!A:AX,MATCH($B$2,Data!$B$1:$AX$1,0),FALSE)</f>
        <v/>
      </c>
      <c r="C816" s="35">
        <f>(B816/B815)-1</f>
        <v/>
      </c>
      <c r="D816" s="35">
        <f>((1+C816)^12)-1</f>
        <v/>
      </c>
      <c r="E816" s="35">
        <f>(Table143454[[#This Row],[USA]]-B804)/B804</f>
        <v/>
      </c>
      <c r="F816" s="34">
        <f>VLOOKUP(Table143454[[#This Row],[Date]],'Data Core CPI'!$A:$AX,MATCH($B$2,'Data Core CPI'!$B$1:$AX$1,0),FALSE)</f>
        <v/>
      </c>
      <c r="G816" s="35">
        <f>(F816/F815)-1</f>
        <v/>
      </c>
      <c r="H816" s="35">
        <f>((1+G816)^12)-1</f>
        <v/>
      </c>
      <c r="I816" s="35">
        <f>(Table143454[[#This Row],[Core CPI]]-F804)/F804</f>
        <v/>
      </c>
    </row>
    <row r="817">
      <c r="A817" s="33">
        <f>IF(Data!A844="",#N/A,Data!A844)</f>
        <v/>
      </c>
      <c r="B817" s="34">
        <f>VLOOKUP(A817,Data!A:AX,MATCH($B$2,Data!$B$1:$AX$1,0),FALSE)</f>
        <v/>
      </c>
      <c r="C817" s="35">
        <f>(B817/B816)-1</f>
        <v/>
      </c>
      <c r="D817" s="35">
        <f>((1+C817)^12)-1</f>
        <v/>
      </c>
      <c r="E817" s="35">
        <f>(Table143454[[#This Row],[USA]]-B805)/B805</f>
        <v/>
      </c>
      <c r="F817" s="34">
        <f>VLOOKUP(Table143454[[#This Row],[Date]],'Data Core CPI'!$A:$AX,MATCH($B$2,'Data Core CPI'!$B$1:$AX$1,0),FALSE)</f>
        <v/>
      </c>
      <c r="G817" s="35">
        <f>(F817/F816)-1</f>
        <v/>
      </c>
      <c r="H817" s="35">
        <f>((1+G817)^12)-1</f>
        <v/>
      </c>
      <c r="I817" s="35">
        <f>(Table143454[[#This Row],[Core CPI]]-F805)/F805</f>
        <v/>
      </c>
    </row>
    <row r="818">
      <c r="A818" s="33">
        <f>IF(Data!A845="",#N/A,Data!A845)</f>
        <v/>
      </c>
      <c r="B818" s="34">
        <f>VLOOKUP(A818,Data!A:AX,MATCH($B$2,Data!$B$1:$AX$1,0),FALSE)</f>
        <v/>
      </c>
      <c r="C818" s="35">
        <f>(B818/B817)-1</f>
        <v/>
      </c>
      <c r="D818" s="35">
        <f>((1+C818)^12)-1</f>
        <v/>
      </c>
      <c r="E818" s="35">
        <f>(Table143454[[#This Row],[USA]]-B806)/B806</f>
        <v/>
      </c>
      <c r="F818" s="34">
        <f>VLOOKUP(Table143454[[#This Row],[Date]],'Data Core CPI'!$A:$AX,MATCH($B$2,'Data Core CPI'!$B$1:$AX$1,0),FALSE)</f>
        <v/>
      </c>
      <c r="G818" s="35">
        <f>(F818/F817)-1</f>
        <v/>
      </c>
      <c r="H818" s="35">
        <f>((1+G818)^12)-1</f>
        <v/>
      </c>
      <c r="I818" s="35">
        <f>(Table143454[[#This Row],[Core CPI]]-F806)/F806</f>
        <v/>
      </c>
    </row>
    <row r="819">
      <c r="A819" s="33">
        <f>IF(Data!A846="",#N/A,Data!A846)</f>
        <v/>
      </c>
      <c r="B819" s="34">
        <f>VLOOKUP(A819,Data!A:AX,MATCH($B$2,Data!$B$1:$AX$1,0),FALSE)</f>
        <v/>
      </c>
      <c r="C819" s="35">
        <f>(B819/B818)-1</f>
        <v/>
      </c>
      <c r="D819" s="35">
        <f>((1+C819)^12)-1</f>
        <v/>
      </c>
      <c r="E819" s="35">
        <f>(Table143454[[#This Row],[USA]]-B807)/B807</f>
        <v/>
      </c>
      <c r="F819" s="34">
        <f>VLOOKUP(Table143454[[#This Row],[Date]],'Data Core CPI'!$A:$AX,MATCH($B$2,'Data Core CPI'!$B$1:$AX$1,0),FALSE)</f>
        <v/>
      </c>
      <c r="G819" s="35">
        <f>(F819/F818)-1</f>
        <v/>
      </c>
      <c r="H819" s="35">
        <f>((1+G819)^12)-1</f>
        <v/>
      </c>
      <c r="I819" s="35">
        <f>(Table143454[[#This Row],[Core CPI]]-F807)/F807</f>
        <v/>
      </c>
    </row>
    <row r="820">
      <c r="A820" s="33">
        <f>IF(Data!A847="",#N/A,Data!A847)</f>
        <v/>
      </c>
      <c r="B820" s="34">
        <f>VLOOKUP(A820,Data!A:AX,MATCH($B$2,Data!$B$1:$AX$1,0),FALSE)</f>
        <v/>
      </c>
      <c r="C820" s="35">
        <f>(B820/B819)-1</f>
        <v/>
      </c>
      <c r="D820" s="35">
        <f>((1+C820)^12)-1</f>
        <v/>
      </c>
      <c r="E820" s="35">
        <f>(Table143454[[#This Row],[USA]]-B808)/B808</f>
        <v/>
      </c>
      <c r="F820" s="34">
        <f>VLOOKUP(Table143454[[#This Row],[Date]],'Data Core CPI'!$A:$AX,MATCH($B$2,'Data Core CPI'!$B$1:$AX$1,0),FALSE)</f>
        <v/>
      </c>
      <c r="G820" s="35">
        <f>(F820/F819)-1</f>
        <v/>
      </c>
      <c r="H820" s="35">
        <f>((1+G820)^12)-1</f>
        <v/>
      </c>
      <c r="I820" s="35">
        <f>(Table143454[[#This Row],[Core CPI]]-F808)/F808</f>
        <v/>
      </c>
    </row>
    <row r="821" customFormat="1" s="26">
      <c r="A821" s="33">
        <f>IF(Data!A848="",#N/A,Data!A848)</f>
        <v/>
      </c>
      <c r="B821" s="34">
        <f>VLOOKUP(A821,Data!A:AX,MATCH($B$2,Data!$B$1:$AX$1,0),FALSE)</f>
        <v/>
      </c>
      <c r="C821" s="35">
        <f>(B821/B820)-1</f>
        <v/>
      </c>
      <c r="D821" s="35">
        <f>((1+C821)^12)-1</f>
        <v/>
      </c>
      <c r="E821" s="35">
        <f>(Table143454[[#This Row],[USA]]-B809)/B809</f>
        <v/>
      </c>
      <c r="F821" s="34">
        <f>VLOOKUP(Table143454[[#This Row],[Date]],'Data Core CPI'!$A:$AX,MATCH($B$2,'Data Core CPI'!$B$1:$AX$1,0),FALSE)</f>
        <v/>
      </c>
      <c r="G821" s="35">
        <f>(F821/F820)-1</f>
        <v/>
      </c>
      <c r="H821" s="35">
        <f>((1+G821)^12)-1</f>
        <v/>
      </c>
      <c r="I821" s="35">
        <f>(Table143454[[#This Row],[Core CPI]]-F809)/F809</f>
        <v/>
      </c>
    </row>
    <row r="822" customFormat="1" s="26">
      <c r="A822" s="33">
        <f>IF(Data!A849="",#N/A,Data!A849)</f>
        <v/>
      </c>
      <c r="B822" s="34">
        <f>VLOOKUP(A822,Data!A:AX,MATCH($B$2,Data!$B$1:$AX$1,0),FALSE)</f>
        <v/>
      </c>
      <c r="C822" s="35">
        <f>(B822/B821)-1</f>
        <v/>
      </c>
      <c r="D822" s="35">
        <f>((1+C822)^12)-1</f>
        <v/>
      </c>
      <c r="E822" s="35">
        <f>(Table143454[[#This Row],[USA]]-B810)/B810</f>
        <v/>
      </c>
      <c r="F822" s="34">
        <f>VLOOKUP(Table143454[[#This Row],[Date]],'Data Core CPI'!$A:$AX,MATCH($B$2,'Data Core CPI'!$B$1:$AX$1,0),FALSE)</f>
        <v/>
      </c>
      <c r="G822" s="35">
        <f>(F822/F821)-1</f>
        <v/>
      </c>
      <c r="H822" s="35">
        <f>((1+G822)^12)-1</f>
        <v/>
      </c>
      <c r="I822" s="35">
        <f>(Table143454[[#This Row],[Core CPI]]-F810)/F810</f>
        <v/>
      </c>
    </row>
    <row r="823" customFormat="1" s="26">
      <c r="A823" s="33">
        <f>IF(Data!A850="",#N/A,Data!A850)</f>
        <v/>
      </c>
      <c r="B823" s="34">
        <f>VLOOKUP(A823,Data!A:AX,MATCH($B$2,Data!$B$1:$AX$1,0),FALSE)</f>
        <v/>
      </c>
      <c r="C823" s="35">
        <f>(B823/B822)-1</f>
        <v/>
      </c>
      <c r="D823" s="35">
        <f>((1+C823)^12)-1</f>
        <v/>
      </c>
      <c r="E823" s="35">
        <f>(Table143454[[#This Row],[USA]]-B811)/B811</f>
        <v/>
      </c>
      <c r="F823" s="34">
        <f>VLOOKUP(Table143454[[#This Row],[Date]],'Data Core CPI'!$A:$AX,MATCH($B$2,'Data Core CPI'!$B$1:$AX$1,0),FALSE)</f>
        <v/>
      </c>
      <c r="G823" s="35">
        <f>(F823/F822)-1</f>
        <v/>
      </c>
      <c r="H823" s="35">
        <f>((1+G823)^12)-1</f>
        <v/>
      </c>
      <c r="I823" s="35">
        <f>(Table143454[[#This Row],[Core CPI]]-F811)/F811</f>
        <v/>
      </c>
    </row>
    <row r="824" customFormat="1" s="26">
      <c r="A824" s="33">
        <f>IF(Data!A851="",#N/A,Data!A851)</f>
        <v/>
      </c>
      <c r="B824" s="34">
        <f>VLOOKUP(A824,Data!A:AX,MATCH($B$2,Data!$B$1:$AX$1,0),FALSE)</f>
        <v/>
      </c>
      <c r="C824" s="35">
        <f>(B824/B823)-1</f>
        <v/>
      </c>
      <c r="D824" s="35">
        <f>((1+C824)^12)-1</f>
        <v/>
      </c>
      <c r="E824" s="35">
        <f>(Table143454[[#This Row],[USA]]-B812)/B812</f>
        <v/>
      </c>
      <c r="F824" s="34">
        <f>VLOOKUP(Table143454[[#This Row],[Date]],'Data Core CPI'!$A:$AX,MATCH($B$2,'Data Core CPI'!$B$1:$AX$1,0),FALSE)</f>
        <v/>
      </c>
      <c r="G824" s="35">
        <f>(F824/F823)-1</f>
        <v/>
      </c>
      <c r="H824" s="35">
        <f>((1+G824)^12)-1</f>
        <v/>
      </c>
      <c r="I824" s="35">
        <f>(Table143454[[#This Row],[Core CPI]]-F812)/F812</f>
        <v/>
      </c>
    </row>
    <row r="825" customFormat="1" s="26">
      <c r="A825" s="33">
        <f>IF(Data!A852="",#N/A,Data!A852)</f>
        <v/>
      </c>
      <c r="B825" s="34">
        <f>VLOOKUP(A825,Data!A:AX,MATCH($B$2,Data!$B$1:$AX$1,0),FALSE)</f>
        <v/>
      </c>
      <c r="C825" s="35">
        <f>(B825/B824)-1</f>
        <v/>
      </c>
      <c r="D825" s="35">
        <f>((1+C825)^12)-1</f>
        <v/>
      </c>
      <c r="E825" s="35">
        <f>(Table143454[[#This Row],[USA]]-B813)/B813</f>
        <v/>
      </c>
      <c r="F825" s="34">
        <f>VLOOKUP(Table143454[[#This Row],[Date]],'Data Core CPI'!$A:$AX,MATCH($B$2,'Data Core CPI'!$B$1:$AX$1,0),FALSE)</f>
        <v/>
      </c>
      <c r="G825" s="35">
        <f>(F825/F824)-1</f>
        <v/>
      </c>
      <c r="H825" s="35">
        <f>((1+G825)^12)-1</f>
        <v/>
      </c>
      <c r="I825" s="35">
        <f>(Table143454[[#This Row],[Core CPI]]-F813)/F813</f>
        <v/>
      </c>
    </row>
    <row r="826" customFormat="1" s="26">
      <c r="A826" s="33">
        <f>IF(Data!A853="",#N/A,Data!A853)</f>
        <v/>
      </c>
      <c r="B826" s="34">
        <f>VLOOKUP(A826,Data!A:AX,MATCH($B$2,Data!$B$1:$AX$1,0),FALSE)</f>
        <v/>
      </c>
      <c r="C826" s="35">
        <f>(B826/B825)-1</f>
        <v/>
      </c>
      <c r="D826" s="35">
        <f>((1+C826)^12)-1</f>
        <v/>
      </c>
      <c r="E826" s="35">
        <f>(Table143454[[#This Row],[USA]]-B814)/B814</f>
        <v/>
      </c>
      <c r="F826" s="34">
        <f>VLOOKUP(Table143454[[#This Row],[Date]],'Data Core CPI'!$A:$AX,MATCH($B$2,'Data Core CPI'!$B$1:$AX$1,0),FALSE)</f>
        <v/>
      </c>
      <c r="G826" s="35">
        <f>(F826/F825)-1</f>
        <v/>
      </c>
      <c r="H826" s="35">
        <f>((1+G826)^12)-1</f>
        <v/>
      </c>
      <c r="I826" s="35">
        <f>(Table143454[[#This Row],[Core CPI]]-F814)/F814</f>
        <v/>
      </c>
    </row>
    <row r="827" customFormat="1" s="26">
      <c r="A827" s="33">
        <f>IF(Data!A854="",#N/A,Data!A854)</f>
        <v/>
      </c>
      <c r="B827" s="34">
        <f>VLOOKUP(A827,Data!A:AX,MATCH($B$2,Data!$B$1:$AX$1,0),FALSE)</f>
        <v/>
      </c>
      <c r="C827" s="35">
        <f>(B827/B826)-1</f>
        <v/>
      </c>
      <c r="D827" s="35">
        <f>((1+C827)^12)-1</f>
        <v/>
      </c>
      <c r="E827" s="35">
        <f>(Table143454[[#This Row],[USA]]-B815)/B815</f>
        <v/>
      </c>
      <c r="F827" s="34">
        <f>VLOOKUP(Table143454[[#This Row],[Date]],'Data Core CPI'!$A:$AX,MATCH($B$2,'Data Core CPI'!$B$1:$AX$1,0),FALSE)</f>
        <v/>
      </c>
      <c r="G827" s="35">
        <f>(F827/F826)-1</f>
        <v/>
      </c>
      <c r="H827" s="35">
        <f>((1+G827)^12)-1</f>
        <v/>
      </c>
      <c r="I827" s="35">
        <f>(Table143454[[#This Row],[Core CPI]]-F815)/F815</f>
        <v/>
      </c>
    </row>
    <row r="828" customFormat="1" s="26">
      <c r="A828" s="33">
        <f>IF(Data!A855="",#N/A,Data!A855)</f>
        <v/>
      </c>
      <c r="B828" s="34">
        <f>VLOOKUP(A828,Data!A:AX,MATCH($B$2,Data!$B$1:$AX$1,0),FALSE)</f>
        <v/>
      </c>
      <c r="C828" s="35">
        <f>(B828/B827)-1</f>
        <v/>
      </c>
      <c r="D828" s="35">
        <f>((1+C828)^12)-1</f>
        <v/>
      </c>
      <c r="E828" s="35">
        <f>(Table143454[[#This Row],[USA]]-B816)/B816</f>
        <v/>
      </c>
      <c r="F828" s="34">
        <f>VLOOKUP(Table143454[[#This Row],[Date]],'Data Core CPI'!$A:$AX,MATCH($B$2,'Data Core CPI'!$B$1:$AX$1,0),FALSE)</f>
        <v/>
      </c>
      <c r="G828" s="35">
        <f>(F828/F827)-1</f>
        <v/>
      </c>
      <c r="H828" s="35">
        <f>((1+G828)^12)-1</f>
        <v/>
      </c>
      <c r="I828" s="35">
        <f>(Table143454[[#This Row],[Core CPI]]-F816)/F816</f>
        <v/>
      </c>
    </row>
    <row r="829" customFormat="1" s="26">
      <c r="A829" s="33">
        <f>IF(Data!A856="",#N/A,Data!A856)</f>
        <v/>
      </c>
      <c r="B829" s="34">
        <f>VLOOKUP(A829,Data!A:AX,MATCH($B$2,Data!$B$1:$AX$1,0),FALSE)</f>
        <v/>
      </c>
      <c r="C829" s="35">
        <f>(B829/B828)-1</f>
        <v/>
      </c>
      <c r="D829" s="35">
        <f>((1+C829)^12)-1</f>
        <v/>
      </c>
      <c r="E829" s="35">
        <f>(Table143454[[#This Row],[USA]]-B817)/B817</f>
        <v/>
      </c>
      <c r="F829" s="34">
        <f>VLOOKUP(Table143454[[#This Row],[Date]],'Data Core CPI'!$A:$AX,MATCH($B$2,'Data Core CPI'!$B$1:$AX$1,0),FALSE)</f>
        <v/>
      </c>
      <c r="G829" s="35">
        <f>(F829/F828)-1</f>
        <v/>
      </c>
      <c r="H829" s="35">
        <f>((1+G829)^12)-1</f>
        <v/>
      </c>
      <c r="I829" s="35">
        <f>(Table143454[[#This Row],[Core CPI]]-F817)/F817</f>
        <v/>
      </c>
    </row>
    <row r="830" customFormat="1" s="26">
      <c r="A830" s="33">
        <f>IF(Data!A857="",#N/A,Data!A857)</f>
        <v/>
      </c>
      <c r="B830" s="34">
        <f>VLOOKUP(A830,Data!A:AX,MATCH($B$2,Data!$B$1:$AX$1,0),FALSE)</f>
        <v/>
      </c>
      <c r="C830" s="35">
        <f>(B830/B829)-1</f>
        <v/>
      </c>
      <c r="D830" s="35">
        <f>((1+C830)^12)-1</f>
        <v/>
      </c>
      <c r="E830" s="35">
        <f>(Table143454[[#This Row],[USA]]-B818)/B818</f>
        <v/>
      </c>
      <c r="F830" s="34">
        <f>VLOOKUP(Table143454[[#This Row],[Date]],'Data Core CPI'!$A:$AX,MATCH($B$2,'Data Core CPI'!$B$1:$AX$1,0),FALSE)</f>
        <v/>
      </c>
      <c r="G830" s="35">
        <f>(F830/F829)-1</f>
        <v/>
      </c>
      <c r="H830" s="35">
        <f>((1+G830)^12)-1</f>
        <v/>
      </c>
      <c r="I830" s="35">
        <f>(Table143454[[#This Row],[Core CPI]]-F818)/F818</f>
        <v/>
      </c>
    </row>
    <row r="831" customFormat="1" s="26">
      <c r="A831" s="33">
        <f>IF(Data!A858="",#N/A,Data!A858)</f>
        <v/>
      </c>
      <c r="B831" s="34">
        <f>VLOOKUP(A831,Data!A:AX,MATCH($B$2,Data!$B$1:$AX$1,0),FALSE)</f>
        <v/>
      </c>
      <c r="C831" s="35">
        <f>(B831/B830)-1</f>
        <v/>
      </c>
      <c r="D831" s="35">
        <f>((1+C831)^12)-1</f>
        <v/>
      </c>
      <c r="E831" s="35">
        <f>(Table143454[[#This Row],[USA]]-B819)/B819</f>
        <v/>
      </c>
      <c r="F831" s="34">
        <f>VLOOKUP(Table143454[[#This Row],[Date]],'Data Core CPI'!$A:$AX,MATCH($B$2,'Data Core CPI'!$B$1:$AX$1,0),FALSE)</f>
        <v/>
      </c>
      <c r="G831" s="35">
        <f>(F831/F830)-1</f>
        <v/>
      </c>
      <c r="H831" s="35">
        <f>((1+G831)^12)-1</f>
        <v/>
      </c>
      <c r="I831" s="35">
        <f>(Table143454[[#This Row],[Core CPI]]-F819)/F819</f>
        <v/>
      </c>
    </row>
    <row r="832" customFormat="1" s="26">
      <c r="A832" s="33">
        <f>IF(Data!A859="",#N/A,Data!A859)</f>
        <v/>
      </c>
      <c r="B832" s="34">
        <f>VLOOKUP(A832,Data!A:AX,MATCH($B$2,Data!$B$1:$AX$1,0),FALSE)</f>
        <v/>
      </c>
      <c r="C832" s="35">
        <f>(B832/B831)-1</f>
        <v/>
      </c>
      <c r="D832" s="35">
        <f>((1+C832)^12)-1</f>
        <v/>
      </c>
      <c r="E832" s="35">
        <f>(Table143454[[#This Row],[USA]]-B820)/B820</f>
        <v/>
      </c>
      <c r="F832" s="34">
        <f>VLOOKUP(Table143454[[#This Row],[Date]],'Data Core CPI'!$A:$AX,MATCH($B$2,'Data Core CPI'!$B$1:$AX$1,0),FALSE)</f>
        <v/>
      </c>
      <c r="G832" s="35">
        <f>(F832/F831)-1</f>
        <v/>
      </c>
      <c r="H832" s="35">
        <f>((1+G832)^12)-1</f>
        <v/>
      </c>
      <c r="I832" s="35">
        <f>(Table143454[[#This Row],[Core CPI]]-F820)/F820</f>
        <v/>
      </c>
    </row>
    <row r="833" customFormat="1" s="26">
      <c r="A833" s="33">
        <f>IF(Data!A860="",#N/A,Data!A860)</f>
        <v/>
      </c>
      <c r="B833" s="34">
        <f>VLOOKUP(A833,Data!A:AX,MATCH($B$2,Data!$B$1:$AX$1,0),FALSE)</f>
        <v/>
      </c>
      <c r="C833" s="35">
        <f>(B833/B832)-1</f>
        <v/>
      </c>
      <c r="D833" s="35">
        <f>((1+C833)^12)-1</f>
        <v/>
      </c>
      <c r="E833" s="35">
        <f>(Table143454[[#This Row],[USA]]-B821)/B821</f>
        <v/>
      </c>
      <c r="F833" s="34">
        <f>VLOOKUP(Table143454[[#This Row],[Date]],'Data Core CPI'!$A:$AX,MATCH($B$2,'Data Core CPI'!$B$1:$AX$1,0),FALSE)</f>
        <v/>
      </c>
      <c r="G833" s="35">
        <f>(F833/F832)-1</f>
        <v/>
      </c>
      <c r="H833" s="35">
        <f>((1+G833)^12)-1</f>
        <v/>
      </c>
      <c r="I833" s="35">
        <f>(Table143454[[#This Row],[Core CPI]]-F821)/F821</f>
        <v/>
      </c>
    </row>
    <row r="834" customFormat="1" s="26">
      <c r="A834" s="33">
        <f>IF(Data!A861="",#N/A,Data!A861)</f>
        <v/>
      </c>
      <c r="B834" s="34">
        <f>VLOOKUP(A834,Data!A:AX,MATCH($B$2,Data!$B$1:$AX$1,0),FALSE)</f>
        <v/>
      </c>
      <c r="C834" s="35">
        <f>(B834/B833)-1</f>
        <v/>
      </c>
      <c r="D834" s="35">
        <f>((1+C834)^12)-1</f>
        <v/>
      </c>
      <c r="E834" s="35">
        <f>(Table143454[[#This Row],[USA]]-B822)/B822</f>
        <v/>
      </c>
      <c r="F834" s="34">
        <f>VLOOKUP(Table143454[[#This Row],[Date]],'Data Core CPI'!$A:$AX,MATCH($B$2,'Data Core CPI'!$B$1:$AX$1,0),FALSE)</f>
        <v/>
      </c>
      <c r="G834" s="35">
        <f>(F834/F833)-1</f>
        <v/>
      </c>
      <c r="H834" s="35">
        <f>((1+G834)^12)-1</f>
        <v/>
      </c>
      <c r="I834" s="35">
        <f>(Table143454[[#This Row],[Core CPI]]-F822)/F822</f>
        <v/>
      </c>
    </row>
    <row r="835" customFormat="1" s="26">
      <c r="A835" s="33">
        <f>IF(Data!A862="",#N/A,Data!A862)</f>
        <v/>
      </c>
      <c r="B835" s="34">
        <f>VLOOKUP(A835,Data!A:AX,MATCH($B$2,Data!$B$1:$AX$1,0),FALSE)</f>
        <v/>
      </c>
      <c r="C835" s="35">
        <f>(B835/B834)-1</f>
        <v/>
      </c>
      <c r="D835" s="35">
        <f>((1+C835)^12)-1</f>
        <v/>
      </c>
      <c r="E835" s="35">
        <f>(Table143454[[#This Row],[USA]]-B823)/B823</f>
        <v/>
      </c>
      <c r="F835" s="34">
        <f>VLOOKUP(Table143454[[#This Row],[Date]],'Data Core CPI'!$A:$AX,MATCH($B$2,'Data Core CPI'!$B$1:$AX$1,0),FALSE)</f>
        <v/>
      </c>
      <c r="G835" s="35">
        <f>(F835/F834)-1</f>
        <v/>
      </c>
      <c r="H835" s="35">
        <f>((1+G835)^12)-1</f>
        <v/>
      </c>
      <c r="I835" s="35">
        <f>(Table143454[[#This Row],[Core CPI]]-F823)/F823</f>
        <v/>
      </c>
    </row>
    <row r="836" customFormat="1" s="26">
      <c r="A836" s="33">
        <f>IF(Data!A863="",#N/A,Data!A863)</f>
        <v/>
      </c>
      <c r="B836" s="34">
        <f>VLOOKUP(A836,Data!A:AX,MATCH($B$2,Data!$B$1:$AX$1,0),FALSE)</f>
        <v/>
      </c>
      <c r="C836" s="35">
        <f>(B836/B835)-1</f>
        <v/>
      </c>
      <c r="D836" s="35">
        <f>((1+C836)^12)-1</f>
        <v/>
      </c>
      <c r="E836" s="35">
        <f>(Table143454[[#This Row],[USA]]-B824)/B824</f>
        <v/>
      </c>
      <c r="F836" s="34">
        <f>VLOOKUP(Table143454[[#This Row],[Date]],'Data Core CPI'!$A:$AX,MATCH($B$2,'Data Core CPI'!$B$1:$AX$1,0),FALSE)</f>
        <v/>
      </c>
      <c r="G836" s="35">
        <f>(F836/F835)-1</f>
        <v/>
      </c>
      <c r="H836" s="35">
        <f>((1+G836)^12)-1</f>
        <v/>
      </c>
      <c r="I836" s="35">
        <f>(Table143454[[#This Row],[Core CPI]]-F824)/F824</f>
        <v/>
      </c>
    </row>
    <row r="837" customFormat="1" s="26">
      <c r="A837" s="33">
        <f>IF(Data!A864="",#N/A,Data!A864)</f>
        <v/>
      </c>
      <c r="B837" s="34">
        <f>VLOOKUP(A837,Data!A:AX,MATCH($B$2,Data!$B$1:$AX$1,0),FALSE)</f>
        <v/>
      </c>
      <c r="C837" s="35">
        <f>(B837/B836)-1</f>
        <v/>
      </c>
      <c r="D837" s="35">
        <f>((1+C837)^12)-1</f>
        <v/>
      </c>
      <c r="E837" s="35">
        <f>(Table143454[[#This Row],[USA]]-B825)/B825</f>
        <v/>
      </c>
      <c r="F837" s="34">
        <f>VLOOKUP(Table143454[[#This Row],[Date]],'Data Core CPI'!$A:$AX,MATCH($B$2,'Data Core CPI'!$B$1:$AX$1,0),FALSE)</f>
        <v/>
      </c>
      <c r="G837" s="35">
        <f>(F837/F836)-1</f>
        <v/>
      </c>
      <c r="H837" s="35">
        <f>((1+G837)^12)-1</f>
        <v/>
      </c>
      <c r="I837" s="35">
        <f>(Table143454[[#This Row],[Core CPI]]-F825)/F825</f>
        <v/>
      </c>
    </row>
    <row r="838" customFormat="1" s="26">
      <c r="A838" s="33">
        <f>IF(Data!A865="",#N/A,Data!A865)</f>
        <v/>
      </c>
      <c r="B838" s="34">
        <f>VLOOKUP(A838,Data!A:AX,MATCH($B$2,Data!$B$1:$AX$1,0),FALSE)</f>
        <v/>
      </c>
      <c r="C838" s="35">
        <f>(B838/B837)-1</f>
        <v/>
      </c>
      <c r="D838" s="35">
        <f>((1+C838)^12)-1</f>
        <v/>
      </c>
      <c r="E838" s="35">
        <f>(Table143454[[#This Row],[USA]]-B826)/B826</f>
        <v/>
      </c>
      <c r="F838" s="34">
        <f>VLOOKUP(Table143454[[#This Row],[Date]],'Data Core CPI'!$A:$AX,MATCH($B$2,'Data Core CPI'!$B$1:$AX$1,0),FALSE)</f>
        <v/>
      </c>
      <c r="G838" s="35">
        <f>(F838/F837)-1</f>
        <v/>
      </c>
      <c r="H838" s="35">
        <f>((1+G838)^12)-1</f>
        <v/>
      </c>
      <c r="I838" s="35">
        <f>(Table143454[[#This Row],[Core CPI]]-F826)/F826</f>
        <v/>
      </c>
    </row>
    <row r="839" customFormat="1" s="26">
      <c r="A839" s="33">
        <f>IF(Data!A866="",#N/A,Data!A866)</f>
        <v/>
      </c>
      <c r="B839" s="34">
        <f>VLOOKUP(A839,Data!A:AX,MATCH($B$2,Data!$B$1:$AX$1,0),FALSE)</f>
        <v/>
      </c>
      <c r="C839" s="35">
        <f>(B839/B838)-1</f>
        <v/>
      </c>
      <c r="D839" s="35">
        <f>((1+C839)^12)-1</f>
        <v/>
      </c>
      <c r="E839" s="35">
        <f>(Table143454[[#This Row],[USA]]-B827)/B827</f>
        <v/>
      </c>
      <c r="F839" s="34">
        <f>VLOOKUP(Table143454[[#This Row],[Date]],'Data Core CPI'!$A:$AX,MATCH($B$2,'Data Core CPI'!$B$1:$AX$1,0),FALSE)</f>
        <v/>
      </c>
      <c r="G839" s="35">
        <f>(F839/F838)-1</f>
        <v/>
      </c>
      <c r="H839" s="35">
        <f>((1+G839)^12)-1</f>
        <v/>
      </c>
      <c r="I839" s="35">
        <f>(Table143454[[#This Row],[Core CPI]]-F827)/F827</f>
        <v/>
      </c>
    </row>
    <row r="840" customFormat="1" s="26">
      <c r="A840" s="33">
        <f>IF(Data!A867="",#N/A,Data!A867)</f>
        <v/>
      </c>
      <c r="B840" s="34">
        <f>VLOOKUP(A840,Data!A:AX,MATCH($B$2,Data!$B$1:$AX$1,0),FALSE)</f>
        <v/>
      </c>
      <c r="C840" s="35">
        <f>(B840/B839)-1</f>
        <v/>
      </c>
      <c r="D840" s="35">
        <f>((1+C840)^12)-1</f>
        <v/>
      </c>
      <c r="E840" s="35">
        <f>(Table143454[[#This Row],[USA]]-B828)/B828</f>
        <v/>
      </c>
      <c r="F840" s="34">
        <f>VLOOKUP(Table143454[[#This Row],[Date]],'Data Core CPI'!$A:$AX,MATCH($B$2,'Data Core CPI'!$B$1:$AX$1,0),FALSE)</f>
        <v/>
      </c>
      <c r="G840" s="35">
        <f>(F840/F839)-1</f>
        <v/>
      </c>
      <c r="H840" s="35">
        <f>((1+G840)^12)-1</f>
        <v/>
      </c>
      <c r="I840" s="35">
        <f>(Table143454[[#This Row],[Core CPI]]-F828)/F828</f>
        <v/>
      </c>
    </row>
    <row r="841" customFormat="1" s="26">
      <c r="A841" s="33">
        <f>IF(Data!A868="",#N/A,Data!A868)</f>
        <v/>
      </c>
      <c r="B841" s="34">
        <f>VLOOKUP(A841,Data!A:AX,MATCH($B$2,Data!$B$1:$AX$1,0),FALSE)</f>
        <v/>
      </c>
      <c r="C841" s="35">
        <f>(B841/B840)-1</f>
        <v/>
      </c>
      <c r="D841" s="35">
        <f>((1+C841)^12)-1</f>
        <v/>
      </c>
      <c r="E841" s="35">
        <f>(Table143454[[#This Row],[USA]]-B829)/B829</f>
        <v/>
      </c>
      <c r="F841" s="34">
        <f>VLOOKUP(Table143454[[#This Row],[Date]],'Data Core CPI'!$A:$AX,MATCH($B$2,'Data Core CPI'!$B$1:$AX$1,0),FALSE)</f>
        <v/>
      </c>
      <c r="G841" s="35">
        <f>(F841/F840)-1</f>
        <v/>
      </c>
      <c r="H841" s="35">
        <f>((1+G841)^12)-1</f>
        <v/>
      </c>
      <c r="I841" s="35">
        <f>(Table143454[[#This Row],[Core CPI]]-F829)/F829</f>
        <v/>
      </c>
    </row>
    <row r="842" customFormat="1" s="26">
      <c r="A842" s="33">
        <f>IF(Data!A869="",#N/A,Data!A869)</f>
        <v/>
      </c>
      <c r="B842" s="34">
        <f>VLOOKUP(A842,Data!A:AX,MATCH($B$2,Data!$B$1:$AX$1,0),FALSE)</f>
        <v/>
      </c>
      <c r="C842" s="35">
        <f>(B842/B841)-1</f>
        <v/>
      </c>
      <c r="D842" s="35">
        <f>((1+C842)^12)-1</f>
        <v/>
      </c>
      <c r="E842" s="35">
        <f>(Table143454[[#This Row],[USA]]-B830)/B830</f>
        <v/>
      </c>
      <c r="F842" s="34">
        <f>VLOOKUP(Table143454[[#This Row],[Date]],'Data Core CPI'!$A:$AX,MATCH($B$2,'Data Core CPI'!$B$1:$AX$1,0),FALSE)</f>
        <v/>
      </c>
      <c r="G842" s="35">
        <f>(F842/F841)-1</f>
        <v/>
      </c>
      <c r="H842" s="35">
        <f>((1+G842)^12)-1</f>
        <v/>
      </c>
      <c r="I842" s="35">
        <f>(Table143454[[#This Row],[Core CPI]]-F830)/F830</f>
        <v/>
      </c>
    </row>
    <row r="843" customFormat="1" s="26">
      <c r="A843" s="33">
        <f>IF(Data!A870="",#N/A,Data!A870)</f>
        <v/>
      </c>
      <c r="B843" s="34">
        <f>VLOOKUP(A843,Data!A:AX,MATCH($B$2,Data!$B$1:$AX$1,0),FALSE)</f>
        <v/>
      </c>
      <c r="C843" s="35">
        <f>(B843/B842)-1</f>
        <v/>
      </c>
      <c r="D843" s="35">
        <f>((1+C843)^12)-1</f>
        <v/>
      </c>
      <c r="E843" s="35">
        <f>(Table143454[[#This Row],[USA]]-B831)/B831</f>
        <v/>
      </c>
      <c r="F843" s="34">
        <f>VLOOKUP(Table143454[[#This Row],[Date]],'Data Core CPI'!$A:$AX,MATCH($B$2,'Data Core CPI'!$B$1:$AX$1,0),FALSE)</f>
        <v/>
      </c>
      <c r="G843" s="35">
        <f>(F843/F842)-1</f>
        <v/>
      </c>
      <c r="H843" s="35">
        <f>((1+G843)^12)-1</f>
        <v/>
      </c>
      <c r="I843" s="35">
        <f>(Table143454[[#This Row],[Core CPI]]-F831)/F831</f>
        <v/>
      </c>
    </row>
    <row r="844" customFormat="1" s="26">
      <c r="A844" s="33">
        <f>IF(Data!A871="",#N/A,Data!A871)</f>
        <v/>
      </c>
      <c r="B844" s="34">
        <f>VLOOKUP(A844,Data!A:AX,MATCH($B$2,Data!$B$1:$AX$1,0),FALSE)</f>
        <v/>
      </c>
      <c r="C844" s="35">
        <f>(B844/B843)-1</f>
        <v/>
      </c>
      <c r="D844" s="35">
        <f>((1+C844)^12)-1</f>
        <v/>
      </c>
      <c r="E844" s="35">
        <f>(Table143454[[#This Row],[USA]]-B832)/B832</f>
        <v/>
      </c>
      <c r="F844" s="34">
        <f>VLOOKUP(Table143454[[#This Row],[Date]],'Data Core CPI'!$A:$AX,MATCH($B$2,'Data Core CPI'!$B$1:$AX$1,0),FALSE)</f>
        <v/>
      </c>
      <c r="G844" s="35">
        <f>(F844/F843)-1</f>
        <v/>
      </c>
      <c r="H844" s="35">
        <f>((1+G844)^12)-1</f>
        <v/>
      </c>
      <c r="I844" s="35">
        <f>(Table143454[[#This Row],[Core CPI]]-F832)/F832</f>
        <v/>
      </c>
    </row>
    <row r="845" customFormat="1" s="26">
      <c r="A845" s="33">
        <f>IF(Data!A872="",#N/A,Data!A872)</f>
        <v/>
      </c>
      <c r="B845" s="34">
        <f>VLOOKUP(A845,Data!A:AX,MATCH($B$2,Data!$B$1:$AX$1,0),FALSE)</f>
        <v/>
      </c>
      <c r="C845" s="35">
        <f>(B845/B844)-1</f>
        <v/>
      </c>
      <c r="D845" s="35">
        <f>((1+C845)^12)-1</f>
        <v/>
      </c>
      <c r="E845" s="35">
        <f>(Table143454[[#This Row],[USA]]-B833)/B833</f>
        <v/>
      </c>
      <c r="F845" s="34">
        <f>VLOOKUP(Table143454[[#This Row],[Date]],'Data Core CPI'!$A:$AX,MATCH($B$2,'Data Core CPI'!$B$1:$AX$1,0),FALSE)</f>
        <v/>
      </c>
      <c r="G845" s="35">
        <f>(F845/F844)-1</f>
        <v/>
      </c>
      <c r="H845" s="35">
        <f>((1+G845)^12)-1</f>
        <v/>
      </c>
      <c r="I845" s="35">
        <f>(Table143454[[#This Row],[Core CPI]]-F833)/F833</f>
        <v/>
      </c>
    </row>
    <row r="846" customFormat="1" s="26">
      <c r="A846" s="33">
        <f>IF(Data!A873="",#N/A,Data!A873)</f>
        <v/>
      </c>
      <c r="B846" s="34">
        <f>VLOOKUP(A846,Data!A:AX,MATCH($B$2,Data!$B$1:$AX$1,0),FALSE)</f>
        <v/>
      </c>
      <c r="C846" s="35">
        <f>(B846/B845)-1</f>
        <v/>
      </c>
      <c r="D846" s="35">
        <f>((1+C846)^12)-1</f>
        <v/>
      </c>
      <c r="E846" s="35">
        <f>(Table143454[[#This Row],[USA]]-B834)/B834</f>
        <v/>
      </c>
      <c r="F846" s="34">
        <f>VLOOKUP(Table143454[[#This Row],[Date]],'Data Core CPI'!$A:$AX,MATCH($B$2,'Data Core CPI'!$B$1:$AX$1,0),FALSE)</f>
        <v/>
      </c>
      <c r="G846" s="35">
        <f>(F846/F845)-1</f>
        <v/>
      </c>
      <c r="H846" s="35">
        <f>((1+G846)^12)-1</f>
        <v/>
      </c>
      <c r="I846" s="35">
        <f>(Table143454[[#This Row],[Core CPI]]-F834)/F834</f>
        <v/>
      </c>
    </row>
    <row r="847" customFormat="1" s="26">
      <c r="A847" s="33">
        <f>IF(Data!A874="",#N/A,Data!A874)</f>
        <v/>
      </c>
      <c r="B847" s="34">
        <f>VLOOKUP(A847,Data!A:AX,MATCH($B$2,Data!$B$1:$AX$1,0),FALSE)</f>
        <v/>
      </c>
      <c r="C847" s="35">
        <f>(B847/B846)-1</f>
        <v/>
      </c>
      <c r="D847" s="35">
        <f>((1+C847)^12)-1</f>
        <v/>
      </c>
      <c r="E847" s="35">
        <f>(Table143454[[#This Row],[USA]]-B835)/B835</f>
        <v/>
      </c>
      <c r="F847" s="34">
        <f>VLOOKUP(Table143454[[#This Row],[Date]],'Data Core CPI'!$A:$AX,MATCH($B$2,'Data Core CPI'!$B$1:$AX$1,0),FALSE)</f>
        <v/>
      </c>
      <c r="G847" s="35">
        <f>(F847/F846)-1</f>
        <v/>
      </c>
      <c r="H847" s="35">
        <f>((1+G847)^12)-1</f>
        <v/>
      </c>
      <c r="I847" s="35">
        <f>(Table143454[[#This Row],[Core CPI]]-F835)/F835</f>
        <v/>
      </c>
    </row>
    <row r="848" customFormat="1" s="26">
      <c r="A848" s="33">
        <f>IF(Data!A875="",#N/A,Data!A875)</f>
        <v/>
      </c>
      <c r="B848" s="34">
        <f>VLOOKUP(A848,Data!A:AX,MATCH($B$2,Data!$B$1:$AX$1,0),FALSE)</f>
        <v/>
      </c>
      <c r="C848" s="35">
        <f>(B848/B847)-1</f>
        <v/>
      </c>
      <c r="D848" s="35">
        <f>((1+C848)^12)-1</f>
        <v/>
      </c>
      <c r="E848" s="35">
        <f>(Table143454[[#This Row],[USA]]-B836)/B836</f>
        <v/>
      </c>
      <c r="F848" s="34">
        <f>VLOOKUP(Table143454[[#This Row],[Date]],'Data Core CPI'!$A:$AX,MATCH($B$2,'Data Core CPI'!$B$1:$AX$1,0),FALSE)</f>
        <v/>
      </c>
      <c r="G848" s="35">
        <f>(F848/F847)-1</f>
        <v/>
      </c>
      <c r="H848" s="35">
        <f>((1+G848)^12)-1</f>
        <v/>
      </c>
      <c r="I848" s="35">
        <f>(Table143454[[#This Row],[Core CPI]]-F836)/F836</f>
        <v/>
      </c>
    </row>
    <row r="849" customFormat="1" s="26">
      <c r="A849" s="33">
        <f>IF(Data!A876="",#N/A,Data!A876)</f>
        <v/>
      </c>
      <c r="B849" s="34">
        <f>VLOOKUP(A849,Data!A:AX,MATCH($B$2,Data!$B$1:$AX$1,0),FALSE)</f>
        <v/>
      </c>
      <c r="C849" s="35">
        <f>(B849/B848)-1</f>
        <v/>
      </c>
      <c r="D849" s="35">
        <f>((1+C849)^12)-1</f>
        <v/>
      </c>
      <c r="E849" s="35">
        <f>(Table143454[[#This Row],[USA]]-B837)/B837</f>
        <v/>
      </c>
      <c r="F849" s="34">
        <f>VLOOKUP(Table143454[[#This Row],[Date]],'Data Core CPI'!$A:$AX,MATCH($B$2,'Data Core CPI'!$B$1:$AX$1,0),FALSE)</f>
        <v/>
      </c>
      <c r="G849" s="35">
        <f>(F849/F848)-1</f>
        <v/>
      </c>
      <c r="H849" s="35">
        <f>((1+G849)^12)-1</f>
        <v/>
      </c>
      <c r="I849" s="35">
        <f>(Table143454[[#This Row],[Core CPI]]-F837)/F837</f>
        <v/>
      </c>
    </row>
    <row r="850" customFormat="1" s="26">
      <c r="A850" s="33">
        <f>IF(Data!A877="",#N/A,Data!A877)</f>
        <v/>
      </c>
      <c r="B850" s="34">
        <f>VLOOKUP(A850,Data!A:AX,MATCH($B$2,Data!$B$1:$AX$1,0),FALSE)</f>
        <v/>
      </c>
      <c r="C850" s="35">
        <f>(B850/B849)-1</f>
        <v/>
      </c>
      <c r="D850" s="35">
        <f>((1+C850)^12)-1</f>
        <v/>
      </c>
      <c r="E850" s="35">
        <f>(Table143454[[#This Row],[USA]]-B838)/B838</f>
        <v/>
      </c>
      <c r="F850" s="34">
        <f>VLOOKUP(Table143454[[#This Row],[Date]],'Data Core CPI'!$A:$AX,MATCH($B$2,'Data Core CPI'!$B$1:$AX$1,0),FALSE)</f>
        <v/>
      </c>
      <c r="G850" s="35">
        <f>(F850/F849)-1</f>
        <v/>
      </c>
      <c r="H850" s="35">
        <f>((1+G850)^12)-1</f>
        <v/>
      </c>
      <c r="I850" s="35">
        <f>(Table143454[[#This Row],[Core CPI]]-F838)/F838</f>
        <v/>
      </c>
    </row>
    <row r="851" customFormat="1" s="26">
      <c r="A851" s="33">
        <f>IF(Data!A878="",#N/A,Data!A878)</f>
        <v/>
      </c>
      <c r="B851" s="34">
        <f>VLOOKUP(A851,Data!A:AX,MATCH($B$2,Data!$B$1:$AX$1,0),FALSE)</f>
        <v/>
      </c>
      <c r="C851" s="35">
        <f>(B851/B850)-1</f>
        <v/>
      </c>
      <c r="D851" s="35">
        <f>((1+C851)^12)-1</f>
        <v/>
      </c>
      <c r="E851" s="35">
        <f>(Table143454[[#This Row],[USA]]-B839)/B839</f>
        <v/>
      </c>
      <c r="F851" s="34">
        <f>VLOOKUP(Table143454[[#This Row],[Date]],'Data Core CPI'!$A:$AX,MATCH($B$2,'Data Core CPI'!$B$1:$AX$1,0),FALSE)</f>
        <v/>
      </c>
      <c r="G851" s="35">
        <f>(F851/F850)-1</f>
        <v/>
      </c>
      <c r="H851" s="35">
        <f>((1+G851)^12)-1</f>
        <v/>
      </c>
      <c r="I851" s="35">
        <f>(Table143454[[#This Row],[Core CPI]]-F839)/F839</f>
        <v/>
      </c>
    </row>
    <row r="852" customFormat="1" s="26">
      <c r="A852" s="33">
        <f>IF(Data!A879="",#N/A,Data!A879)</f>
        <v/>
      </c>
      <c r="B852" s="34">
        <f>VLOOKUP(A852,Data!A:AX,MATCH($B$2,Data!$B$1:$AX$1,0),FALSE)</f>
        <v/>
      </c>
      <c r="C852" s="35">
        <f>(B852/B851)-1</f>
        <v/>
      </c>
      <c r="D852" s="35">
        <f>((1+C852)^12)-1</f>
        <v/>
      </c>
      <c r="E852" s="35">
        <f>(Table143454[[#This Row],[USA]]-B840)/B840</f>
        <v/>
      </c>
      <c r="F852" s="34">
        <f>VLOOKUP(Table143454[[#This Row],[Date]],'Data Core CPI'!$A:$AX,MATCH($B$2,'Data Core CPI'!$B$1:$AX$1,0),FALSE)</f>
        <v/>
      </c>
      <c r="G852" s="35">
        <f>(F852/F851)-1</f>
        <v/>
      </c>
      <c r="H852" s="35">
        <f>((1+G852)^12)-1</f>
        <v/>
      </c>
      <c r="I852" s="35">
        <f>(Table143454[[#This Row],[Core CPI]]-F840)/F840</f>
        <v/>
      </c>
    </row>
    <row r="853" customFormat="1" s="26">
      <c r="A853" s="33">
        <f>IF(Data!A880="",#N/A,Data!A880)</f>
        <v/>
      </c>
      <c r="B853" s="34">
        <f>VLOOKUP(A853,Data!A:AX,MATCH($B$2,Data!$B$1:$AX$1,0),FALSE)</f>
        <v/>
      </c>
      <c r="C853" s="35">
        <f>(B853/B852)-1</f>
        <v/>
      </c>
      <c r="D853" s="35">
        <f>((1+C853)^12)-1</f>
        <v/>
      </c>
      <c r="E853" s="35">
        <f>(Table143454[[#This Row],[USA]]-B841)/B841</f>
        <v/>
      </c>
      <c r="F853" s="34">
        <f>VLOOKUP(Table143454[[#This Row],[Date]],'Data Core CPI'!$A:$AX,MATCH($B$2,'Data Core CPI'!$B$1:$AX$1,0),FALSE)</f>
        <v/>
      </c>
      <c r="G853" s="35">
        <f>(F853/F852)-1</f>
        <v/>
      </c>
      <c r="H853" s="35">
        <f>((1+G853)^12)-1</f>
        <v/>
      </c>
      <c r="I853" s="35">
        <f>(Table143454[[#This Row],[Core CPI]]-F841)/F841</f>
        <v/>
      </c>
    </row>
    <row r="854" customFormat="1" s="26">
      <c r="A854" s="33">
        <f>IF(Data!A881="",#N/A,Data!A881)</f>
        <v/>
      </c>
      <c r="B854" s="34">
        <f>VLOOKUP(A854,Data!A:AX,MATCH($B$2,Data!$B$1:$AX$1,0),FALSE)</f>
        <v/>
      </c>
      <c r="C854" s="35">
        <f>(B854/B853)-1</f>
        <v/>
      </c>
      <c r="D854" s="35">
        <f>((1+C854)^12)-1</f>
        <v/>
      </c>
      <c r="E854" s="35">
        <f>(Table143454[[#This Row],[USA]]-B842)/B842</f>
        <v/>
      </c>
      <c r="F854" s="34">
        <f>VLOOKUP(Table143454[[#This Row],[Date]],'Data Core CPI'!$A:$AX,MATCH($B$2,'Data Core CPI'!$B$1:$AX$1,0),FALSE)</f>
        <v/>
      </c>
      <c r="G854" s="35">
        <f>(F854/F853)-1</f>
        <v/>
      </c>
      <c r="H854" s="35">
        <f>((1+G854)^12)-1</f>
        <v/>
      </c>
      <c r="I854" s="35">
        <f>(Table143454[[#This Row],[Core CPI]]-F842)/F842</f>
        <v/>
      </c>
    </row>
    <row r="855" customFormat="1" s="26">
      <c r="A855" s="33">
        <f>IF(Data!A882="",#N/A,Data!A882)</f>
        <v/>
      </c>
      <c r="B855" s="34">
        <f>VLOOKUP(A855,Data!A:AX,MATCH($B$2,Data!$B$1:$AX$1,0),FALSE)</f>
        <v/>
      </c>
      <c r="C855" s="35">
        <f>(B855/B854)-1</f>
        <v/>
      </c>
      <c r="D855" s="35">
        <f>((1+C855)^12)-1</f>
        <v/>
      </c>
      <c r="E855" s="35">
        <f>(Table143454[[#This Row],[USA]]-B843)/B843</f>
        <v/>
      </c>
      <c r="F855" s="34">
        <f>VLOOKUP(Table143454[[#This Row],[Date]],'Data Core CPI'!$A:$AX,MATCH($B$2,'Data Core CPI'!$B$1:$AX$1,0),FALSE)</f>
        <v/>
      </c>
      <c r="G855" s="35">
        <f>(F855/F854)-1</f>
        <v/>
      </c>
      <c r="H855" s="35">
        <f>((1+G855)^12)-1</f>
        <v/>
      </c>
      <c r="I855" s="35">
        <f>(Table143454[[#This Row],[Core CPI]]-F843)/F843</f>
        <v/>
      </c>
    </row>
    <row r="856" customFormat="1" s="26">
      <c r="A856" s="33">
        <f>IF(Data!A883="",#N/A,Data!A883)</f>
        <v/>
      </c>
      <c r="B856" s="34">
        <f>VLOOKUP(A856,Data!A:AX,MATCH($B$2,Data!$B$1:$AX$1,0),FALSE)</f>
        <v/>
      </c>
      <c r="C856" s="35">
        <f>(B856/B855)-1</f>
        <v/>
      </c>
      <c r="D856" s="35">
        <f>((1+C856)^12)-1</f>
        <v/>
      </c>
      <c r="E856" s="35">
        <f>(Table143454[[#This Row],[USA]]-B844)/B844</f>
        <v/>
      </c>
      <c r="F856" s="34">
        <f>VLOOKUP(Table143454[[#This Row],[Date]],'Data Core CPI'!$A:$AX,MATCH($B$2,'Data Core CPI'!$B$1:$AX$1,0),FALSE)</f>
        <v/>
      </c>
      <c r="G856" s="35">
        <f>(F856/F855)-1</f>
        <v/>
      </c>
      <c r="H856" s="35">
        <f>((1+G856)^12)-1</f>
        <v/>
      </c>
      <c r="I856" s="35">
        <f>(Table143454[[#This Row],[Core CPI]]-F844)/F844</f>
        <v/>
      </c>
    </row>
    <row r="857" customFormat="1" s="26">
      <c r="A857" s="33">
        <f>IF(Data!A884="",#N/A,Data!A884)</f>
        <v/>
      </c>
      <c r="B857" s="34">
        <f>VLOOKUP(A857,Data!A:AX,MATCH($B$2,Data!$B$1:$AX$1,0),FALSE)</f>
        <v/>
      </c>
      <c r="C857" s="35">
        <f>(B857/B856)-1</f>
        <v/>
      </c>
      <c r="D857" s="35">
        <f>((1+C857)^12)-1</f>
        <v/>
      </c>
      <c r="E857" s="35">
        <f>(Table143454[[#This Row],[USA]]-B845)/B845</f>
        <v/>
      </c>
      <c r="F857" s="34">
        <f>VLOOKUP(Table143454[[#This Row],[Date]],'Data Core CPI'!$A:$AX,MATCH($B$2,'Data Core CPI'!$B$1:$AX$1,0),FALSE)</f>
        <v/>
      </c>
      <c r="G857" s="35">
        <f>(F857/F856)-1</f>
        <v/>
      </c>
      <c r="H857" s="35">
        <f>((1+G857)^12)-1</f>
        <v/>
      </c>
      <c r="I857" s="35">
        <f>(Table143454[[#This Row],[Core CPI]]-F845)/F845</f>
        <v/>
      </c>
    </row>
    <row r="858" customFormat="1" s="26">
      <c r="A858" s="31" t="n"/>
      <c r="B858" s="29" t="n"/>
      <c r="C858" s="30" t="n"/>
      <c r="D858" s="30" t="n"/>
      <c r="E858" s="30" t="n"/>
      <c r="F858" s="31" t="n"/>
      <c r="G858" s="31" t="n"/>
      <c r="H858" s="31" t="n"/>
      <c r="I858" s="31" t="n"/>
    </row>
    <row r="859" customFormat="1" s="26">
      <c r="A859" s="31" t="n"/>
      <c r="B859" s="29" t="n"/>
      <c r="C859" s="30" t="n"/>
      <c r="D859" s="30" t="n"/>
      <c r="E859" s="30" t="n"/>
      <c r="F859" s="31" t="n"/>
      <c r="G859" s="31" t="n"/>
      <c r="H859" s="31" t="n"/>
      <c r="I859" s="31" t="n"/>
    </row>
    <row r="860" customFormat="1" s="26">
      <c r="A860" s="31" t="n"/>
      <c r="B860" s="29" t="n"/>
      <c r="C860" s="30" t="n"/>
      <c r="D860" s="30" t="n"/>
      <c r="E860" s="30" t="n"/>
      <c r="F860" s="31" t="n"/>
      <c r="G860" s="31" t="n"/>
      <c r="H860" s="31" t="n"/>
      <c r="I860" s="31" t="n"/>
    </row>
    <row r="861" customFormat="1" s="26">
      <c r="A861" s="31" t="n"/>
      <c r="B861" s="29" t="n"/>
      <c r="C861" s="30" t="n"/>
      <c r="D861" s="30" t="n"/>
      <c r="E861" s="30" t="n"/>
      <c r="F861" s="31" t="n"/>
      <c r="G861" s="31" t="n"/>
      <c r="H861" s="31" t="n"/>
      <c r="I861" s="31" t="n"/>
    </row>
    <row r="862" customFormat="1" s="26">
      <c r="A862" s="31" t="n"/>
      <c r="B862" s="29" t="n"/>
      <c r="C862" s="30" t="n"/>
      <c r="D862" s="30" t="n"/>
      <c r="E862" s="30" t="n"/>
      <c r="F862" s="31" t="n"/>
      <c r="G862" s="31" t="n"/>
      <c r="H862" s="31" t="n"/>
      <c r="I862" s="31" t="n"/>
    </row>
    <row r="863" customFormat="1" s="26">
      <c r="A863" s="31" t="n"/>
      <c r="B863" s="29" t="n"/>
      <c r="C863" s="30" t="n"/>
      <c r="D863" s="30" t="n"/>
      <c r="E863" s="30" t="n"/>
      <c r="F863" s="31" t="n"/>
      <c r="G863" s="31" t="n"/>
      <c r="H863" s="31" t="n"/>
      <c r="I863" s="31" t="n"/>
    </row>
    <row r="864" customFormat="1" s="26">
      <c r="A864" s="31" t="n"/>
      <c r="B864" s="29" t="n"/>
      <c r="C864" s="30" t="n"/>
      <c r="D864" s="30" t="n"/>
      <c r="E864" s="30" t="n"/>
      <c r="F864" s="31" t="n"/>
      <c r="G864" s="31" t="n"/>
      <c r="H864" s="31" t="n"/>
      <c r="I864" s="31" t="n"/>
    </row>
    <row r="865" customFormat="1" s="26">
      <c r="A865" s="31" t="n"/>
      <c r="B865" s="29" t="n"/>
      <c r="C865" s="30" t="n"/>
      <c r="D865" s="30" t="n"/>
      <c r="E865" s="30" t="n"/>
      <c r="F865" s="31" t="n"/>
      <c r="G865" s="31" t="n"/>
      <c r="H865" s="31" t="n"/>
      <c r="I865" s="31" t="n"/>
    </row>
    <row r="866" customFormat="1" s="26">
      <c r="A866" s="31" t="n"/>
      <c r="B866" s="29" t="n"/>
      <c r="C866" s="30" t="n"/>
      <c r="D866" s="30" t="n"/>
      <c r="E866" s="30" t="n"/>
      <c r="F866" s="31" t="n"/>
      <c r="G866" s="31" t="n"/>
      <c r="H866" s="31" t="n"/>
      <c r="I866" s="31" t="n"/>
    </row>
    <row r="867" customFormat="1" s="26">
      <c r="A867" s="31" t="n"/>
      <c r="B867" s="29" t="n"/>
      <c r="C867" s="30" t="n"/>
      <c r="D867" s="30" t="n"/>
      <c r="E867" s="30" t="n"/>
      <c r="F867" s="31" t="n"/>
      <c r="G867" s="31" t="n"/>
      <c r="H867" s="31" t="n"/>
      <c r="I867" s="31" t="n"/>
    </row>
    <row r="868" customFormat="1" s="26">
      <c r="A868" s="31" t="n"/>
      <c r="B868" s="29" t="n"/>
      <c r="C868" s="30" t="n"/>
      <c r="D868" s="30" t="n"/>
      <c r="E868" s="30" t="n"/>
      <c r="F868" s="31" t="n"/>
      <c r="G868" s="31" t="n"/>
      <c r="H868" s="31" t="n"/>
      <c r="I868" s="31" t="n"/>
    </row>
    <row r="869" customFormat="1" s="26">
      <c r="A869" s="31" t="n"/>
      <c r="B869" s="29" t="n"/>
      <c r="C869" s="30" t="n"/>
      <c r="D869" s="30" t="n"/>
      <c r="E869" s="30" t="n"/>
      <c r="F869" s="31" t="n"/>
      <c r="G869" s="31" t="n"/>
      <c r="H869" s="31" t="n"/>
      <c r="I869" s="31" t="n"/>
    </row>
    <row r="870" customFormat="1" s="26">
      <c r="A870" s="31" t="n"/>
      <c r="B870" s="29" t="n"/>
      <c r="C870" s="30" t="n"/>
      <c r="D870" s="30" t="n"/>
      <c r="E870" s="30" t="n"/>
      <c r="F870" s="31" t="n"/>
      <c r="G870" s="31" t="n"/>
      <c r="H870" s="31" t="n"/>
      <c r="I870" s="31" t="n"/>
    </row>
    <row r="871" customFormat="1" s="26">
      <c r="A871" s="31" t="n"/>
      <c r="B871" s="29" t="n"/>
      <c r="C871" s="30" t="n"/>
      <c r="D871" s="30" t="n"/>
      <c r="E871" s="30" t="n"/>
      <c r="F871" s="31" t="n"/>
      <c r="G871" s="31" t="n"/>
      <c r="H871" s="31" t="n"/>
      <c r="I871" s="31" t="n"/>
    </row>
    <row r="872" customFormat="1" s="26">
      <c r="A872" s="31" t="n"/>
      <c r="B872" s="29" t="n"/>
      <c r="C872" s="30" t="n"/>
      <c r="D872" s="30" t="n"/>
      <c r="E872" s="30" t="n"/>
      <c r="F872" s="31" t="n"/>
      <c r="G872" s="31" t="n"/>
      <c r="H872" s="31" t="n"/>
      <c r="I872" s="31" t="n"/>
    </row>
    <row r="873" customFormat="1" s="26">
      <c r="A873" s="31" t="n"/>
      <c r="B873" s="29" t="n"/>
      <c r="C873" s="30" t="n"/>
      <c r="D873" s="30" t="n"/>
      <c r="E873" s="30" t="n"/>
      <c r="F873" s="31" t="n"/>
      <c r="G873" s="31" t="n"/>
      <c r="H873" s="31" t="n"/>
      <c r="I873" s="31" t="n"/>
    </row>
    <row r="874" customFormat="1" s="26">
      <c r="A874" s="31" t="n"/>
      <c r="B874" s="29" t="n"/>
      <c r="C874" s="30" t="n"/>
      <c r="D874" s="30" t="n"/>
      <c r="E874" s="30" t="n"/>
      <c r="F874" s="31" t="n"/>
      <c r="G874" s="31" t="n"/>
      <c r="H874" s="31" t="n"/>
      <c r="I874" s="31" t="n"/>
    </row>
    <row r="875" customFormat="1" s="26">
      <c r="A875" s="31" t="n"/>
      <c r="B875" s="29" t="n"/>
      <c r="C875" s="30" t="n"/>
      <c r="D875" s="30" t="n"/>
      <c r="E875" s="30" t="n"/>
      <c r="F875" s="31" t="n"/>
      <c r="G875" s="31" t="n"/>
      <c r="H875" s="31" t="n"/>
      <c r="I875" s="31" t="n"/>
    </row>
    <row r="876" customFormat="1" s="26">
      <c r="A876" s="31" t="n"/>
      <c r="B876" s="29" t="n"/>
      <c r="C876" s="30" t="n"/>
      <c r="D876" s="30" t="n"/>
      <c r="E876" s="30" t="n"/>
      <c r="F876" s="31" t="n"/>
      <c r="G876" s="31" t="n"/>
      <c r="H876" s="31" t="n"/>
      <c r="I876" s="31" t="n"/>
    </row>
    <row r="877" customFormat="1" s="26">
      <c r="A877" s="31" t="n"/>
      <c r="B877" s="29" t="n"/>
      <c r="C877" s="30" t="n"/>
      <c r="D877" s="30" t="n"/>
      <c r="E877" s="30" t="n"/>
      <c r="F877" s="31" t="n"/>
      <c r="G877" s="31" t="n"/>
      <c r="H877" s="31" t="n"/>
      <c r="I877" s="31" t="n"/>
    </row>
    <row r="878" customFormat="1" s="26">
      <c r="A878" s="31" t="n"/>
      <c r="B878" s="29" t="n"/>
      <c r="C878" s="30" t="n"/>
      <c r="D878" s="30" t="n"/>
      <c r="E878" s="30" t="n"/>
      <c r="F878" s="31" t="n"/>
      <c r="G878" s="31" t="n"/>
      <c r="H878" s="31" t="n"/>
      <c r="I878" s="31" t="n"/>
    </row>
    <row r="879" customFormat="1" s="26">
      <c r="A879" s="31" t="n"/>
      <c r="B879" s="29" t="n"/>
      <c r="C879" s="30" t="n"/>
      <c r="D879" s="30" t="n"/>
      <c r="E879" s="30" t="n"/>
      <c r="F879" s="31" t="n"/>
      <c r="G879" s="31" t="n"/>
      <c r="H879" s="31" t="n"/>
      <c r="I879" s="31" t="n"/>
    </row>
    <row r="880" customFormat="1" s="26">
      <c r="A880" s="31" t="n"/>
      <c r="B880" s="29" t="n"/>
      <c r="C880" s="30" t="n"/>
      <c r="D880" s="30" t="n"/>
      <c r="E880" s="30" t="n"/>
      <c r="F880" s="31" t="n"/>
      <c r="G880" s="31" t="n"/>
      <c r="H880" s="31" t="n"/>
      <c r="I880" s="31" t="n"/>
    </row>
    <row r="881" customFormat="1" s="26">
      <c r="A881" s="31" t="n"/>
      <c r="B881" s="29" t="n"/>
      <c r="C881" s="30" t="n"/>
      <c r="D881" s="30" t="n"/>
      <c r="E881" s="30" t="n"/>
      <c r="F881" s="31" t="n"/>
      <c r="G881" s="31" t="n"/>
      <c r="H881" s="31" t="n"/>
      <c r="I881" s="31" t="n"/>
    </row>
    <row r="882" customFormat="1" s="26">
      <c r="A882" s="31" t="n"/>
      <c r="B882" s="29" t="n"/>
      <c r="C882" s="30" t="n"/>
      <c r="D882" s="30" t="n"/>
      <c r="E882" s="30" t="n"/>
      <c r="F882" s="31" t="n"/>
      <c r="G882" s="31" t="n"/>
      <c r="H882" s="31" t="n"/>
      <c r="I882" s="31" t="n"/>
    </row>
    <row r="883" customFormat="1" s="26">
      <c r="A883" s="31" t="n"/>
      <c r="B883" s="29" t="n"/>
      <c r="C883" s="30" t="n"/>
      <c r="D883" s="30" t="n"/>
      <c r="E883" s="30" t="n"/>
      <c r="F883" s="31" t="n"/>
      <c r="G883" s="31" t="n"/>
      <c r="H883" s="31" t="n"/>
      <c r="I883" s="31" t="n"/>
    </row>
    <row r="884" customFormat="1" s="26">
      <c r="A884" s="31" t="n"/>
      <c r="B884" s="29" t="n"/>
      <c r="C884" s="30" t="n"/>
      <c r="D884" s="30" t="n"/>
      <c r="E884" s="30" t="n"/>
      <c r="F884" s="31" t="n"/>
      <c r="G884" s="31" t="n"/>
      <c r="H884" s="31" t="n"/>
      <c r="I884" s="31" t="n"/>
    </row>
    <row r="885" customFormat="1" s="26">
      <c r="A885" s="31" t="n"/>
      <c r="B885" s="29" t="n"/>
      <c r="C885" s="30" t="n"/>
      <c r="D885" s="30" t="n"/>
      <c r="E885" s="30" t="n"/>
      <c r="F885" s="31" t="n"/>
      <c r="G885" s="31" t="n"/>
      <c r="H885" s="31" t="n"/>
      <c r="I885" s="31" t="n"/>
    </row>
    <row r="886" customFormat="1" s="26">
      <c r="A886" s="31" t="n"/>
      <c r="B886" s="29" t="n"/>
      <c r="C886" s="30" t="n"/>
      <c r="D886" s="30" t="n"/>
      <c r="E886" s="30" t="n"/>
      <c r="F886" s="31" t="n"/>
      <c r="G886" s="31" t="n"/>
      <c r="H886" s="31" t="n"/>
      <c r="I886" s="31" t="n"/>
    </row>
    <row r="887" customFormat="1" s="26">
      <c r="A887" s="31" t="n"/>
      <c r="B887" s="29" t="n"/>
      <c r="C887" s="30" t="n"/>
      <c r="D887" s="30" t="n"/>
      <c r="E887" s="30" t="n"/>
      <c r="F887" s="31" t="n"/>
      <c r="G887" s="31" t="n"/>
      <c r="H887" s="31" t="n"/>
      <c r="I887" s="31" t="n"/>
    </row>
    <row r="888" customFormat="1" s="26">
      <c r="A888" s="31" t="n"/>
      <c r="B888" s="29" t="n"/>
      <c r="C888" s="30" t="n"/>
      <c r="D888" s="30" t="n"/>
      <c r="E888" s="30" t="n"/>
      <c r="F888" s="31" t="n"/>
      <c r="G888" s="31" t="n"/>
      <c r="H888" s="31" t="n"/>
      <c r="I888" s="31" t="n"/>
    </row>
    <row r="889" customFormat="1" s="26">
      <c r="A889" s="31" t="n"/>
      <c r="B889" s="29" t="n"/>
      <c r="C889" s="30" t="n"/>
      <c r="D889" s="30" t="n"/>
      <c r="E889" s="30" t="n"/>
      <c r="F889" s="31" t="n"/>
      <c r="G889" s="31" t="n"/>
      <c r="H889" s="31" t="n"/>
      <c r="I889" s="31" t="n"/>
    </row>
    <row r="890" customFormat="1" s="26">
      <c r="A890" s="31" t="n"/>
      <c r="B890" s="29" t="n"/>
      <c r="C890" s="30" t="n"/>
      <c r="D890" s="30" t="n"/>
      <c r="E890" s="30" t="n"/>
      <c r="F890" s="31" t="n"/>
      <c r="G890" s="31" t="n"/>
      <c r="H890" s="31" t="n"/>
      <c r="I890" s="31" t="n"/>
    </row>
    <row r="891" customFormat="1" s="26">
      <c r="A891" s="31" t="n"/>
      <c r="B891" s="29" t="n"/>
      <c r="C891" s="30" t="n"/>
      <c r="D891" s="30" t="n"/>
      <c r="E891" s="30" t="n"/>
      <c r="F891" s="31" t="n"/>
      <c r="G891" s="31" t="n"/>
      <c r="H891" s="31" t="n"/>
      <c r="I891" s="31" t="n"/>
    </row>
    <row r="892" customFormat="1" s="26">
      <c r="A892" s="31" t="n"/>
      <c r="B892" s="29" t="n"/>
      <c r="C892" s="30" t="n"/>
      <c r="D892" s="30" t="n"/>
      <c r="E892" s="30" t="n"/>
      <c r="F892" s="31" t="n"/>
      <c r="G892" s="31" t="n"/>
      <c r="H892" s="31" t="n"/>
      <c r="I892" s="31" t="n"/>
    </row>
    <row r="893" customFormat="1" s="26">
      <c r="A893" s="31" t="n"/>
      <c r="B893" s="29" t="n"/>
      <c r="C893" s="30" t="n"/>
      <c r="D893" s="30" t="n"/>
      <c r="E893" s="30" t="n"/>
      <c r="F893" s="31" t="n"/>
      <c r="G893" s="31" t="n"/>
      <c r="H893" s="31" t="n"/>
      <c r="I893" s="31" t="n"/>
    </row>
    <row r="894" customFormat="1" s="26">
      <c r="A894" s="31" t="n"/>
      <c r="B894" s="29" t="n"/>
      <c r="C894" s="30" t="n"/>
      <c r="D894" s="30" t="n"/>
      <c r="E894" s="30" t="n"/>
      <c r="F894" s="31" t="n"/>
      <c r="G894" s="31" t="n"/>
      <c r="H894" s="31" t="n"/>
      <c r="I894" s="31" t="n"/>
    </row>
    <row r="895" customFormat="1" s="26">
      <c r="A895" s="31" t="n"/>
      <c r="B895" s="29" t="n"/>
      <c r="C895" s="30" t="n"/>
      <c r="D895" s="30" t="n"/>
      <c r="E895" s="30" t="n"/>
      <c r="F895" s="31" t="n"/>
      <c r="G895" s="31" t="n"/>
      <c r="H895" s="31" t="n"/>
      <c r="I895" s="31" t="n"/>
    </row>
    <row r="896" customFormat="1" s="26">
      <c r="A896" s="31" t="n"/>
      <c r="B896" s="29" t="n"/>
      <c r="C896" s="30" t="n"/>
      <c r="D896" s="30" t="n"/>
      <c r="E896" s="30" t="n"/>
      <c r="F896" s="31" t="n"/>
      <c r="G896" s="31" t="n"/>
      <c r="H896" s="31" t="n"/>
      <c r="I896" s="31" t="n"/>
    </row>
    <row r="897" customFormat="1" s="26">
      <c r="A897" s="31" t="n"/>
      <c r="B897" s="29" t="n"/>
      <c r="C897" s="30" t="n"/>
      <c r="D897" s="30" t="n"/>
      <c r="E897" s="30" t="n"/>
      <c r="F897" s="31" t="n"/>
      <c r="G897" s="31" t="n"/>
      <c r="H897" s="31" t="n"/>
      <c r="I897" s="31" t="n"/>
    </row>
    <row r="898" customFormat="1" s="26">
      <c r="A898" s="31" t="n"/>
      <c r="B898" s="29" t="n"/>
      <c r="C898" s="30" t="n"/>
      <c r="D898" s="30" t="n"/>
      <c r="E898" s="30" t="n"/>
      <c r="F898" s="31" t="n"/>
      <c r="G898" s="31" t="n"/>
      <c r="H898" s="31" t="n"/>
      <c r="I898" s="31" t="n"/>
    </row>
    <row r="899" customFormat="1" s="26">
      <c r="A899" s="31" t="n"/>
      <c r="B899" s="29" t="n"/>
      <c r="C899" s="30" t="n"/>
      <c r="D899" s="30" t="n"/>
      <c r="E899" s="30" t="n"/>
      <c r="F899" s="31" t="n"/>
      <c r="G899" s="31" t="n"/>
      <c r="H899" s="31" t="n"/>
      <c r="I899" s="31" t="n"/>
    </row>
    <row r="900" customFormat="1" s="26">
      <c r="A900" s="31" t="n"/>
      <c r="B900" s="29" t="n"/>
      <c r="C900" s="30" t="n"/>
      <c r="D900" s="30" t="n"/>
      <c r="E900" s="30" t="n"/>
      <c r="F900" s="31" t="n"/>
      <c r="G900" s="31" t="n"/>
      <c r="H900" s="31" t="n"/>
      <c r="I900" s="31" t="n"/>
    </row>
    <row r="901" customFormat="1" s="26">
      <c r="A901" s="31" t="n"/>
      <c r="B901" s="29" t="n"/>
      <c r="C901" s="30" t="n"/>
      <c r="D901" s="30" t="n"/>
      <c r="E901" s="30" t="n"/>
      <c r="F901" s="31" t="n"/>
      <c r="G901" s="31" t="n"/>
      <c r="H901" s="31" t="n"/>
      <c r="I901" s="31" t="n"/>
    </row>
    <row r="902" customFormat="1" s="26">
      <c r="A902" s="31" t="n"/>
      <c r="B902" s="29" t="n"/>
      <c r="C902" s="30" t="n"/>
      <c r="D902" s="30" t="n"/>
      <c r="E902" s="30" t="n"/>
      <c r="F902" s="31" t="n"/>
      <c r="G902" s="31" t="n"/>
      <c r="H902" s="31" t="n"/>
      <c r="I902" s="31" t="n"/>
    </row>
    <row r="903" customFormat="1" s="26">
      <c r="A903" s="31" t="n"/>
      <c r="B903" s="29" t="n"/>
      <c r="C903" s="30" t="n"/>
      <c r="D903" s="30" t="n"/>
      <c r="E903" s="30" t="n"/>
      <c r="F903" s="31" t="n"/>
      <c r="G903" s="31" t="n"/>
      <c r="H903" s="31" t="n"/>
      <c r="I903" s="31" t="n"/>
    </row>
    <row r="904" customFormat="1" s="26">
      <c r="A904" s="31" t="n"/>
      <c r="B904" s="29" t="n"/>
      <c r="C904" s="30" t="n"/>
      <c r="D904" s="30" t="n"/>
      <c r="E904" s="30" t="n"/>
      <c r="F904" s="31" t="n"/>
      <c r="G904" s="31" t="n"/>
      <c r="H904" s="31" t="n"/>
      <c r="I904" s="31" t="n"/>
    </row>
    <row r="905" customFormat="1" s="26">
      <c r="A905" s="31" t="n"/>
      <c r="B905" s="29" t="n"/>
      <c r="C905" s="30" t="n"/>
      <c r="D905" s="30" t="n"/>
      <c r="E905" s="30" t="n"/>
      <c r="F905" s="31" t="n"/>
      <c r="G905" s="31" t="n"/>
      <c r="H905" s="31" t="n"/>
      <c r="I905" s="31" t="n"/>
    </row>
    <row r="906" customFormat="1" s="26">
      <c r="A906" s="31" t="n"/>
      <c r="B906" s="29" t="n"/>
      <c r="C906" s="30" t="n"/>
      <c r="D906" s="30" t="n"/>
      <c r="E906" s="30" t="n"/>
      <c r="F906" s="31" t="n"/>
      <c r="G906" s="31" t="n"/>
      <c r="H906" s="31" t="n"/>
      <c r="I906" s="31" t="n"/>
    </row>
    <row r="907" customFormat="1" s="26">
      <c r="A907" s="31" t="n"/>
      <c r="B907" s="29" t="n"/>
      <c r="C907" s="30" t="n"/>
      <c r="D907" s="30" t="n"/>
      <c r="E907" s="30" t="n"/>
      <c r="F907" s="31" t="n"/>
      <c r="G907" s="31" t="n"/>
      <c r="H907" s="31" t="n"/>
      <c r="I907" s="31" t="n"/>
    </row>
    <row r="908" customFormat="1" s="26">
      <c r="A908" s="31" t="n"/>
      <c r="B908" s="29" t="n"/>
      <c r="C908" s="30" t="n"/>
      <c r="D908" s="30" t="n"/>
      <c r="E908" s="30" t="n"/>
      <c r="F908" s="31" t="n"/>
      <c r="G908" s="31" t="n"/>
      <c r="H908" s="31" t="n"/>
      <c r="I908" s="31" t="n"/>
    </row>
    <row r="909" customFormat="1" s="26">
      <c r="A909" s="31" t="n"/>
      <c r="B909" s="29" t="n"/>
      <c r="C909" s="30" t="n"/>
      <c r="D909" s="30" t="n"/>
      <c r="E909" s="30" t="n"/>
      <c r="F909" s="31" t="n"/>
      <c r="G909" s="31" t="n"/>
      <c r="H909" s="31" t="n"/>
      <c r="I909" s="31" t="n"/>
    </row>
    <row r="910" customFormat="1" s="26">
      <c r="A910" s="31" t="n"/>
      <c r="B910" s="29" t="n"/>
      <c r="C910" s="30" t="n"/>
      <c r="D910" s="30" t="n"/>
      <c r="E910" s="30" t="n"/>
      <c r="F910" s="31" t="n"/>
      <c r="G910" s="31" t="n"/>
      <c r="H910" s="31" t="n"/>
      <c r="I910" s="31" t="n"/>
    </row>
    <row r="911" customFormat="1" s="26">
      <c r="A911" s="31" t="n"/>
      <c r="B911" s="29" t="n"/>
      <c r="C911" s="30" t="n"/>
      <c r="D911" s="30" t="n"/>
      <c r="E911" s="30" t="n"/>
      <c r="F911" s="31" t="n"/>
      <c r="G911" s="31" t="n"/>
      <c r="H911" s="31" t="n"/>
      <c r="I911" s="31" t="n"/>
    </row>
    <row r="912" customFormat="1" s="26">
      <c r="A912" s="31" t="n"/>
      <c r="B912" s="29" t="n"/>
      <c r="C912" s="30" t="n"/>
      <c r="D912" s="30" t="n"/>
      <c r="E912" s="30" t="n"/>
      <c r="F912" s="31" t="n"/>
      <c r="G912" s="31" t="n"/>
      <c r="H912" s="31" t="n"/>
      <c r="I912" s="31" t="n"/>
    </row>
    <row r="913" customFormat="1" s="26">
      <c r="A913" s="31" t="n"/>
      <c r="B913" s="29" t="n"/>
      <c r="C913" s="30" t="n"/>
      <c r="D913" s="30" t="n"/>
      <c r="E913" s="30" t="n"/>
      <c r="F913" s="31" t="n"/>
      <c r="G913" s="31" t="n"/>
      <c r="H913" s="31" t="n"/>
      <c r="I913" s="31" t="n"/>
    </row>
    <row r="914" customFormat="1" s="26">
      <c r="A914" s="31" t="n"/>
      <c r="B914" s="29" t="n"/>
      <c r="C914" s="30" t="n"/>
      <c r="D914" s="30" t="n"/>
      <c r="E914" s="30" t="n"/>
      <c r="F914" s="31" t="n"/>
      <c r="G914" s="31" t="n"/>
      <c r="H914" s="31" t="n"/>
      <c r="I914" s="31" t="n"/>
    </row>
    <row r="915" customFormat="1" s="26">
      <c r="A915" s="31" t="n"/>
      <c r="B915" s="29" t="n"/>
      <c r="C915" s="30" t="n"/>
      <c r="D915" s="30" t="n"/>
      <c r="E915" s="30" t="n"/>
      <c r="F915" s="31" t="n"/>
      <c r="G915" s="31" t="n"/>
      <c r="H915" s="31" t="n"/>
      <c r="I915" s="31" t="n"/>
    </row>
    <row r="916" customFormat="1" s="26">
      <c r="A916" s="31" t="n"/>
      <c r="B916" s="29" t="n"/>
      <c r="C916" s="30" t="n"/>
      <c r="D916" s="30" t="n"/>
      <c r="E916" s="30" t="n"/>
      <c r="F916" s="31" t="n"/>
      <c r="G916" s="31" t="n"/>
      <c r="H916" s="31" t="n"/>
      <c r="I916" s="31" t="n"/>
    </row>
    <row r="917" customFormat="1" s="26">
      <c r="A917" s="31" t="n"/>
      <c r="B917" s="29" t="n"/>
      <c r="C917" s="30" t="n"/>
      <c r="D917" s="30" t="n"/>
      <c r="E917" s="30" t="n"/>
      <c r="F917" s="31" t="n"/>
      <c r="G917" s="31" t="n"/>
      <c r="H917" s="31" t="n"/>
      <c r="I917" s="31" t="n"/>
    </row>
    <row r="918" customFormat="1" s="26">
      <c r="A918" s="31" t="n"/>
      <c r="B918" s="29" t="n"/>
      <c r="C918" s="30" t="n"/>
      <c r="D918" s="30" t="n"/>
      <c r="E918" s="30" t="n"/>
      <c r="F918" s="31" t="n"/>
      <c r="G918" s="31" t="n"/>
      <c r="H918" s="31" t="n"/>
      <c r="I918" s="31" t="n"/>
    </row>
    <row r="919" customFormat="1" s="26">
      <c r="A919" s="31" t="n"/>
      <c r="B919" s="29" t="n"/>
      <c r="C919" s="30" t="n"/>
      <c r="D919" s="30" t="n"/>
      <c r="E919" s="30" t="n"/>
      <c r="F919" s="31" t="n"/>
      <c r="G919" s="31" t="n"/>
      <c r="H919" s="31" t="n"/>
      <c r="I919" s="31" t="n"/>
    </row>
    <row r="920" customFormat="1" s="26">
      <c r="A920" s="31" t="n"/>
      <c r="B920" s="29" t="n"/>
      <c r="C920" s="30" t="n"/>
      <c r="D920" s="30" t="n"/>
      <c r="E920" s="30" t="n"/>
      <c r="F920" s="31" t="n"/>
      <c r="G920" s="31" t="n"/>
      <c r="H920" s="31" t="n"/>
      <c r="I920" s="31" t="n"/>
    </row>
    <row r="921" customFormat="1" s="26">
      <c r="A921" s="31" t="n"/>
      <c r="B921" s="29" t="n"/>
      <c r="C921" s="30" t="n"/>
      <c r="D921" s="30" t="n"/>
      <c r="E921" s="30" t="n"/>
      <c r="F921" s="31" t="n"/>
      <c r="G921" s="31" t="n"/>
      <c r="H921" s="31" t="n"/>
      <c r="I921" s="31" t="n"/>
    </row>
    <row r="922" customFormat="1" s="26">
      <c r="A922" s="31" t="n"/>
      <c r="B922" s="29" t="n"/>
      <c r="C922" s="30" t="n"/>
      <c r="D922" s="30" t="n"/>
      <c r="E922" s="30" t="n"/>
      <c r="F922" s="31" t="n"/>
      <c r="G922" s="31" t="n"/>
      <c r="H922" s="31" t="n"/>
      <c r="I922" s="31" t="n"/>
    </row>
    <row r="923" customFormat="1" s="26">
      <c r="A923" s="31" t="n"/>
      <c r="B923" s="29" t="n"/>
      <c r="C923" s="30" t="n"/>
      <c r="D923" s="30" t="n"/>
      <c r="E923" s="30" t="n"/>
      <c r="F923" s="31" t="n"/>
      <c r="G923" s="31" t="n"/>
      <c r="H923" s="31" t="n"/>
      <c r="I923" s="31" t="n"/>
    </row>
    <row r="924" customFormat="1" s="26">
      <c r="A924" s="31" t="n"/>
      <c r="B924" s="29" t="n"/>
      <c r="C924" s="30" t="n"/>
      <c r="D924" s="30" t="n"/>
      <c r="E924" s="30" t="n"/>
      <c r="F924" s="31" t="n"/>
      <c r="G924" s="31" t="n"/>
      <c r="H924" s="31" t="n"/>
      <c r="I924" s="31" t="n"/>
    </row>
    <row r="925" customFormat="1" s="26">
      <c r="A925" s="31" t="n"/>
      <c r="B925" s="29" t="n"/>
      <c r="C925" s="30" t="n"/>
      <c r="D925" s="30" t="n"/>
      <c r="E925" s="30" t="n"/>
      <c r="F925" s="31" t="n"/>
      <c r="G925" s="31" t="n"/>
      <c r="H925" s="31" t="n"/>
      <c r="I925" s="31" t="n"/>
    </row>
    <row r="926" customFormat="1" s="26">
      <c r="A926" s="31" t="n"/>
      <c r="B926" s="29" t="n"/>
      <c r="C926" s="30" t="n"/>
      <c r="D926" s="30" t="n"/>
      <c r="E926" s="30" t="n"/>
      <c r="F926" s="31" t="n"/>
      <c r="G926" s="31" t="n"/>
      <c r="H926" s="31" t="n"/>
      <c r="I926" s="31" t="n"/>
    </row>
    <row r="927" customFormat="1" s="26">
      <c r="A927" s="31" t="n"/>
      <c r="B927" s="29" t="n"/>
      <c r="C927" s="30" t="n"/>
      <c r="D927" s="30" t="n"/>
      <c r="E927" s="30" t="n"/>
      <c r="F927" s="31" t="n"/>
      <c r="G927" s="31" t="n"/>
      <c r="H927" s="31" t="n"/>
      <c r="I927" s="31" t="n"/>
    </row>
    <row r="928" customFormat="1" s="26">
      <c r="A928" s="31" t="n"/>
      <c r="B928" s="29" t="n"/>
      <c r="C928" s="30" t="n"/>
      <c r="D928" s="30" t="n"/>
      <c r="E928" s="30" t="n"/>
      <c r="F928" s="31" t="n"/>
      <c r="G928" s="31" t="n"/>
      <c r="H928" s="31" t="n"/>
      <c r="I928" s="31" t="n"/>
    </row>
    <row r="929" customFormat="1" s="26">
      <c r="A929" s="31" t="n"/>
      <c r="B929" s="29" t="n"/>
      <c r="C929" s="30" t="n"/>
      <c r="D929" s="30" t="n"/>
      <c r="E929" s="30" t="n"/>
      <c r="F929" s="31" t="n"/>
      <c r="G929" s="31" t="n"/>
      <c r="H929" s="31" t="n"/>
      <c r="I929" s="31" t="n"/>
    </row>
    <row r="930" customFormat="1" s="26">
      <c r="A930" s="31" t="n"/>
      <c r="B930" s="29" t="n"/>
      <c r="C930" s="30" t="n"/>
      <c r="D930" s="30" t="n"/>
      <c r="E930" s="30" t="n"/>
      <c r="F930" s="31" t="n"/>
      <c r="G930" s="31" t="n"/>
      <c r="H930" s="31" t="n"/>
      <c r="I930" s="31" t="n"/>
    </row>
    <row r="931" customFormat="1" s="26">
      <c r="A931" s="31" t="n"/>
      <c r="B931" s="29" t="n"/>
      <c r="C931" s="30" t="n"/>
      <c r="D931" s="30" t="n"/>
      <c r="E931" s="30" t="n"/>
      <c r="F931" s="31" t="n"/>
      <c r="G931" s="31" t="n"/>
      <c r="H931" s="31" t="n"/>
      <c r="I931" s="31" t="n"/>
    </row>
    <row r="932" customFormat="1" s="26">
      <c r="A932" s="31" t="n"/>
      <c r="B932" s="29" t="n"/>
      <c r="C932" s="30" t="n"/>
      <c r="D932" s="30" t="n"/>
      <c r="E932" s="30" t="n"/>
      <c r="F932" s="31" t="n"/>
      <c r="G932" s="31" t="n"/>
      <c r="H932" s="31" t="n"/>
      <c r="I932" s="31" t="n"/>
    </row>
    <row r="933" customFormat="1" s="26">
      <c r="A933" s="31" t="n"/>
      <c r="B933" s="29" t="n"/>
      <c r="C933" s="30" t="n"/>
      <c r="D933" s="30" t="n"/>
      <c r="E933" s="30" t="n"/>
      <c r="F933" s="31" t="n"/>
      <c r="G933" s="31" t="n"/>
      <c r="H933" s="31" t="n"/>
      <c r="I933" s="31" t="n"/>
    </row>
    <row r="934" customFormat="1" s="26">
      <c r="A934" s="31" t="n"/>
      <c r="B934" s="29" t="n"/>
      <c r="C934" s="30" t="n"/>
      <c r="D934" s="30" t="n"/>
      <c r="E934" s="30" t="n"/>
      <c r="F934" s="31" t="n"/>
      <c r="G934" s="31" t="n"/>
      <c r="H934" s="31" t="n"/>
      <c r="I934" s="31" t="n"/>
    </row>
    <row r="935" customFormat="1" s="26">
      <c r="A935" s="31" t="n"/>
      <c r="B935" s="29" t="n"/>
      <c r="C935" s="30" t="n"/>
      <c r="D935" s="30" t="n"/>
      <c r="E935" s="30" t="n"/>
      <c r="F935" s="31" t="n"/>
      <c r="G935" s="31" t="n"/>
      <c r="H935" s="31" t="n"/>
      <c r="I935" s="31" t="n"/>
    </row>
    <row r="936" customFormat="1" s="26">
      <c r="A936" s="31" t="n"/>
      <c r="B936" s="29" t="n"/>
      <c r="C936" s="30" t="n"/>
      <c r="D936" s="30" t="n"/>
      <c r="E936" s="30" t="n"/>
      <c r="F936" s="31" t="n"/>
      <c r="G936" s="31" t="n"/>
      <c r="H936" s="31" t="n"/>
      <c r="I936" s="31" t="n"/>
    </row>
    <row r="937" customFormat="1" s="26">
      <c r="A937" s="31" t="n"/>
      <c r="B937" s="29" t="n"/>
      <c r="C937" s="30" t="n"/>
      <c r="D937" s="30" t="n"/>
      <c r="E937" s="30" t="n"/>
      <c r="F937" s="31" t="n"/>
      <c r="G937" s="31" t="n"/>
      <c r="H937" s="31" t="n"/>
      <c r="I937" s="31" t="n"/>
    </row>
    <row r="938" customFormat="1" s="26">
      <c r="A938" s="31" t="n"/>
      <c r="B938" s="29" t="n"/>
      <c r="C938" s="30" t="n"/>
      <c r="D938" s="30" t="n"/>
      <c r="E938" s="30" t="n"/>
      <c r="F938" s="31" t="n"/>
      <c r="G938" s="31" t="n"/>
      <c r="H938" s="31" t="n"/>
      <c r="I938" s="31" t="n"/>
    </row>
    <row r="939" customFormat="1" s="26">
      <c r="A939" s="31" t="n"/>
      <c r="B939" s="29" t="n"/>
      <c r="C939" s="30" t="n"/>
      <c r="D939" s="30" t="n"/>
      <c r="E939" s="30" t="n"/>
      <c r="F939" s="31" t="n"/>
      <c r="G939" s="31" t="n"/>
      <c r="H939" s="31" t="n"/>
      <c r="I939" s="31" t="n"/>
    </row>
    <row r="940" customFormat="1" s="26">
      <c r="A940" s="31" t="n"/>
      <c r="B940" s="29" t="n"/>
      <c r="C940" s="30" t="n"/>
      <c r="D940" s="30" t="n"/>
      <c r="E940" s="30" t="n"/>
      <c r="F940" s="31" t="n"/>
      <c r="G940" s="31" t="n"/>
      <c r="H940" s="31" t="n"/>
      <c r="I940" s="31" t="n"/>
    </row>
    <row r="941" customFormat="1" s="26">
      <c r="A941" s="31" t="n"/>
      <c r="B941" s="29" t="n"/>
      <c r="C941" s="30" t="n"/>
      <c r="D941" s="30" t="n"/>
      <c r="E941" s="30" t="n"/>
      <c r="F941" s="31" t="n"/>
      <c r="G941" s="31" t="n"/>
      <c r="H941" s="31" t="n"/>
      <c r="I941" s="31" t="n"/>
    </row>
    <row r="942" customFormat="1" s="26">
      <c r="A942" s="31" t="n"/>
      <c r="B942" s="29" t="n"/>
      <c r="C942" s="30" t="n"/>
      <c r="D942" s="30" t="n"/>
      <c r="E942" s="30" t="n"/>
      <c r="F942" s="31" t="n"/>
      <c r="G942" s="31" t="n"/>
      <c r="H942" s="31" t="n"/>
      <c r="I942" s="31" t="n"/>
    </row>
    <row r="943" customFormat="1" s="26">
      <c r="A943" s="31" t="n"/>
      <c r="B943" s="29" t="n"/>
      <c r="C943" s="30" t="n"/>
      <c r="D943" s="30" t="n"/>
      <c r="E943" s="30" t="n"/>
      <c r="F943" s="31" t="n"/>
      <c r="G943" s="31" t="n"/>
      <c r="H943" s="31" t="n"/>
      <c r="I943" s="31" t="n"/>
    </row>
    <row r="944" customFormat="1" s="26">
      <c r="A944" s="31" t="n"/>
      <c r="B944" s="29" t="n"/>
      <c r="C944" s="30" t="n"/>
      <c r="D944" s="30" t="n"/>
      <c r="E944" s="30" t="n"/>
      <c r="F944" s="31" t="n"/>
      <c r="G944" s="31" t="n"/>
      <c r="H944" s="31" t="n"/>
      <c r="I944" s="31" t="n"/>
    </row>
    <row r="945" customFormat="1" s="26">
      <c r="A945" s="31" t="n"/>
      <c r="B945" s="29" t="n"/>
      <c r="C945" s="30" t="n"/>
      <c r="D945" s="30" t="n"/>
      <c r="E945" s="30" t="n"/>
      <c r="F945" s="31" t="n"/>
      <c r="G945" s="31" t="n"/>
      <c r="H945" s="31" t="n"/>
      <c r="I945" s="31" t="n"/>
    </row>
    <row r="946" customFormat="1" s="26">
      <c r="A946" s="31" t="n"/>
      <c r="B946" s="29" t="n"/>
      <c r="C946" s="30" t="n"/>
      <c r="D946" s="30" t="n"/>
      <c r="E946" s="30" t="n"/>
      <c r="F946" s="31" t="n"/>
      <c r="G946" s="31" t="n"/>
      <c r="H946" s="31" t="n"/>
      <c r="I946" s="31" t="n"/>
    </row>
    <row r="947" customFormat="1" s="26">
      <c r="A947" s="31" t="n"/>
      <c r="B947" s="29" t="n"/>
      <c r="C947" s="30" t="n"/>
      <c r="D947" s="30" t="n"/>
      <c r="E947" s="30" t="n"/>
      <c r="F947" s="31" t="n"/>
      <c r="G947" s="31" t="n"/>
      <c r="H947" s="31" t="n"/>
      <c r="I947" s="31" t="n"/>
    </row>
    <row r="948" customFormat="1" s="26">
      <c r="A948" s="31" t="n"/>
      <c r="B948" s="29" t="n"/>
      <c r="C948" s="30" t="n"/>
      <c r="D948" s="30" t="n"/>
      <c r="E948" s="30" t="n"/>
      <c r="F948" s="31" t="n"/>
      <c r="G948" s="31" t="n"/>
      <c r="H948" s="31" t="n"/>
      <c r="I948" s="31" t="n"/>
    </row>
    <row r="949" customFormat="1" s="26">
      <c r="A949" s="31" t="n"/>
      <c r="B949" s="29" t="n"/>
      <c r="C949" s="30" t="n"/>
      <c r="D949" s="30" t="n"/>
      <c r="E949" s="30" t="n"/>
      <c r="F949" s="31" t="n"/>
      <c r="G949" s="31" t="n"/>
      <c r="H949" s="31" t="n"/>
      <c r="I949" s="31" t="n"/>
    </row>
    <row r="950" customFormat="1" s="26">
      <c r="A950" s="31" t="n"/>
      <c r="B950" s="29" t="n"/>
      <c r="C950" s="30" t="n"/>
      <c r="D950" s="30" t="n"/>
      <c r="E950" s="30" t="n"/>
      <c r="F950" s="31" t="n"/>
      <c r="G950" s="31" t="n"/>
      <c r="H950" s="31" t="n"/>
      <c r="I950" s="31" t="n"/>
    </row>
    <row r="951" customFormat="1" s="26">
      <c r="A951" s="31" t="n"/>
      <c r="B951" s="29" t="n"/>
      <c r="C951" s="30" t="n"/>
      <c r="D951" s="30" t="n"/>
      <c r="E951" s="30" t="n"/>
      <c r="F951" s="31" t="n"/>
      <c r="G951" s="31" t="n"/>
      <c r="H951" s="31" t="n"/>
      <c r="I951" s="31" t="n"/>
    </row>
    <row r="952" customFormat="1" s="26">
      <c r="A952" s="31" t="n"/>
      <c r="B952" s="29" t="n"/>
      <c r="C952" s="30" t="n"/>
      <c r="D952" s="30" t="n"/>
      <c r="E952" s="30" t="n"/>
      <c r="F952" s="31" t="n"/>
      <c r="G952" s="31" t="n"/>
      <c r="H952" s="31" t="n"/>
      <c r="I952" s="31" t="n"/>
    </row>
    <row r="953" customFormat="1" s="26">
      <c r="A953" s="31" t="n"/>
      <c r="B953" s="29" t="n"/>
      <c r="C953" s="30" t="n"/>
      <c r="D953" s="30" t="n"/>
      <c r="E953" s="30" t="n"/>
      <c r="F953" s="31" t="n"/>
      <c r="G953" s="31" t="n"/>
      <c r="H953" s="31" t="n"/>
      <c r="I953" s="31" t="n"/>
    </row>
    <row r="954" customFormat="1" s="26">
      <c r="A954" s="31" t="n"/>
      <c r="B954" s="29" t="n"/>
      <c r="C954" s="30" t="n"/>
      <c r="D954" s="30" t="n"/>
      <c r="E954" s="30" t="n"/>
      <c r="F954" s="31" t="n"/>
      <c r="G954" s="31" t="n"/>
      <c r="H954" s="31" t="n"/>
      <c r="I954" s="31" t="n"/>
    </row>
    <row r="955" customFormat="1" s="26">
      <c r="A955" s="31" t="n"/>
      <c r="B955" s="29" t="n"/>
      <c r="C955" s="30" t="n"/>
      <c r="D955" s="30" t="n"/>
      <c r="E955" s="30" t="n"/>
      <c r="F955" s="31" t="n"/>
      <c r="G955" s="31" t="n"/>
      <c r="H955" s="31" t="n"/>
      <c r="I955" s="31" t="n"/>
    </row>
    <row r="956" customFormat="1" s="26">
      <c r="A956" s="31" t="n"/>
      <c r="B956" s="29" t="n"/>
      <c r="C956" s="30" t="n"/>
      <c r="D956" s="30" t="n"/>
      <c r="E956" s="30" t="n"/>
      <c r="F956" s="31" t="n"/>
      <c r="G956" s="31" t="n"/>
      <c r="H956" s="31" t="n"/>
      <c r="I956" s="31" t="n"/>
    </row>
    <row r="957" customFormat="1" s="26">
      <c r="A957" s="31" t="n"/>
      <c r="B957" s="29" t="n"/>
      <c r="C957" s="30" t="n"/>
      <c r="D957" s="30" t="n"/>
      <c r="E957" s="30" t="n"/>
      <c r="F957" s="31" t="n"/>
      <c r="G957" s="31" t="n"/>
      <c r="H957" s="31" t="n"/>
      <c r="I957" s="31" t="n"/>
    </row>
    <row r="958" customFormat="1" s="26">
      <c r="A958" s="31" t="n"/>
      <c r="B958" s="29" t="n"/>
      <c r="C958" s="30" t="n"/>
      <c r="D958" s="30" t="n"/>
      <c r="E958" s="30" t="n"/>
      <c r="F958" s="31" t="n"/>
      <c r="G958" s="31" t="n"/>
      <c r="H958" s="31" t="n"/>
      <c r="I958" s="31" t="n"/>
    </row>
    <row r="959" customFormat="1" s="26">
      <c r="A959" s="31" t="n"/>
      <c r="B959" s="29" t="n"/>
      <c r="C959" s="30" t="n"/>
      <c r="D959" s="30" t="n"/>
      <c r="E959" s="30" t="n"/>
      <c r="F959" s="31" t="n"/>
      <c r="G959" s="31" t="n"/>
      <c r="H959" s="31" t="n"/>
      <c r="I959" s="31" t="n"/>
    </row>
    <row r="960" customFormat="1" s="26">
      <c r="A960" s="31" t="n"/>
      <c r="B960" s="29" t="n"/>
      <c r="C960" s="30" t="n"/>
      <c r="D960" s="30" t="n"/>
      <c r="E960" s="30" t="n"/>
      <c r="F960" s="31" t="n"/>
      <c r="G960" s="31" t="n"/>
      <c r="H960" s="31" t="n"/>
      <c r="I960" s="31" t="n"/>
    </row>
    <row r="961" customFormat="1" s="26">
      <c r="A961" s="31" t="n"/>
      <c r="B961" s="29" t="n"/>
      <c r="C961" s="30" t="n"/>
      <c r="D961" s="30" t="n"/>
      <c r="E961" s="30" t="n"/>
      <c r="F961" s="31" t="n"/>
      <c r="G961" s="31" t="n"/>
      <c r="H961" s="31" t="n"/>
      <c r="I961" s="31" t="n"/>
    </row>
    <row r="962" customFormat="1" s="26">
      <c r="A962" s="31" t="n"/>
      <c r="B962" s="29" t="n"/>
      <c r="C962" s="30" t="n"/>
      <c r="D962" s="30" t="n"/>
      <c r="E962" s="30" t="n"/>
      <c r="F962" s="31" t="n"/>
      <c r="G962" s="31" t="n"/>
      <c r="H962" s="31" t="n"/>
      <c r="I962" s="31" t="n"/>
    </row>
    <row r="963" customFormat="1" s="26">
      <c r="A963" s="31" t="n"/>
      <c r="B963" s="29" t="n"/>
      <c r="C963" s="30" t="n"/>
      <c r="D963" s="30" t="n"/>
      <c r="E963" s="30" t="n"/>
      <c r="F963" s="31" t="n"/>
      <c r="G963" s="31" t="n"/>
      <c r="H963" s="31" t="n"/>
      <c r="I963" s="31" t="n"/>
    </row>
    <row r="964" customFormat="1" s="26">
      <c r="A964" s="31" t="n"/>
      <c r="B964" s="29" t="n"/>
      <c r="C964" s="30" t="n"/>
      <c r="D964" s="30" t="n"/>
      <c r="E964" s="30" t="n"/>
      <c r="F964" s="31" t="n"/>
      <c r="G964" s="31" t="n"/>
      <c r="H964" s="31" t="n"/>
      <c r="I964" s="31" t="n"/>
    </row>
    <row r="965" customFormat="1" s="26">
      <c r="A965" s="31" t="n"/>
      <c r="B965" s="29" t="n"/>
      <c r="C965" s="30" t="n"/>
      <c r="D965" s="30" t="n"/>
      <c r="E965" s="30" t="n"/>
      <c r="F965" s="31" t="n"/>
      <c r="G965" s="31" t="n"/>
      <c r="H965" s="31" t="n"/>
      <c r="I965" s="31" t="n"/>
    </row>
    <row r="966" customFormat="1" s="26">
      <c r="A966" s="31" t="n"/>
      <c r="B966" s="29" t="n"/>
      <c r="C966" s="30" t="n"/>
      <c r="D966" s="30" t="n"/>
      <c r="E966" s="30" t="n"/>
      <c r="F966" s="31" t="n"/>
      <c r="G966" s="31" t="n"/>
      <c r="H966" s="31" t="n"/>
      <c r="I966" s="31" t="n"/>
    </row>
    <row r="967" customFormat="1" s="26">
      <c r="A967" s="31" t="n"/>
      <c r="B967" s="29" t="n"/>
      <c r="C967" s="30" t="n"/>
      <c r="D967" s="30" t="n"/>
      <c r="E967" s="30" t="n"/>
      <c r="F967" s="31" t="n"/>
      <c r="G967" s="31" t="n"/>
      <c r="H967" s="31" t="n"/>
      <c r="I967" s="31" t="n"/>
    </row>
    <row r="968" customFormat="1" s="26">
      <c r="A968" s="31" t="n"/>
      <c r="B968" s="29" t="n"/>
      <c r="C968" s="30" t="n"/>
      <c r="D968" s="30" t="n"/>
      <c r="E968" s="30" t="n"/>
      <c r="F968" s="31" t="n"/>
      <c r="G968" s="31" t="n"/>
      <c r="H968" s="31" t="n"/>
      <c r="I968" s="31" t="n"/>
    </row>
    <row r="969" customFormat="1" s="26">
      <c r="A969" s="31" t="n"/>
      <c r="B969" s="29" t="n"/>
      <c r="C969" s="30" t="n"/>
      <c r="D969" s="30" t="n"/>
      <c r="E969" s="30" t="n"/>
      <c r="F969" s="31" t="n"/>
      <c r="G969" s="31" t="n"/>
      <c r="H969" s="31" t="n"/>
      <c r="I969" s="31" t="n"/>
    </row>
    <row r="970" customFormat="1" s="26">
      <c r="A970" s="31" t="n"/>
      <c r="B970" s="29" t="n"/>
      <c r="C970" s="30" t="n"/>
      <c r="D970" s="30" t="n"/>
      <c r="E970" s="30" t="n"/>
      <c r="F970" s="31" t="n"/>
      <c r="G970" s="31" t="n"/>
      <c r="H970" s="31" t="n"/>
      <c r="I970" s="31" t="n"/>
    </row>
    <row r="971" customFormat="1" s="26">
      <c r="A971" s="31" t="n"/>
      <c r="B971" s="29" t="n"/>
      <c r="C971" s="30" t="n"/>
      <c r="D971" s="30" t="n"/>
      <c r="E971" s="30" t="n"/>
      <c r="F971" s="31" t="n"/>
      <c r="G971" s="31" t="n"/>
      <c r="H971" s="31" t="n"/>
      <c r="I971" s="31" t="n"/>
    </row>
    <row r="972" customFormat="1" s="26">
      <c r="A972" s="31" t="n"/>
      <c r="B972" s="29" t="n"/>
      <c r="C972" s="30" t="n"/>
      <c r="D972" s="30" t="n"/>
      <c r="E972" s="30" t="n"/>
      <c r="F972" s="31" t="n"/>
      <c r="G972" s="31" t="n"/>
      <c r="H972" s="31" t="n"/>
      <c r="I972" s="31" t="n"/>
    </row>
    <row r="973" customFormat="1" s="26">
      <c r="A973" s="31" t="n"/>
      <c r="B973" s="29" t="n"/>
      <c r="C973" s="30" t="n"/>
      <c r="D973" s="30" t="n"/>
      <c r="E973" s="30" t="n"/>
      <c r="F973" s="31" t="n"/>
      <c r="G973" s="31" t="n"/>
      <c r="H973" s="31" t="n"/>
      <c r="I973" s="31" t="n"/>
    </row>
    <row r="974" customFormat="1" s="26">
      <c r="A974" s="31" t="n"/>
      <c r="B974" s="29" t="n"/>
      <c r="C974" s="30" t="n"/>
      <c r="D974" s="30" t="n"/>
      <c r="E974" s="30" t="n"/>
      <c r="F974" s="31" t="n"/>
      <c r="G974" s="31" t="n"/>
      <c r="H974" s="31" t="n"/>
      <c r="I974" s="31" t="n"/>
    </row>
    <row r="975" customFormat="1" s="26">
      <c r="A975" s="31" t="n"/>
      <c r="B975" s="29" t="n"/>
      <c r="C975" s="30" t="n"/>
      <c r="D975" s="30" t="n"/>
      <c r="E975" s="30" t="n"/>
      <c r="F975" s="31" t="n"/>
      <c r="G975" s="31" t="n"/>
      <c r="H975" s="31" t="n"/>
      <c r="I975" s="31" t="n"/>
    </row>
    <row r="976" customFormat="1" s="26">
      <c r="A976" s="31" t="n"/>
      <c r="B976" s="29" t="n"/>
      <c r="C976" s="30" t="n"/>
      <c r="D976" s="30" t="n"/>
      <c r="E976" s="30" t="n"/>
      <c r="F976" s="31" t="n"/>
      <c r="G976" s="31" t="n"/>
      <c r="H976" s="31" t="n"/>
      <c r="I976" s="31" t="n"/>
    </row>
    <row r="977" customFormat="1" s="26">
      <c r="A977" s="31" t="n"/>
      <c r="B977" s="29" t="n"/>
      <c r="C977" s="30" t="n"/>
      <c r="D977" s="30" t="n"/>
      <c r="E977" s="30" t="n"/>
      <c r="F977" s="31" t="n"/>
      <c r="G977" s="31" t="n"/>
      <c r="H977" s="31" t="n"/>
      <c r="I977" s="31" t="n"/>
    </row>
    <row r="978" customFormat="1" s="26">
      <c r="A978" s="31" t="n"/>
      <c r="B978" s="29" t="n"/>
      <c r="C978" s="30" t="n"/>
      <c r="D978" s="30" t="n"/>
      <c r="E978" s="30" t="n"/>
      <c r="F978" s="31" t="n"/>
      <c r="G978" s="31" t="n"/>
      <c r="H978" s="31" t="n"/>
      <c r="I978" s="31" t="n"/>
    </row>
    <row r="979" customFormat="1" s="26">
      <c r="A979" s="31" t="n"/>
      <c r="B979" s="29" t="n"/>
      <c r="C979" s="30" t="n"/>
      <c r="D979" s="30" t="n"/>
      <c r="E979" s="30" t="n"/>
      <c r="F979" s="31" t="n"/>
      <c r="G979" s="31" t="n"/>
      <c r="H979" s="31" t="n"/>
      <c r="I979" s="31" t="n"/>
    </row>
    <row r="980" customFormat="1" s="26">
      <c r="A980" s="31" t="n"/>
      <c r="B980" s="29" t="n"/>
      <c r="C980" s="30" t="n"/>
      <c r="D980" s="30" t="n"/>
      <c r="E980" s="30" t="n"/>
      <c r="F980" s="31" t="n"/>
      <c r="G980" s="31" t="n"/>
      <c r="H980" s="31" t="n"/>
      <c r="I980" s="31" t="n"/>
    </row>
    <row r="981" customFormat="1" s="26">
      <c r="A981" s="31" t="n"/>
      <c r="B981" s="29" t="n"/>
      <c r="C981" s="30" t="n"/>
      <c r="D981" s="30" t="n"/>
      <c r="E981" s="30" t="n"/>
      <c r="F981" s="31" t="n"/>
      <c r="G981" s="31" t="n"/>
      <c r="H981" s="31" t="n"/>
      <c r="I981" s="31" t="n"/>
    </row>
    <row r="982" customFormat="1" s="26">
      <c r="A982" s="31" t="n"/>
      <c r="B982" s="29" t="n"/>
      <c r="C982" s="30" t="n"/>
      <c r="D982" s="30" t="n"/>
      <c r="E982" s="30" t="n"/>
      <c r="F982" s="31" t="n"/>
      <c r="G982" s="31" t="n"/>
      <c r="H982" s="31" t="n"/>
      <c r="I982" s="31" t="n"/>
    </row>
    <row r="983" customFormat="1" s="26">
      <c r="A983" s="31" t="n"/>
      <c r="B983" s="29" t="n"/>
      <c r="C983" s="30" t="n"/>
      <c r="D983" s="30" t="n"/>
      <c r="E983" s="30" t="n"/>
      <c r="F983" s="31" t="n"/>
      <c r="G983" s="31" t="n"/>
      <c r="H983" s="31" t="n"/>
      <c r="I983" s="31" t="n"/>
    </row>
    <row r="984" customFormat="1" s="26">
      <c r="A984" s="31" t="n"/>
      <c r="B984" s="29" t="n"/>
      <c r="C984" s="30" t="n"/>
      <c r="D984" s="30" t="n"/>
      <c r="E984" s="30" t="n"/>
      <c r="F984" s="31" t="n"/>
      <c r="G984" s="31" t="n"/>
      <c r="H984" s="31" t="n"/>
      <c r="I984" s="31" t="n"/>
    </row>
    <row r="985" customFormat="1" s="26">
      <c r="A985" s="31" t="n"/>
      <c r="B985" s="29" t="n"/>
      <c r="C985" s="30" t="n"/>
      <c r="D985" s="30" t="n"/>
      <c r="E985" s="30" t="n"/>
      <c r="F985" s="31" t="n"/>
      <c r="G985" s="31" t="n"/>
      <c r="H985" s="31" t="n"/>
      <c r="I985" s="31" t="n"/>
    </row>
    <row r="986" customFormat="1" s="26">
      <c r="A986" s="31" t="n"/>
      <c r="B986" s="29" t="n"/>
      <c r="C986" s="30" t="n"/>
      <c r="D986" s="30" t="n"/>
      <c r="E986" s="30" t="n"/>
      <c r="F986" s="31" t="n"/>
      <c r="G986" s="31" t="n"/>
      <c r="H986" s="31" t="n"/>
      <c r="I986" s="31" t="n"/>
    </row>
    <row r="987" customFormat="1" s="26">
      <c r="A987" s="31" t="n"/>
      <c r="B987" s="29" t="n"/>
      <c r="C987" s="30" t="n"/>
      <c r="D987" s="30" t="n"/>
      <c r="E987" s="30" t="n"/>
      <c r="F987" s="31" t="n"/>
      <c r="G987" s="31" t="n"/>
      <c r="H987" s="31" t="n"/>
      <c r="I987" s="31" t="n"/>
    </row>
    <row r="988" customFormat="1" s="26">
      <c r="A988" s="31" t="n"/>
      <c r="B988" s="29" t="n"/>
      <c r="C988" s="30" t="n"/>
      <c r="D988" s="30" t="n"/>
      <c r="E988" s="30" t="n"/>
      <c r="F988" s="31" t="n"/>
      <c r="G988" s="31" t="n"/>
      <c r="H988" s="31" t="n"/>
      <c r="I988" s="31" t="n"/>
    </row>
    <row r="989" customFormat="1" s="26">
      <c r="A989" s="31" t="n"/>
      <c r="B989" s="29" t="n"/>
      <c r="C989" s="30" t="n"/>
      <c r="D989" s="30" t="n"/>
      <c r="E989" s="30" t="n"/>
      <c r="F989" s="31" t="n"/>
      <c r="G989" s="31" t="n"/>
      <c r="H989" s="31" t="n"/>
      <c r="I989" s="31" t="n"/>
    </row>
    <row r="990" customFormat="1" s="26">
      <c r="A990" s="31" t="n"/>
      <c r="B990" s="29" t="n"/>
      <c r="C990" s="30" t="n"/>
      <c r="D990" s="30" t="n"/>
      <c r="E990" s="30" t="n"/>
      <c r="F990" s="31" t="n"/>
      <c r="G990" s="31" t="n"/>
      <c r="H990" s="31" t="n"/>
      <c r="I990" s="31" t="n"/>
    </row>
    <row r="991" customFormat="1" s="26">
      <c r="A991" s="31" t="n"/>
      <c r="B991" s="29" t="n"/>
      <c r="C991" s="30" t="n"/>
      <c r="D991" s="30" t="n"/>
      <c r="E991" s="30" t="n"/>
      <c r="F991" s="31" t="n"/>
      <c r="G991" s="31" t="n"/>
      <c r="H991" s="31" t="n"/>
      <c r="I991" s="31" t="n"/>
    </row>
    <row r="992" customFormat="1" s="26">
      <c r="A992" s="31" t="n"/>
      <c r="B992" s="29" t="n"/>
      <c r="C992" s="30" t="n"/>
      <c r="D992" s="30" t="n"/>
      <c r="E992" s="30" t="n"/>
      <c r="F992" s="31" t="n"/>
      <c r="G992" s="31" t="n"/>
      <c r="H992" s="31" t="n"/>
      <c r="I992" s="31" t="n"/>
    </row>
    <row r="993" customFormat="1" s="26">
      <c r="A993" s="31" t="n"/>
      <c r="B993" s="29" t="n"/>
      <c r="C993" s="30" t="n"/>
      <c r="D993" s="30" t="n"/>
      <c r="E993" s="30" t="n"/>
      <c r="F993" s="31" t="n"/>
      <c r="G993" s="31" t="n"/>
      <c r="H993" s="31" t="n"/>
      <c r="I993" s="31" t="n"/>
    </row>
    <row r="994" customFormat="1" s="26">
      <c r="A994" s="31" t="n"/>
      <c r="B994" s="29" t="n"/>
      <c r="C994" s="30" t="n"/>
      <c r="D994" s="30" t="n"/>
      <c r="E994" s="30" t="n"/>
      <c r="F994" s="31" t="n"/>
      <c r="G994" s="31" t="n"/>
      <c r="H994" s="31" t="n"/>
      <c r="I994" s="31" t="n"/>
    </row>
    <row r="995" customFormat="1" s="26">
      <c r="A995" s="31" t="n"/>
      <c r="B995" s="29" t="n"/>
      <c r="C995" s="30" t="n"/>
      <c r="D995" s="30" t="n"/>
      <c r="E995" s="30" t="n"/>
      <c r="F995" s="31" t="n"/>
      <c r="G995" s="31" t="n"/>
      <c r="H995" s="31" t="n"/>
      <c r="I995" s="31" t="n"/>
    </row>
    <row r="996" customFormat="1" s="26">
      <c r="A996" s="31" t="n"/>
      <c r="B996" s="29" t="n"/>
      <c r="C996" s="30" t="n"/>
      <c r="D996" s="30" t="n"/>
      <c r="E996" s="30" t="n"/>
      <c r="F996" s="31" t="n"/>
      <c r="G996" s="31" t="n"/>
      <c r="H996" s="31" t="n"/>
      <c r="I996" s="31" t="n"/>
    </row>
    <row r="997" customFormat="1" s="26">
      <c r="A997" s="31" t="n"/>
      <c r="B997" s="29" t="n"/>
      <c r="C997" s="30" t="n"/>
      <c r="D997" s="30" t="n"/>
      <c r="E997" s="30" t="n"/>
      <c r="F997" s="31" t="n"/>
      <c r="G997" s="31" t="n"/>
      <c r="H997" s="31" t="n"/>
      <c r="I997" s="31" t="n"/>
    </row>
    <row r="998" customFormat="1" s="26">
      <c r="A998" s="31" t="n"/>
      <c r="B998" s="29" t="n"/>
      <c r="C998" s="30" t="n"/>
      <c r="D998" s="30" t="n"/>
      <c r="E998" s="30" t="n"/>
      <c r="F998" s="31" t="n"/>
      <c r="G998" s="31" t="n"/>
      <c r="H998" s="31" t="n"/>
      <c r="I998" s="31" t="n"/>
    </row>
    <row r="999" customFormat="1" s="26">
      <c r="A999" s="31" t="n"/>
      <c r="B999" s="29" t="n"/>
      <c r="C999" s="30" t="n"/>
      <c r="D999" s="30" t="n"/>
      <c r="E999" s="30" t="n"/>
      <c r="F999" s="31" t="n"/>
      <c r="G999" s="31" t="n"/>
      <c r="H999" s="31" t="n"/>
      <c r="I999" s="31" t="n"/>
    </row>
    <row r="1000" customFormat="1" s="26">
      <c r="A1000" s="31" t="n"/>
      <c r="B1000" s="29" t="n"/>
      <c r="C1000" s="30" t="n"/>
      <c r="D1000" s="30" t="n"/>
      <c r="E1000" s="30" t="n"/>
      <c r="F1000" s="31" t="n"/>
      <c r="G1000" s="31" t="n"/>
      <c r="H1000" s="31" t="n"/>
      <c r="I1000" s="31" t="n"/>
    </row>
    <row r="1001" customFormat="1" s="26">
      <c r="A1001" s="31" t="n"/>
      <c r="B1001" s="29" t="n"/>
      <c r="C1001" s="30" t="n"/>
      <c r="D1001" s="30" t="n"/>
      <c r="E1001" s="30" t="n"/>
      <c r="F1001" s="31" t="n"/>
      <c r="G1001" s="31" t="n"/>
      <c r="H1001" s="31" t="n"/>
      <c r="I1001" s="31" t="n"/>
    </row>
    <row r="1002" customFormat="1" s="26">
      <c r="A1002" s="31" t="n"/>
      <c r="B1002" s="29" t="n"/>
      <c r="C1002" s="30" t="n"/>
      <c r="D1002" s="30" t="n"/>
      <c r="E1002" s="30" t="n"/>
      <c r="F1002" s="31" t="n"/>
      <c r="G1002" s="31" t="n"/>
      <c r="H1002" s="31" t="n"/>
      <c r="I1002" s="31" t="n"/>
    </row>
    <row r="1003" customFormat="1" s="26">
      <c r="A1003" s="31" t="n"/>
      <c r="B1003" s="29" t="n"/>
      <c r="C1003" s="30" t="n"/>
      <c r="D1003" s="30" t="n"/>
      <c r="E1003" s="30" t="n"/>
      <c r="F1003" s="31" t="n"/>
      <c r="G1003" s="31" t="n"/>
      <c r="H1003" s="31" t="n"/>
      <c r="I1003" s="31" t="n"/>
    </row>
    <row r="1004" customFormat="1" s="26">
      <c r="A1004" s="31" t="n"/>
      <c r="B1004" s="29" t="n"/>
      <c r="C1004" s="30" t="n"/>
      <c r="D1004" s="30" t="n"/>
      <c r="E1004" s="30" t="n"/>
      <c r="F1004" s="31" t="n"/>
      <c r="G1004" s="31" t="n"/>
      <c r="H1004" s="31" t="n"/>
      <c r="I1004" s="31" t="n"/>
    </row>
    <row r="1005" customFormat="1" s="26">
      <c r="A1005" s="31" t="n"/>
      <c r="B1005" s="29" t="n"/>
      <c r="C1005" s="30" t="n"/>
      <c r="D1005" s="30" t="n"/>
      <c r="E1005" s="30" t="n"/>
      <c r="F1005" s="31" t="n"/>
      <c r="G1005" s="31" t="n"/>
      <c r="H1005" s="31" t="n"/>
      <c r="I1005" s="31" t="n"/>
    </row>
    <row r="1006" customFormat="1" s="26">
      <c r="A1006" s="31" t="n"/>
      <c r="B1006" s="29" t="n"/>
      <c r="C1006" s="30" t="n"/>
      <c r="D1006" s="30" t="n"/>
      <c r="E1006" s="30" t="n"/>
      <c r="F1006" s="31" t="n"/>
      <c r="G1006" s="31" t="n"/>
      <c r="H1006" s="31" t="n"/>
      <c r="I1006" s="31" t="n"/>
    </row>
    <row r="1007" customFormat="1" s="26">
      <c r="A1007" s="31" t="n"/>
      <c r="B1007" s="29" t="n"/>
      <c r="C1007" s="30" t="n"/>
      <c r="D1007" s="30" t="n"/>
      <c r="E1007" s="30" t="n"/>
      <c r="F1007" s="31" t="n"/>
      <c r="G1007" s="31" t="n"/>
      <c r="H1007" s="31" t="n"/>
      <c r="I1007" s="31" t="n"/>
    </row>
    <row r="1008" customFormat="1" s="26">
      <c r="A1008" s="31" t="n"/>
      <c r="B1008" s="29" t="n"/>
      <c r="C1008" s="30" t="n"/>
      <c r="D1008" s="30" t="n"/>
      <c r="E1008" s="30" t="n"/>
      <c r="F1008" s="31" t="n"/>
      <c r="G1008" s="31" t="n"/>
      <c r="H1008" s="31" t="n"/>
      <c r="I1008" s="31" t="n"/>
    </row>
    <row r="1009" customFormat="1" s="26">
      <c r="A1009" s="31" t="n"/>
      <c r="B1009" s="29" t="n"/>
      <c r="C1009" s="30" t="n"/>
      <c r="D1009" s="30" t="n"/>
      <c r="E1009" s="30" t="n"/>
      <c r="F1009" s="31" t="n"/>
      <c r="G1009" s="31" t="n"/>
      <c r="H1009" s="31" t="n"/>
      <c r="I1009" s="31" t="n"/>
    </row>
    <row r="1010" customFormat="1" s="26">
      <c r="A1010" s="31" t="n"/>
      <c r="B1010" s="29" t="n"/>
      <c r="C1010" s="30" t="n"/>
      <c r="D1010" s="30" t="n"/>
      <c r="E1010" s="30" t="n"/>
      <c r="F1010" s="31" t="n"/>
      <c r="G1010" s="31" t="n"/>
      <c r="H1010" s="31" t="n"/>
      <c r="I1010" s="31" t="n"/>
    </row>
    <row r="1011" customFormat="1" s="26">
      <c r="A1011" s="31" t="n"/>
      <c r="B1011" s="29" t="n"/>
      <c r="C1011" s="30" t="n"/>
      <c r="D1011" s="30" t="n"/>
      <c r="E1011" s="30" t="n"/>
      <c r="F1011" s="31" t="n"/>
      <c r="G1011" s="31" t="n"/>
      <c r="H1011" s="31" t="n"/>
      <c r="I1011" s="31" t="n"/>
    </row>
    <row r="1012" customFormat="1" s="26">
      <c r="A1012" s="31" t="n"/>
      <c r="B1012" s="29" t="n"/>
      <c r="C1012" s="30" t="n"/>
      <c r="D1012" s="30" t="n"/>
      <c r="E1012" s="30" t="n"/>
      <c r="F1012" s="31" t="n"/>
      <c r="G1012" s="31" t="n"/>
      <c r="H1012" s="31" t="n"/>
      <c r="I1012" s="31" t="n"/>
    </row>
    <row r="1013" customFormat="1" s="26">
      <c r="A1013" s="31" t="n"/>
      <c r="B1013" s="29" t="n"/>
      <c r="C1013" s="30" t="n"/>
      <c r="D1013" s="30" t="n"/>
      <c r="E1013" s="30" t="n"/>
      <c r="F1013" s="31" t="n"/>
      <c r="G1013" s="31" t="n"/>
      <c r="H1013" s="31" t="n"/>
      <c r="I1013" s="31" t="n"/>
    </row>
    <row r="1014" customFormat="1" s="26">
      <c r="A1014" s="31" t="n"/>
      <c r="B1014" s="29" t="n"/>
      <c r="C1014" s="30" t="n"/>
      <c r="D1014" s="30" t="n"/>
      <c r="E1014" s="30" t="n"/>
      <c r="F1014" s="31" t="n"/>
      <c r="G1014" s="31" t="n"/>
      <c r="H1014" s="31" t="n"/>
      <c r="I1014" s="31" t="n"/>
    </row>
    <row r="1015" customFormat="1" s="26">
      <c r="A1015" s="31" t="n"/>
      <c r="B1015" s="29" t="n"/>
      <c r="C1015" s="30" t="n"/>
      <c r="D1015" s="30" t="n"/>
      <c r="E1015" s="30" t="n"/>
      <c r="F1015" s="31" t="n"/>
      <c r="G1015" s="31" t="n"/>
      <c r="H1015" s="31" t="n"/>
      <c r="I1015" s="31" t="n"/>
    </row>
    <row r="1016" customFormat="1" s="26">
      <c r="A1016" s="31" t="n"/>
      <c r="B1016" s="29" t="n"/>
      <c r="C1016" s="30" t="n"/>
      <c r="D1016" s="30" t="n"/>
      <c r="E1016" s="30" t="n"/>
      <c r="F1016" s="31" t="n"/>
      <c r="G1016" s="31" t="n"/>
      <c r="H1016" s="31" t="n"/>
      <c r="I1016" s="31" t="n"/>
    </row>
    <row r="1017" customFormat="1" s="26">
      <c r="A1017" s="31" t="n"/>
      <c r="B1017" s="29" t="n"/>
      <c r="C1017" s="30" t="n"/>
      <c r="D1017" s="30" t="n"/>
      <c r="E1017" s="30" t="n"/>
      <c r="F1017" s="31" t="n"/>
      <c r="G1017" s="31" t="n"/>
      <c r="H1017" s="31" t="n"/>
      <c r="I1017" s="31" t="n"/>
    </row>
    <row r="1018" customFormat="1" s="26">
      <c r="A1018" s="31" t="n"/>
      <c r="B1018" s="29" t="n"/>
      <c r="C1018" s="30" t="n"/>
      <c r="D1018" s="30" t="n"/>
      <c r="E1018" s="30" t="n"/>
      <c r="F1018" s="31" t="n"/>
      <c r="G1018" s="31" t="n"/>
      <c r="H1018" s="31" t="n"/>
      <c r="I1018" s="31" t="n"/>
    </row>
    <row r="1019" customFormat="1" s="26">
      <c r="A1019" s="31" t="n"/>
      <c r="B1019" s="29" t="n"/>
      <c r="C1019" s="30" t="n"/>
      <c r="D1019" s="30" t="n"/>
      <c r="E1019" s="30" t="n"/>
      <c r="F1019" s="31" t="n"/>
      <c r="G1019" s="31" t="n"/>
      <c r="H1019" s="31" t="n"/>
      <c r="I1019" s="31" t="n"/>
    </row>
    <row r="1020" customFormat="1" s="26">
      <c r="A1020" s="31" t="n"/>
      <c r="B1020" s="29" t="n"/>
      <c r="C1020" s="30" t="n"/>
      <c r="D1020" s="30" t="n"/>
      <c r="E1020" s="30" t="n"/>
      <c r="F1020" s="31" t="n"/>
      <c r="G1020" s="31" t="n"/>
      <c r="H1020" s="31" t="n"/>
      <c r="I1020" s="31" t="n"/>
    </row>
    <row r="1021" customFormat="1" s="26">
      <c r="A1021" s="31" t="n"/>
      <c r="B1021" s="29" t="n"/>
      <c r="C1021" s="30" t="n"/>
      <c r="D1021" s="30" t="n"/>
      <c r="E1021" s="30" t="n"/>
      <c r="F1021" s="31" t="n"/>
      <c r="G1021" s="31" t="n"/>
      <c r="H1021" s="31" t="n"/>
      <c r="I1021" s="31" t="n"/>
    </row>
    <row r="1022" customFormat="1" s="26">
      <c r="A1022" s="31" t="n"/>
      <c r="B1022" s="29" t="n"/>
      <c r="C1022" s="30" t="n"/>
      <c r="D1022" s="30" t="n"/>
      <c r="E1022" s="30" t="n"/>
      <c r="F1022" s="31" t="n"/>
      <c r="G1022" s="31" t="n"/>
      <c r="H1022" s="31" t="n"/>
      <c r="I1022" s="31" t="n"/>
    </row>
    <row r="1023" customFormat="1" s="26">
      <c r="A1023" s="31" t="n"/>
      <c r="B1023" s="29" t="n"/>
      <c r="C1023" s="30" t="n"/>
      <c r="D1023" s="30" t="n"/>
      <c r="E1023" s="30" t="n"/>
      <c r="F1023" s="31" t="n"/>
      <c r="G1023" s="31" t="n"/>
      <c r="H1023" s="31" t="n"/>
      <c r="I1023" s="31" t="n"/>
    </row>
    <row r="1024" customFormat="1" s="26">
      <c r="A1024" s="31" t="n"/>
      <c r="B1024" s="29" t="n"/>
      <c r="C1024" s="30" t="n"/>
      <c r="D1024" s="30" t="n"/>
      <c r="E1024" s="30" t="n"/>
      <c r="F1024" s="31" t="n"/>
      <c r="G1024" s="31" t="n"/>
      <c r="H1024" s="31" t="n"/>
      <c r="I1024" s="31" t="n"/>
    </row>
    <row r="1025" customFormat="1" s="26">
      <c r="A1025" s="31" t="n"/>
      <c r="B1025" s="29" t="n"/>
      <c r="C1025" s="30" t="n"/>
      <c r="D1025" s="30" t="n"/>
      <c r="E1025" s="30" t="n"/>
      <c r="F1025" s="31" t="n"/>
      <c r="G1025" s="31" t="n"/>
      <c r="H1025" s="31" t="n"/>
      <c r="I1025" s="31" t="n"/>
    </row>
    <row r="1026" customFormat="1" s="26">
      <c r="A1026" s="31" t="n"/>
      <c r="B1026" s="29" t="n"/>
      <c r="C1026" s="30" t="n"/>
      <c r="D1026" s="30" t="n"/>
      <c r="E1026" s="30" t="n"/>
      <c r="F1026" s="31" t="n"/>
      <c r="G1026" s="31" t="n"/>
      <c r="H1026" s="31" t="n"/>
      <c r="I1026" s="31" t="n"/>
    </row>
    <row r="1027" customFormat="1" s="26">
      <c r="A1027" s="31" t="n"/>
      <c r="B1027" s="29" t="n"/>
      <c r="C1027" s="30" t="n"/>
      <c r="D1027" s="30" t="n"/>
      <c r="E1027" s="30" t="n"/>
      <c r="F1027" s="31" t="n"/>
      <c r="G1027" s="31" t="n"/>
      <c r="H1027" s="31" t="n"/>
      <c r="I1027" s="31" t="n"/>
    </row>
    <row r="1028" customFormat="1" s="26">
      <c r="A1028" s="31" t="n"/>
      <c r="B1028" s="29" t="n"/>
      <c r="C1028" s="30" t="n"/>
      <c r="D1028" s="30" t="n"/>
      <c r="E1028" s="30" t="n"/>
      <c r="F1028" s="31" t="n"/>
      <c r="G1028" s="31" t="n"/>
      <c r="H1028" s="31" t="n"/>
      <c r="I1028" s="31" t="n"/>
    </row>
    <row r="1029" customFormat="1" s="26">
      <c r="A1029" s="31" t="n"/>
      <c r="B1029" s="29" t="n"/>
      <c r="C1029" s="30" t="n"/>
      <c r="D1029" s="30" t="n"/>
      <c r="E1029" s="30" t="n"/>
      <c r="F1029" s="31" t="n"/>
      <c r="G1029" s="31" t="n"/>
      <c r="H1029" s="31" t="n"/>
      <c r="I1029" s="31" t="n"/>
    </row>
    <row r="1030" customFormat="1" s="26">
      <c r="A1030" s="31" t="n"/>
      <c r="B1030" s="29" t="n"/>
      <c r="C1030" s="30" t="n"/>
      <c r="D1030" s="30" t="n"/>
      <c r="E1030" s="30" t="n"/>
      <c r="F1030" s="31" t="n"/>
      <c r="G1030" s="31" t="n"/>
      <c r="H1030" s="31" t="n"/>
      <c r="I1030" s="31" t="n"/>
    </row>
    <row r="1031" customFormat="1" s="26">
      <c r="A1031" s="31" t="n"/>
      <c r="B1031" s="29" t="n"/>
      <c r="C1031" s="30" t="n"/>
      <c r="D1031" s="30" t="n"/>
      <c r="E1031" s="30" t="n"/>
      <c r="F1031" s="31" t="n"/>
      <c r="G1031" s="31" t="n"/>
      <c r="H1031" s="31" t="n"/>
      <c r="I1031" s="31" t="n"/>
    </row>
    <row r="1032" customFormat="1" s="26">
      <c r="A1032" s="31" t="n"/>
      <c r="B1032" s="29" t="n"/>
      <c r="C1032" s="30" t="n"/>
      <c r="D1032" s="30" t="n"/>
      <c r="E1032" s="30" t="n"/>
      <c r="F1032" s="31" t="n"/>
      <c r="G1032" s="31" t="n"/>
      <c r="H1032" s="31" t="n"/>
      <c r="I1032" s="31" t="n"/>
    </row>
    <row r="1033" customFormat="1" s="26">
      <c r="A1033" s="31" t="n"/>
      <c r="B1033" s="29" t="n"/>
      <c r="C1033" s="30" t="n"/>
      <c r="D1033" s="30" t="n"/>
      <c r="E1033" s="30" t="n"/>
      <c r="F1033" s="31" t="n"/>
      <c r="G1033" s="31" t="n"/>
      <c r="H1033" s="31" t="n"/>
      <c r="I1033" s="31" t="n"/>
    </row>
    <row r="1034" customFormat="1" s="26">
      <c r="A1034" s="31" t="n"/>
      <c r="B1034" s="29" t="n"/>
      <c r="C1034" s="30" t="n"/>
      <c r="D1034" s="30" t="n"/>
      <c r="E1034" s="30" t="n"/>
      <c r="F1034" s="31" t="n"/>
      <c r="G1034" s="31" t="n"/>
      <c r="H1034" s="31" t="n"/>
      <c r="I1034" s="31" t="n"/>
    </row>
    <row r="1035" customFormat="1" s="26">
      <c r="A1035" s="31" t="n"/>
      <c r="B1035" s="29" t="n"/>
      <c r="C1035" s="30" t="n"/>
      <c r="D1035" s="30" t="n"/>
      <c r="E1035" s="30" t="n"/>
      <c r="F1035" s="31" t="n"/>
      <c r="G1035" s="31" t="n"/>
      <c r="H1035" s="31" t="n"/>
      <c r="I1035" s="31" t="n"/>
    </row>
    <row r="1036" customFormat="1" s="26">
      <c r="A1036" s="31" t="n"/>
      <c r="B1036" s="29" t="n"/>
      <c r="C1036" s="30" t="n"/>
      <c r="D1036" s="30" t="n"/>
      <c r="E1036" s="30" t="n"/>
      <c r="F1036" s="31" t="n"/>
      <c r="G1036" s="31" t="n"/>
      <c r="H1036" s="31" t="n"/>
      <c r="I1036" s="31" t="n"/>
    </row>
    <row r="1037" customFormat="1" s="26">
      <c r="A1037" s="31" t="n"/>
      <c r="B1037" s="29" t="n"/>
      <c r="C1037" s="30" t="n"/>
      <c r="D1037" s="30" t="n"/>
      <c r="E1037" s="30" t="n"/>
      <c r="F1037" s="31" t="n"/>
      <c r="G1037" s="31" t="n"/>
      <c r="H1037" s="31" t="n"/>
      <c r="I1037" s="31" t="n"/>
    </row>
    <row r="1038" customFormat="1" s="26">
      <c r="A1038" s="31" t="n"/>
      <c r="B1038" s="29" t="n"/>
      <c r="C1038" s="30" t="n"/>
      <c r="D1038" s="30" t="n"/>
      <c r="E1038" s="30" t="n"/>
      <c r="F1038" s="31" t="n"/>
      <c r="G1038" s="31" t="n"/>
      <c r="H1038" s="31" t="n"/>
      <c r="I1038" s="31" t="n"/>
    </row>
    <row r="1039" customFormat="1" s="26">
      <c r="A1039" s="31" t="n"/>
      <c r="B1039" s="29" t="n"/>
      <c r="C1039" s="30" t="n"/>
      <c r="D1039" s="30" t="n"/>
      <c r="E1039" s="30" t="n"/>
      <c r="F1039" s="31" t="n"/>
      <c r="G1039" s="31" t="n"/>
      <c r="H1039" s="31" t="n"/>
      <c r="I1039" s="31" t="n"/>
    </row>
    <row r="1040" customFormat="1" s="26">
      <c r="A1040" s="31" t="n"/>
      <c r="B1040" s="29" t="n"/>
      <c r="C1040" s="30" t="n"/>
      <c r="D1040" s="30" t="n"/>
      <c r="E1040" s="30" t="n"/>
      <c r="F1040" s="31" t="n"/>
      <c r="G1040" s="31" t="n"/>
      <c r="H1040" s="31" t="n"/>
      <c r="I1040" s="31" t="n"/>
    </row>
    <row r="1041" customFormat="1" s="26">
      <c r="A1041" s="31" t="n"/>
      <c r="B1041" s="29" t="n"/>
      <c r="C1041" s="30" t="n"/>
      <c r="D1041" s="30" t="n"/>
      <c r="E1041" s="30" t="n"/>
      <c r="F1041" s="31" t="n"/>
      <c r="G1041" s="31" t="n"/>
      <c r="H1041" s="31" t="n"/>
      <c r="I1041" s="31" t="n"/>
    </row>
    <row r="1042" customFormat="1" s="26">
      <c r="A1042" s="31" t="n"/>
      <c r="B1042" s="29" t="n"/>
      <c r="C1042" s="30" t="n"/>
      <c r="D1042" s="30" t="n"/>
      <c r="E1042" s="30" t="n"/>
      <c r="F1042" s="31" t="n"/>
      <c r="G1042" s="31" t="n"/>
      <c r="H1042" s="31" t="n"/>
      <c r="I1042" s="31" t="n"/>
    </row>
    <row r="1043" customFormat="1" s="26">
      <c r="A1043" s="31" t="n"/>
      <c r="B1043" s="29" t="n"/>
      <c r="C1043" s="30" t="n"/>
      <c r="D1043" s="30" t="n"/>
      <c r="E1043" s="30" t="n"/>
      <c r="F1043" s="31" t="n"/>
      <c r="G1043" s="31" t="n"/>
      <c r="H1043" s="31" t="n"/>
      <c r="I1043" s="31" t="n"/>
    </row>
    <row r="1044" customFormat="1" s="26">
      <c r="A1044" s="31" t="n"/>
      <c r="B1044" s="29" t="n"/>
      <c r="C1044" s="30" t="n"/>
      <c r="D1044" s="30" t="n"/>
      <c r="E1044" s="30" t="n"/>
      <c r="F1044" s="31" t="n"/>
      <c r="G1044" s="31" t="n"/>
      <c r="H1044" s="31" t="n"/>
      <c r="I1044" s="31" t="n"/>
    </row>
    <row r="1045" customFormat="1" s="26">
      <c r="A1045" s="31" t="n"/>
      <c r="B1045" s="29" t="n"/>
      <c r="C1045" s="30" t="n"/>
      <c r="D1045" s="30" t="n"/>
      <c r="E1045" s="30" t="n"/>
      <c r="F1045" s="31" t="n"/>
      <c r="G1045" s="31" t="n"/>
      <c r="H1045" s="31" t="n"/>
      <c r="I1045" s="31" t="n"/>
    </row>
    <row r="1046" customFormat="1" s="26">
      <c r="A1046" s="31" t="n"/>
      <c r="B1046" s="29" t="n"/>
      <c r="C1046" s="30" t="n"/>
      <c r="D1046" s="30" t="n"/>
      <c r="E1046" s="30" t="n"/>
      <c r="F1046" s="31" t="n"/>
      <c r="G1046" s="31" t="n"/>
      <c r="H1046" s="31" t="n"/>
      <c r="I1046" s="31" t="n"/>
    </row>
    <row r="1047" customFormat="1" s="26">
      <c r="A1047" s="31" t="n"/>
      <c r="B1047" s="29" t="n"/>
      <c r="C1047" s="30" t="n"/>
      <c r="D1047" s="30" t="n"/>
      <c r="E1047" s="30" t="n"/>
      <c r="F1047" s="31" t="n"/>
      <c r="G1047" s="31" t="n"/>
      <c r="H1047" s="31" t="n"/>
      <c r="I1047" s="31" t="n"/>
    </row>
    <row r="1048" customFormat="1" s="26">
      <c r="A1048" s="31" t="n"/>
      <c r="B1048" s="29" t="n"/>
      <c r="C1048" s="30" t="n"/>
      <c r="D1048" s="30" t="n"/>
      <c r="E1048" s="30" t="n"/>
      <c r="F1048" s="31" t="n"/>
      <c r="G1048" s="31" t="n"/>
      <c r="H1048" s="31" t="n"/>
      <c r="I1048" s="31" t="n"/>
    </row>
    <row r="1049" customFormat="1" s="26">
      <c r="A1049" s="31" t="n"/>
      <c r="B1049" s="29" t="n"/>
      <c r="C1049" s="30" t="n"/>
      <c r="D1049" s="30" t="n"/>
      <c r="E1049" s="30" t="n"/>
      <c r="F1049" s="31" t="n"/>
      <c r="G1049" s="31" t="n"/>
      <c r="H1049" s="31" t="n"/>
      <c r="I1049" s="31" t="n"/>
    </row>
    <row r="1050" customFormat="1" s="26">
      <c r="A1050" s="31" t="n"/>
      <c r="B1050" s="29" t="n"/>
      <c r="C1050" s="30" t="n"/>
      <c r="D1050" s="30" t="n"/>
      <c r="E1050" s="30" t="n"/>
      <c r="F1050" s="31" t="n"/>
      <c r="G1050" s="31" t="n"/>
      <c r="H1050" s="31" t="n"/>
      <c r="I1050" s="31" t="n"/>
    </row>
    <row r="1051" customFormat="1" s="26">
      <c r="A1051" s="31" t="n"/>
      <c r="B1051" s="29" t="n"/>
      <c r="C1051" s="30" t="n"/>
      <c r="D1051" s="30" t="n"/>
      <c r="E1051" s="30" t="n"/>
      <c r="F1051" s="31" t="n"/>
      <c r="G1051" s="31" t="n"/>
      <c r="H1051" s="31" t="n"/>
      <c r="I1051" s="31" t="n"/>
    </row>
    <row r="1052" customFormat="1" s="26">
      <c r="A1052" s="31" t="n"/>
      <c r="B1052" s="29" t="n"/>
      <c r="C1052" s="30" t="n"/>
      <c r="D1052" s="30" t="n"/>
      <c r="E1052" s="30" t="n"/>
      <c r="F1052" s="31" t="n"/>
      <c r="G1052" s="31" t="n"/>
      <c r="H1052" s="31" t="n"/>
      <c r="I1052" s="31" t="n"/>
    </row>
    <row r="1053" customFormat="1" s="26">
      <c r="A1053" s="31" t="n"/>
      <c r="B1053" s="29" t="n"/>
      <c r="C1053" s="30" t="n"/>
      <c r="D1053" s="30" t="n"/>
      <c r="E1053" s="30" t="n"/>
      <c r="F1053" s="31" t="n"/>
      <c r="G1053" s="31" t="n"/>
      <c r="H1053" s="31" t="n"/>
      <c r="I1053" s="31" t="n"/>
    </row>
    <row r="1054" customFormat="1" s="26">
      <c r="A1054" s="31" t="n"/>
      <c r="B1054" s="29" t="n"/>
      <c r="C1054" s="30" t="n"/>
      <c r="D1054" s="30" t="n"/>
      <c r="E1054" s="30" t="n"/>
      <c r="F1054" s="31" t="n"/>
      <c r="G1054" s="31" t="n"/>
      <c r="H1054" s="31" t="n"/>
      <c r="I1054" s="31" t="n"/>
    </row>
    <row r="1055" customFormat="1" s="26">
      <c r="A1055" s="31" t="n"/>
      <c r="B1055" s="29" t="n"/>
      <c r="C1055" s="30" t="n"/>
      <c r="D1055" s="30" t="n"/>
      <c r="E1055" s="30" t="n"/>
      <c r="F1055" s="31" t="n"/>
      <c r="G1055" s="31" t="n"/>
      <c r="H1055" s="31" t="n"/>
      <c r="I1055" s="31" t="n"/>
    </row>
    <row r="1056" customFormat="1" s="26">
      <c r="A1056" s="31" t="n"/>
      <c r="B1056" s="29" t="n"/>
      <c r="C1056" s="30" t="n"/>
      <c r="D1056" s="30" t="n"/>
      <c r="E1056" s="30" t="n"/>
      <c r="F1056" s="31" t="n"/>
      <c r="G1056" s="31" t="n"/>
      <c r="H1056" s="31" t="n"/>
      <c r="I1056" s="31" t="n"/>
    </row>
    <row r="1057" customFormat="1" s="26">
      <c r="A1057" s="31" t="n"/>
      <c r="B1057" s="29" t="n"/>
      <c r="C1057" s="30" t="n"/>
      <c r="D1057" s="30" t="n"/>
      <c r="E1057" s="30" t="n"/>
      <c r="F1057" s="31" t="n"/>
      <c r="G1057" s="31" t="n"/>
      <c r="H1057" s="31" t="n"/>
      <c r="I1057" s="31" t="n"/>
    </row>
    <row r="1058" customFormat="1" s="26">
      <c r="A1058" s="31" t="n"/>
      <c r="B1058" s="29" t="n"/>
      <c r="C1058" s="30" t="n"/>
      <c r="D1058" s="30" t="n"/>
      <c r="E1058" s="30" t="n"/>
      <c r="F1058" s="31" t="n"/>
      <c r="G1058" s="31" t="n"/>
      <c r="H1058" s="31" t="n"/>
      <c r="I1058" s="31" t="n"/>
    </row>
    <row r="1059" customFormat="1" s="26">
      <c r="A1059" s="31" t="n"/>
      <c r="B1059" s="29" t="n"/>
      <c r="C1059" s="30" t="n"/>
      <c r="D1059" s="30" t="n"/>
      <c r="E1059" s="30" t="n"/>
      <c r="F1059" s="31" t="n"/>
      <c r="G1059" s="31" t="n"/>
      <c r="H1059" s="31" t="n"/>
      <c r="I1059" s="31" t="n"/>
    </row>
    <row r="1060" customFormat="1" s="26">
      <c r="A1060" s="31" t="n"/>
      <c r="B1060" s="29" t="n"/>
      <c r="C1060" s="30" t="n"/>
      <c r="D1060" s="30" t="n"/>
      <c r="E1060" s="30" t="n"/>
      <c r="F1060" s="31" t="n"/>
      <c r="G1060" s="31" t="n"/>
      <c r="H1060" s="31" t="n"/>
      <c r="I1060" s="31" t="n"/>
    </row>
    <row r="1061" customFormat="1" s="26">
      <c r="A1061" s="31" t="n"/>
      <c r="B1061" s="29" t="n"/>
      <c r="C1061" s="30" t="n"/>
      <c r="D1061" s="30" t="n"/>
      <c r="E1061" s="30" t="n"/>
      <c r="F1061" s="31" t="n"/>
      <c r="G1061" s="31" t="n"/>
      <c r="H1061" s="31" t="n"/>
      <c r="I1061" s="31" t="n"/>
    </row>
    <row r="1062" customFormat="1" s="26">
      <c r="A1062" s="31" t="n"/>
      <c r="B1062" s="29" t="n"/>
      <c r="C1062" s="30" t="n"/>
      <c r="D1062" s="30" t="n"/>
      <c r="E1062" s="30" t="n"/>
      <c r="F1062" s="31" t="n"/>
      <c r="G1062" s="31" t="n"/>
      <c r="H1062" s="31" t="n"/>
      <c r="I1062" s="31" t="n"/>
    </row>
    <row r="1063" customFormat="1" s="26">
      <c r="A1063" s="31" t="n"/>
      <c r="B1063" s="29" t="n"/>
      <c r="C1063" s="30" t="n"/>
      <c r="D1063" s="30" t="n"/>
      <c r="E1063" s="30" t="n"/>
      <c r="F1063" s="31" t="n"/>
      <c r="G1063" s="31" t="n"/>
      <c r="H1063" s="31" t="n"/>
      <c r="I1063" s="31" t="n"/>
    </row>
    <row r="1064" customFormat="1" s="26">
      <c r="A1064" s="31" t="n"/>
      <c r="B1064" s="29" t="n"/>
      <c r="C1064" s="30" t="n"/>
      <c r="D1064" s="30" t="n"/>
      <c r="E1064" s="30" t="n"/>
      <c r="F1064" s="31" t="n"/>
      <c r="G1064" s="31" t="n"/>
      <c r="H1064" s="31" t="n"/>
      <c r="I1064" s="31" t="n"/>
    </row>
    <row r="1065" customFormat="1" s="26">
      <c r="A1065" s="31" t="n"/>
      <c r="B1065" s="29" t="n"/>
      <c r="C1065" s="30" t="n"/>
      <c r="D1065" s="30" t="n"/>
      <c r="E1065" s="30" t="n"/>
      <c r="F1065" s="31" t="n"/>
      <c r="G1065" s="31" t="n"/>
      <c r="H1065" s="31" t="n"/>
      <c r="I1065" s="31" t="n"/>
    </row>
    <row r="1066" customFormat="1" s="26">
      <c r="A1066" s="31" t="n"/>
      <c r="B1066" s="29" t="n"/>
      <c r="C1066" s="30" t="n"/>
      <c r="D1066" s="30" t="n"/>
      <c r="E1066" s="30" t="n"/>
      <c r="F1066" s="31" t="n"/>
      <c r="G1066" s="31" t="n"/>
      <c r="H1066" s="31" t="n"/>
      <c r="I1066" s="31" t="n"/>
    </row>
    <row r="1067" customFormat="1" s="26">
      <c r="A1067" s="31" t="n"/>
      <c r="B1067" s="29" t="n"/>
      <c r="C1067" s="30" t="n"/>
      <c r="D1067" s="30" t="n"/>
      <c r="E1067" s="30" t="n"/>
      <c r="F1067" s="31" t="n"/>
      <c r="G1067" s="31" t="n"/>
      <c r="H1067" s="31" t="n"/>
      <c r="I1067" s="31" t="n"/>
    </row>
    <row r="1068" customFormat="1" s="26">
      <c r="A1068" s="31" t="n"/>
      <c r="B1068" s="29" t="n"/>
      <c r="C1068" s="30" t="n"/>
      <c r="D1068" s="30" t="n"/>
      <c r="E1068" s="30" t="n"/>
      <c r="F1068" s="31" t="n"/>
      <c r="G1068" s="31" t="n"/>
      <c r="H1068" s="31" t="n"/>
      <c r="I1068" s="31" t="n"/>
    </row>
    <row r="1069" customFormat="1" s="26">
      <c r="A1069" s="31" t="n"/>
      <c r="B1069" s="29" t="n"/>
      <c r="C1069" s="30" t="n"/>
      <c r="D1069" s="30" t="n"/>
      <c r="E1069" s="30" t="n"/>
      <c r="F1069" s="31" t="n"/>
      <c r="G1069" s="31" t="n"/>
      <c r="H1069" s="31" t="n"/>
      <c r="I1069" s="31" t="n"/>
    </row>
    <row r="1070" customFormat="1" s="26">
      <c r="A1070" s="31" t="n"/>
      <c r="B1070" s="29" t="n"/>
      <c r="C1070" s="30" t="n"/>
      <c r="D1070" s="30" t="n"/>
      <c r="E1070" s="30" t="n"/>
      <c r="F1070" s="31" t="n"/>
      <c r="G1070" s="31" t="n"/>
      <c r="H1070" s="31" t="n"/>
      <c r="I1070" s="31" t="n"/>
    </row>
    <row r="1071" customFormat="1" s="26">
      <c r="A1071" s="31" t="n"/>
      <c r="B1071" s="29" t="n"/>
      <c r="C1071" s="30" t="n"/>
      <c r="D1071" s="30" t="n"/>
      <c r="E1071" s="30" t="n"/>
      <c r="F1071" s="31" t="n"/>
      <c r="G1071" s="31" t="n"/>
      <c r="H1071" s="31" t="n"/>
      <c r="I1071" s="31" t="n"/>
    </row>
    <row r="1072" customFormat="1" s="26">
      <c r="A1072" s="31" t="n"/>
      <c r="B1072" s="29" t="n"/>
      <c r="C1072" s="30" t="n"/>
      <c r="D1072" s="30" t="n"/>
      <c r="E1072" s="30" t="n"/>
      <c r="F1072" s="31" t="n"/>
      <c r="G1072" s="31" t="n"/>
      <c r="H1072" s="31" t="n"/>
      <c r="I1072" s="31" t="n"/>
    </row>
    <row r="1073" customFormat="1" s="26">
      <c r="A1073" s="31" t="n"/>
      <c r="B1073" s="29" t="n"/>
      <c r="C1073" s="30" t="n"/>
      <c r="D1073" s="30" t="n"/>
      <c r="E1073" s="30" t="n"/>
      <c r="F1073" s="31" t="n"/>
      <c r="G1073" s="31" t="n"/>
      <c r="H1073" s="31" t="n"/>
      <c r="I1073" s="31" t="n"/>
    </row>
    <row r="1074" customFormat="1" s="26">
      <c r="A1074" s="31" t="n"/>
      <c r="B1074" s="29" t="n"/>
      <c r="C1074" s="30" t="n"/>
      <c r="D1074" s="30" t="n"/>
      <c r="E1074" s="30" t="n"/>
      <c r="F1074" s="31" t="n"/>
      <c r="G1074" s="31" t="n"/>
      <c r="H1074" s="31" t="n"/>
      <c r="I1074" s="31" t="n"/>
    </row>
    <row r="1075" customFormat="1" s="26">
      <c r="A1075" s="31" t="n"/>
      <c r="B1075" s="29" t="n"/>
      <c r="C1075" s="30" t="n"/>
      <c r="D1075" s="30" t="n"/>
      <c r="E1075" s="30" t="n"/>
      <c r="F1075" s="31" t="n"/>
      <c r="G1075" s="31" t="n"/>
      <c r="H1075" s="31" t="n"/>
      <c r="I1075" s="31" t="n"/>
    </row>
    <row r="1076" customFormat="1" s="26">
      <c r="A1076" s="31" t="n"/>
      <c r="B1076" s="29" t="n"/>
      <c r="C1076" s="30" t="n"/>
      <c r="D1076" s="30" t="n"/>
      <c r="E1076" s="30" t="n"/>
      <c r="F1076" s="31" t="n"/>
      <c r="G1076" s="31" t="n"/>
      <c r="H1076" s="31" t="n"/>
      <c r="I1076" s="31" t="n"/>
    </row>
    <row r="1077" customFormat="1" s="26">
      <c r="A1077" s="31" t="n"/>
      <c r="B1077" s="29" t="n"/>
      <c r="C1077" s="30" t="n"/>
      <c r="D1077" s="30" t="n"/>
      <c r="E1077" s="30" t="n"/>
      <c r="F1077" s="31" t="n"/>
      <c r="G1077" s="31" t="n"/>
      <c r="H1077" s="31" t="n"/>
      <c r="I1077" s="31" t="n"/>
    </row>
    <row r="1078" customFormat="1" s="26">
      <c r="A1078" s="31" t="n"/>
      <c r="B1078" s="29" t="n"/>
      <c r="C1078" s="30" t="n"/>
      <c r="D1078" s="30" t="n"/>
      <c r="E1078" s="30" t="n"/>
      <c r="F1078" s="31" t="n"/>
      <c r="G1078" s="31" t="n"/>
      <c r="H1078" s="31" t="n"/>
      <c r="I1078" s="31" t="n"/>
    </row>
    <row r="1079" customFormat="1" s="26">
      <c r="A1079" s="31" t="n"/>
      <c r="B1079" s="29" t="n"/>
      <c r="C1079" s="30" t="n"/>
      <c r="D1079" s="30" t="n"/>
      <c r="E1079" s="30" t="n"/>
      <c r="F1079" s="31" t="n"/>
      <c r="G1079" s="31" t="n"/>
      <c r="H1079" s="31" t="n"/>
      <c r="I1079" s="31" t="n"/>
    </row>
    <row r="1080" customFormat="1" s="26">
      <c r="A1080" s="31" t="n"/>
      <c r="B1080" s="29" t="n"/>
      <c r="C1080" s="30" t="n"/>
      <c r="D1080" s="30" t="n"/>
      <c r="E1080" s="30" t="n"/>
      <c r="F1080" s="31" t="n"/>
      <c r="G1080" s="31" t="n"/>
      <c r="H1080" s="31" t="n"/>
      <c r="I1080" s="31" t="n"/>
    </row>
    <row r="1081" customFormat="1" s="26">
      <c r="A1081" s="31" t="n"/>
      <c r="B1081" s="29" t="n"/>
      <c r="C1081" s="30" t="n"/>
      <c r="D1081" s="30" t="n"/>
      <c r="E1081" s="30" t="n"/>
      <c r="F1081" s="31" t="n"/>
      <c r="G1081" s="31" t="n"/>
      <c r="H1081" s="31" t="n"/>
      <c r="I1081" s="31" t="n"/>
    </row>
    <row r="1082" customFormat="1" s="26">
      <c r="A1082" s="31" t="n"/>
      <c r="B1082" s="29" t="n"/>
      <c r="C1082" s="30" t="n"/>
      <c r="D1082" s="30" t="n"/>
      <c r="E1082" s="30" t="n"/>
      <c r="F1082" s="31" t="n"/>
      <c r="G1082" s="31" t="n"/>
      <c r="H1082" s="31" t="n"/>
      <c r="I1082" s="31" t="n"/>
    </row>
    <row r="1083" customFormat="1" s="26">
      <c r="A1083" s="31" t="n"/>
      <c r="B1083" s="29" t="n"/>
      <c r="C1083" s="30" t="n"/>
      <c r="D1083" s="30" t="n"/>
      <c r="E1083" s="30" t="n"/>
      <c r="F1083" s="31" t="n"/>
      <c r="G1083" s="31" t="n"/>
      <c r="H1083" s="31" t="n"/>
      <c r="I1083" s="31" t="n"/>
    </row>
    <row r="1084" customFormat="1" s="26">
      <c r="A1084" s="31" t="n"/>
      <c r="B1084" s="29" t="n"/>
      <c r="C1084" s="30" t="n"/>
      <c r="D1084" s="30" t="n"/>
      <c r="E1084" s="30" t="n"/>
      <c r="F1084" s="31" t="n"/>
      <c r="G1084" s="31" t="n"/>
      <c r="H1084" s="31" t="n"/>
      <c r="I1084" s="31" t="n"/>
    </row>
    <row r="1085" customFormat="1" s="26">
      <c r="A1085" s="31" t="n"/>
      <c r="B1085" s="29" t="n"/>
      <c r="C1085" s="30" t="n"/>
      <c r="D1085" s="30" t="n"/>
      <c r="E1085" s="30" t="n"/>
      <c r="F1085" s="31" t="n"/>
      <c r="G1085" s="31" t="n"/>
      <c r="H1085" s="31" t="n"/>
      <c r="I1085" s="31" t="n"/>
    </row>
    <row r="1086" customFormat="1" s="26">
      <c r="A1086" s="31" t="n"/>
      <c r="B1086" s="29" t="n"/>
      <c r="C1086" s="30" t="n"/>
      <c r="D1086" s="30" t="n"/>
      <c r="E1086" s="30" t="n"/>
      <c r="F1086" s="31" t="n"/>
      <c r="G1086" s="31" t="n"/>
      <c r="H1086" s="31" t="n"/>
      <c r="I1086" s="31" t="n"/>
    </row>
    <row r="1087" customFormat="1" s="26">
      <c r="A1087" s="31" t="n"/>
      <c r="B1087" s="29" t="n"/>
      <c r="C1087" s="30" t="n"/>
      <c r="D1087" s="30" t="n"/>
      <c r="E1087" s="30" t="n"/>
      <c r="F1087" s="31" t="n"/>
      <c r="G1087" s="31" t="n"/>
      <c r="H1087" s="31" t="n"/>
      <c r="I1087" s="31" t="n"/>
    </row>
    <row r="1088" customFormat="1" s="26">
      <c r="A1088" s="31" t="n"/>
      <c r="B1088" s="29" t="n"/>
      <c r="C1088" s="30" t="n"/>
      <c r="D1088" s="30" t="n"/>
      <c r="E1088" s="30" t="n"/>
      <c r="F1088" s="31" t="n"/>
      <c r="G1088" s="31" t="n"/>
      <c r="H1088" s="31" t="n"/>
      <c r="I1088" s="31" t="n"/>
    </row>
    <row r="1089" customFormat="1" s="26">
      <c r="A1089" s="31" t="n"/>
      <c r="B1089" s="29" t="n"/>
      <c r="C1089" s="30" t="n"/>
      <c r="D1089" s="30" t="n"/>
      <c r="E1089" s="30" t="n"/>
      <c r="F1089" s="31" t="n"/>
      <c r="G1089" s="31" t="n"/>
      <c r="H1089" s="31" t="n"/>
      <c r="I1089" s="31" t="n"/>
    </row>
    <row r="1090" customFormat="1" s="26">
      <c r="A1090" s="31" t="n"/>
      <c r="B1090" s="29" t="n"/>
      <c r="C1090" s="30" t="n"/>
      <c r="D1090" s="30" t="n"/>
      <c r="E1090" s="30" t="n"/>
      <c r="F1090" s="31" t="n"/>
      <c r="G1090" s="31" t="n"/>
      <c r="H1090" s="31" t="n"/>
      <c r="I1090" s="31" t="n"/>
    </row>
    <row r="1091" customFormat="1" s="26">
      <c r="A1091" s="31" t="n"/>
      <c r="B1091" s="29" t="n"/>
      <c r="C1091" s="30" t="n"/>
      <c r="D1091" s="30" t="n"/>
      <c r="E1091" s="30" t="n"/>
      <c r="F1091" s="31" t="n"/>
      <c r="G1091" s="31" t="n"/>
      <c r="H1091" s="31" t="n"/>
      <c r="I1091" s="31" t="n"/>
    </row>
    <row r="1092" customFormat="1" s="26">
      <c r="A1092" s="31" t="n"/>
      <c r="B1092" s="29" t="n"/>
      <c r="C1092" s="30" t="n"/>
      <c r="D1092" s="30" t="n"/>
      <c r="E1092" s="30" t="n"/>
      <c r="F1092" s="31" t="n"/>
      <c r="G1092" s="31" t="n"/>
      <c r="H1092" s="31" t="n"/>
      <c r="I1092" s="31" t="n"/>
    </row>
    <row r="1093" customFormat="1" s="26">
      <c r="A1093" s="31" t="n"/>
      <c r="B1093" s="29" t="n"/>
      <c r="C1093" s="30" t="n"/>
      <c r="D1093" s="30" t="n"/>
      <c r="E1093" s="30" t="n"/>
      <c r="F1093" s="31" t="n"/>
      <c r="G1093" s="31" t="n"/>
      <c r="H1093" s="31" t="n"/>
      <c r="I1093" s="31" t="n"/>
    </row>
    <row r="1094" customFormat="1" s="26">
      <c r="A1094" s="31" t="n"/>
      <c r="B1094" s="29" t="n"/>
      <c r="C1094" s="30" t="n"/>
      <c r="D1094" s="30" t="n"/>
      <c r="E1094" s="30" t="n"/>
      <c r="F1094" s="31" t="n"/>
      <c r="G1094" s="31" t="n"/>
      <c r="H1094" s="31" t="n"/>
      <c r="I1094" s="31" t="n"/>
    </row>
    <row r="1095" customFormat="1" s="26">
      <c r="A1095" s="31" t="n"/>
      <c r="B1095" s="29" t="n"/>
      <c r="C1095" s="30" t="n"/>
      <c r="D1095" s="30" t="n"/>
      <c r="E1095" s="30" t="n"/>
      <c r="F1095" s="31" t="n"/>
      <c r="G1095" s="31" t="n"/>
      <c r="H1095" s="31" t="n"/>
      <c r="I1095" s="31" t="n"/>
    </row>
    <row r="1096" customFormat="1" s="26">
      <c r="A1096" s="31" t="n"/>
      <c r="B1096" s="29" t="n"/>
      <c r="C1096" s="30" t="n"/>
      <c r="D1096" s="30" t="n"/>
      <c r="E1096" s="30" t="n"/>
      <c r="F1096" s="31" t="n"/>
      <c r="G1096" s="31" t="n"/>
      <c r="H1096" s="31" t="n"/>
      <c r="I1096" s="31" t="n"/>
    </row>
    <row r="1097" customFormat="1" s="26">
      <c r="A1097" s="31" t="n"/>
      <c r="B1097" s="29" t="n"/>
      <c r="C1097" s="30" t="n"/>
      <c r="D1097" s="30" t="n"/>
      <c r="E1097" s="30" t="n"/>
      <c r="F1097" s="31" t="n"/>
      <c r="G1097" s="31" t="n"/>
      <c r="H1097" s="31" t="n"/>
      <c r="I1097" s="31" t="n"/>
    </row>
    <row r="1098" customFormat="1" s="26">
      <c r="A1098" s="31" t="n"/>
      <c r="B1098" s="29" t="n"/>
      <c r="C1098" s="30" t="n"/>
      <c r="D1098" s="30" t="n"/>
      <c r="E1098" s="30" t="n"/>
      <c r="F1098" s="31" t="n"/>
      <c r="G1098" s="31" t="n"/>
      <c r="H1098" s="31" t="n"/>
      <c r="I1098" s="31" t="n"/>
    </row>
    <row r="1099" customFormat="1" s="26">
      <c r="A1099" s="31" t="n"/>
      <c r="B1099" s="29" t="n"/>
      <c r="C1099" s="30" t="n"/>
      <c r="D1099" s="30" t="n"/>
      <c r="E1099" s="30" t="n"/>
      <c r="F1099" s="31" t="n"/>
      <c r="G1099" s="31" t="n"/>
      <c r="H1099" s="31" t="n"/>
      <c r="I1099" s="31" t="n"/>
    </row>
    <row r="1100" customFormat="1" s="26">
      <c r="A1100" s="31" t="n"/>
      <c r="B1100" s="29" t="n"/>
      <c r="C1100" s="30" t="n"/>
      <c r="D1100" s="30" t="n"/>
      <c r="E1100" s="30" t="n"/>
      <c r="F1100" s="31" t="n"/>
      <c r="G1100" s="31" t="n"/>
      <c r="H1100" s="31" t="n"/>
      <c r="I1100" s="31" t="n"/>
    </row>
    <row r="1101" customFormat="1" s="26">
      <c r="A1101" s="31" t="n"/>
      <c r="B1101" s="29" t="n"/>
      <c r="C1101" s="30" t="n"/>
      <c r="D1101" s="30" t="n"/>
      <c r="E1101" s="30" t="n"/>
      <c r="F1101" s="31" t="n"/>
      <c r="G1101" s="31" t="n"/>
      <c r="H1101" s="31" t="n"/>
      <c r="I1101" s="31" t="n"/>
    </row>
    <row r="1102" customFormat="1" s="26">
      <c r="A1102" s="31" t="n"/>
      <c r="B1102" s="29" t="n"/>
      <c r="C1102" s="30" t="n"/>
      <c r="D1102" s="30" t="n"/>
      <c r="E1102" s="30" t="n"/>
      <c r="F1102" s="31" t="n"/>
      <c r="G1102" s="31" t="n"/>
      <c r="H1102" s="31" t="n"/>
      <c r="I1102" s="31" t="n"/>
    </row>
    <row r="1103" customFormat="1" s="26">
      <c r="A1103" s="31" t="n"/>
      <c r="B1103" s="29" t="n"/>
      <c r="C1103" s="30" t="n"/>
      <c r="D1103" s="30" t="n"/>
      <c r="E1103" s="30" t="n"/>
      <c r="F1103" s="31" t="n"/>
      <c r="G1103" s="31" t="n"/>
      <c r="H1103" s="31" t="n"/>
      <c r="I1103" s="31" t="n"/>
    </row>
    <row r="1104" customFormat="1" s="26">
      <c r="A1104" s="31" t="n"/>
      <c r="B1104" s="29" t="n"/>
      <c r="C1104" s="30" t="n"/>
      <c r="D1104" s="30" t="n"/>
      <c r="E1104" s="30" t="n"/>
      <c r="F1104" s="31" t="n"/>
      <c r="G1104" s="31" t="n"/>
      <c r="H1104" s="31" t="n"/>
      <c r="I1104" s="31" t="n"/>
    </row>
    <row r="1105" customFormat="1" s="26">
      <c r="A1105" s="31" t="n"/>
      <c r="B1105" s="29" t="n"/>
      <c r="C1105" s="30" t="n"/>
      <c r="D1105" s="30" t="n"/>
      <c r="E1105" s="30" t="n"/>
      <c r="F1105" s="31" t="n"/>
      <c r="G1105" s="31" t="n"/>
      <c r="H1105" s="31" t="n"/>
      <c r="I1105" s="31" t="n"/>
    </row>
    <row r="1106" customFormat="1" s="26">
      <c r="A1106" s="31" t="n"/>
      <c r="B1106" s="29" t="n"/>
      <c r="C1106" s="30" t="n"/>
      <c r="D1106" s="30" t="n"/>
      <c r="E1106" s="30" t="n"/>
      <c r="F1106" s="31" t="n"/>
      <c r="G1106" s="31" t="n"/>
      <c r="H1106" s="31" t="n"/>
      <c r="I1106" s="31" t="n"/>
    </row>
    <row r="1107" customFormat="1" s="26">
      <c r="A1107" s="31" t="n"/>
      <c r="B1107" s="29" t="n"/>
      <c r="C1107" s="30" t="n"/>
      <c r="D1107" s="30" t="n"/>
      <c r="E1107" s="30" t="n"/>
      <c r="F1107" s="31" t="n"/>
      <c r="G1107" s="31" t="n"/>
      <c r="H1107" s="31" t="n"/>
      <c r="I1107" s="31" t="n"/>
    </row>
    <row r="1108" customFormat="1" s="26">
      <c r="A1108" s="31" t="n"/>
      <c r="B1108" s="29" t="n"/>
      <c r="C1108" s="30" t="n"/>
      <c r="D1108" s="30" t="n"/>
      <c r="E1108" s="30" t="n"/>
      <c r="F1108" s="31" t="n"/>
      <c r="G1108" s="31" t="n"/>
      <c r="H1108" s="31" t="n"/>
      <c r="I1108" s="31" t="n"/>
    </row>
    <row r="1109" customFormat="1" s="26">
      <c r="A1109" s="31" t="n"/>
      <c r="B1109" s="29" t="n"/>
      <c r="C1109" s="30" t="n"/>
      <c r="D1109" s="30" t="n"/>
      <c r="E1109" s="30" t="n"/>
      <c r="F1109" s="31" t="n"/>
      <c r="G1109" s="31" t="n"/>
      <c r="H1109" s="31" t="n"/>
      <c r="I1109" s="31" t="n"/>
    </row>
    <row r="1110" customFormat="1" s="26">
      <c r="A1110" s="31" t="n"/>
      <c r="B1110" s="29" t="n"/>
      <c r="C1110" s="30" t="n"/>
      <c r="D1110" s="30" t="n"/>
      <c r="E1110" s="30" t="n"/>
      <c r="F1110" s="31" t="n"/>
      <c r="G1110" s="31" t="n"/>
      <c r="H1110" s="31" t="n"/>
      <c r="I1110" s="31" t="n"/>
    </row>
    <row r="1111" customFormat="1" s="26">
      <c r="A1111" s="31" t="n"/>
      <c r="B1111" s="29" t="n"/>
      <c r="C1111" s="30" t="n"/>
      <c r="D1111" s="30" t="n"/>
      <c r="E1111" s="30" t="n"/>
      <c r="F1111" s="31" t="n"/>
      <c r="G1111" s="31" t="n"/>
      <c r="H1111" s="31" t="n"/>
      <c r="I1111" s="31" t="n"/>
    </row>
    <row r="1112" customFormat="1" s="26">
      <c r="A1112" s="31" t="n"/>
      <c r="B1112" s="29" t="n"/>
      <c r="C1112" s="30" t="n"/>
      <c r="D1112" s="30" t="n"/>
      <c r="E1112" s="30" t="n"/>
      <c r="F1112" s="31" t="n"/>
      <c r="G1112" s="31" t="n"/>
      <c r="H1112" s="31" t="n"/>
      <c r="I1112" s="31" t="n"/>
    </row>
    <row r="1113" customFormat="1" s="26">
      <c r="A1113" s="31" t="n"/>
      <c r="B1113" s="29" t="n"/>
      <c r="C1113" s="30" t="n"/>
      <c r="D1113" s="30" t="n"/>
      <c r="E1113" s="30" t="n"/>
      <c r="F1113" s="31" t="n"/>
      <c r="G1113" s="31" t="n"/>
      <c r="H1113" s="31" t="n"/>
      <c r="I1113" s="31" t="n"/>
    </row>
    <row r="1114" customFormat="1" s="26">
      <c r="A1114" s="31" t="n"/>
      <c r="B1114" s="29" t="n"/>
      <c r="C1114" s="30" t="n"/>
      <c r="D1114" s="30" t="n"/>
      <c r="E1114" s="30" t="n"/>
      <c r="F1114" s="31" t="n"/>
      <c r="G1114" s="31" t="n"/>
      <c r="H1114" s="31" t="n"/>
      <c r="I1114" s="31" t="n"/>
    </row>
    <row r="1115" customFormat="1" s="26">
      <c r="A1115" s="31" t="n"/>
      <c r="B1115" s="29" t="n"/>
      <c r="C1115" s="30" t="n"/>
      <c r="D1115" s="30" t="n"/>
      <c r="E1115" s="30" t="n"/>
      <c r="F1115" s="31" t="n"/>
      <c r="G1115" s="31" t="n"/>
      <c r="H1115" s="31" t="n"/>
      <c r="I1115" s="31" t="n"/>
    </row>
    <row r="1116" customFormat="1" s="26">
      <c r="A1116" s="31" t="n"/>
      <c r="B1116" s="29" t="n"/>
      <c r="C1116" s="30" t="n"/>
      <c r="D1116" s="30" t="n"/>
      <c r="E1116" s="30" t="n"/>
      <c r="F1116" s="31" t="n"/>
      <c r="G1116" s="31" t="n"/>
      <c r="H1116" s="31" t="n"/>
      <c r="I1116" s="31" t="n"/>
    </row>
    <row r="1117" customFormat="1" s="26">
      <c r="A1117" s="31" t="n"/>
      <c r="B1117" s="29" t="n"/>
      <c r="C1117" s="30" t="n"/>
      <c r="D1117" s="30" t="n"/>
      <c r="E1117" s="30" t="n"/>
      <c r="F1117" s="31" t="n"/>
      <c r="G1117" s="31" t="n"/>
      <c r="H1117" s="31" t="n"/>
      <c r="I1117" s="31" t="n"/>
    </row>
    <row r="1118" customFormat="1" s="26">
      <c r="A1118" s="31" t="n"/>
      <c r="B1118" s="29" t="n"/>
      <c r="C1118" s="30" t="n"/>
      <c r="D1118" s="30" t="n"/>
      <c r="E1118" s="30" t="n"/>
      <c r="F1118" s="31" t="n"/>
      <c r="G1118" s="31" t="n"/>
      <c r="H1118" s="31" t="n"/>
      <c r="I1118" s="31" t="n"/>
    </row>
    <row r="1119" customFormat="1" s="26">
      <c r="A1119" s="31" t="n"/>
      <c r="B1119" s="29" t="n"/>
      <c r="C1119" s="30" t="n"/>
      <c r="D1119" s="30" t="n"/>
      <c r="E1119" s="30" t="n"/>
      <c r="F1119" s="31" t="n"/>
      <c r="G1119" s="31" t="n"/>
      <c r="H1119" s="31" t="n"/>
      <c r="I1119" s="31" t="n"/>
    </row>
    <row r="1120" customFormat="1" s="26">
      <c r="A1120" s="31" t="n"/>
      <c r="B1120" s="29" t="n"/>
      <c r="C1120" s="30" t="n"/>
      <c r="D1120" s="30" t="n"/>
      <c r="E1120" s="30" t="n"/>
      <c r="F1120" s="31" t="n"/>
      <c r="G1120" s="31" t="n"/>
      <c r="H1120" s="31" t="n"/>
      <c r="I1120" s="31" t="n"/>
    </row>
    <row r="1121" customFormat="1" s="26">
      <c r="A1121" s="31" t="n"/>
      <c r="B1121" s="29" t="n"/>
      <c r="C1121" s="30" t="n"/>
      <c r="D1121" s="30" t="n"/>
      <c r="E1121" s="30" t="n"/>
      <c r="F1121" s="31" t="n"/>
      <c r="G1121" s="31" t="n"/>
      <c r="H1121" s="31" t="n"/>
      <c r="I1121" s="31" t="n"/>
    </row>
    <row r="1122" customFormat="1" s="26">
      <c r="A1122" s="31" t="n"/>
      <c r="B1122" s="29" t="n"/>
      <c r="C1122" s="30" t="n"/>
      <c r="D1122" s="30" t="n"/>
      <c r="E1122" s="30" t="n"/>
      <c r="F1122" s="31" t="n"/>
      <c r="G1122" s="31" t="n"/>
      <c r="H1122" s="31" t="n"/>
      <c r="I1122" s="31" t="n"/>
    </row>
    <row r="1123" customFormat="1" s="26">
      <c r="A1123" s="31" t="n"/>
      <c r="B1123" s="29" t="n"/>
      <c r="C1123" s="30" t="n"/>
      <c r="D1123" s="30" t="n"/>
      <c r="E1123" s="30" t="n"/>
      <c r="F1123" s="31" t="n"/>
      <c r="G1123" s="31" t="n"/>
      <c r="H1123" s="31" t="n"/>
      <c r="I1123" s="31" t="n"/>
    </row>
    <row r="1124" customFormat="1" s="26">
      <c r="A1124" s="31" t="n"/>
      <c r="B1124" s="29" t="n"/>
      <c r="C1124" s="30" t="n"/>
      <c r="D1124" s="30" t="n"/>
      <c r="E1124" s="30" t="n"/>
      <c r="F1124" s="31" t="n"/>
      <c r="G1124" s="31" t="n"/>
      <c r="H1124" s="31" t="n"/>
      <c r="I1124" s="31" t="n"/>
    </row>
    <row r="1125" customFormat="1" s="26">
      <c r="A1125" s="31" t="n"/>
      <c r="B1125" s="29" t="n"/>
      <c r="C1125" s="30" t="n"/>
      <c r="D1125" s="30" t="n"/>
      <c r="E1125" s="30" t="n"/>
      <c r="F1125" s="31" t="n"/>
      <c r="G1125" s="31" t="n"/>
      <c r="H1125" s="31" t="n"/>
      <c r="I1125" s="31" t="n"/>
    </row>
    <row r="1126" customFormat="1" s="26">
      <c r="A1126" s="31" t="n"/>
      <c r="B1126" s="29" t="n"/>
      <c r="C1126" s="30" t="n"/>
      <c r="D1126" s="30" t="n"/>
      <c r="E1126" s="30" t="n"/>
      <c r="F1126" s="31" t="n"/>
      <c r="G1126" s="31" t="n"/>
      <c r="H1126" s="31" t="n"/>
      <c r="I1126" s="31" t="n"/>
    </row>
    <row r="1127" customFormat="1" s="26">
      <c r="A1127" s="31" t="n"/>
      <c r="B1127" s="29" t="n"/>
      <c r="C1127" s="30" t="n"/>
      <c r="D1127" s="30" t="n"/>
      <c r="E1127" s="30" t="n"/>
      <c r="F1127" s="31" t="n"/>
      <c r="G1127" s="31" t="n"/>
      <c r="H1127" s="31" t="n"/>
      <c r="I1127" s="31" t="n"/>
    </row>
    <row r="1128" customFormat="1" s="26">
      <c r="A1128" s="31" t="n"/>
      <c r="B1128" s="29" t="n"/>
      <c r="C1128" s="30" t="n"/>
      <c r="D1128" s="30" t="n"/>
      <c r="E1128" s="30" t="n"/>
      <c r="F1128" s="31" t="n"/>
      <c r="G1128" s="31" t="n"/>
      <c r="H1128" s="31" t="n"/>
      <c r="I1128" s="31" t="n"/>
    </row>
    <row r="1129" customFormat="1" s="26">
      <c r="A1129" s="31" t="n"/>
      <c r="B1129" s="29" t="n"/>
      <c r="C1129" s="30" t="n"/>
      <c r="D1129" s="30" t="n"/>
      <c r="E1129" s="30" t="n"/>
      <c r="F1129" s="31" t="n"/>
      <c r="G1129" s="31" t="n"/>
      <c r="H1129" s="31" t="n"/>
      <c r="I1129" s="31" t="n"/>
    </row>
    <row r="1130" customFormat="1" s="26">
      <c r="A1130" s="31" t="n"/>
      <c r="B1130" s="29" t="n"/>
      <c r="C1130" s="30" t="n"/>
      <c r="D1130" s="30" t="n"/>
      <c r="E1130" s="30" t="n"/>
      <c r="F1130" s="31" t="n"/>
      <c r="G1130" s="31" t="n"/>
      <c r="H1130" s="31" t="n"/>
      <c r="I1130" s="31" t="n"/>
    </row>
    <row r="1131" customFormat="1" s="26">
      <c r="A1131" s="31" t="n"/>
      <c r="B1131" s="29" t="n"/>
      <c r="C1131" s="30" t="n"/>
      <c r="D1131" s="30" t="n"/>
      <c r="E1131" s="30" t="n"/>
      <c r="F1131" s="31" t="n"/>
      <c r="G1131" s="31" t="n"/>
      <c r="H1131" s="31" t="n"/>
      <c r="I1131" s="31" t="n"/>
    </row>
    <row r="1132" customFormat="1" s="26">
      <c r="A1132" s="31" t="n"/>
      <c r="B1132" s="29" t="n"/>
      <c r="C1132" s="30" t="n"/>
      <c r="D1132" s="30" t="n"/>
      <c r="E1132" s="30" t="n"/>
      <c r="F1132" s="31" t="n"/>
      <c r="G1132" s="31" t="n"/>
      <c r="H1132" s="31" t="n"/>
      <c r="I1132" s="31" t="n"/>
    </row>
    <row r="1133" customFormat="1" s="26">
      <c r="A1133" s="31" t="n"/>
      <c r="B1133" s="29" t="n"/>
      <c r="C1133" s="30" t="n"/>
      <c r="D1133" s="30" t="n"/>
      <c r="E1133" s="30" t="n"/>
      <c r="F1133" s="31" t="n"/>
      <c r="G1133" s="31" t="n"/>
      <c r="H1133" s="31" t="n"/>
      <c r="I1133" s="31" t="n"/>
    </row>
    <row r="1134" customFormat="1" s="26">
      <c r="A1134" s="31" t="n"/>
      <c r="B1134" s="29" t="n"/>
      <c r="C1134" s="30" t="n"/>
      <c r="D1134" s="30" t="n"/>
      <c r="E1134" s="30" t="n"/>
      <c r="F1134" s="31" t="n"/>
      <c r="G1134" s="31" t="n"/>
      <c r="H1134" s="31" t="n"/>
      <c r="I1134" s="31" t="n"/>
    </row>
    <row r="1135" customFormat="1" s="26">
      <c r="A1135" s="31" t="n"/>
      <c r="B1135" s="29" t="n"/>
      <c r="C1135" s="30" t="n"/>
      <c r="D1135" s="30" t="n"/>
      <c r="E1135" s="30" t="n"/>
      <c r="F1135" s="31" t="n"/>
      <c r="G1135" s="31" t="n"/>
      <c r="H1135" s="31" t="n"/>
      <c r="I1135" s="31" t="n"/>
    </row>
    <row r="1136" customFormat="1" s="26">
      <c r="A1136" s="31" t="n"/>
      <c r="B1136" s="29" t="n"/>
      <c r="C1136" s="30" t="n"/>
      <c r="D1136" s="30" t="n"/>
      <c r="E1136" s="30" t="n"/>
      <c r="F1136" s="31" t="n"/>
      <c r="G1136" s="31" t="n"/>
      <c r="H1136" s="31" t="n"/>
      <c r="I1136" s="31" t="n"/>
    </row>
    <row r="1137" customFormat="1" s="26">
      <c r="A1137" s="31" t="n"/>
      <c r="B1137" s="29" t="n"/>
      <c r="C1137" s="30" t="n"/>
      <c r="D1137" s="30" t="n"/>
      <c r="E1137" s="30" t="n"/>
      <c r="F1137" s="31" t="n"/>
      <c r="G1137" s="31" t="n"/>
      <c r="H1137" s="31" t="n"/>
      <c r="I1137" s="31" t="n"/>
    </row>
    <row r="1138" customFormat="1" s="26">
      <c r="A1138" s="31" t="n"/>
      <c r="B1138" s="29" t="n"/>
      <c r="C1138" s="30" t="n"/>
      <c r="D1138" s="30" t="n"/>
      <c r="E1138" s="30" t="n"/>
      <c r="F1138" s="31" t="n"/>
      <c r="G1138" s="31" t="n"/>
      <c r="H1138" s="31" t="n"/>
      <c r="I1138" s="31" t="n"/>
    </row>
    <row r="1139" customFormat="1" s="26">
      <c r="A1139" s="31" t="n"/>
      <c r="B1139" s="29" t="n"/>
      <c r="C1139" s="30" t="n"/>
      <c r="D1139" s="30" t="n"/>
      <c r="E1139" s="30" t="n"/>
      <c r="F1139" s="31" t="n"/>
      <c r="G1139" s="31" t="n"/>
      <c r="H1139" s="31" t="n"/>
      <c r="I1139" s="31" t="n"/>
    </row>
    <row r="1140" customFormat="1" s="26">
      <c r="A1140" s="31" t="n"/>
      <c r="B1140" s="29" t="n"/>
      <c r="C1140" s="30" t="n"/>
      <c r="D1140" s="30" t="n"/>
      <c r="E1140" s="30" t="n"/>
      <c r="F1140" s="31" t="n"/>
      <c r="G1140" s="31" t="n"/>
      <c r="H1140" s="31" t="n"/>
      <c r="I1140" s="31" t="n"/>
    </row>
    <row r="1141" customFormat="1" s="26">
      <c r="A1141" s="31" t="n"/>
      <c r="B1141" s="29" t="n"/>
      <c r="C1141" s="30" t="n"/>
      <c r="D1141" s="30" t="n"/>
      <c r="E1141" s="30" t="n"/>
      <c r="F1141" s="31" t="n"/>
      <c r="G1141" s="31" t="n"/>
      <c r="H1141" s="31" t="n"/>
      <c r="I1141" s="31" t="n"/>
    </row>
    <row r="1142" customFormat="1" s="26">
      <c r="A1142" s="31" t="n"/>
      <c r="B1142" s="29" t="n"/>
      <c r="C1142" s="30" t="n"/>
      <c r="D1142" s="30" t="n"/>
      <c r="E1142" s="30" t="n"/>
      <c r="F1142" s="31" t="n"/>
      <c r="G1142" s="31" t="n"/>
      <c r="H1142" s="31" t="n"/>
      <c r="I1142" s="31" t="n"/>
    </row>
    <row r="1143" customFormat="1" s="26">
      <c r="A1143" s="31" t="n"/>
      <c r="B1143" s="29" t="n"/>
      <c r="C1143" s="30" t="n"/>
      <c r="D1143" s="30" t="n"/>
      <c r="E1143" s="30" t="n"/>
      <c r="F1143" s="31" t="n"/>
      <c r="G1143" s="31" t="n"/>
      <c r="H1143" s="31" t="n"/>
      <c r="I1143" s="31" t="n"/>
    </row>
    <row r="1144" customFormat="1" s="26">
      <c r="A1144" s="31" t="n"/>
      <c r="B1144" s="29" t="n"/>
      <c r="C1144" s="30" t="n"/>
      <c r="D1144" s="30" t="n"/>
      <c r="E1144" s="30" t="n"/>
      <c r="F1144" s="31" t="n"/>
      <c r="G1144" s="31" t="n"/>
      <c r="H1144" s="31" t="n"/>
      <c r="I1144" s="31" t="n"/>
    </row>
    <row r="1145" customFormat="1" s="26">
      <c r="A1145" s="31" t="n"/>
      <c r="B1145" s="29" t="n"/>
      <c r="C1145" s="30" t="n"/>
      <c r="D1145" s="30" t="n"/>
      <c r="E1145" s="30" t="n"/>
      <c r="F1145" s="31" t="n"/>
      <c r="G1145" s="31" t="n"/>
      <c r="H1145" s="31" t="n"/>
      <c r="I1145" s="31" t="n"/>
    </row>
    <row r="1146" customFormat="1" s="26">
      <c r="A1146" s="31" t="n"/>
      <c r="B1146" s="29" t="n"/>
      <c r="C1146" s="30" t="n"/>
      <c r="D1146" s="30" t="n"/>
      <c r="E1146" s="30" t="n"/>
      <c r="F1146" s="31" t="n"/>
      <c r="G1146" s="31" t="n"/>
      <c r="H1146" s="31" t="n"/>
      <c r="I1146" s="31" t="n"/>
    </row>
    <row r="1147" customFormat="1" s="26">
      <c r="A1147" s="31" t="n"/>
      <c r="B1147" s="29" t="n"/>
      <c r="C1147" s="30" t="n"/>
      <c r="D1147" s="30" t="n"/>
      <c r="E1147" s="30" t="n"/>
      <c r="F1147" s="31" t="n"/>
      <c r="G1147" s="31" t="n"/>
      <c r="H1147" s="31" t="n"/>
      <c r="I1147" s="31" t="n"/>
    </row>
    <row r="1148" customFormat="1" s="26">
      <c r="A1148" s="31" t="n"/>
      <c r="B1148" s="29" t="n"/>
      <c r="C1148" s="30" t="n"/>
      <c r="D1148" s="30" t="n"/>
      <c r="E1148" s="30" t="n"/>
      <c r="F1148" s="31" t="n"/>
      <c r="G1148" s="31" t="n"/>
      <c r="H1148" s="31" t="n"/>
      <c r="I1148" s="31" t="n"/>
    </row>
    <row r="1149" customFormat="1" s="26">
      <c r="A1149" s="31" t="n"/>
      <c r="B1149" s="29" t="n"/>
      <c r="C1149" s="30" t="n"/>
      <c r="D1149" s="30" t="n"/>
      <c r="E1149" s="30" t="n"/>
      <c r="F1149" s="31" t="n"/>
      <c r="G1149" s="31" t="n"/>
      <c r="H1149" s="31" t="n"/>
      <c r="I1149" s="31" t="n"/>
    </row>
    <row r="1150" customFormat="1" s="26">
      <c r="A1150" s="31" t="n"/>
      <c r="B1150" s="29" t="n"/>
      <c r="C1150" s="30" t="n"/>
      <c r="D1150" s="30" t="n"/>
      <c r="E1150" s="30" t="n"/>
      <c r="F1150" s="31" t="n"/>
      <c r="G1150" s="31" t="n"/>
      <c r="H1150" s="31" t="n"/>
      <c r="I1150" s="31" t="n"/>
    </row>
    <row r="1151" customFormat="1" s="26">
      <c r="A1151" s="31" t="n"/>
      <c r="B1151" s="29" t="n"/>
      <c r="C1151" s="30" t="n"/>
      <c r="D1151" s="30" t="n"/>
      <c r="E1151" s="30" t="n"/>
      <c r="F1151" s="31" t="n"/>
      <c r="G1151" s="31" t="n"/>
      <c r="H1151" s="31" t="n"/>
      <c r="I1151" s="31" t="n"/>
    </row>
    <row r="1152" customFormat="1" s="26">
      <c r="A1152" s="31" t="n"/>
      <c r="B1152" s="29" t="n"/>
      <c r="C1152" s="30" t="n"/>
      <c r="D1152" s="30" t="n"/>
      <c r="E1152" s="30" t="n"/>
      <c r="F1152" s="31" t="n"/>
      <c r="G1152" s="31" t="n"/>
      <c r="H1152" s="31" t="n"/>
      <c r="I1152" s="31" t="n"/>
    </row>
    <row r="1153" customFormat="1" s="26">
      <c r="A1153" s="31" t="n"/>
      <c r="B1153" s="29" t="n"/>
      <c r="C1153" s="30" t="n"/>
      <c r="D1153" s="30" t="n"/>
      <c r="E1153" s="30" t="n"/>
      <c r="F1153" s="31" t="n"/>
      <c r="G1153" s="31" t="n"/>
      <c r="H1153" s="31" t="n"/>
      <c r="I1153" s="31" t="n"/>
    </row>
    <row r="1154" customFormat="1" s="26">
      <c r="A1154" s="31" t="n"/>
      <c r="B1154" s="29" t="n"/>
      <c r="C1154" s="30" t="n"/>
      <c r="D1154" s="30" t="n"/>
      <c r="E1154" s="30" t="n"/>
      <c r="F1154" s="31" t="n"/>
      <c r="G1154" s="31" t="n"/>
      <c r="H1154" s="31" t="n"/>
      <c r="I1154" s="31" t="n"/>
    </row>
    <row r="1155" customFormat="1" s="26">
      <c r="A1155" s="31" t="n"/>
      <c r="B1155" s="29" t="n"/>
      <c r="C1155" s="30" t="n"/>
      <c r="D1155" s="30" t="n"/>
      <c r="E1155" s="30" t="n"/>
      <c r="F1155" s="31" t="n"/>
      <c r="G1155" s="31" t="n"/>
      <c r="H1155" s="31" t="n"/>
      <c r="I1155" s="31" t="n"/>
    </row>
    <row r="1156" customFormat="1" s="26">
      <c r="A1156" s="31" t="n"/>
      <c r="B1156" s="29" t="n"/>
      <c r="C1156" s="30" t="n"/>
      <c r="D1156" s="30" t="n"/>
      <c r="E1156" s="30" t="n"/>
      <c r="F1156" s="31" t="n"/>
      <c r="G1156" s="31" t="n"/>
      <c r="H1156" s="31" t="n"/>
      <c r="I1156" s="31" t="n"/>
    </row>
    <row r="1157" customFormat="1" s="26">
      <c r="A1157" s="31" t="n"/>
      <c r="B1157" s="29" t="n"/>
      <c r="C1157" s="30" t="n"/>
      <c r="D1157" s="30" t="n"/>
      <c r="E1157" s="30" t="n"/>
      <c r="F1157" s="31" t="n"/>
      <c r="G1157" s="31" t="n"/>
      <c r="H1157" s="31" t="n"/>
      <c r="I1157" s="31" t="n"/>
    </row>
    <row r="1158" customFormat="1" s="26">
      <c r="A1158" s="31" t="n"/>
      <c r="B1158" s="29" t="n"/>
      <c r="C1158" s="30" t="n"/>
      <c r="D1158" s="30" t="n"/>
      <c r="E1158" s="30" t="n"/>
      <c r="F1158" s="31" t="n"/>
      <c r="G1158" s="31" t="n"/>
      <c r="H1158" s="31" t="n"/>
      <c r="I1158" s="31" t="n"/>
    </row>
    <row r="1159" customFormat="1" s="26">
      <c r="A1159" s="31" t="n"/>
      <c r="B1159" s="29" t="n"/>
      <c r="C1159" s="30" t="n"/>
      <c r="D1159" s="30" t="n"/>
      <c r="E1159" s="30" t="n"/>
      <c r="F1159" s="31" t="n"/>
      <c r="G1159" s="31" t="n"/>
      <c r="H1159" s="31" t="n"/>
      <c r="I1159" s="31" t="n"/>
    </row>
    <row r="1160" customFormat="1" s="26">
      <c r="A1160" s="31" t="n"/>
      <c r="B1160" s="29" t="n"/>
      <c r="C1160" s="30" t="n"/>
      <c r="D1160" s="30" t="n"/>
      <c r="E1160" s="30" t="n"/>
      <c r="F1160" s="31" t="n"/>
      <c r="G1160" s="31" t="n"/>
      <c r="H1160" s="31" t="n"/>
      <c r="I1160" s="31" t="n"/>
    </row>
    <row r="1161" customFormat="1" s="26">
      <c r="A1161" s="31" t="n"/>
      <c r="B1161" s="29" t="n"/>
      <c r="C1161" s="30" t="n"/>
      <c r="D1161" s="30" t="n"/>
      <c r="E1161" s="30" t="n"/>
      <c r="F1161" s="31" t="n"/>
      <c r="G1161" s="31" t="n"/>
      <c r="H1161" s="31" t="n"/>
      <c r="I1161" s="31" t="n"/>
    </row>
    <row r="1162" customFormat="1" s="26">
      <c r="A1162" s="31" t="n"/>
      <c r="B1162" s="29" t="n"/>
      <c r="C1162" s="30" t="n"/>
      <c r="D1162" s="30" t="n"/>
      <c r="E1162" s="30" t="n"/>
      <c r="F1162" s="31" t="n"/>
      <c r="G1162" s="31" t="n"/>
      <c r="H1162" s="31" t="n"/>
      <c r="I1162" s="31" t="n"/>
    </row>
    <row r="1163" customFormat="1" s="26">
      <c r="A1163" s="31" t="n"/>
      <c r="B1163" s="29" t="n"/>
      <c r="C1163" s="30" t="n"/>
      <c r="D1163" s="30" t="n"/>
      <c r="E1163" s="30" t="n"/>
      <c r="F1163" s="31" t="n"/>
      <c r="G1163" s="31" t="n"/>
      <c r="H1163" s="31" t="n"/>
      <c r="I1163" s="31" t="n"/>
    </row>
    <row r="1164" customFormat="1" s="26">
      <c r="A1164" s="31" t="n"/>
      <c r="B1164" s="29" t="n"/>
      <c r="C1164" s="30" t="n"/>
      <c r="D1164" s="30" t="n"/>
      <c r="E1164" s="30" t="n"/>
      <c r="F1164" s="31" t="n"/>
      <c r="G1164" s="31" t="n"/>
      <c r="H1164" s="31" t="n"/>
      <c r="I1164" s="31" t="n"/>
    </row>
    <row r="1165" customFormat="1" s="26">
      <c r="A1165" s="31" t="n"/>
      <c r="B1165" s="29" t="n"/>
      <c r="C1165" s="30" t="n"/>
      <c r="D1165" s="30" t="n"/>
      <c r="E1165" s="30" t="n"/>
      <c r="F1165" s="31" t="n"/>
      <c r="G1165" s="31" t="n"/>
      <c r="H1165" s="31" t="n"/>
      <c r="I1165" s="31" t="n"/>
    </row>
    <row r="1166" customFormat="1" s="26">
      <c r="A1166" s="31" t="n"/>
      <c r="B1166" s="29" t="n"/>
      <c r="C1166" s="30" t="n"/>
      <c r="D1166" s="30" t="n"/>
      <c r="E1166" s="30" t="n"/>
      <c r="F1166" s="31" t="n"/>
      <c r="G1166" s="31" t="n"/>
      <c r="H1166" s="31" t="n"/>
      <c r="I1166" s="31" t="n"/>
    </row>
    <row r="1167" customFormat="1" s="26">
      <c r="A1167" s="31" t="n"/>
      <c r="B1167" s="29" t="n"/>
      <c r="C1167" s="30" t="n"/>
      <c r="D1167" s="30" t="n"/>
      <c r="E1167" s="30" t="n"/>
      <c r="F1167" s="31" t="n"/>
      <c r="G1167" s="31" t="n"/>
      <c r="H1167" s="31" t="n"/>
      <c r="I1167" s="31" t="n"/>
    </row>
    <row r="1168" customFormat="1" s="26">
      <c r="A1168" s="31" t="n"/>
      <c r="B1168" s="29" t="n"/>
      <c r="C1168" s="30" t="n"/>
      <c r="D1168" s="30" t="n"/>
      <c r="E1168" s="30" t="n"/>
      <c r="F1168" s="31" t="n"/>
      <c r="G1168" s="31" t="n"/>
      <c r="H1168" s="31" t="n"/>
      <c r="I1168" s="31" t="n"/>
    </row>
    <row r="1169" customFormat="1" s="26">
      <c r="A1169" s="31" t="n"/>
      <c r="B1169" s="29" t="n"/>
      <c r="C1169" s="30" t="n"/>
      <c r="D1169" s="30" t="n"/>
      <c r="E1169" s="30" t="n"/>
      <c r="F1169" s="31" t="n"/>
      <c r="G1169" s="31" t="n"/>
      <c r="H1169" s="31" t="n"/>
      <c r="I1169" s="31" t="n"/>
    </row>
    <row r="1170" customFormat="1" s="26">
      <c r="A1170" s="31" t="n"/>
      <c r="B1170" s="29" t="n"/>
      <c r="C1170" s="30" t="n"/>
      <c r="D1170" s="30" t="n"/>
      <c r="E1170" s="30" t="n"/>
      <c r="F1170" s="31" t="n"/>
      <c r="G1170" s="31" t="n"/>
      <c r="H1170" s="31" t="n"/>
      <c r="I1170" s="31" t="n"/>
    </row>
    <row r="1171" customFormat="1" s="26">
      <c r="A1171" s="31" t="n"/>
      <c r="B1171" s="29" t="n"/>
      <c r="C1171" s="30" t="n"/>
      <c r="D1171" s="30" t="n"/>
      <c r="E1171" s="30" t="n"/>
      <c r="F1171" s="31" t="n"/>
      <c r="G1171" s="31" t="n"/>
      <c r="H1171" s="31" t="n"/>
      <c r="I1171" s="31" t="n"/>
    </row>
    <row r="1172" customFormat="1" s="26">
      <c r="A1172" s="31" t="n"/>
      <c r="B1172" s="29" t="n"/>
      <c r="C1172" s="30" t="n"/>
      <c r="D1172" s="30" t="n"/>
      <c r="E1172" s="30" t="n"/>
      <c r="F1172" s="31" t="n"/>
      <c r="G1172" s="31" t="n"/>
      <c r="H1172" s="31" t="n"/>
      <c r="I1172" s="31" t="n"/>
    </row>
    <row r="1173" customFormat="1" s="26">
      <c r="A1173" s="31" t="n"/>
      <c r="B1173" s="29" t="n"/>
      <c r="C1173" s="30" t="n"/>
      <c r="D1173" s="30" t="n"/>
      <c r="E1173" s="30" t="n"/>
      <c r="F1173" s="31" t="n"/>
      <c r="G1173" s="31" t="n"/>
      <c r="H1173" s="31" t="n"/>
      <c r="I1173" s="31" t="n"/>
    </row>
    <row r="1174" customFormat="1" s="26">
      <c r="A1174" s="31" t="n"/>
      <c r="B1174" s="29" t="n"/>
      <c r="C1174" s="30" t="n"/>
      <c r="D1174" s="30" t="n"/>
      <c r="E1174" s="30" t="n"/>
      <c r="F1174" s="31" t="n"/>
      <c r="G1174" s="31" t="n"/>
      <c r="H1174" s="31" t="n"/>
      <c r="I1174" s="31" t="n"/>
    </row>
    <row r="1175" customFormat="1" s="26">
      <c r="A1175" s="31" t="n"/>
      <c r="B1175" s="29" t="n"/>
      <c r="C1175" s="30" t="n"/>
      <c r="D1175" s="30" t="n"/>
      <c r="E1175" s="30" t="n"/>
      <c r="F1175" s="31" t="n"/>
      <c r="G1175" s="31" t="n"/>
      <c r="H1175" s="31" t="n"/>
      <c r="I1175" s="31" t="n"/>
    </row>
    <row r="1176" customFormat="1" s="26">
      <c r="A1176" s="31" t="n"/>
      <c r="B1176" s="29" t="n"/>
      <c r="C1176" s="30" t="n"/>
      <c r="D1176" s="30" t="n"/>
      <c r="E1176" s="30" t="n"/>
      <c r="F1176" s="31" t="n"/>
      <c r="G1176" s="31" t="n"/>
      <c r="H1176" s="31" t="n"/>
      <c r="I1176" s="31" t="n"/>
    </row>
    <row r="1177" customFormat="1" s="26">
      <c r="A1177" s="31" t="n"/>
      <c r="B1177" s="29" t="n"/>
      <c r="C1177" s="30" t="n"/>
      <c r="D1177" s="30" t="n"/>
      <c r="E1177" s="30" t="n"/>
      <c r="F1177" s="31" t="n"/>
      <c r="G1177" s="31" t="n"/>
      <c r="H1177" s="31" t="n"/>
      <c r="I1177" s="31" t="n"/>
    </row>
    <row r="1178" customFormat="1" s="26">
      <c r="A1178" s="31" t="n"/>
      <c r="B1178" s="29" t="n"/>
      <c r="C1178" s="30" t="n"/>
      <c r="D1178" s="30" t="n"/>
      <c r="E1178" s="30" t="n"/>
      <c r="F1178" s="31" t="n"/>
      <c r="G1178" s="31" t="n"/>
      <c r="H1178" s="31" t="n"/>
      <c r="I1178" s="31" t="n"/>
    </row>
    <row r="1179" customFormat="1" s="26">
      <c r="A1179" s="31" t="n"/>
      <c r="B1179" s="29" t="n"/>
      <c r="C1179" s="30" t="n"/>
      <c r="D1179" s="30" t="n"/>
      <c r="E1179" s="30" t="n"/>
      <c r="F1179" s="31" t="n"/>
      <c r="G1179" s="31" t="n"/>
      <c r="H1179" s="31" t="n"/>
      <c r="I1179" s="31" t="n"/>
    </row>
    <row r="1180" customFormat="1" s="26">
      <c r="A1180" s="31" t="n"/>
      <c r="B1180" s="29" t="n"/>
      <c r="C1180" s="30" t="n"/>
      <c r="D1180" s="30" t="n"/>
      <c r="E1180" s="30" t="n"/>
      <c r="F1180" s="31" t="n"/>
      <c r="G1180" s="31" t="n"/>
      <c r="H1180" s="31" t="n"/>
      <c r="I1180" s="31" t="n"/>
    </row>
    <row r="1181" customFormat="1" s="26">
      <c r="A1181" s="31" t="n"/>
      <c r="B1181" s="29" t="n"/>
      <c r="C1181" s="30" t="n"/>
      <c r="D1181" s="30" t="n"/>
      <c r="E1181" s="30" t="n"/>
      <c r="F1181" s="31" t="n"/>
      <c r="G1181" s="31" t="n"/>
      <c r="H1181" s="31" t="n"/>
      <c r="I1181" s="31" t="n"/>
    </row>
    <row r="1182" customFormat="1" s="26">
      <c r="A1182" s="31" t="n"/>
      <c r="B1182" s="29" t="n"/>
      <c r="C1182" s="30" t="n"/>
      <c r="D1182" s="30" t="n"/>
      <c r="E1182" s="30" t="n"/>
      <c r="F1182" s="31" t="n"/>
      <c r="G1182" s="31" t="n"/>
      <c r="H1182" s="31" t="n"/>
      <c r="I1182" s="31" t="n"/>
    </row>
    <row r="1183" customFormat="1" s="26">
      <c r="A1183" s="31" t="n"/>
      <c r="B1183" s="29" t="n"/>
      <c r="C1183" s="30" t="n"/>
      <c r="D1183" s="30" t="n"/>
      <c r="E1183" s="30" t="n"/>
      <c r="F1183" s="31" t="n"/>
      <c r="G1183" s="31" t="n"/>
      <c r="H1183" s="31" t="n"/>
      <c r="I1183" s="31" t="n"/>
    </row>
    <row r="1184" customFormat="1" s="26">
      <c r="A1184" s="31" t="n"/>
      <c r="B1184" s="29" t="n"/>
      <c r="C1184" s="30" t="n"/>
      <c r="D1184" s="30" t="n"/>
      <c r="E1184" s="30" t="n"/>
      <c r="F1184" s="31" t="n"/>
      <c r="G1184" s="31" t="n"/>
      <c r="H1184" s="31" t="n"/>
      <c r="I1184" s="31" t="n"/>
    </row>
    <row r="1185" customFormat="1" s="26">
      <c r="A1185" s="31" t="n"/>
      <c r="B1185" s="29" t="n"/>
      <c r="C1185" s="30" t="n"/>
      <c r="D1185" s="30" t="n"/>
      <c r="E1185" s="30" t="n"/>
      <c r="F1185" s="31" t="n"/>
      <c r="G1185" s="31" t="n"/>
      <c r="H1185" s="31" t="n"/>
      <c r="I1185" s="31" t="n"/>
    </row>
    <row r="1186" customFormat="1" s="26">
      <c r="A1186" s="31" t="n"/>
      <c r="B1186" s="29" t="n"/>
      <c r="C1186" s="30" t="n"/>
      <c r="D1186" s="30" t="n"/>
      <c r="E1186" s="30" t="n"/>
      <c r="F1186" s="31" t="n"/>
      <c r="G1186" s="31" t="n"/>
      <c r="H1186" s="31" t="n"/>
      <c r="I1186" s="31" t="n"/>
    </row>
    <row r="1187" customFormat="1" s="26">
      <c r="A1187" s="31" t="n"/>
      <c r="B1187" s="29" t="n"/>
      <c r="C1187" s="30" t="n"/>
      <c r="D1187" s="30" t="n"/>
      <c r="E1187" s="30" t="n"/>
      <c r="F1187" s="31" t="n"/>
      <c r="G1187" s="31" t="n"/>
      <c r="H1187" s="31" t="n"/>
      <c r="I1187" s="31" t="n"/>
    </row>
    <row r="1188" customFormat="1" s="26">
      <c r="A1188" s="31" t="n"/>
      <c r="B1188" s="29" t="n"/>
      <c r="C1188" s="30" t="n"/>
      <c r="D1188" s="30" t="n"/>
      <c r="E1188" s="30" t="n"/>
      <c r="F1188" s="31" t="n"/>
      <c r="G1188" s="31" t="n"/>
      <c r="H1188" s="31" t="n"/>
      <c r="I1188" s="31" t="n"/>
    </row>
    <row r="1189" customFormat="1" s="26">
      <c r="A1189" s="31" t="n"/>
      <c r="B1189" s="29" t="n"/>
      <c r="C1189" s="30" t="n"/>
      <c r="D1189" s="30" t="n"/>
      <c r="E1189" s="30" t="n"/>
      <c r="F1189" s="31" t="n"/>
      <c r="G1189" s="31" t="n"/>
      <c r="H1189" s="31" t="n"/>
      <c r="I1189" s="31" t="n"/>
    </row>
    <row r="1190" customFormat="1" s="26">
      <c r="A1190" s="31" t="n"/>
      <c r="B1190" s="29" t="n"/>
      <c r="C1190" s="30" t="n"/>
      <c r="D1190" s="30" t="n"/>
      <c r="E1190" s="30" t="n"/>
      <c r="F1190" s="31" t="n"/>
      <c r="G1190" s="31" t="n"/>
      <c r="H1190" s="31" t="n"/>
      <c r="I1190" s="31" t="n"/>
    </row>
    <row r="1191" customFormat="1" s="26">
      <c r="A1191" s="31" t="n"/>
      <c r="B1191" s="29" t="n"/>
      <c r="C1191" s="30" t="n"/>
      <c r="D1191" s="30" t="n"/>
      <c r="E1191" s="30" t="n"/>
      <c r="F1191" s="31" t="n"/>
      <c r="G1191" s="31" t="n"/>
      <c r="H1191" s="31" t="n"/>
      <c r="I1191" s="31" t="n"/>
    </row>
    <row r="1192" customFormat="1" s="26">
      <c r="A1192" s="31" t="n"/>
      <c r="B1192" s="29" t="n"/>
      <c r="C1192" s="30" t="n"/>
      <c r="D1192" s="30" t="n"/>
      <c r="E1192" s="30" t="n"/>
      <c r="F1192" s="31" t="n"/>
      <c r="G1192" s="31" t="n"/>
      <c r="H1192" s="31" t="n"/>
      <c r="I1192" s="31" t="n"/>
    </row>
    <row r="1193" customFormat="1" s="26">
      <c r="A1193" s="31" t="n"/>
      <c r="B1193" s="29" t="n"/>
      <c r="C1193" s="30" t="n"/>
      <c r="D1193" s="30" t="n"/>
      <c r="E1193" s="30" t="n"/>
      <c r="F1193" s="31" t="n"/>
      <c r="G1193" s="31" t="n"/>
      <c r="H1193" s="31" t="n"/>
      <c r="I1193" s="31" t="n"/>
    </row>
    <row r="1194" customFormat="1" s="26">
      <c r="A1194" s="31" t="n"/>
      <c r="B1194" s="29" t="n"/>
      <c r="C1194" s="30" t="n"/>
      <c r="D1194" s="30" t="n"/>
      <c r="E1194" s="30" t="n"/>
      <c r="F1194" s="31" t="n"/>
      <c r="G1194" s="31" t="n"/>
      <c r="H1194" s="31" t="n"/>
      <c r="I1194" s="31" t="n"/>
    </row>
    <row r="1195" customFormat="1" s="26">
      <c r="A1195" s="31" t="n"/>
      <c r="B1195" s="29" t="n"/>
      <c r="C1195" s="30" t="n"/>
      <c r="D1195" s="30" t="n"/>
      <c r="E1195" s="30" t="n"/>
      <c r="F1195" s="31" t="n"/>
      <c r="G1195" s="31" t="n"/>
      <c r="H1195" s="31" t="n"/>
      <c r="I1195" s="31" t="n"/>
    </row>
    <row r="1196" customFormat="1" s="26">
      <c r="A1196" s="31" t="n"/>
      <c r="B1196" s="29" t="n"/>
      <c r="C1196" s="30" t="n"/>
      <c r="D1196" s="30" t="n"/>
      <c r="E1196" s="30" t="n"/>
      <c r="F1196" s="31" t="n"/>
      <c r="G1196" s="31" t="n"/>
      <c r="H1196" s="31" t="n"/>
      <c r="I1196" s="31" t="n"/>
    </row>
    <row r="1197" customFormat="1" s="26">
      <c r="A1197" s="31" t="n"/>
      <c r="B1197" s="29" t="n"/>
      <c r="C1197" s="30" t="n"/>
      <c r="D1197" s="30" t="n"/>
      <c r="E1197" s="30" t="n"/>
      <c r="F1197" s="31" t="n"/>
      <c r="G1197" s="31" t="n"/>
      <c r="H1197" s="31" t="n"/>
      <c r="I1197" s="31" t="n"/>
    </row>
    <row r="1198" customFormat="1" s="26">
      <c r="A1198" s="31" t="n"/>
      <c r="B1198" s="29" t="n"/>
      <c r="C1198" s="30" t="n"/>
      <c r="D1198" s="30" t="n"/>
      <c r="E1198" s="30" t="n"/>
      <c r="F1198" s="31" t="n"/>
      <c r="G1198" s="31" t="n"/>
      <c r="H1198" s="31" t="n"/>
      <c r="I1198" s="31" t="n"/>
    </row>
    <row r="1199" customFormat="1" s="26">
      <c r="A1199" s="31" t="n"/>
      <c r="B1199" s="29" t="n"/>
      <c r="C1199" s="30" t="n"/>
      <c r="D1199" s="30" t="n"/>
      <c r="E1199" s="30" t="n"/>
      <c r="F1199" s="31" t="n"/>
      <c r="G1199" s="31" t="n"/>
      <c r="H1199" s="31" t="n"/>
      <c r="I1199" s="31" t="n"/>
    </row>
    <row r="1200" customFormat="1" s="26">
      <c r="A1200" s="31" t="n"/>
      <c r="B1200" s="29" t="n"/>
      <c r="C1200" s="30" t="n"/>
      <c r="D1200" s="30" t="n"/>
      <c r="E1200" s="30" t="n"/>
      <c r="F1200" s="31" t="n"/>
      <c r="G1200" s="31" t="n"/>
      <c r="H1200" s="31" t="n"/>
      <c r="I1200" s="31" t="n"/>
    </row>
    <row r="1201" customFormat="1" s="26">
      <c r="A1201" s="31" t="n"/>
      <c r="B1201" s="29" t="n"/>
      <c r="C1201" s="30" t="n"/>
      <c r="D1201" s="30" t="n"/>
      <c r="E1201" s="30" t="n"/>
      <c r="F1201" s="31" t="n"/>
      <c r="G1201" s="31" t="n"/>
      <c r="H1201" s="31" t="n"/>
      <c r="I1201" s="31" t="n"/>
    </row>
    <row r="1202" customFormat="1" s="26">
      <c r="A1202" s="31" t="n"/>
      <c r="B1202" s="29" t="n"/>
      <c r="C1202" s="30" t="n"/>
      <c r="D1202" s="30" t="n"/>
      <c r="E1202" s="30" t="n"/>
      <c r="F1202" s="31" t="n"/>
      <c r="G1202" s="31" t="n"/>
      <c r="H1202" s="31" t="n"/>
      <c r="I1202" s="31" t="n"/>
    </row>
    <row r="1203" customFormat="1" s="26">
      <c r="A1203" s="31" t="n"/>
      <c r="B1203" s="29" t="n"/>
      <c r="C1203" s="30" t="n"/>
      <c r="D1203" s="30" t="n"/>
      <c r="E1203" s="30" t="n"/>
      <c r="F1203" s="31" t="n"/>
      <c r="G1203" s="31" t="n"/>
      <c r="H1203" s="31" t="n"/>
      <c r="I1203" s="31" t="n"/>
    </row>
    <row r="1204" customFormat="1" s="26">
      <c r="A1204" s="31" t="n"/>
      <c r="B1204" s="29" t="n"/>
      <c r="C1204" s="30" t="n"/>
      <c r="D1204" s="30" t="n"/>
      <c r="E1204" s="30" t="n"/>
      <c r="F1204" s="31" t="n"/>
      <c r="G1204" s="31" t="n"/>
      <c r="H1204" s="31" t="n"/>
      <c r="I1204" s="31" t="n"/>
    </row>
    <row r="1205" customFormat="1" s="26">
      <c r="A1205" s="31" t="n"/>
      <c r="B1205" s="29" t="n"/>
      <c r="C1205" s="30" t="n"/>
      <c r="D1205" s="30" t="n"/>
      <c r="E1205" s="30" t="n"/>
      <c r="F1205" s="31" t="n"/>
      <c r="G1205" s="31" t="n"/>
      <c r="H1205" s="31" t="n"/>
      <c r="I1205" s="31" t="n"/>
    </row>
    <row r="1206" customFormat="1" s="26">
      <c r="A1206" s="31" t="n"/>
      <c r="B1206" s="29" t="n"/>
      <c r="C1206" s="30" t="n"/>
      <c r="D1206" s="30" t="n"/>
      <c r="E1206" s="30" t="n"/>
      <c r="F1206" s="31" t="n"/>
      <c r="G1206" s="31" t="n"/>
      <c r="H1206" s="31" t="n"/>
      <c r="I1206" s="31" t="n"/>
    </row>
    <row r="1207" customFormat="1" s="26">
      <c r="A1207" s="31" t="n"/>
      <c r="B1207" s="29" t="n"/>
      <c r="C1207" s="30" t="n"/>
      <c r="D1207" s="30" t="n"/>
      <c r="E1207" s="30" t="n"/>
      <c r="F1207" s="31" t="n"/>
      <c r="G1207" s="31" t="n"/>
      <c r="H1207" s="31" t="n"/>
      <c r="I1207" s="31" t="n"/>
    </row>
    <row r="1208" customFormat="1" s="26">
      <c r="A1208" s="31" t="n"/>
      <c r="B1208" s="29" t="n"/>
      <c r="C1208" s="30" t="n"/>
      <c r="D1208" s="30" t="n"/>
      <c r="E1208" s="30" t="n"/>
      <c r="F1208" s="31" t="n"/>
      <c r="G1208" s="31" t="n"/>
      <c r="H1208" s="31" t="n"/>
      <c r="I1208" s="31" t="n"/>
    </row>
    <row r="1209" customFormat="1" s="26">
      <c r="A1209" s="31" t="n"/>
      <c r="B1209" s="29" t="n"/>
      <c r="C1209" s="30" t="n"/>
      <c r="D1209" s="30" t="n"/>
      <c r="E1209" s="30" t="n"/>
      <c r="F1209" s="31" t="n"/>
      <c r="G1209" s="31" t="n"/>
      <c r="H1209" s="31" t="n"/>
      <c r="I1209" s="31" t="n"/>
    </row>
    <row r="1210" customFormat="1" s="26">
      <c r="A1210" s="31" t="n"/>
      <c r="B1210" s="29" t="n"/>
      <c r="C1210" s="30" t="n"/>
      <c r="D1210" s="30" t="n"/>
      <c r="E1210" s="30" t="n"/>
      <c r="F1210" s="31" t="n"/>
      <c r="G1210" s="31" t="n"/>
      <c r="H1210" s="31" t="n"/>
      <c r="I1210" s="31" t="n"/>
    </row>
    <row r="1211" customFormat="1" s="26">
      <c r="A1211" s="31" t="n"/>
      <c r="B1211" s="29" t="n"/>
      <c r="C1211" s="30" t="n"/>
      <c r="D1211" s="30" t="n"/>
      <c r="E1211" s="30" t="n"/>
      <c r="F1211" s="31" t="n"/>
      <c r="G1211" s="31" t="n"/>
      <c r="H1211" s="31" t="n"/>
      <c r="I1211" s="31" t="n"/>
    </row>
    <row r="1212" customFormat="1" s="26">
      <c r="A1212" s="31" t="n"/>
      <c r="B1212" s="29" t="n"/>
      <c r="C1212" s="30" t="n"/>
      <c r="D1212" s="30" t="n"/>
      <c r="E1212" s="30" t="n"/>
      <c r="F1212" s="31" t="n"/>
      <c r="G1212" s="31" t="n"/>
      <c r="H1212" s="31" t="n"/>
      <c r="I1212" s="31" t="n"/>
    </row>
    <row r="1213" customFormat="1" s="26">
      <c r="A1213" s="31" t="n"/>
      <c r="B1213" s="29" t="n"/>
      <c r="C1213" s="30" t="n"/>
      <c r="D1213" s="30" t="n"/>
      <c r="E1213" s="30" t="n"/>
      <c r="F1213" s="31" t="n"/>
      <c r="G1213" s="31" t="n"/>
      <c r="H1213" s="31" t="n"/>
      <c r="I1213" s="31" t="n"/>
    </row>
    <row r="1214" customFormat="1" s="26">
      <c r="A1214" s="31" t="n"/>
      <c r="B1214" s="29" t="n"/>
      <c r="C1214" s="30" t="n"/>
      <c r="D1214" s="30" t="n"/>
      <c r="E1214" s="30" t="n"/>
      <c r="F1214" s="31" t="n"/>
      <c r="G1214" s="31" t="n"/>
      <c r="H1214" s="31" t="n"/>
      <c r="I1214" s="31" t="n"/>
    </row>
    <row r="1215" customFormat="1" s="26">
      <c r="A1215" s="31" t="n"/>
      <c r="B1215" s="29" t="n"/>
      <c r="C1215" s="30" t="n"/>
      <c r="D1215" s="30" t="n"/>
      <c r="E1215" s="30" t="n"/>
      <c r="F1215" s="31" t="n"/>
      <c r="G1215" s="31" t="n"/>
      <c r="H1215" s="31" t="n"/>
      <c r="I1215" s="31" t="n"/>
    </row>
    <row r="1216" customFormat="1" s="26">
      <c r="A1216" s="31" t="n"/>
      <c r="B1216" s="29" t="n"/>
      <c r="C1216" s="30" t="n"/>
      <c r="D1216" s="30" t="n"/>
      <c r="E1216" s="30" t="n"/>
      <c r="F1216" s="31" t="n"/>
      <c r="G1216" s="31" t="n"/>
      <c r="H1216" s="31" t="n"/>
      <c r="I1216" s="31" t="n"/>
    </row>
    <row r="1217" customFormat="1" s="26">
      <c r="A1217" s="31" t="n"/>
      <c r="B1217" s="29" t="n"/>
      <c r="C1217" s="30" t="n"/>
      <c r="D1217" s="30" t="n"/>
      <c r="E1217" s="30" t="n"/>
      <c r="F1217" s="31" t="n"/>
      <c r="G1217" s="31" t="n"/>
      <c r="H1217" s="31" t="n"/>
      <c r="I1217" s="31" t="n"/>
    </row>
    <row r="1218" customFormat="1" s="26">
      <c r="A1218" s="31" t="n"/>
      <c r="B1218" s="29" t="n"/>
      <c r="C1218" s="30" t="n"/>
      <c r="D1218" s="30" t="n"/>
      <c r="E1218" s="30" t="n"/>
      <c r="F1218" s="31" t="n"/>
      <c r="G1218" s="31" t="n"/>
      <c r="H1218" s="31" t="n"/>
      <c r="I1218" s="31" t="n"/>
    </row>
    <row r="1219" customFormat="1" s="26">
      <c r="A1219" s="31" t="n"/>
      <c r="B1219" s="29" t="n"/>
      <c r="C1219" s="30" t="n"/>
      <c r="D1219" s="30" t="n"/>
      <c r="E1219" s="30" t="n"/>
      <c r="F1219" s="31" t="n"/>
      <c r="G1219" s="31" t="n"/>
      <c r="H1219" s="31" t="n"/>
      <c r="I1219" s="31" t="n"/>
    </row>
    <row r="1220" customFormat="1" s="26">
      <c r="A1220" s="31" t="n"/>
      <c r="B1220" s="29" t="n"/>
      <c r="C1220" s="30" t="n"/>
      <c r="D1220" s="30" t="n"/>
      <c r="E1220" s="30" t="n"/>
      <c r="F1220" s="31" t="n"/>
      <c r="G1220" s="31" t="n"/>
      <c r="H1220" s="31" t="n"/>
      <c r="I1220" s="31" t="n"/>
    </row>
    <row r="1221" customFormat="1" s="26">
      <c r="A1221" s="31" t="n"/>
      <c r="B1221" s="29" t="n"/>
      <c r="C1221" s="30" t="n"/>
      <c r="D1221" s="30" t="n"/>
      <c r="E1221" s="30" t="n"/>
      <c r="F1221" s="31" t="n"/>
      <c r="G1221" s="31" t="n"/>
      <c r="H1221" s="31" t="n"/>
      <c r="I1221" s="31" t="n"/>
    </row>
    <row r="1222" customFormat="1" s="26">
      <c r="A1222" s="31" t="n"/>
      <c r="B1222" s="29" t="n"/>
      <c r="C1222" s="30" t="n"/>
      <c r="D1222" s="30" t="n"/>
      <c r="E1222" s="30" t="n"/>
      <c r="F1222" s="31" t="n"/>
      <c r="G1222" s="31" t="n"/>
      <c r="H1222" s="31" t="n"/>
      <c r="I1222" s="31" t="n"/>
    </row>
    <row r="1223" customFormat="1" s="26">
      <c r="A1223" s="31" t="n"/>
      <c r="B1223" s="29" t="n"/>
      <c r="C1223" s="30" t="n"/>
      <c r="D1223" s="30" t="n"/>
      <c r="E1223" s="30" t="n"/>
      <c r="F1223" s="31" t="n"/>
      <c r="G1223" s="31" t="n"/>
      <c r="H1223" s="31" t="n"/>
      <c r="I1223" s="31" t="n"/>
    </row>
    <row r="1224" customFormat="1" s="26">
      <c r="A1224" s="31" t="n"/>
      <c r="B1224" s="29" t="n"/>
      <c r="C1224" s="30" t="n"/>
      <c r="D1224" s="30" t="n"/>
      <c r="E1224" s="30" t="n"/>
      <c r="F1224" s="31" t="n"/>
      <c r="G1224" s="31" t="n"/>
      <c r="H1224" s="31" t="n"/>
      <c r="I1224" s="31" t="n"/>
    </row>
    <row r="1225" customFormat="1" s="26">
      <c r="A1225" s="31" t="n"/>
      <c r="B1225" s="29" t="n"/>
      <c r="C1225" s="30" t="n"/>
      <c r="D1225" s="30" t="n"/>
      <c r="E1225" s="30" t="n"/>
      <c r="F1225" s="31" t="n"/>
      <c r="G1225" s="31" t="n"/>
      <c r="H1225" s="31" t="n"/>
      <c r="I1225" s="31" t="n"/>
    </row>
    <row r="1226" customFormat="1" s="26">
      <c r="A1226" s="31" t="n"/>
      <c r="B1226" s="29" t="n"/>
      <c r="C1226" s="30" t="n"/>
      <c r="D1226" s="30" t="n"/>
      <c r="E1226" s="30" t="n"/>
      <c r="F1226" s="31" t="n"/>
      <c r="G1226" s="31" t="n"/>
      <c r="H1226" s="31" t="n"/>
      <c r="I1226" s="31" t="n"/>
    </row>
    <row r="1227" customFormat="1" s="26">
      <c r="A1227" s="31" t="n"/>
      <c r="B1227" s="29" t="n"/>
      <c r="C1227" s="30" t="n"/>
      <c r="D1227" s="30" t="n"/>
      <c r="E1227" s="30" t="n"/>
      <c r="F1227" s="31" t="n"/>
      <c r="G1227" s="31" t="n"/>
      <c r="H1227" s="31" t="n"/>
      <c r="I1227" s="31" t="n"/>
    </row>
    <row r="1228" customFormat="1" s="26">
      <c r="A1228" s="31" t="n"/>
      <c r="B1228" s="29" t="n"/>
      <c r="C1228" s="30" t="n"/>
      <c r="D1228" s="30" t="n"/>
      <c r="E1228" s="30" t="n"/>
      <c r="F1228" s="31" t="n"/>
      <c r="G1228" s="31" t="n"/>
      <c r="H1228" s="31" t="n"/>
      <c r="I1228" s="31" t="n"/>
    </row>
    <row r="1229" customFormat="1" s="26">
      <c r="A1229" s="31" t="n"/>
      <c r="B1229" s="29" t="n"/>
      <c r="C1229" s="30" t="n"/>
      <c r="D1229" s="30" t="n"/>
      <c r="E1229" s="30" t="n"/>
      <c r="F1229" s="31" t="n"/>
      <c r="G1229" s="31" t="n"/>
      <c r="H1229" s="31" t="n"/>
      <c r="I1229" s="31" t="n"/>
    </row>
    <row r="1230" customFormat="1" s="26">
      <c r="A1230" s="31" t="n"/>
      <c r="B1230" s="29" t="n"/>
      <c r="C1230" s="30" t="n"/>
      <c r="D1230" s="30" t="n"/>
      <c r="E1230" s="30" t="n"/>
      <c r="F1230" s="31" t="n"/>
      <c r="G1230" s="31" t="n"/>
      <c r="H1230" s="31" t="n"/>
      <c r="I1230" s="31" t="n"/>
    </row>
    <row r="1231" customFormat="1" s="26">
      <c r="A1231" s="31" t="n"/>
      <c r="B1231" s="29" t="n"/>
      <c r="C1231" s="30" t="n"/>
      <c r="D1231" s="30" t="n"/>
      <c r="E1231" s="30" t="n"/>
      <c r="F1231" s="31" t="n"/>
      <c r="G1231" s="31" t="n"/>
      <c r="H1231" s="31" t="n"/>
      <c r="I1231" s="31" t="n"/>
    </row>
    <row r="1232" customFormat="1" s="26">
      <c r="A1232" s="31" t="n"/>
      <c r="B1232" s="29" t="n"/>
      <c r="C1232" s="30" t="n"/>
      <c r="D1232" s="30" t="n"/>
      <c r="E1232" s="30" t="n"/>
      <c r="F1232" s="31" t="n"/>
      <c r="G1232" s="31" t="n"/>
      <c r="H1232" s="31" t="n"/>
      <c r="I1232" s="31" t="n"/>
    </row>
    <row r="1233" customFormat="1" s="26">
      <c r="A1233" s="31" t="n"/>
      <c r="B1233" s="29" t="n"/>
      <c r="C1233" s="30" t="n"/>
      <c r="D1233" s="30" t="n"/>
      <c r="E1233" s="30" t="n"/>
      <c r="F1233" s="31" t="n"/>
      <c r="G1233" s="31" t="n"/>
      <c r="H1233" s="31" t="n"/>
      <c r="I1233" s="31" t="n"/>
    </row>
    <row r="1234" customFormat="1" s="26">
      <c r="A1234" s="31" t="n"/>
      <c r="B1234" s="29" t="n"/>
      <c r="C1234" s="30" t="n"/>
      <c r="D1234" s="30" t="n"/>
      <c r="E1234" s="30" t="n"/>
      <c r="F1234" s="31" t="n"/>
      <c r="G1234" s="31" t="n"/>
      <c r="H1234" s="31" t="n"/>
      <c r="I1234" s="31" t="n"/>
    </row>
    <row r="1235" customFormat="1" s="26">
      <c r="A1235" s="31" t="n"/>
      <c r="B1235" s="29" t="n"/>
      <c r="C1235" s="30" t="n"/>
      <c r="D1235" s="30" t="n"/>
      <c r="E1235" s="30" t="n"/>
      <c r="F1235" s="31" t="n"/>
      <c r="G1235" s="31" t="n"/>
      <c r="H1235" s="31" t="n"/>
      <c r="I1235" s="31" t="n"/>
    </row>
    <row r="1236" customFormat="1" s="26">
      <c r="A1236" s="31" t="n"/>
      <c r="B1236" s="29" t="n"/>
      <c r="C1236" s="30" t="n"/>
      <c r="D1236" s="30" t="n"/>
      <c r="E1236" s="30" t="n"/>
      <c r="F1236" s="31" t="n"/>
      <c r="G1236" s="31" t="n"/>
      <c r="H1236" s="31" t="n"/>
      <c r="I1236" s="31" t="n"/>
    </row>
    <row r="1237" customFormat="1" s="26">
      <c r="A1237" s="31" t="n"/>
      <c r="B1237" s="29" t="n"/>
      <c r="C1237" s="30" t="n"/>
      <c r="D1237" s="30" t="n"/>
      <c r="E1237" s="30" t="n"/>
      <c r="F1237" s="31" t="n"/>
      <c r="G1237" s="31" t="n"/>
      <c r="H1237" s="31" t="n"/>
      <c r="I1237" s="31" t="n"/>
    </row>
    <row r="1238" customFormat="1" s="26">
      <c r="A1238" s="31" t="n"/>
      <c r="B1238" s="29" t="n"/>
      <c r="C1238" s="30" t="n"/>
      <c r="D1238" s="30" t="n"/>
      <c r="E1238" s="30" t="n"/>
      <c r="F1238" s="31" t="n"/>
      <c r="G1238" s="31" t="n"/>
      <c r="H1238" s="31" t="n"/>
      <c r="I1238" s="31" t="n"/>
    </row>
    <row r="1239" customFormat="1" s="26">
      <c r="A1239" s="31" t="n"/>
      <c r="B1239" s="29" t="n"/>
      <c r="C1239" s="30" t="n"/>
      <c r="D1239" s="30" t="n"/>
      <c r="E1239" s="30" t="n"/>
      <c r="F1239" s="31" t="n"/>
      <c r="G1239" s="31" t="n"/>
      <c r="H1239" s="31" t="n"/>
      <c r="I1239" s="31" t="n"/>
    </row>
    <row r="1240" customFormat="1" s="26">
      <c r="A1240" s="31" t="n"/>
      <c r="B1240" s="29" t="n"/>
      <c r="C1240" s="30" t="n"/>
      <c r="D1240" s="30" t="n"/>
      <c r="E1240" s="30" t="n"/>
      <c r="F1240" s="31" t="n"/>
      <c r="G1240" s="31" t="n"/>
      <c r="H1240" s="31" t="n"/>
      <c r="I1240" s="31" t="n"/>
    </row>
    <row r="1241" customFormat="1" s="26">
      <c r="A1241" s="31" t="n"/>
      <c r="B1241" s="29" t="n"/>
      <c r="C1241" s="30" t="n"/>
      <c r="D1241" s="30" t="n"/>
      <c r="E1241" s="30" t="n"/>
      <c r="F1241" s="31" t="n"/>
      <c r="G1241" s="31" t="n"/>
      <c r="H1241" s="31" t="n"/>
      <c r="I1241" s="31" t="n"/>
    </row>
    <row r="1242" customFormat="1" s="26">
      <c r="A1242" s="31" t="n"/>
      <c r="B1242" s="29" t="n"/>
      <c r="C1242" s="30" t="n"/>
      <c r="D1242" s="30" t="n"/>
      <c r="E1242" s="30" t="n"/>
      <c r="F1242" s="31" t="n"/>
      <c r="G1242" s="31" t="n"/>
      <c r="H1242" s="31" t="n"/>
      <c r="I1242" s="31" t="n"/>
    </row>
    <row r="1243" customFormat="1" s="26">
      <c r="A1243" s="31" t="n"/>
      <c r="B1243" s="29" t="n"/>
      <c r="C1243" s="30" t="n"/>
      <c r="D1243" s="30" t="n"/>
      <c r="E1243" s="30" t="n"/>
      <c r="F1243" s="31" t="n"/>
      <c r="G1243" s="31" t="n"/>
      <c r="H1243" s="31" t="n"/>
      <c r="I1243" s="31" t="n"/>
    </row>
    <row r="1244" customFormat="1" s="26">
      <c r="A1244" s="31" t="n"/>
      <c r="B1244" s="29" t="n"/>
      <c r="C1244" s="30" t="n"/>
      <c r="D1244" s="30" t="n"/>
      <c r="E1244" s="30" t="n"/>
      <c r="F1244" s="31" t="n"/>
      <c r="G1244" s="31" t="n"/>
      <c r="H1244" s="31" t="n"/>
      <c r="I1244" s="31" t="n"/>
    </row>
    <row r="1245" customFormat="1" s="26">
      <c r="A1245" s="31" t="n"/>
      <c r="B1245" s="29" t="n"/>
      <c r="C1245" s="30" t="n"/>
      <c r="D1245" s="30" t="n"/>
      <c r="E1245" s="30" t="n"/>
      <c r="F1245" s="31" t="n"/>
      <c r="G1245" s="31" t="n"/>
      <c r="H1245" s="31" t="n"/>
      <c r="I1245" s="31" t="n"/>
    </row>
    <row r="1246" customFormat="1" s="26">
      <c r="A1246" s="31" t="n"/>
      <c r="B1246" s="29" t="n"/>
      <c r="C1246" s="30" t="n"/>
      <c r="D1246" s="30" t="n"/>
      <c r="E1246" s="30" t="n"/>
      <c r="F1246" s="31" t="n"/>
      <c r="G1246" s="31" t="n"/>
      <c r="H1246" s="31" t="n"/>
      <c r="I1246" s="31" t="n"/>
    </row>
    <row r="1247" customFormat="1" s="26">
      <c r="A1247" s="31" t="n"/>
      <c r="B1247" s="29" t="n"/>
      <c r="C1247" s="30" t="n"/>
      <c r="D1247" s="30" t="n"/>
      <c r="E1247" s="30" t="n"/>
      <c r="F1247" s="31" t="n"/>
      <c r="G1247" s="31" t="n"/>
      <c r="H1247" s="31" t="n"/>
      <c r="I1247" s="31" t="n"/>
    </row>
    <row r="1248" customFormat="1" s="26">
      <c r="A1248" s="31" t="n"/>
      <c r="B1248" s="29" t="n"/>
      <c r="C1248" s="30" t="n"/>
      <c r="D1248" s="30" t="n"/>
      <c r="E1248" s="30" t="n"/>
      <c r="F1248" s="31" t="n"/>
      <c r="G1248" s="31" t="n"/>
      <c r="H1248" s="31" t="n"/>
      <c r="I1248" s="31" t="n"/>
    </row>
    <row r="1249" customFormat="1" s="26">
      <c r="A1249" s="31" t="n"/>
      <c r="B1249" s="29" t="n"/>
      <c r="C1249" s="30" t="n"/>
      <c r="D1249" s="30" t="n"/>
      <c r="E1249" s="30" t="n"/>
      <c r="F1249" s="31" t="n"/>
      <c r="G1249" s="31" t="n"/>
      <c r="H1249" s="31" t="n"/>
      <c r="I1249" s="31" t="n"/>
    </row>
    <row r="1250" customFormat="1" s="26">
      <c r="A1250" s="31" t="n"/>
      <c r="B1250" s="29" t="n"/>
      <c r="C1250" s="30" t="n"/>
      <c r="D1250" s="30" t="n"/>
      <c r="E1250" s="30" t="n"/>
      <c r="F1250" s="31" t="n"/>
      <c r="G1250" s="31" t="n"/>
      <c r="H1250" s="31" t="n"/>
      <c r="I1250" s="31" t="n"/>
    </row>
    <row r="1251" customFormat="1" s="26">
      <c r="A1251" s="31" t="n"/>
      <c r="B1251" s="29" t="n"/>
      <c r="C1251" s="30" t="n"/>
      <c r="D1251" s="30" t="n"/>
      <c r="E1251" s="30" t="n"/>
      <c r="F1251" s="31" t="n"/>
      <c r="G1251" s="31" t="n"/>
      <c r="H1251" s="31" t="n"/>
      <c r="I1251" s="31" t="n"/>
    </row>
    <row r="1252" customFormat="1" s="26">
      <c r="A1252" s="31" t="n"/>
      <c r="B1252" s="29" t="n"/>
      <c r="C1252" s="30" t="n"/>
      <c r="D1252" s="30" t="n"/>
      <c r="E1252" s="30" t="n"/>
      <c r="F1252" s="31" t="n"/>
      <c r="G1252" s="31" t="n"/>
      <c r="H1252" s="31" t="n"/>
      <c r="I1252" s="31" t="n"/>
    </row>
    <row r="1253" customFormat="1" s="26">
      <c r="A1253" s="31" t="n"/>
      <c r="B1253" s="29" t="n"/>
      <c r="C1253" s="30" t="n"/>
      <c r="D1253" s="30" t="n"/>
      <c r="E1253" s="30" t="n"/>
      <c r="F1253" s="31" t="n"/>
      <c r="G1253" s="31" t="n"/>
      <c r="H1253" s="31" t="n"/>
      <c r="I1253" s="31" t="n"/>
    </row>
    <row r="1254" customFormat="1" s="26">
      <c r="A1254" s="31" t="n"/>
      <c r="B1254" s="29" t="n"/>
      <c r="C1254" s="30" t="n"/>
      <c r="D1254" s="30" t="n"/>
      <c r="E1254" s="30" t="n"/>
      <c r="F1254" s="31" t="n"/>
      <c r="G1254" s="31" t="n"/>
      <c r="H1254" s="31" t="n"/>
      <c r="I1254" s="31" t="n"/>
    </row>
    <row r="1255" customFormat="1" s="26">
      <c r="A1255" s="31" t="n"/>
      <c r="B1255" s="29" t="n"/>
      <c r="C1255" s="30" t="n"/>
      <c r="D1255" s="30" t="n"/>
      <c r="E1255" s="30" t="n"/>
      <c r="F1255" s="31" t="n"/>
      <c r="G1255" s="31" t="n"/>
      <c r="H1255" s="31" t="n"/>
      <c r="I1255" s="31" t="n"/>
    </row>
    <row r="1256" customFormat="1" s="26">
      <c r="A1256" s="31" t="n"/>
      <c r="B1256" s="29" t="n"/>
      <c r="C1256" s="30" t="n"/>
      <c r="D1256" s="30" t="n"/>
      <c r="E1256" s="30" t="n"/>
      <c r="F1256" s="31" t="n"/>
      <c r="G1256" s="31" t="n"/>
      <c r="H1256" s="31" t="n"/>
      <c r="I1256" s="31" t="n"/>
    </row>
    <row r="1257" customFormat="1" s="26">
      <c r="A1257" s="31" t="n"/>
      <c r="B1257" s="29" t="n"/>
      <c r="C1257" s="30" t="n"/>
      <c r="D1257" s="30" t="n"/>
      <c r="E1257" s="30" t="n"/>
      <c r="F1257" s="31" t="n"/>
      <c r="G1257" s="31" t="n"/>
      <c r="H1257" s="31" t="n"/>
      <c r="I1257" s="31" t="n"/>
    </row>
    <row r="1258" customFormat="1" s="26">
      <c r="A1258" s="31" t="n"/>
      <c r="B1258" s="29" t="n"/>
      <c r="C1258" s="30" t="n"/>
      <c r="D1258" s="30" t="n"/>
      <c r="E1258" s="30" t="n"/>
      <c r="F1258" s="31" t="n"/>
      <c r="G1258" s="31" t="n"/>
      <c r="H1258" s="31" t="n"/>
      <c r="I1258" s="31" t="n"/>
    </row>
    <row r="1259" customFormat="1" s="26">
      <c r="A1259" s="31" t="n"/>
      <c r="B1259" s="29" t="n"/>
      <c r="C1259" s="30" t="n"/>
      <c r="D1259" s="30" t="n"/>
      <c r="E1259" s="30" t="n"/>
      <c r="F1259" s="31" t="n"/>
      <c r="G1259" s="31" t="n"/>
      <c r="H1259" s="31" t="n"/>
      <c r="I1259" s="31" t="n"/>
    </row>
    <row r="1260" customFormat="1" s="26">
      <c r="A1260" s="31" t="n"/>
      <c r="B1260" s="29" t="n"/>
      <c r="C1260" s="30" t="n"/>
      <c r="D1260" s="30" t="n"/>
      <c r="E1260" s="30" t="n"/>
      <c r="F1260" s="31" t="n"/>
      <c r="G1260" s="31" t="n"/>
      <c r="H1260" s="31" t="n"/>
      <c r="I1260" s="31" t="n"/>
    </row>
    <row r="1261" customFormat="1" s="26">
      <c r="A1261" s="31" t="n"/>
      <c r="B1261" s="29" t="n"/>
      <c r="C1261" s="30" t="n"/>
      <c r="D1261" s="30" t="n"/>
      <c r="E1261" s="30" t="n"/>
      <c r="F1261" s="31" t="n"/>
      <c r="G1261" s="31" t="n"/>
      <c r="H1261" s="31" t="n"/>
      <c r="I1261" s="31" t="n"/>
    </row>
    <row r="1262" customFormat="1" s="26">
      <c r="A1262" s="31" t="n"/>
      <c r="B1262" s="29" t="n"/>
      <c r="C1262" s="30" t="n"/>
      <c r="D1262" s="30" t="n"/>
      <c r="E1262" s="30" t="n"/>
      <c r="F1262" s="31" t="n"/>
      <c r="G1262" s="31" t="n"/>
      <c r="H1262" s="31" t="n"/>
      <c r="I1262" s="31" t="n"/>
    </row>
    <row r="1263" customFormat="1" s="26">
      <c r="A1263" s="31" t="n"/>
      <c r="B1263" s="29" t="n"/>
      <c r="C1263" s="30" t="n"/>
      <c r="D1263" s="30" t="n"/>
      <c r="E1263" s="30" t="n"/>
      <c r="F1263" s="31" t="n"/>
      <c r="G1263" s="31" t="n"/>
      <c r="H1263" s="31" t="n"/>
      <c r="I1263" s="31" t="n"/>
    </row>
    <row r="1264" customFormat="1" s="26">
      <c r="A1264" s="31" t="n"/>
      <c r="B1264" s="29" t="n"/>
      <c r="C1264" s="30" t="n"/>
      <c r="D1264" s="30" t="n"/>
      <c r="E1264" s="30" t="n"/>
      <c r="F1264" s="31" t="n"/>
      <c r="G1264" s="31" t="n"/>
      <c r="H1264" s="31" t="n"/>
      <c r="I1264" s="31" t="n"/>
    </row>
    <row r="1265" customFormat="1" s="26">
      <c r="A1265" s="31" t="n"/>
      <c r="B1265" s="29" t="n"/>
      <c r="C1265" s="30" t="n"/>
      <c r="D1265" s="30" t="n"/>
      <c r="E1265" s="30" t="n"/>
      <c r="F1265" s="31" t="n"/>
      <c r="G1265" s="31" t="n"/>
      <c r="H1265" s="31" t="n"/>
      <c r="I1265" s="31" t="n"/>
    </row>
    <row r="1266" customFormat="1" s="26">
      <c r="A1266" s="31" t="n"/>
      <c r="B1266" s="29" t="n"/>
      <c r="C1266" s="30" t="n"/>
      <c r="D1266" s="30" t="n"/>
      <c r="E1266" s="30" t="n"/>
      <c r="F1266" s="31" t="n"/>
      <c r="G1266" s="31" t="n"/>
      <c r="H1266" s="31" t="n"/>
      <c r="I1266" s="31" t="n"/>
    </row>
    <row r="1267" customFormat="1" s="26">
      <c r="A1267" s="31" t="n"/>
      <c r="B1267" s="29" t="n"/>
      <c r="C1267" s="30" t="n"/>
      <c r="D1267" s="30" t="n"/>
      <c r="E1267" s="30" t="n"/>
      <c r="F1267" s="31" t="n"/>
      <c r="G1267" s="31" t="n"/>
      <c r="H1267" s="31" t="n"/>
      <c r="I1267" s="31" t="n"/>
    </row>
    <row r="1268" customFormat="1" s="26">
      <c r="A1268" s="31" t="n"/>
      <c r="B1268" s="29" t="n"/>
      <c r="C1268" s="30" t="n"/>
      <c r="D1268" s="30" t="n"/>
      <c r="E1268" s="30" t="n"/>
      <c r="F1268" s="31" t="n"/>
      <c r="G1268" s="31" t="n"/>
      <c r="H1268" s="31" t="n"/>
      <c r="I1268" s="31" t="n"/>
    </row>
    <row r="1269" customFormat="1" s="26">
      <c r="A1269" s="31" t="n"/>
      <c r="B1269" s="29" t="n"/>
      <c r="C1269" s="30" t="n"/>
      <c r="D1269" s="30" t="n"/>
      <c r="E1269" s="30" t="n"/>
      <c r="F1269" s="31" t="n"/>
      <c r="G1269" s="31" t="n"/>
      <c r="H1269" s="31" t="n"/>
      <c r="I1269" s="31" t="n"/>
    </row>
    <row r="1270" customFormat="1" s="26">
      <c r="A1270" s="31" t="n"/>
      <c r="B1270" s="29" t="n"/>
      <c r="C1270" s="30" t="n"/>
      <c r="D1270" s="30" t="n"/>
      <c r="E1270" s="30" t="n"/>
      <c r="F1270" s="31" t="n"/>
      <c r="G1270" s="31" t="n"/>
      <c r="H1270" s="31" t="n"/>
      <c r="I1270" s="31" t="n"/>
    </row>
    <row r="1271" customFormat="1" s="26">
      <c r="A1271" s="31" t="n"/>
      <c r="B1271" s="29" t="n"/>
      <c r="C1271" s="30" t="n"/>
      <c r="D1271" s="30" t="n"/>
      <c r="E1271" s="30" t="n"/>
      <c r="F1271" s="31" t="n"/>
      <c r="G1271" s="31" t="n"/>
      <c r="H1271" s="31" t="n"/>
      <c r="I1271" s="31" t="n"/>
    </row>
    <row r="1272" customFormat="1" s="26">
      <c r="A1272" s="31" t="n"/>
      <c r="B1272" s="29" t="n"/>
      <c r="C1272" s="30" t="n"/>
      <c r="D1272" s="30" t="n"/>
      <c r="E1272" s="30" t="n"/>
      <c r="F1272" s="31" t="n"/>
      <c r="G1272" s="31" t="n"/>
      <c r="H1272" s="31" t="n"/>
      <c r="I1272" s="31" t="n"/>
    </row>
    <row r="1273" customFormat="1" s="26">
      <c r="A1273" s="31" t="n"/>
      <c r="B1273" s="29" t="n"/>
      <c r="C1273" s="30" t="n"/>
      <c r="D1273" s="30" t="n"/>
      <c r="E1273" s="30" t="n"/>
      <c r="F1273" s="31" t="n"/>
      <c r="G1273" s="31" t="n"/>
      <c r="H1273" s="31" t="n"/>
      <c r="I1273" s="31" t="n"/>
    </row>
    <row r="1274" customFormat="1" s="26">
      <c r="A1274" s="31" t="n"/>
      <c r="B1274" s="29" t="n"/>
      <c r="C1274" s="30" t="n"/>
      <c r="D1274" s="30" t="n"/>
      <c r="E1274" s="30" t="n"/>
      <c r="F1274" s="31" t="n"/>
      <c r="G1274" s="31" t="n"/>
      <c r="H1274" s="31" t="n"/>
      <c r="I1274" s="31" t="n"/>
    </row>
    <row r="1275" customFormat="1" s="26">
      <c r="A1275" s="31" t="n"/>
      <c r="B1275" s="29" t="n"/>
      <c r="C1275" s="30" t="n"/>
      <c r="D1275" s="30" t="n"/>
      <c r="E1275" s="30" t="n"/>
      <c r="F1275" s="31" t="n"/>
      <c r="G1275" s="31" t="n"/>
      <c r="H1275" s="31" t="n"/>
      <c r="I1275" s="31" t="n"/>
    </row>
    <row r="1276" customFormat="1" s="26">
      <c r="A1276" s="31" t="n"/>
      <c r="B1276" s="29" t="n"/>
      <c r="C1276" s="30" t="n"/>
      <c r="D1276" s="30" t="n"/>
      <c r="E1276" s="30" t="n"/>
      <c r="F1276" s="31" t="n"/>
      <c r="G1276" s="31" t="n"/>
      <c r="H1276" s="31" t="n"/>
      <c r="I1276" s="31" t="n"/>
    </row>
    <row r="1277" customFormat="1" s="26">
      <c r="A1277" s="31" t="n"/>
      <c r="B1277" s="29" t="n"/>
      <c r="C1277" s="30" t="n"/>
      <c r="D1277" s="30" t="n"/>
      <c r="E1277" s="30" t="n"/>
      <c r="F1277" s="31" t="n"/>
      <c r="G1277" s="31" t="n"/>
      <c r="H1277" s="31" t="n"/>
      <c r="I1277" s="31" t="n"/>
    </row>
    <row r="1278" customFormat="1" s="26">
      <c r="A1278" s="31" t="n"/>
      <c r="B1278" s="29" t="n"/>
      <c r="C1278" s="30" t="n"/>
      <c r="D1278" s="30" t="n"/>
      <c r="E1278" s="30" t="n"/>
      <c r="F1278" s="31" t="n"/>
      <c r="G1278" s="31" t="n"/>
      <c r="H1278" s="31" t="n"/>
      <c r="I1278" s="31" t="n"/>
    </row>
    <row r="1279" customFormat="1" s="26">
      <c r="A1279" s="31" t="n"/>
      <c r="B1279" s="29" t="n"/>
      <c r="C1279" s="30" t="n"/>
      <c r="D1279" s="30" t="n"/>
      <c r="E1279" s="30" t="n"/>
      <c r="F1279" s="31" t="n"/>
      <c r="G1279" s="31" t="n"/>
      <c r="H1279" s="31" t="n"/>
      <c r="I1279" s="31" t="n"/>
    </row>
    <row r="1280" customFormat="1" s="26">
      <c r="A1280" s="31" t="n"/>
      <c r="B1280" s="29" t="n"/>
      <c r="C1280" s="30" t="n"/>
      <c r="D1280" s="30" t="n"/>
      <c r="E1280" s="30" t="n"/>
      <c r="F1280" s="31" t="n"/>
      <c r="G1280" s="31" t="n"/>
      <c r="H1280" s="31" t="n"/>
      <c r="I1280" s="31" t="n"/>
    </row>
    <row r="1281" customFormat="1" s="26">
      <c r="A1281" s="31" t="n"/>
      <c r="B1281" s="29" t="n"/>
      <c r="C1281" s="30" t="n"/>
      <c r="D1281" s="30" t="n"/>
      <c r="E1281" s="30" t="n"/>
      <c r="F1281" s="31" t="n"/>
      <c r="G1281" s="31" t="n"/>
      <c r="H1281" s="31" t="n"/>
      <c r="I1281" s="31" t="n"/>
    </row>
    <row r="1282" customFormat="1" s="26">
      <c r="A1282" s="31" t="n"/>
      <c r="B1282" s="29" t="n"/>
      <c r="C1282" s="30" t="n"/>
      <c r="D1282" s="30" t="n"/>
      <c r="E1282" s="30" t="n"/>
      <c r="F1282" s="31" t="n"/>
      <c r="G1282" s="31" t="n"/>
      <c r="H1282" s="31" t="n"/>
      <c r="I1282" s="31" t="n"/>
    </row>
    <row r="1283" customFormat="1" s="26">
      <c r="A1283" s="31" t="n"/>
      <c r="B1283" s="29" t="n"/>
      <c r="C1283" s="30" t="n"/>
      <c r="D1283" s="30" t="n"/>
      <c r="E1283" s="30" t="n"/>
      <c r="F1283" s="31" t="n"/>
      <c r="G1283" s="31" t="n"/>
      <c r="H1283" s="31" t="n"/>
      <c r="I1283" s="31" t="n"/>
    </row>
    <row r="1284" customFormat="1" s="26">
      <c r="A1284" s="31" t="n"/>
      <c r="B1284" s="29" t="n"/>
      <c r="C1284" s="30" t="n"/>
      <c r="D1284" s="30" t="n"/>
      <c r="E1284" s="30" t="n"/>
      <c r="F1284" s="31" t="n"/>
      <c r="G1284" s="31" t="n"/>
      <c r="H1284" s="31" t="n"/>
      <c r="I1284" s="31" t="n"/>
    </row>
    <row r="1285" customFormat="1" s="26">
      <c r="A1285" s="31" t="n"/>
      <c r="B1285" s="29" t="n"/>
      <c r="C1285" s="30" t="n"/>
      <c r="D1285" s="30" t="n"/>
      <c r="E1285" s="30" t="n"/>
      <c r="F1285" s="31" t="n"/>
      <c r="G1285" s="31" t="n"/>
      <c r="H1285" s="31" t="n"/>
      <c r="I1285" s="31" t="n"/>
    </row>
    <row r="1286" customFormat="1" s="26">
      <c r="A1286" s="31" t="n"/>
      <c r="B1286" s="29" t="n"/>
      <c r="C1286" s="30" t="n"/>
      <c r="D1286" s="30" t="n"/>
      <c r="E1286" s="30" t="n"/>
      <c r="F1286" s="31" t="n"/>
      <c r="G1286" s="31" t="n"/>
      <c r="H1286" s="31" t="n"/>
      <c r="I1286" s="31" t="n"/>
    </row>
    <row r="1287" customFormat="1" s="26">
      <c r="A1287" s="31" t="n"/>
      <c r="B1287" s="29" t="n"/>
      <c r="C1287" s="30" t="n"/>
      <c r="D1287" s="30" t="n"/>
      <c r="E1287" s="30" t="n"/>
      <c r="F1287" s="31" t="n"/>
      <c r="G1287" s="31" t="n"/>
      <c r="H1287" s="31" t="n"/>
      <c r="I1287" s="31" t="n"/>
    </row>
    <row r="1288" customFormat="1" s="26">
      <c r="A1288" s="31" t="n"/>
      <c r="B1288" s="29" t="n"/>
      <c r="C1288" s="30" t="n"/>
      <c r="D1288" s="30" t="n"/>
      <c r="E1288" s="30" t="n"/>
      <c r="F1288" s="31" t="n"/>
      <c r="G1288" s="31" t="n"/>
      <c r="H1288" s="31" t="n"/>
      <c r="I1288" s="31" t="n"/>
    </row>
    <row r="1289" customFormat="1" s="26">
      <c r="A1289" s="31" t="n"/>
      <c r="B1289" s="29" t="n"/>
      <c r="C1289" s="30" t="n"/>
      <c r="D1289" s="30" t="n"/>
      <c r="E1289" s="30" t="n"/>
      <c r="F1289" s="31" t="n"/>
      <c r="G1289" s="31" t="n"/>
      <c r="H1289" s="31" t="n"/>
      <c r="I1289" s="31" t="n"/>
    </row>
    <row r="1290" customFormat="1" s="26">
      <c r="A1290" s="31" t="n"/>
      <c r="B1290" s="29" t="n"/>
      <c r="C1290" s="30" t="n"/>
      <c r="D1290" s="30" t="n"/>
      <c r="E1290" s="30" t="n"/>
      <c r="F1290" s="31" t="n"/>
      <c r="G1290" s="31" t="n"/>
      <c r="H1290" s="31" t="n"/>
      <c r="I1290" s="31" t="n"/>
    </row>
    <row r="1291" customFormat="1" s="26">
      <c r="A1291" s="31" t="n"/>
      <c r="B1291" s="29" t="n"/>
      <c r="C1291" s="30" t="n"/>
      <c r="D1291" s="30" t="n"/>
      <c r="E1291" s="30" t="n"/>
      <c r="F1291" s="31" t="n"/>
      <c r="G1291" s="31" t="n"/>
      <c r="H1291" s="31" t="n"/>
      <c r="I1291" s="31" t="n"/>
    </row>
    <row r="1292" customFormat="1" s="26">
      <c r="A1292" s="31" t="n"/>
      <c r="B1292" s="29" t="n"/>
      <c r="C1292" s="30" t="n"/>
      <c r="D1292" s="30" t="n"/>
      <c r="E1292" s="30" t="n"/>
      <c r="F1292" s="31" t="n"/>
      <c r="G1292" s="31" t="n"/>
      <c r="H1292" s="31" t="n"/>
      <c r="I1292" s="31" t="n"/>
    </row>
    <row r="1293" customFormat="1" s="26">
      <c r="A1293" s="31" t="n"/>
      <c r="B1293" s="29" t="n"/>
      <c r="C1293" s="30" t="n"/>
      <c r="D1293" s="30" t="n"/>
      <c r="E1293" s="30" t="n"/>
      <c r="F1293" s="31" t="n"/>
      <c r="G1293" s="31" t="n"/>
      <c r="H1293" s="31" t="n"/>
      <c r="I1293" s="31" t="n"/>
    </row>
    <row r="1294" customFormat="1" s="26">
      <c r="A1294" s="31" t="n"/>
      <c r="B1294" s="29" t="n"/>
      <c r="C1294" s="30" t="n"/>
      <c r="D1294" s="30" t="n"/>
      <c r="E1294" s="30" t="n"/>
      <c r="F1294" s="31" t="n"/>
      <c r="G1294" s="31" t="n"/>
      <c r="H1294" s="31" t="n"/>
      <c r="I1294" s="31" t="n"/>
    </row>
    <row r="1295" customFormat="1" s="26">
      <c r="A1295" s="31" t="n"/>
      <c r="B1295" s="29" t="n"/>
      <c r="C1295" s="30" t="n"/>
      <c r="D1295" s="30" t="n"/>
      <c r="E1295" s="30" t="n"/>
      <c r="F1295" s="31" t="n"/>
      <c r="G1295" s="31" t="n"/>
      <c r="H1295" s="31" t="n"/>
      <c r="I1295" s="31" t="n"/>
    </row>
    <row r="1296" customFormat="1" s="26">
      <c r="A1296" s="31" t="n"/>
      <c r="B1296" s="29" t="n"/>
      <c r="C1296" s="30" t="n"/>
      <c r="D1296" s="30" t="n"/>
      <c r="E1296" s="30" t="n"/>
      <c r="F1296" s="31" t="n"/>
      <c r="G1296" s="31" t="n"/>
      <c r="H1296" s="31" t="n"/>
      <c r="I1296" s="31" t="n"/>
    </row>
    <row r="1297" customFormat="1" s="26">
      <c r="A1297" s="31" t="n"/>
      <c r="B1297" s="29" t="n"/>
      <c r="C1297" s="30" t="n"/>
      <c r="D1297" s="30" t="n"/>
      <c r="E1297" s="30" t="n"/>
      <c r="F1297" s="31" t="n"/>
      <c r="G1297" s="31" t="n"/>
      <c r="H1297" s="31" t="n"/>
      <c r="I1297" s="31" t="n"/>
    </row>
    <row r="1298" customFormat="1" s="26">
      <c r="A1298" s="31" t="n"/>
      <c r="B1298" s="29" t="n"/>
      <c r="C1298" s="30" t="n"/>
      <c r="D1298" s="30" t="n"/>
      <c r="E1298" s="30" t="n"/>
      <c r="F1298" s="31" t="n"/>
      <c r="G1298" s="31" t="n"/>
      <c r="H1298" s="31" t="n"/>
      <c r="I1298" s="31" t="n"/>
    </row>
    <row r="1299" customFormat="1" s="26">
      <c r="A1299" s="31" t="n"/>
      <c r="B1299" s="29" t="n"/>
      <c r="C1299" s="30" t="n"/>
      <c r="D1299" s="30" t="n"/>
      <c r="E1299" s="30" t="n"/>
      <c r="F1299" s="31" t="n"/>
      <c r="G1299" s="31" t="n"/>
      <c r="H1299" s="31" t="n"/>
      <c r="I1299" s="31" t="n"/>
    </row>
    <row r="1300" customFormat="1" s="26">
      <c r="A1300" s="31" t="n"/>
      <c r="B1300" s="29" t="n"/>
      <c r="C1300" s="30" t="n"/>
      <c r="D1300" s="30" t="n"/>
      <c r="E1300" s="30" t="n"/>
      <c r="F1300" s="31" t="n"/>
      <c r="G1300" s="31" t="n"/>
      <c r="H1300" s="31" t="n"/>
      <c r="I1300" s="31" t="n"/>
    </row>
    <row r="1301" customFormat="1" s="26">
      <c r="A1301" s="31" t="n"/>
      <c r="B1301" s="29" t="n"/>
      <c r="C1301" s="30" t="n"/>
      <c r="D1301" s="30" t="n"/>
      <c r="E1301" s="30" t="n"/>
      <c r="F1301" s="31" t="n"/>
      <c r="G1301" s="31" t="n"/>
      <c r="H1301" s="31" t="n"/>
      <c r="I1301" s="31" t="n"/>
    </row>
    <row r="1302" customFormat="1" s="26">
      <c r="A1302" s="31" t="n"/>
      <c r="B1302" s="29" t="n"/>
      <c r="C1302" s="30" t="n"/>
      <c r="D1302" s="30" t="n"/>
      <c r="E1302" s="30" t="n"/>
      <c r="F1302" s="31" t="n"/>
      <c r="G1302" s="31" t="n"/>
      <c r="H1302" s="31" t="n"/>
      <c r="I1302" s="31" t="n"/>
    </row>
    <row r="1303" customFormat="1" s="26">
      <c r="A1303" s="31" t="n"/>
      <c r="B1303" s="29" t="n"/>
      <c r="C1303" s="30" t="n"/>
      <c r="D1303" s="30" t="n"/>
      <c r="E1303" s="30" t="n"/>
      <c r="F1303" s="31" t="n"/>
      <c r="G1303" s="31" t="n"/>
      <c r="H1303" s="31" t="n"/>
      <c r="I1303" s="31" t="n"/>
    </row>
    <row r="1304" customFormat="1" s="26">
      <c r="A1304" s="31" t="n"/>
      <c r="B1304" s="29" t="n"/>
      <c r="C1304" s="30" t="n"/>
      <c r="D1304" s="30" t="n"/>
      <c r="E1304" s="30" t="n"/>
      <c r="F1304" s="31" t="n"/>
      <c r="G1304" s="31" t="n"/>
      <c r="H1304" s="31" t="n"/>
      <c r="I1304" s="31" t="n"/>
    </row>
    <row r="1305" customFormat="1" s="26">
      <c r="A1305" s="31" t="n"/>
      <c r="B1305" s="29" t="n"/>
      <c r="C1305" s="30" t="n"/>
      <c r="D1305" s="30" t="n"/>
      <c r="E1305" s="30" t="n"/>
      <c r="F1305" s="31" t="n"/>
      <c r="G1305" s="31" t="n"/>
      <c r="H1305" s="31" t="n"/>
      <c r="I1305" s="31" t="n"/>
    </row>
    <row r="1306" customFormat="1" s="26">
      <c r="A1306" s="31" t="n"/>
      <c r="B1306" s="29" t="n"/>
      <c r="C1306" s="30" t="n"/>
      <c r="D1306" s="30" t="n"/>
      <c r="E1306" s="30" t="n"/>
      <c r="F1306" s="31" t="n"/>
      <c r="G1306" s="31" t="n"/>
      <c r="H1306" s="31" t="n"/>
      <c r="I1306" s="31" t="n"/>
    </row>
    <row r="1307" customFormat="1" s="26">
      <c r="A1307" s="31" t="n"/>
      <c r="B1307" s="29" t="n"/>
      <c r="C1307" s="30" t="n"/>
      <c r="D1307" s="30" t="n"/>
      <c r="E1307" s="30" t="n"/>
      <c r="F1307" s="31" t="n"/>
      <c r="G1307" s="31" t="n"/>
      <c r="H1307" s="31" t="n"/>
      <c r="I1307" s="31" t="n"/>
    </row>
    <row r="1308" customFormat="1" s="26">
      <c r="A1308" s="31" t="n"/>
      <c r="B1308" s="29" t="n"/>
      <c r="C1308" s="30" t="n"/>
      <c r="D1308" s="30" t="n"/>
      <c r="E1308" s="30" t="n"/>
      <c r="F1308" s="31" t="n"/>
      <c r="G1308" s="31" t="n"/>
      <c r="H1308" s="31" t="n"/>
      <c r="I1308" s="31" t="n"/>
    </row>
    <row r="1309" customFormat="1" s="26">
      <c r="A1309" s="31" t="n"/>
      <c r="B1309" s="29" t="n"/>
      <c r="C1309" s="30" t="n"/>
      <c r="D1309" s="30" t="n"/>
      <c r="E1309" s="30" t="n"/>
      <c r="F1309" s="31" t="n"/>
      <c r="G1309" s="31" t="n"/>
      <c r="H1309" s="31" t="n"/>
      <c r="I1309" s="31" t="n"/>
    </row>
    <row r="1310" customFormat="1" s="26">
      <c r="A1310" s="31" t="n"/>
      <c r="B1310" s="29" t="n"/>
      <c r="C1310" s="30" t="n"/>
      <c r="D1310" s="30" t="n"/>
      <c r="E1310" s="30" t="n"/>
      <c r="F1310" s="31" t="n"/>
      <c r="G1310" s="31" t="n"/>
      <c r="H1310" s="31" t="n"/>
      <c r="I1310" s="31" t="n"/>
    </row>
    <row r="1311" customFormat="1" s="26">
      <c r="A1311" s="31" t="n"/>
      <c r="B1311" s="29" t="n"/>
      <c r="C1311" s="30" t="n"/>
      <c r="D1311" s="30" t="n"/>
      <c r="E1311" s="30" t="n"/>
      <c r="F1311" s="31" t="n"/>
      <c r="G1311" s="31" t="n"/>
      <c r="H1311" s="31" t="n"/>
      <c r="I1311" s="31" t="n"/>
    </row>
    <row r="1312" customFormat="1" s="26">
      <c r="A1312" s="31" t="n"/>
      <c r="B1312" s="29" t="n"/>
      <c r="C1312" s="30" t="n"/>
      <c r="D1312" s="30" t="n"/>
      <c r="E1312" s="30" t="n"/>
      <c r="F1312" s="31" t="n"/>
      <c r="G1312" s="31" t="n"/>
      <c r="H1312" s="31" t="n"/>
      <c r="I1312" s="31" t="n"/>
    </row>
    <row r="1313" customFormat="1" s="26">
      <c r="A1313" s="31" t="n"/>
      <c r="B1313" s="29" t="n"/>
      <c r="C1313" s="30" t="n"/>
      <c r="D1313" s="30" t="n"/>
      <c r="E1313" s="30" t="n"/>
      <c r="F1313" s="31" t="n"/>
      <c r="G1313" s="31" t="n"/>
      <c r="H1313" s="31" t="n"/>
      <c r="I1313" s="31" t="n"/>
    </row>
    <row r="1314" customFormat="1" s="26">
      <c r="A1314" s="31" t="n"/>
      <c r="B1314" s="29" t="n"/>
      <c r="C1314" s="30" t="n"/>
      <c r="D1314" s="30" t="n"/>
      <c r="E1314" s="30" t="n"/>
      <c r="F1314" s="31" t="n"/>
      <c r="G1314" s="31" t="n"/>
      <c r="H1314" s="31" t="n"/>
      <c r="I1314" s="31" t="n"/>
    </row>
    <row r="1315" customFormat="1" s="26">
      <c r="A1315" s="31" t="n"/>
      <c r="B1315" s="29" t="n"/>
      <c r="C1315" s="30" t="n"/>
      <c r="D1315" s="30" t="n"/>
      <c r="E1315" s="30" t="n"/>
      <c r="F1315" s="31" t="n"/>
      <c r="G1315" s="31" t="n"/>
      <c r="H1315" s="31" t="n"/>
      <c r="I1315" s="31" t="n"/>
    </row>
    <row r="1316" customFormat="1" s="26">
      <c r="A1316" s="31" t="n"/>
      <c r="B1316" s="29" t="n"/>
      <c r="C1316" s="30" t="n"/>
      <c r="D1316" s="30" t="n"/>
      <c r="E1316" s="30" t="n"/>
      <c r="F1316" s="31" t="n"/>
      <c r="G1316" s="31" t="n"/>
      <c r="H1316" s="31" t="n"/>
      <c r="I1316" s="31" t="n"/>
    </row>
    <row r="1317" customFormat="1" s="26">
      <c r="A1317" s="31" t="n"/>
      <c r="B1317" s="29" t="n"/>
      <c r="C1317" s="30" t="n"/>
      <c r="D1317" s="30" t="n"/>
      <c r="E1317" s="30" t="n"/>
      <c r="F1317" s="31" t="n"/>
      <c r="G1317" s="31" t="n"/>
      <c r="H1317" s="31" t="n"/>
      <c r="I1317" s="31" t="n"/>
    </row>
    <row r="1318" customFormat="1" s="26">
      <c r="A1318" s="31" t="n"/>
      <c r="B1318" s="29" t="n"/>
      <c r="C1318" s="30" t="n"/>
      <c r="D1318" s="30" t="n"/>
      <c r="E1318" s="30" t="n"/>
      <c r="F1318" s="31" t="n"/>
      <c r="G1318" s="31" t="n"/>
      <c r="H1318" s="31" t="n"/>
      <c r="I1318" s="31" t="n"/>
    </row>
    <row r="1319" customFormat="1" s="26">
      <c r="A1319" s="31" t="n"/>
      <c r="B1319" s="29" t="n"/>
      <c r="C1319" s="30" t="n"/>
      <c r="D1319" s="30" t="n"/>
      <c r="E1319" s="30" t="n"/>
      <c r="F1319" s="31" t="n"/>
      <c r="G1319" s="31" t="n"/>
      <c r="H1319" s="31" t="n"/>
      <c r="I1319" s="31" t="n"/>
    </row>
    <row r="1320" customFormat="1" s="26">
      <c r="A1320" s="31" t="n"/>
      <c r="B1320" s="29" t="n"/>
      <c r="C1320" s="30" t="n"/>
      <c r="D1320" s="30" t="n"/>
      <c r="E1320" s="30" t="n"/>
      <c r="F1320" s="31" t="n"/>
      <c r="G1320" s="31" t="n"/>
      <c r="H1320" s="31" t="n"/>
      <c r="I1320" s="31" t="n"/>
    </row>
    <row r="1321" customFormat="1" s="26">
      <c r="A1321" s="31" t="n"/>
      <c r="B1321" s="29" t="n"/>
      <c r="C1321" s="30" t="n"/>
      <c r="D1321" s="30" t="n"/>
      <c r="E1321" s="30" t="n"/>
      <c r="F1321" s="31" t="n"/>
      <c r="G1321" s="31" t="n"/>
      <c r="H1321" s="31" t="n"/>
      <c r="I1321" s="31" t="n"/>
    </row>
    <row r="1322" customFormat="1" s="26">
      <c r="A1322" s="31" t="n"/>
      <c r="B1322" s="29" t="n"/>
      <c r="C1322" s="30" t="n"/>
      <c r="D1322" s="30" t="n"/>
      <c r="E1322" s="30" t="n"/>
      <c r="F1322" s="31" t="n"/>
      <c r="G1322" s="31" t="n"/>
      <c r="H1322" s="31" t="n"/>
      <c r="I1322" s="31" t="n"/>
    </row>
    <row r="1323" customFormat="1" s="26">
      <c r="A1323" s="31" t="n"/>
      <c r="B1323" s="29" t="n"/>
      <c r="C1323" s="30" t="n"/>
      <c r="D1323" s="30" t="n"/>
      <c r="E1323" s="30" t="n"/>
      <c r="F1323" s="31" t="n"/>
      <c r="G1323" s="31" t="n"/>
      <c r="H1323" s="31" t="n"/>
      <c r="I1323" s="31" t="n"/>
    </row>
    <row r="1324" customFormat="1" s="26">
      <c r="A1324" s="31" t="n"/>
      <c r="B1324" s="29" t="n"/>
      <c r="C1324" s="30" t="n"/>
      <c r="D1324" s="30" t="n"/>
      <c r="E1324" s="30" t="n"/>
      <c r="F1324" s="31" t="n"/>
      <c r="G1324" s="31" t="n"/>
      <c r="H1324" s="31" t="n"/>
      <c r="I1324" s="31" t="n"/>
    </row>
    <row r="1325" customFormat="1" s="26">
      <c r="A1325" s="31" t="n"/>
      <c r="B1325" s="29" t="n"/>
      <c r="C1325" s="30" t="n"/>
      <c r="D1325" s="30" t="n"/>
      <c r="E1325" s="30" t="n"/>
      <c r="F1325" s="31" t="n"/>
      <c r="G1325" s="31" t="n"/>
      <c r="H1325" s="31" t="n"/>
      <c r="I1325" s="31" t="n"/>
    </row>
    <row r="1326" customFormat="1" s="26">
      <c r="A1326" s="31" t="n"/>
      <c r="B1326" s="29" t="n"/>
      <c r="C1326" s="30" t="n"/>
      <c r="D1326" s="30" t="n"/>
      <c r="E1326" s="30" t="n"/>
      <c r="F1326" s="31" t="n"/>
      <c r="G1326" s="31" t="n"/>
      <c r="H1326" s="31" t="n"/>
      <c r="I1326" s="31" t="n"/>
    </row>
    <row r="1327" customFormat="1" s="26">
      <c r="A1327" s="31" t="n"/>
      <c r="B1327" s="29" t="n"/>
      <c r="C1327" s="30" t="n"/>
      <c r="D1327" s="30" t="n"/>
      <c r="E1327" s="30" t="n"/>
      <c r="F1327" s="31" t="n"/>
      <c r="G1327" s="31" t="n"/>
      <c r="H1327" s="31" t="n"/>
      <c r="I1327" s="31" t="n"/>
    </row>
    <row r="1328" customFormat="1" s="26">
      <c r="A1328" s="31" t="n"/>
      <c r="B1328" s="29" t="n"/>
      <c r="C1328" s="30" t="n"/>
      <c r="D1328" s="30" t="n"/>
      <c r="E1328" s="30" t="n"/>
      <c r="F1328" s="31" t="n"/>
      <c r="G1328" s="31" t="n"/>
      <c r="H1328" s="31" t="n"/>
      <c r="I1328" s="31" t="n"/>
    </row>
    <row r="1329" customFormat="1" s="26">
      <c r="A1329" s="31" t="n"/>
      <c r="B1329" s="29" t="n"/>
      <c r="C1329" s="30" t="n"/>
      <c r="D1329" s="30" t="n"/>
      <c r="E1329" s="30" t="n"/>
      <c r="F1329" s="31" t="n"/>
      <c r="G1329" s="31" t="n"/>
      <c r="H1329" s="31" t="n"/>
      <c r="I1329" s="31" t="n"/>
    </row>
    <row r="1330" customFormat="1" s="26">
      <c r="A1330" s="31" t="n"/>
      <c r="B1330" s="29" t="n"/>
      <c r="C1330" s="30" t="n"/>
      <c r="D1330" s="30" t="n"/>
      <c r="E1330" s="30" t="n"/>
      <c r="F1330" s="31" t="n"/>
      <c r="G1330" s="31" t="n"/>
      <c r="H1330" s="31" t="n"/>
      <c r="I1330" s="31" t="n"/>
    </row>
    <row r="1331" customFormat="1" s="26">
      <c r="A1331" s="31" t="n"/>
      <c r="B1331" s="29" t="n"/>
      <c r="C1331" s="30" t="n"/>
      <c r="D1331" s="30" t="n"/>
      <c r="E1331" s="30" t="n"/>
      <c r="F1331" s="31" t="n"/>
      <c r="G1331" s="31" t="n"/>
      <c r="H1331" s="31" t="n"/>
      <c r="I1331" s="31" t="n"/>
    </row>
    <row r="1332" customFormat="1" s="26">
      <c r="A1332" s="31" t="n"/>
      <c r="B1332" s="29" t="n"/>
      <c r="C1332" s="30" t="n"/>
      <c r="D1332" s="30" t="n"/>
      <c r="E1332" s="30" t="n"/>
      <c r="F1332" s="31" t="n"/>
      <c r="G1332" s="31" t="n"/>
      <c r="H1332" s="31" t="n"/>
      <c r="I1332" s="31" t="n"/>
    </row>
    <row r="1333" customFormat="1" s="26">
      <c r="A1333" s="31" t="n"/>
      <c r="B1333" s="29" t="n"/>
      <c r="C1333" s="30" t="n"/>
      <c r="D1333" s="30" t="n"/>
      <c r="E1333" s="30" t="n"/>
      <c r="F1333" s="31" t="n"/>
      <c r="G1333" s="31" t="n"/>
      <c r="H1333" s="31" t="n"/>
      <c r="I1333" s="31" t="n"/>
    </row>
    <row r="1334" customFormat="1" s="26">
      <c r="A1334" s="31" t="n"/>
      <c r="B1334" s="29" t="n"/>
      <c r="C1334" s="30" t="n"/>
      <c r="D1334" s="30" t="n"/>
      <c r="E1334" s="30" t="n"/>
      <c r="F1334" s="31" t="n"/>
      <c r="G1334" s="31" t="n"/>
      <c r="H1334" s="31" t="n"/>
      <c r="I1334" s="31" t="n"/>
    </row>
    <row r="1335" customFormat="1" s="26">
      <c r="A1335" s="31" t="n"/>
      <c r="B1335" s="29" t="n"/>
      <c r="C1335" s="30" t="n"/>
      <c r="D1335" s="30" t="n"/>
      <c r="E1335" s="30" t="n"/>
      <c r="F1335" s="31" t="n"/>
      <c r="G1335" s="31" t="n"/>
      <c r="H1335" s="31" t="n"/>
      <c r="I1335" s="31" t="n"/>
    </row>
    <row r="1336" customFormat="1" s="26">
      <c r="A1336" s="31" t="n"/>
      <c r="B1336" s="29" t="n"/>
      <c r="C1336" s="30" t="n"/>
      <c r="D1336" s="30" t="n"/>
      <c r="E1336" s="30" t="n"/>
      <c r="F1336" s="31" t="n"/>
      <c r="G1336" s="31" t="n"/>
      <c r="H1336" s="31" t="n"/>
      <c r="I1336" s="31" t="n"/>
    </row>
    <row r="1337" customFormat="1" s="26">
      <c r="A1337" s="31" t="n"/>
      <c r="B1337" s="29" t="n"/>
      <c r="C1337" s="30" t="n"/>
      <c r="D1337" s="30" t="n"/>
      <c r="E1337" s="30" t="n"/>
      <c r="F1337" s="31" t="n"/>
      <c r="G1337" s="31" t="n"/>
      <c r="H1337" s="31" t="n"/>
      <c r="I1337" s="31" t="n"/>
    </row>
    <row r="1338" customFormat="1" s="26">
      <c r="A1338" s="31" t="n"/>
      <c r="B1338" s="29" t="n"/>
      <c r="C1338" s="30" t="n"/>
      <c r="D1338" s="30" t="n"/>
      <c r="E1338" s="30" t="n"/>
      <c r="F1338" s="31" t="n"/>
      <c r="G1338" s="31" t="n"/>
      <c r="H1338" s="31" t="n"/>
      <c r="I1338" s="31" t="n"/>
    </row>
    <row r="1339" customFormat="1" s="26">
      <c r="A1339" s="31" t="n"/>
      <c r="B1339" s="29" t="n"/>
      <c r="C1339" s="30" t="n"/>
      <c r="D1339" s="30" t="n"/>
      <c r="E1339" s="30" t="n"/>
      <c r="F1339" s="31" t="n"/>
      <c r="G1339" s="31" t="n"/>
      <c r="H1339" s="31" t="n"/>
      <c r="I1339" s="31" t="n"/>
    </row>
    <row r="1340" customFormat="1" s="26">
      <c r="A1340" s="31" t="n"/>
      <c r="B1340" s="29" t="n"/>
      <c r="C1340" s="30" t="n"/>
      <c r="D1340" s="30" t="n"/>
      <c r="E1340" s="30" t="n"/>
      <c r="F1340" s="31" t="n"/>
      <c r="G1340" s="31" t="n"/>
      <c r="H1340" s="31" t="n"/>
      <c r="I1340" s="31" t="n"/>
    </row>
    <row r="1341" customFormat="1" s="26">
      <c r="A1341" s="31" t="n"/>
      <c r="B1341" s="29" t="n"/>
      <c r="C1341" s="30" t="n"/>
      <c r="D1341" s="30" t="n"/>
      <c r="E1341" s="30" t="n"/>
      <c r="F1341" s="31" t="n"/>
      <c r="G1341" s="31" t="n"/>
      <c r="H1341" s="31" t="n"/>
      <c r="I1341" s="31" t="n"/>
    </row>
    <row r="1342" customFormat="1" s="26">
      <c r="A1342" s="31" t="n"/>
      <c r="B1342" s="29" t="n"/>
      <c r="C1342" s="30" t="n"/>
      <c r="D1342" s="30" t="n"/>
      <c r="E1342" s="30" t="n"/>
      <c r="F1342" s="31" t="n"/>
      <c r="G1342" s="31" t="n"/>
      <c r="H1342" s="31" t="n"/>
      <c r="I1342" s="31" t="n"/>
    </row>
    <row r="1343" customFormat="1" s="26">
      <c r="A1343" s="31" t="n"/>
      <c r="B1343" s="29" t="n"/>
      <c r="C1343" s="30" t="n"/>
      <c r="D1343" s="30" t="n"/>
      <c r="E1343" s="30" t="n"/>
      <c r="F1343" s="31" t="n"/>
      <c r="G1343" s="31" t="n"/>
      <c r="H1343" s="31" t="n"/>
      <c r="I1343" s="31" t="n"/>
    </row>
    <row r="1344" customFormat="1" s="26">
      <c r="A1344" s="31" t="n"/>
      <c r="B1344" s="29" t="n"/>
      <c r="C1344" s="30" t="n"/>
      <c r="D1344" s="30" t="n"/>
      <c r="E1344" s="30" t="n"/>
      <c r="F1344" s="31" t="n"/>
      <c r="G1344" s="31" t="n"/>
      <c r="H1344" s="31" t="n"/>
      <c r="I1344" s="31" t="n"/>
    </row>
    <row r="1345" customFormat="1" s="26">
      <c r="A1345" s="31" t="n"/>
      <c r="B1345" s="29" t="n"/>
      <c r="C1345" s="30" t="n"/>
      <c r="D1345" s="30" t="n"/>
      <c r="E1345" s="30" t="n"/>
      <c r="F1345" s="31" t="n"/>
      <c r="G1345" s="31" t="n"/>
      <c r="H1345" s="31" t="n"/>
      <c r="I1345" s="31" t="n"/>
    </row>
    <row r="1346" customFormat="1" s="26">
      <c r="A1346" s="31" t="n"/>
      <c r="B1346" s="29" t="n"/>
      <c r="C1346" s="30" t="n"/>
      <c r="D1346" s="30" t="n"/>
      <c r="E1346" s="30" t="n"/>
      <c r="F1346" s="31" t="n"/>
      <c r="G1346" s="31" t="n"/>
      <c r="H1346" s="31" t="n"/>
      <c r="I1346" s="31" t="n"/>
    </row>
    <row r="1347" customFormat="1" s="26">
      <c r="A1347" s="31" t="n"/>
      <c r="B1347" s="29" t="n"/>
      <c r="C1347" s="30" t="n"/>
      <c r="D1347" s="30" t="n"/>
      <c r="E1347" s="30" t="n"/>
      <c r="F1347" s="31" t="n"/>
      <c r="G1347" s="31" t="n"/>
      <c r="H1347" s="31" t="n"/>
      <c r="I1347" s="31" t="n"/>
    </row>
    <row r="1348" customFormat="1" s="26">
      <c r="A1348" s="31" t="n"/>
      <c r="B1348" s="29" t="n"/>
      <c r="C1348" s="30" t="n"/>
      <c r="D1348" s="30" t="n"/>
      <c r="E1348" s="30" t="n"/>
      <c r="F1348" s="31" t="n"/>
      <c r="G1348" s="31" t="n"/>
      <c r="H1348" s="31" t="n"/>
      <c r="I1348" s="31" t="n"/>
    </row>
    <row r="1349" customFormat="1" s="26">
      <c r="A1349" s="31" t="n"/>
      <c r="B1349" s="29" t="n"/>
      <c r="C1349" s="30" t="n"/>
      <c r="D1349" s="30" t="n"/>
      <c r="E1349" s="30" t="n"/>
      <c r="F1349" s="31" t="n"/>
      <c r="G1349" s="31" t="n"/>
      <c r="H1349" s="31" t="n"/>
      <c r="I1349" s="31" t="n"/>
    </row>
    <row r="1350" customFormat="1" s="26">
      <c r="A1350" s="31" t="n"/>
      <c r="B1350" s="29" t="n"/>
      <c r="C1350" s="30" t="n"/>
      <c r="D1350" s="30" t="n"/>
      <c r="E1350" s="30" t="n"/>
      <c r="F1350" s="31" t="n"/>
      <c r="G1350" s="31" t="n"/>
      <c r="H1350" s="31" t="n"/>
      <c r="I1350" s="31" t="n"/>
    </row>
    <row r="1351" customFormat="1" s="26">
      <c r="A1351" s="31" t="n"/>
      <c r="B1351" s="29" t="n"/>
      <c r="C1351" s="30" t="n"/>
      <c r="D1351" s="30" t="n"/>
      <c r="E1351" s="30" t="n"/>
      <c r="F1351" s="31" t="n"/>
      <c r="G1351" s="31" t="n"/>
      <c r="H1351" s="31" t="n"/>
      <c r="I1351" s="31" t="n"/>
    </row>
    <row r="1352" customFormat="1" s="26">
      <c r="A1352" s="31" t="n"/>
      <c r="B1352" s="29" t="n"/>
      <c r="C1352" s="30" t="n"/>
      <c r="D1352" s="30" t="n"/>
      <c r="E1352" s="30" t="n"/>
      <c r="F1352" s="31" t="n"/>
      <c r="G1352" s="31" t="n"/>
      <c r="H1352" s="31" t="n"/>
      <c r="I1352" s="31" t="n"/>
    </row>
    <row r="1353" customFormat="1" s="26">
      <c r="A1353" s="31" t="n"/>
      <c r="B1353" s="29" t="n"/>
      <c r="C1353" s="30" t="n"/>
      <c r="D1353" s="30" t="n"/>
      <c r="E1353" s="30" t="n"/>
      <c r="F1353" s="31" t="n"/>
      <c r="G1353" s="31" t="n"/>
      <c r="H1353" s="31" t="n"/>
      <c r="I1353" s="31" t="n"/>
    </row>
    <row r="1354" customFormat="1" s="26">
      <c r="A1354" s="31" t="n"/>
      <c r="B1354" s="29" t="n"/>
      <c r="C1354" s="30" t="n"/>
      <c r="D1354" s="30" t="n"/>
      <c r="E1354" s="30" t="n"/>
      <c r="F1354" s="31" t="n"/>
      <c r="G1354" s="31" t="n"/>
      <c r="H1354" s="31" t="n"/>
      <c r="I1354" s="31" t="n"/>
    </row>
    <row r="1355" customFormat="1" s="26">
      <c r="A1355" s="31" t="n"/>
      <c r="B1355" s="29" t="n"/>
      <c r="C1355" s="30" t="n"/>
      <c r="D1355" s="30" t="n"/>
      <c r="E1355" s="30" t="n"/>
      <c r="F1355" s="31" t="n"/>
      <c r="G1355" s="31" t="n"/>
      <c r="H1355" s="31" t="n"/>
      <c r="I1355" s="31" t="n"/>
    </row>
    <row r="1356" customFormat="1" s="26">
      <c r="A1356" s="31" t="n"/>
      <c r="B1356" s="29" t="n"/>
      <c r="C1356" s="30" t="n"/>
      <c r="D1356" s="30" t="n"/>
      <c r="E1356" s="30" t="n"/>
      <c r="F1356" s="31" t="n"/>
      <c r="G1356" s="31" t="n"/>
      <c r="H1356" s="31" t="n"/>
      <c r="I1356" s="31" t="n"/>
    </row>
    <row r="1357" customFormat="1" s="26">
      <c r="A1357" s="31" t="n"/>
      <c r="B1357" s="29" t="n"/>
      <c r="C1357" s="30" t="n"/>
      <c r="D1357" s="30" t="n"/>
      <c r="E1357" s="30" t="n"/>
      <c r="F1357" s="31" t="n"/>
      <c r="G1357" s="31" t="n"/>
      <c r="H1357" s="31" t="n"/>
      <c r="I1357" s="31" t="n"/>
    </row>
    <row r="1358" customFormat="1" s="26">
      <c r="A1358" s="31" t="n"/>
      <c r="B1358" s="29" t="n"/>
      <c r="C1358" s="30" t="n"/>
      <c r="D1358" s="30" t="n"/>
      <c r="E1358" s="30" t="n"/>
      <c r="F1358" s="31" t="n"/>
      <c r="G1358" s="31" t="n"/>
      <c r="H1358" s="31" t="n"/>
      <c r="I1358" s="31" t="n"/>
    </row>
    <row r="1359" customFormat="1" s="26">
      <c r="A1359" s="31" t="n"/>
      <c r="B1359" s="29" t="n"/>
      <c r="C1359" s="30" t="n"/>
      <c r="D1359" s="30" t="n"/>
      <c r="E1359" s="30" t="n"/>
      <c r="F1359" s="31" t="n"/>
      <c r="G1359" s="31" t="n"/>
      <c r="H1359" s="31" t="n"/>
      <c r="I1359" s="31" t="n"/>
    </row>
    <row r="1360" customFormat="1" s="26">
      <c r="A1360" s="31" t="n"/>
      <c r="B1360" s="29" t="n"/>
      <c r="C1360" s="30" t="n"/>
      <c r="D1360" s="30" t="n"/>
      <c r="E1360" s="30" t="n"/>
      <c r="F1360" s="31" t="n"/>
      <c r="G1360" s="31" t="n"/>
      <c r="H1360" s="31" t="n"/>
      <c r="I1360" s="31" t="n"/>
    </row>
    <row r="1361" customFormat="1" s="26">
      <c r="A1361" s="31" t="n"/>
      <c r="B1361" s="29" t="n"/>
      <c r="C1361" s="30" t="n"/>
      <c r="D1361" s="30" t="n"/>
      <c r="E1361" s="30" t="n"/>
      <c r="F1361" s="31" t="n"/>
      <c r="G1361" s="31" t="n"/>
      <c r="H1361" s="31" t="n"/>
      <c r="I1361" s="31" t="n"/>
    </row>
    <row r="1362" customFormat="1" s="26">
      <c r="A1362" s="31" t="n"/>
      <c r="B1362" s="29" t="n"/>
      <c r="C1362" s="30" t="n"/>
      <c r="D1362" s="30" t="n"/>
      <c r="E1362" s="30" t="n"/>
      <c r="F1362" s="31" t="n"/>
      <c r="G1362" s="31" t="n"/>
      <c r="H1362" s="31" t="n"/>
      <c r="I1362" s="31" t="n"/>
    </row>
    <row r="1363" customFormat="1" s="26">
      <c r="A1363" s="31" t="n"/>
      <c r="B1363" s="29" t="n"/>
      <c r="C1363" s="30" t="n"/>
      <c r="D1363" s="30" t="n"/>
      <c r="E1363" s="30" t="n"/>
      <c r="F1363" s="31" t="n"/>
      <c r="G1363" s="31" t="n"/>
      <c r="H1363" s="31" t="n"/>
      <c r="I1363" s="31" t="n"/>
    </row>
    <row r="1364" customFormat="1" s="26">
      <c r="A1364" s="31" t="n"/>
      <c r="B1364" s="29" t="n"/>
      <c r="C1364" s="30" t="n"/>
      <c r="D1364" s="30" t="n"/>
      <c r="E1364" s="30" t="n"/>
      <c r="F1364" s="31" t="n"/>
      <c r="G1364" s="31" t="n"/>
      <c r="H1364" s="31" t="n"/>
      <c r="I1364" s="31" t="n"/>
    </row>
    <row r="1365" customFormat="1" s="26">
      <c r="A1365" s="31" t="n"/>
      <c r="B1365" s="29" t="n"/>
      <c r="C1365" s="30" t="n"/>
      <c r="D1365" s="30" t="n"/>
      <c r="E1365" s="30" t="n"/>
      <c r="F1365" s="31" t="n"/>
      <c r="G1365" s="31" t="n"/>
      <c r="H1365" s="31" t="n"/>
      <c r="I1365" s="31" t="n"/>
    </row>
    <row r="1366" customFormat="1" s="26">
      <c r="A1366" s="31" t="n"/>
      <c r="B1366" s="29" t="n"/>
      <c r="C1366" s="30" t="n"/>
      <c r="D1366" s="30" t="n"/>
      <c r="E1366" s="30" t="n"/>
      <c r="F1366" s="31" t="n"/>
      <c r="G1366" s="31" t="n"/>
      <c r="H1366" s="31" t="n"/>
      <c r="I1366" s="31" t="n"/>
    </row>
    <row r="1367" customFormat="1" s="26">
      <c r="A1367" s="31" t="n"/>
      <c r="B1367" s="29" t="n"/>
      <c r="C1367" s="30" t="n"/>
      <c r="D1367" s="30" t="n"/>
      <c r="E1367" s="30" t="n"/>
      <c r="F1367" s="31" t="n"/>
      <c r="G1367" s="31" t="n"/>
      <c r="H1367" s="31" t="n"/>
      <c r="I1367" s="31" t="n"/>
    </row>
    <row r="1368" customFormat="1" s="26">
      <c r="A1368" s="31" t="n"/>
      <c r="B1368" s="29" t="n"/>
      <c r="C1368" s="30" t="n"/>
      <c r="D1368" s="30" t="n"/>
      <c r="E1368" s="30" t="n"/>
      <c r="F1368" s="31" t="n"/>
      <c r="G1368" s="31" t="n"/>
      <c r="H1368" s="31" t="n"/>
      <c r="I1368" s="31" t="n"/>
    </row>
    <row r="1369" customFormat="1" s="26">
      <c r="A1369" s="31" t="n"/>
      <c r="B1369" s="29" t="n"/>
      <c r="C1369" s="30" t="n"/>
      <c r="D1369" s="30" t="n"/>
      <c r="E1369" s="30" t="n"/>
      <c r="F1369" s="31" t="n"/>
      <c r="G1369" s="31" t="n"/>
      <c r="H1369" s="31" t="n"/>
      <c r="I1369" s="31" t="n"/>
    </row>
    <row r="1370" customFormat="1" s="26">
      <c r="A1370" s="31" t="n"/>
      <c r="B1370" s="29" t="n"/>
      <c r="C1370" s="30" t="n"/>
      <c r="D1370" s="30" t="n"/>
      <c r="E1370" s="30" t="n"/>
      <c r="F1370" s="31" t="n"/>
      <c r="G1370" s="31" t="n"/>
      <c r="H1370" s="31" t="n"/>
      <c r="I1370" s="31" t="n"/>
    </row>
    <row r="1371" customFormat="1" s="26">
      <c r="A1371" s="31" t="n"/>
      <c r="B1371" s="29" t="n"/>
      <c r="C1371" s="30" t="n"/>
      <c r="D1371" s="30" t="n"/>
      <c r="E1371" s="30" t="n"/>
      <c r="F1371" s="31" t="n"/>
      <c r="G1371" s="31" t="n"/>
      <c r="H1371" s="31" t="n"/>
      <c r="I1371" s="31" t="n"/>
    </row>
    <row r="1372" customFormat="1" s="26">
      <c r="A1372" s="31" t="n"/>
      <c r="B1372" s="29" t="n"/>
      <c r="C1372" s="30" t="n"/>
      <c r="D1372" s="30" t="n"/>
      <c r="E1372" s="30" t="n"/>
      <c r="F1372" s="31" t="n"/>
      <c r="G1372" s="31" t="n"/>
      <c r="H1372" s="31" t="n"/>
      <c r="I1372" s="31" t="n"/>
    </row>
    <row r="1373" customFormat="1" s="26">
      <c r="A1373" s="31" t="n"/>
      <c r="B1373" s="29" t="n"/>
      <c r="C1373" s="30" t="n"/>
      <c r="D1373" s="30" t="n"/>
      <c r="E1373" s="30" t="n"/>
      <c r="F1373" s="31" t="n"/>
      <c r="G1373" s="31" t="n"/>
      <c r="H1373" s="31" t="n"/>
      <c r="I1373" s="31" t="n"/>
    </row>
    <row r="1374" customFormat="1" s="26">
      <c r="A1374" s="31" t="n"/>
      <c r="B1374" s="29" t="n"/>
      <c r="C1374" s="30" t="n"/>
      <c r="D1374" s="30" t="n"/>
      <c r="E1374" s="30" t="n"/>
      <c r="F1374" s="31" t="n"/>
      <c r="G1374" s="31" t="n"/>
      <c r="H1374" s="31" t="n"/>
      <c r="I1374" s="31" t="n"/>
    </row>
    <row r="1375" customFormat="1" s="26">
      <c r="A1375" s="31" t="n"/>
      <c r="B1375" s="29" t="n"/>
      <c r="C1375" s="30" t="n"/>
      <c r="D1375" s="30" t="n"/>
      <c r="E1375" s="30" t="n"/>
      <c r="F1375" s="31" t="n"/>
      <c r="G1375" s="31" t="n"/>
      <c r="H1375" s="31" t="n"/>
      <c r="I1375" s="31" t="n"/>
    </row>
    <row r="1376" customFormat="1" s="26">
      <c r="A1376" s="31" t="n"/>
      <c r="B1376" s="29" t="n"/>
      <c r="C1376" s="30" t="n"/>
      <c r="D1376" s="30" t="n"/>
      <c r="E1376" s="30" t="n"/>
      <c r="F1376" s="31" t="n"/>
      <c r="G1376" s="31" t="n"/>
      <c r="H1376" s="31" t="n"/>
      <c r="I1376" s="31" t="n"/>
    </row>
    <row r="1377" customFormat="1" s="26">
      <c r="A1377" s="31" t="n"/>
      <c r="B1377" s="29" t="n"/>
      <c r="C1377" s="30" t="n"/>
      <c r="D1377" s="30" t="n"/>
      <c r="E1377" s="30" t="n"/>
      <c r="F1377" s="31" t="n"/>
      <c r="G1377" s="31" t="n"/>
      <c r="H1377" s="31" t="n"/>
      <c r="I1377" s="31" t="n"/>
    </row>
    <row r="1378" customFormat="1" s="26">
      <c r="A1378" s="31" t="n"/>
      <c r="B1378" s="29" t="n"/>
      <c r="C1378" s="30" t="n"/>
      <c r="D1378" s="30" t="n"/>
      <c r="E1378" s="30" t="n"/>
      <c r="F1378" s="31" t="n"/>
      <c r="G1378" s="31" t="n"/>
      <c r="H1378" s="31" t="n"/>
      <c r="I1378" s="31" t="n"/>
    </row>
    <row r="1379" customFormat="1" s="26">
      <c r="A1379" s="31" t="n"/>
      <c r="B1379" s="29" t="n"/>
      <c r="C1379" s="30" t="n"/>
      <c r="D1379" s="30" t="n"/>
      <c r="E1379" s="30" t="n"/>
      <c r="F1379" s="31" t="n"/>
      <c r="G1379" s="31" t="n"/>
      <c r="H1379" s="31" t="n"/>
      <c r="I1379" s="31" t="n"/>
    </row>
    <row r="1380" customFormat="1" s="26">
      <c r="A1380" s="31" t="n"/>
      <c r="B1380" s="29" t="n"/>
      <c r="C1380" s="30" t="n"/>
      <c r="D1380" s="30" t="n"/>
      <c r="E1380" s="30" t="n"/>
      <c r="F1380" s="31" t="n"/>
      <c r="G1380" s="31" t="n"/>
      <c r="H1380" s="31" t="n"/>
      <c r="I1380" s="31" t="n"/>
    </row>
    <row r="1381" customFormat="1" s="26">
      <c r="A1381" s="31" t="n"/>
      <c r="B1381" s="29" t="n"/>
      <c r="C1381" s="30" t="n"/>
      <c r="D1381" s="30" t="n"/>
      <c r="E1381" s="30" t="n"/>
      <c r="F1381" s="31" t="n"/>
      <c r="G1381" s="31" t="n"/>
      <c r="H1381" s="31" t="n"/>
      <c r="I1381" s="31" t="n"/>
    </row>
    <row r="1382" customFormat="1" s="26">
      <c r="A1382" s="31" t="n"/>
      <c r="B1382" s="29" t="n"/>
      <c r="C1382" s="30" t="n"/>
      <c r="D1382" s="30" t="n"/>
      <c r="E1382" s="30" t="n"/>
      <c r="F1382" s="31" t="n"/>
      <c r="G1382" s="31" t="n"/>
      <c r="H1382" s="31" t="n"/>
      <c r="I1382" s="31" t="n"/>
    </row>
    <row r="1383" customFormat="1" s="26">
      <c r="A1383" s="31" t="n"/>
      <c r="B1383" s="29" t="n"/>
      <c r="C1383" s="30" t="n"/>
      <c r="D1383" s="30" t="n"/>
      <c r="E1383" s="30" t="n"/>
      <c r="F1383" s="31" t="n"/>
      <c r="G1383" s="31" t="n"/>
      <c r="H1383" s="31" t="n"/>
      <c r="I1383" s="31" t="n"/>
    </row>
    <row r="1384" customFormat="1" s="26">
      <c r="A1384" s="31" t="n"/>
      <c r="B1384" s="29" t="n"/>
      <c r="C1384" s="30" t="n"/>
      <c r="D1384" s="30" t="n"/>
      <c r="E1384" s="30" t="n"/>
      <c r="F1384" s="31" t="n"/>
      <c r="G1384" s="31" t="n"/>
      <c r="H1384" s="31" t="n"/>
      <c r="I1384" s="31" t="n"/>
    </row>
    <row r="1385" customFormat="1" s="26">
      <c r="A1385" s="31" t="n"/>
      <c r="B1385" s="29" t="n"/>
      <c r="C1385" s="30" t="n"/>
      <c r="D1385" s="30" t="n"/>
      <c r="E1385" s="30" t="n"/>
      <c r="F1385" s="31" t="n"/>
      <c r="G1385" s="31" t="n"/>
      <c r="H1385" s="31" t="n"/>
      <c r="I1385" s="31" t="n"/>
    </row>
    <row r="1386" customFormat="1" s="26">
      <c r="A1386" s="31" t="n"/>
      <c r="B1386" s="29" t="n"/>
      <c r="C1386" s="30" t="n"/>
      <c r="D1386" s="30" t="n"/>
      <c r="E1386" s="30" t="n"/>
      <c r="F1386" s="31" t="n"/>
      <c r="G1386" s="31" t="n"/>
      <c r="H1386" s="31" t="n"/>
      <c r="I1386" s="31" t="n"/>
    </row>
    <row r="1387" customFormat="1" s="26">
      <c r="A1387" s="31" t="n"/>
      <c r="B1387" s="29" t="n"/>
      <c r="C1387" s="30" t="n"/>
      <c r="D1387" s="30" t="n"/>
      <c r="E1387" s="30" t="n"/>
      <c r="F1387" s="31" t="n"/>
      <c r="G1387" s="31" t="n"/>
      <c r="H1387" s="31" t="n"/>
      <c r="I1387" s="31" t="n"/>
    </row>
    <row r="1388" customFormat="1" s="26">
      <c r="A1388" s="31" t="n"/>
      <c r="B1388" s="29" t="n"/>
      <c r="C1388" s="30" t="n"/>
      <c r="D1388" s="30" t="n"/>
      <c r="E1388" s="30" t="n"/>
      <c r="F1388" s="31" t="n"/>
      <c r="G1388" s="31" t="n"/>
      <c r="H1388" s="31" t="n"/>
      <c r="I1388" s="31" t="n"/>
    </row>
    <row r="1389" customFormat="1" s="26">
      <c r="A1389" s="31" t="n"/>
      <c r="B1389" s="29" t="n"/>
      <c r="C1389" s="30" t="n"/>
      <c r="D1389" s="30" t="n"/>
      <c r="E1389" s="30" t="n"/>
      <c r="F1389" s="31" t="n"/>
      <c r="G1389" s="31" t="n"/>
      <c r="H1389" s="31" t="n"/>
      <c r="I1389" s="31" t="n"/>
    </row>
    <row r="1390" customFormat="1" s="26">
      <c r="A1390" s="31" t="n"/>
      <c r="B1390" s="29" t="n"/>
      <c r="C1390" s="30" t="n"/>
      <c r="D1390" s="30" t="n"/>
      <c r="E1390" s="30" t="n"/>
      <c r="F1390" s="31" t="n"/>
      <c r="G1390" s="31" t="n"/>
      <c r="H1390" s="31" t="n"/>
      <c r="I1390" s="31" t="n"/>
    </row>
    <row r="1391" customFormat="1" s="26">
      <c r="A1391" s="31" t="n"/>
      <c r="B1391" s="29" t="n"/>
      <c r="C1391" s="30" t="n"/>
      <c r="D1391" s="30" t="n"/>
      <c r="E1391" s="30" t="n"/>
      <c r="F1391" s="31" t="n"/>
      <c r="G1391" s="31" t="n"/>
      <c r="H1391" s="31" t="n"/>
      <c r="I1391" s="31" t="n"/>
    </row>
    <row r="1392" customFormat="1" s="26">
      <c r="A1392" s="31" t="n"/>
      <c r="B1392" s="29" t="n"/>
      <c r="C1392" s="30" t="n"/>
      <c r="D1392" s="30" t="n"/>
      <c r="E1392" s="30" t="n"/>
      <c r="F1392" s="31" t="n"/>
      <c r="G1392" s="31" t="n"/>
      <c r="H1392" s="31" t="n"/>
      <c r="I1392" s="31" t="n"/>
    </row>
    <row r="1393" customFormat="1" s="26">
      <c r="A1393" s="31" t="n"/>
      <c r="B1393" s="29" t="n"/>
      <c r="C1393" s="30" t="n"/>
      <c r="D1393" s="30" t="n"/>
      <c r="E1393" s="30" t="n"/>
      <c r="F1393" s="31" t="n"/>
      <c r="G1393" s="31" t="n"/>
      <c r="H1393" s="31" t="n"/>
      <c r="I1393" s="31" t="n"/>
    </row>
    <row r="1394" customFormat="1" s="26">
      <c r="A1394" s="31" t="n"/>
      <c r="B1394" s="29" t="n"/>
      <c r="C1394" s="30" t="n"/>
      <c r="D1394" s="30" t="n"/>
      <c r="E1394" s="30" t="n"/>
      <c r="F1394" s="31" t="n"/>
      <c r="G1394" s="31" t="n"/>
      <c r="H1394" s="31" t="n"/>
      <c r="I1394" s="31" t="n"/>
    </row>
    <row r="1395" customFormat="1" s="26">
      <c r="A1395" s="31" t="n"/>
      <c r="B1395" s="29" t="n"/>
      <c r="C1395" s="30" t="n"/>
      <c r="D1395" s="30" t="n"/>
      <c r="E1395" s="30" t="n"/>
      <c r="F1395" s="31" t="n"/>
      <c r="G1395" s="31" t="n"/>
      <c r="H1395" s="31" t="n"/>
      <c r="I1395" s="31" t="n"/>
    </row>
    <row r="1396" customFormat="1" s="26">
      <c r="A1396" s="31" t="n"/>
      <c r="B1396" s="29" t="n"/>
      <c r="C1396" s="30" t="n"/>
      <c r="D1396" s="30" t="n"/>
      <c r="E1396" s="30" t="n"/>
      <c r="F1396" s="31" t="n"/>
      <c r="G1396" s="31" t="n"/>
      <c r="H1396" s="31" t="n"/>
      <c r="I1396" s="31" t="n"/>
    </row>
    <row r="1397" customFormat="1" s="26">
      <c r="A1397" s="31" t="n"/>
      <c r="B1397" s="29" t="n"/>
      <c r="C1397" s="30" t="n"/>
      <c r="D1397" s="30" t="n"/>
      <c r="E1397" s="30" t="n"/>
      <c r="F1397" s="31" t="n"/>
      <c r="G1397" s="31" t="n"/>
      <c r="H1397" s="31" t="n"/>
      <c r="I1397" s="31" t="n"/>
    </row>
    <row r="1398" customFormat="1" s="26">
      <c r="A1398" s="31" t="n"/>
      <c r="B1398" s="29" t="n"/>
      <c r="C1398" s="30" t="n"/>
      <c r="D1398" s="30" t="n"/>
      <c r="E1398" s="30" t="n"/>
      <c r="F1398" s="31" t="n"/>
      <c r="G1398" s="31" t="n"/>
      <c r="H1398" s="31" t="n"/>
      <c r="I1398" s="31" t="n"/>
    </row>
    <row r="1399" customFormat="1" s="26">
      <c r="A1399" s="31" t="n"/>
      <c r="B1399" s="29" t="n"/>
      <c r="C1399" s="30" t="n"/>
      <c r="D1399" s="30" t="n"/>
      <c r="E1399" s="30" t="n"/>
      <c r="F1399" s="31" t="n"/>
      <c r="G1399" s="31" t="n"/>
      <c r="H1399" s="31" t="n"/>
      <c r="I1399" s="31" t="n"/>
    </row>
    <row r="1400" customFormat="1" s="26">
      <c r="A1400" s="31" t="n"/>
      <c r="B1400" s="29" t="n"/>
      <c r="C1400" s="30" t="n"/>
      <c r="D1400" s="30" t="n"/>
      <c r="E1400" s="30" t="n"/>
      <c r="F1400" s="31" t="n"/>
      <c r="G1400" s="31" t="n"/>
      <c r="H1400" s="31" t="n"/>
      <c r="I1400" s="31" t="n"/>
    </row>
    <row r="1401" customFormat="1" s="26">
      <c r="A1401" s="31" t="n"/>
      <c r="B1401" s="29" t="n"/>
      <c r="C1401" s="30" t="n"/>
      <c r="D1401" s="30" t="n"/>
      <c r="E1401" s="30" t="n"/>
      <c r="F1401" s="31" t="n"/>
      <c r="G1401" s="31" t="n"/>
      <c r="H1401" s="31" t="n"/>
      <c r="I1401" s="31" t="n"/>
    </row>
    <row r="1402" customFormat="1" s="26">
      <c r="A1402" s="31" t="n"/>
      <c r="B1402" s="29" t="n"/>
      <c r="C1402" s="30" t="n"/>
      <c r="D1402" s="30" t="n"/>
      <c r="E1402" s="30" t="n"/>
      <c r="F1402" s="31" t="n"/>
      <c r="G1402" s="31" t="n"/>
      <c r="H1402" s="31" t="n"/>
      <c r="I1402" s="31" t="n"/>
    </row>
    <row r="1403" customFormat="1" s="26">
      <c r="A1403" s="31" t="n"/>
      <c r="B1403" s="29" t="n"/>
      <c r="C1403" s="30" t="n"/>
      <c r="D1403" s="30" t="n"/>
      <c r="E1403" s="30" t="n"/>
      <c r="F1403" s="31" t="n"/>
      <c r="G1403" s="31" t="n"/>
      <c r="H1403" s="31" t="n"/>
      <c r="I1403" s="31" t="n"/>
    </row>
    <row r="1404" customFormat="1" s="26">
      <c r="A1404" s="31" t="n"/>
      <c r="B1404" s="29" t="n"/>
      <c r="C1404" s="30" t="n"/>
      <c r="D1404" s="30" t="n"/>
      <c r="E1404" s="30" t="n"/>
      <c r="F1404" s="31" t="n"/>
      <c r="G1404" s="31" t="n"/>
      <c r="H1404" s="31" t="n"/>
      <c r="I1404" s="31" t="n"/>
    </row>
    <row r="1405" customFormat="1" s="26">
      <c r="A1405" s="31" t="n"/>
      <c r="B1405" s="29" t="n"/>
      <c r="C1405" s="30" t="n"/>
      <c r="D1405" s="30" t="n"/>
      <c r="E1405" s="30" t="n"/>
      <c r="F1405" s="31" t="n"/>
      <c r="G1405" s="31" t="n"/>
      <c r="H1405" s="31" t="n"/>
      <c r="I1405" s="31" t="n"/>
    </row>
    <row r="1406" customFormat="1" s="26">
      <c r="A1406" s="31" t="n"/>
      <c r="B1406" s="29" t="n"/>
      <c r="C1406" s="30" t="n"/>
      <c r="D1406" s="30" t="n"/>
      <c r="E1406" s="30" t="n"/>
      <c r="F1406" s="31" t="n"/>
      <c r="G1406" s="31" t="n"/>
      <c r="H1406" s="31" t="n"/>
      <c r="I1406" s="31" t="n"/>
    </row>
    <row r="1407" customFormat="1" s="26">
      <c r="A1407" s="31" t="n"/>
      <c r="B1407" s="29" t="n"/>
      <c r="C1407" s="30" t="n"/>
      <c r="D1407" s="30" t="n"/>
      <c r="E1407" s="30" t="n"/>
      <c r="F1407" s="31" t="n"/>
      <c r="G1407" s="31" t="n"/>
      <c r="H1407" s="31" t="n"/>
      <c r="I1407" s="31" t="n"/>
    </row>
    <row r="1408" customFormat="1" s="26">
      <c r="A1408" s="31" t="n"/>
      <c r="B1408" s="29" t="n"/>
      <c r="C1408" s="30" t="n"/>
      <c r="D1408" s="30" t="n"/>
      <c r="E1408" s="30" t="n"/>
      <c r="F1408" s="31" t="n"/>
      <c r="G1408" s="31" t="n"/>
      <c r="H1408" s="31" t="n"/>
      <c r="I1408" s="31" t="n"/>
    </row>
    <row r="1409" customFormat="1" s="26">
      <c r="A1409" s="31" t="n"/>
      <c r="B1409" s="29" t="n"/>
      <c r="C1409" s="30" t="n"/>
      <c r="D1409" s="30" t="n"/>
      <c r="E1409" s="30" t="n"/>
      <c r="F1409" s="31" t="n"/>
      <c r="G1409" s="31" t="n"/>
      <c r="H1409" s="31" t="n"/>
      <c r="I1409" s="31" t="n"/>
    </row>
    <row r="1410" customFormat="1" s="26">
      <c r="A1410" s="31" t="n"/>
      <c r="B1410" s="29" t="n"/>
      <c r="C1410" s="30" t="n"/>
      <c r="D1410" s="30" t="n"/>
      <c r="E1410" s="30" t="n"/>
      <c r="F1410" s="31" t="n"/>
      <c r="G1410" s="31" t="n"/>
      <c r="H1410" s="31" t="n"/>
      <c r="I1410" s="31" t="n"/>
    </row>
    <row r="1411" customFormat="1" s="26">
      <c r="A1411" s="31" t="n"/>
      <c r="B1411" s="29" t="n"/>
      <c r="C1411" s="30" t="n"/>
      <c r="D1411" s="30" t="n"/>
      <c r="E1411" s="30" t="n"/>
      <c r="F1411" s="31" t="n"/>
      <c r="G1411" s="31" t="n"/>
      <c r="H1411" s="31" t="n"/>
      <c r="I1411" s="31" t="n"/>
    </row>
    <row r="1412" customFormat="1" s="26">
      <c r="A1412" s="31" t="n"/>
      <c r="B1412" s="29" t="n"/>
      <c r="C1412" s="30" t="n"/>
      <c r="D1412" s="30" t="n"/>
      <c r="E1412" s="30" t="n"/>
      <c r="F1412" s="31" t="n"/>
      <c r="G1412" s="31" t="n"/>
      <c r="H1412" s="31" t="n"/>
      <c r="I1412" s="31" t="n"/>
    </row>
    <row r="1413" customFormat="1" s="26">
      <c r="A1413" s="31" t="n"/>
      <c r="B1413" s="29" t="n"/>
      <c r="C1413" s="30" t="n"/>
      <c r="D1413" s="30" t="n"/>
      <c r="E1413" s="30" t="n"/>
      <c r="F1413" s="31" t="n"/>
      <c r="G1413" s="31" t="n"/>
      <c r="H1413" s="31" t="n"/>
      <c r="I1413" s="31" t="n"/>
    </row>
    <row r="1414" customFormat="1" s="26">
      <c r="A1414" s="31" t="n"/>
      <c r="B1414" s="29" t="n"/>
      <c r="C1414" s="30" t="n"/>
      <c r="D1414" s="30" t="n"/>
      <c r="E1414" s="30" t="n"/>
      <c r="F1414" s="31" t="n"/>
      <c r="G1414" s="31" t="n"/>
      <c r="H1414" s="31" t="n"/>
      <c r="I1414" s="31" t="n"/>
    </row>
    <row r="1415" customFormat="1" s="26">
      <c r="A1415" s="31" t="n"/>
      <c r="B1415" s="29" t="n"/>
      <c r="C1415" s="30" t="n"/>
      <c r="D1415" s="30" t="n"/>
      <c r="E1415" s="30" t="n"/>
      <c r="F1415" s="31" t="n"/>
      <c r="G1415" s="31" t="n"/>
      <c r="H1415" s="31" t="n"/>
      <c r="I1415" s="31" t="n"/>
    </row>
    <row r="1416" customFormat="1" s="26">
      <c r="A1416" s="31" t="n"/>
      <c r="B1416" s="29" t="n"/>
      <c r="C1416" s="30" t="n"/>
      <c r="D1416" s="30" t="n"/>
      <c r="E1416" s="30" t="n"/>
      <c r="F1416" s="31" t="n"/>
      <c r="G1416" s="31" t="n"/>
      <c r="H1416" s="31" t="n"/>
      <c r="I1416" s="31" t="n"/>
    </row>
    <row r="1417" customFormat="1" s="26">
      <c r="A1417" s="31" t="n"/>
      <c r="B1417" s="29" t="n"/>
      <c r="C1417" s="30" t="n"/>
      <c r="D1417" s="30" t="n"/>
      <c r="E1417" s="30" t="n"/>
      <c r="F1417" s="31" t="n"/>
      <c r="G1417" s="31" t="n"/>
      <c r="H1417" s="31" t="n"/>
      <c r="I1417" s="31" t="n"/>
    </row>
    <row r="1418" customFormat="1" s="26">
      <c r="A1418" s="31" t="n"/>
      <c r="B1418" s="29" t="n"/>
      <c r="C1418" s="30" t="n"/>
      <c r="D1418" s="30" t="n"/>
      <c r="E1418" s="30" t="n"/>
      <c r="F1418" s="31" t="n"/>
      <c r="G1418" s="31" t="n"/>
      <c r="H1418" s="31" t="n"/>
      <c r="I1418" s="31" t="n"/>
    </row>
    <row r="1419" customFormat="1" s="26">
      <c r="A1419" s="31" t="n"/>
      <c r="B1419" s="29" t="n"/>
      <c r="C1419" s="30" t="n"/>
      <c r="D1419" s="30" t="n"/>
      <c r="E1419" s="30" t="n"/>
      <c r="F1419" s="31" t="n"/>
      <c r="G1419" s="31" t="n"/>
      <c r="H1419" s="31" t="n"/>
      <c r="I1419" s="31" t="n"/>
    </row>
    <row r="1420" customFormat="1" s="26">
      <c r="A1420" s="31" t="n"/>
      <c r="B1420" s="29" t="n"/>
      <c r="C1420" s="30" t="n"/>
      <c r="D1420" s="30" t="n"/>
      <c r="E1420" s="30" t="n"/>
      <c r="F1420" s="31" t="n"/>
      <c r="G1420" s="31" t="n"/>
      <c r="H1420" s="31" t="n"/>
      <c r="I1420" s="31" t="n"/>
    </row>
    <row r="1421" customFormat="1" s="26">
      <c r="A1421" s="31" t="n"/>
      <c r="B1421" s="29" t="n"/>
      <c r="C1421" s="30" t="n"/>
      <c r="D1421" s="30" t="n"/>
      <c r="E1421" s="30" t="n"/>
      <c r="F1421" s="31" t="n"/>
      <c r="G1421" s="31" t="n"/>
      <c r="H1421" s="31" t="n"/>
      <c r="I1421" s="31" t="n"/>
    </row>
    <row r="1422" customFormat="1" s="26">
      <c r="A1422" s="31" t="n"/>
      <c r="B1422" s="29" t="n"/>
      <c r="C1422" s="30" t="n"/>
      <c r="D1422" s="30" t="n"/>
      <c r="E1422" s="30" t="n"/>
      <c r="F1422" s="31" t="n"/>
      <c r="G1422" s="31" t="n"/>
      <c r="H1422" s="31" t="n"/>
      <c r="I1422" s="31" t="n"/>
    </row>
    <row r="1423" customFormat="1" s="26">
      <c r="A1423" s="31" t="n"/>
      <c r="B1423" s="29" t="n"/>
      <c r="C1423" s="30" t="n"/>
      <c r="D1423" s="30" t="n"/>
      <c r="E1423" s="30" t="n"/>
      <c r="F1423" s="31" t="n"/>
      <c r="G1423" s="31" t="n"/>
      <c r="H1423" s="31" t="n"/>
      <c r="I1423" s="31" t="n"/>
    </row>
    <row r="1424" customFormat="1" s="26">
      <c r="A1424" s="31" t="n"/>
      <c r="B1424" s="29" t="n"/>
      <c r="C1424" s="30" t="n"/>
      <c r="D1424" s="30" t="n"/>
      <c r="E1424" s="30" t="n"/>
      <c r="F1424" s="31" t="n"/>
      <c r="G1424" s="31" t="n"/>
      <c r="H1424" s="31" t="n"/>
      <c r="I1424" s="31" t="n"/>
    </row>
    <row r="1425" customFormat="1" s="26">
      <c r="A1425" s="31" t="n"/>
      <c r="B1425" s="29" t="n"/>
      <c r="C1425" s="30" t="n"/>
      <c r="D1425" s="30" t="n"/>
      <c r="E1425" s="30" t="n"/>
      <c r="F1425" s="31" t="n"/>
      <c r="G1425" s="31" t="n"/>
      <c r="H1425" s="31" t="n"/>
      <c r="I1425" s="31" t="n"/>
    </row>
    <row r="1426" customFormat="1" s="26">
      <c r="A1426" s="31" t="n"/>
      <c r="B1426" s="29" t="n"/>
      <c r="C1426" s="30" t="n"/>
      <c r="D1426" s="30" t="n"/>
      <c r="E1426" s="30" t="n"/>
      <c r="F1426" s="31" t="n"/>
      <c r="G1426" s="31" t="n"/>
      <c r="H1426" s="31" t="n"/>
      <c r="I1426" s="31" t="n"/>
    </row>
    <row r="1427" customFormat="1" s="26">
      <c r="A1427" s="31" t="n"/>
      <c r="B1427" s="29" t="n"/>
      <c r="C1427" s="30" t="n"/>
      <c r="D1427" s="30" t="n"/>
      <c r="E1427" s="30" t="n"/>
      <c r="F1427" s="31" t="n"/>
      <c r="G1427" s="31" t="n"/>
      <c r="H1427" s="31" t="n"/>
      <c r="I1427" s="31" t="n"/>
    </row>
    <row r="1428" customFormat="1" s="26">
      <c r="A1428" s="31" t="n"/>
      <c r="B1428" s="29" t="n"/>
      <c r="C1428" s="30" t="n"/>
      <c r="D1428" s="30" t="n"/>
      <c r="E1428" s="30" t="n"/>
      <c r="F1428" s="31" t="n"/>
      <c r="G1428" s="31" t="n"/>
      <c r="H1428" s="31" t="n"/>
      <c r="I1428" s="31" t="n"/>
    </row>
    <row r="1429" customFormat="1" s="26">
      <c r="A1429" s="31" t="n"/>
      <c r="B1429" s="29" t="n"/>
      <c r="C1429" s="30" t="n"/>
      <c r="D1429" s="30" t="n"/>
      <c r="E1429" s="30" t="n"/>
      <c r="F1429" s="31" t="n"/>
      <c r="G1429" s="31" t="n"/>
      <c r="H1429" s="31" t="n"/>
      <c r="I1429" s="31" t="n"/>
    </row>
    <row r="1430" customFormat="1" s="26">
      <c r="A1430" s="31" t="n"/>
      <c r="B1430" s="29" t="n"/>
      <c r="C1430" s="30" t="n"/>
      <c r="D1430" s="30" t="n"/>
      <c r="E1430" s="30" t="n"/>
      <c r="F1430" s="31" t="n"/>
      <c r="G1430" s="31" t="n"/>
      <c r="H1430" s="31" t="n"/>
      <c r="I1430" s="31" t="n"/>
    </row>
    <row r="1431" customFormat="1" s="26">
      <c r="A1431" s="31" t="n"/>
      <c r="B1431" s="29" t="n"/>
      <c r="C1431" s="30" t="n"/>
      <c r="D1431" s="30" t="n"/>
      <c r="E1431" s="30" t="n"/>
      <c r="F1431" s="31" t="n"/>
      <c r="G1431" s="31" t="n"/>
      <c r="H1431" s="31" t="n"/>
      <c r="I1431" s="31" t="n"/>
    </row>
    <row r="1432" customFormat="1" s="26">
      <c r="A1432" s="31" t="n"/>
      <c r="B1432" s="29" t="n"/>
      <c r="C1432" s="30" t="n"/>
      <c r="D1432" s="30" t="n"/>
      <c r="E1432" s="30" t="n"/>
      <c r="F1432" s="31" t="n"/>
      <c r="G1432" s="31" t="n"/>
      <c r="H1432" s="31" t="n"/>
      <c r="I1432" s="31" t="n"/>
    </row>
    <row r="1433" customFormat="1" s="26">
      <c r="A1433" s="31" t="n"/>
      <c r="B1433" s="29" t="n"/>
      <c r="C1433" s="30" t="n"/>
      <c r="D1433" s="30" t="n"/>
      <c r="E1433" s="30" t="n"/>
      <c r="F1433" s="31" t="n"/>
      <c r="G1433" s="31" t="n"/>
      <c r="H1433" s="31" t="n"/>
      <c r="I1433" s="31" t="n"/>
    </row>
    <row r="1434" customFormat="1" s="26">
      <c r="A1434" s="31" t="n"/>
      <c r="B1434" s="29" t="n"/>
      <c r="C1434" s="30" t="n"/>
      <c r="D1434" s="30" t="n"/>
      <c r="E1434" s="30" t="n"/>
      <c r="F1434" s="31" t="n"/>
      <c r="G1434" s="31" t="n"/>
      <c r="H1434" s="31" t="n"/>
      <c r="I1434" s="31" t="n"/>
    </row>
    <row r="1435" customFormat="1" s="26">
      <c r="A1435" s="31" t="n"/>
      <c r="B1435" s="29" t="n"/>
      <c r="C1435" s="30" t="n"/>
      <c r="D1435" s="30" t="n"/>
      <c r="E1435" s="30" t="n"/>
      <c r="F1435" s="31" t="n"/>
      <c r="G1435" s="31" t="n"/>
      <c r="H1435" s="31" t="n"/>
      <c r="I1435" s="31" t="n"/>
    </row>
    <row r="1436" customFormat="1" s="26">
      <c r="A1436" s="31" t="n"/>
      <c r="B1436" s="29" t="n"/>
      <c r="C1436" s="30" t="n"/>
      <c r="D1436" s="30" t="n"/>
      <c r="E1436" s="30" t="n"/>
      <c r="F1436" s="31" t="n"/>
      <c r="G1436" s="31" t="n"/>
      <c r="H1436" s="31" t="n"/>
      <c r="I1436" s="31" t="n"/>
    </row>
    <row r="1437" customFormat="1" s="26">
      <c r="A1437" s="31" t="n"/>
      <c r="B1437" s="29" t="n"/>
      <c r="C1437" s="30" t="n"/>
      <c r="D1437" s="30" t="n"/>
      <c r="E1437" s="30" t="n"/>
      <c r="F1437" s="31" t="n"/>
      <c r="G1437" s="31" t="n"/>
      <c r="H1437" s="31" t="n"/>
      <c r="I1437" s="31" t="n"/>
    </row>
    <row r="1438" customFormat="1" s="26">
      <c r="A1438" s="31" t="n"/>
      <c r="B1438" s="29" t="n"/>
      <c r="C1438" s="30" t="n"/>
      <c r="D1438" s="30" t="n"/>
      <c r="E1438" s="30" t="n"/>
      <c r="F1438" s="31" t="n"/>
      <c r="G1438" s="31" t="n"/>
      <c r="H1438" s="31" t="n"/>
      <c r="I1438" s="31" t="n"/>
    </row>
    <row r="1439" customFormat="1" s="26">
      <c r="A1439" s="31" t="n"/>
      <c r="B1439" s="29" t="n"/>
      <c r="C1439" s="30" t="n"/>
      <c r="D1439" s="30" t="n"/>
      <c r="E1439" s="30" t="n"/>
      <c r="F1439" s="31" t="n"/>
      <c r="G1439" s="31" t="n"/>
      <c r="H1439" s="31" t="n"/>
      <c r="I1439" s="31" t="n"/>
    </row>
    <row r="1440" customFormat="1" s="26">
      <c r="A1440" s="31" t="n"/>
      <c r="B1440" s="29" t="n"/>
      <c r="C1440" s="30" t="n"/>
      <c r="D1440" s="30" t="n"/>
      <c r="E1440" s="30" t="n"/>
      <c r="F1440" s="31" t="n"/>
      <c r="G1440" s="31" t="n"/>
      <c r="H1440" s="31" t="n"/>
      <c r="I1440" s="31" t="n"/>
    </row>
    <row r="1441" customFormat="1" s="26">
      <c r="A1441" s="31" t="n"/>
      <c r="B1441" s="29" t="n"/>
      <c r="C1441" s="30" t="n"/>
      <c r="D1441" s="30" t="n"/>
      <c r="E1441" s="30" t="n"/>
      <c r="F1441" s="31" t="n"/>
      <c r="G1441" s="31" t="n"/>
      <c r="H1441" s="31" t="n"/>
      <c r="I1441" s="31" t="n"/>
    </row>
    <row r="1442" customFormat="1" s="26">
      <c r="A1442" s="31" t="n"/>
      <c r="B1442" s="29" t="n"/>
      <c r="C1442" s="30" t="n"/>
      <c r="D1442" s="30" t="n"/>
      <c r="E1442" s="30" t="n"/>
      <c r="F1442" s="31" t="n"/>
      <c r="G1442" s="31" t="n"/>
      <c r="H1442" s="31" t="n"/>
      <c r="I1442" s="31" t="n"/>
    </row>
    <row r="1443" customFormat="1" s="26">
      <c r="A1443" s="31" t="n"/>
      <c r="B1443" s="29" t="n"/>
      <c r="C1443" s="30" t="n"/>
      <c r="D1443" s="30" t="n"/>
      <c r="E1443" s="30" t="n"/>
      <c r="F1443" s="31" t="n"/>
      <c r="G1443" s="31" t="n"/>
      <c r="H1443" s="31" t="n"/>
      <c r="I1443" s="31" t="n"/>
    </row>
    <row r="1444" customFormat="1" s="26">
      <c r="A1444" s="31" t="n"/>
      <c r="B1444" s="29" t="n"/>
      <c r="C1444" s="30" t="n"/>
      <c r="D1444" s="30" t="n"/>
      <c r="E1444" s="30" t="n"/>
      <c r="F1444" s="31" t="n"/>
      <c r="G1444" s="31" t="n"/>
      <c r="H1444" s="31" t="n"/>
      <c r="I1444" s="31" t="n"/>
    </row>
    <row r="1445" customFormat="1" s="26">
      <c r="A1445" s="31" t="n"/>
      <c r="B1445" s="29" t="n"/>
      <c r="C1445" s="30" t="n"/>
      <c r="D1445" s="30" t="n"/>
      <c r="E1445" s="30" t="n"/>
      <c r="F1445" s="31" t="n"/>
      <c r="G1445" s="31" t="n"/>
      <c r="H1445" s="31" t="n"/>
      <c r="I1445" s="31" t="n"/>
    </row>
    <row r="1446" customFormat="1" s="26">
      <c r="A1446" s="31" t="n"/>
      <c r="B1446" s="29" t="n"/>
      <c r="C1446" s="30" t="n"/>
      <c r="D1446" s="30" t="n"/>
      <c r="E1446" s="30" t="n"/>
      <c r="F1446" s="31" t="n"/>
      <c r="G1446" s="31" t="n"/>
      <c r="H1446" s="31" t="n"/>
      <c r="I1446" s="31" t="n"/>
    </row>
    <row r="1447" customFormat="1" s="26">
      <c r="A1447" s="31" t="n"/>
      <c r="B1447" s="29" t="n"/>
      <c r="C1447" s="30" t="n"/>
      <c r="D1447" s="30" t="n"/>
      <c r="E1447" s="30" t="n"/>
      <c r="F1447" s="31" t="n"/>
      <c r="G1447" s="31" t="n"/>
      <c r="H1447" s="31" t="n"/>
      <c r="I1447" s="31" t="n"/>
    </row>
    <row r="1448" customFormat="1" s="26">
      <c r="A1448" s="31" t="n"/>
      <c r="B1448" s="29" t="n"/>
      <c r="C1448" s="30" t="n"/>
      <c r="D1448" s="30" t="n"/>
      <c r="E1448" s="30" t="n"/>
      <c r="F1448" s="31" t="n"/>
      <c r="G1448" s="31" t="n"/>
      <c r="H1448" s="31" t="n"/>
      <c r="I1448" s="31" t="n"/>
    </row>
    <row r="1449" customFormat="1" s="26">
      <c r="A1449" s="31" t="n"/>
      <c r="B1449" s="29" t="n"/>
      <c r="C1449" s="30" t="n"/>
      <c r="D1449" s="30" t="n"/>
      <c r="E1449" s="30" t="n"/>
      <c r="F1449" s="31" t="n"/>
      <c r="G1449" s="31" t="n"/>
      <c r="H1449" s="31" t="n"/>
      <c r="I1449" s="31" t="n"/>
    </row>
    <row r="1450" customFormat="1" s="26">
      <c r="A1450" s="31" t="n"/>
      <c r="B1450" s="29" t="n"/>
      <c r="C1450" s="30" t="n"/>
      <c r="D1450" s="30" t="n"/>
      <c r="E1450" s="30" t="n"/>
      <c r="F1450" s="31" t="n"/>
      <c r="G1450" s="31" t="n"/>
      <c r="H1450" s="31" t="n"/>
      <c r="I1450" s="31" t="n"/>
    </row>
    <row r="1451" customFormat="1" s="26">
      <c r="A1451" s="31" t="n"/>
      <c r="B1451" s="29" t="n"/>
      <c r="C1451" s="30" t="n"/>
      <c r="D1451" s="30" t="n"/>
      <c r="E1451" s="30" t="n"/>
      <c r="F1451" s="31" t="n"/>
      <c r="G1451" s="31" t="n"/>
      <c r="H1451" s="31" t="n"/>
      <c r="I1451" s="31" t="n"/>
    </row>
    <row r="1452" customFormat="1" s="26">
      <c r="A1452" s="31" t="n"/>
      <c r="B1452" s="29" t="n"/>
      <c r="C1452" s="30" t="n"/>
      <c r="D1452" s="30" t="n"/>
      <c r="E1452" s="30" t="n"/>
      <c r="F1452" s="31" t="n"/>
      <c r="G1452" s="31" t="n"/>
      <c r="H1452" s="31" t="n"/>
      <c r="I1452" s="31" t="n"/>
    </row>
    <row r="1453" customFormat="1" s="26">
      <c r="A1453" s="31" t="n"/>
      <c r="B1453" s="29" t="n"/>
      <c r="C1453" s="30" t="n"/>
      <c r="D1453" s="30" t="n"/>
      <c r="E1453" s="30" t="n"/>
      <c r="F1453" s="31" t="n"/>
      <c r="G1453" s="31" t="n"/>
      <c r="H1453" s="31" t="n"/>
      <c r="I1453" s="31" t="n"/>
    </row>
    <row r="1454" customFormat="1" s="26">
      <c r="A1454" s="31" t="n"/>
      <c r="B1454" s="29" t="n"/>
      <c r="C1454" s="30" t="n"/>
      <c r="D1454" s="30" t="n"/>
      <c r="E1454" s="30" t="n"/>
      <c r="F1454" s="31" t="n"/>
      <c r="G1454" s="31" t="n"/>
      <c r="H1454" s="31" t="n"/>
      <c r="I1454" s="31" t="n"/>
    </row>
    <row r="1455" customFormat="1" s="26">
      <c r="A1455" s="31" t="n"/>
      <c r="B1455" s="29" t="n"/>
      <c r="C1455" s="30" t="n"/>
      <c r="D1455" s="30" t="n"/>
      <c r="E1455" s="30" t="n"/>
      <c r="F1455" s="31" t="n"/>
      <c r="G1455" s="31" t="n"/>
      <c r="H1455" s="31" t="n"/>
      <c r="I1455" s="31" t="n"/>
    </row>
    <row r="1456" customFormat="1" s="26">
      <c r="A1456" s="31" t="n"/>
      <c r="B1456" s="29" t="n"/>
      <c r="C1456" s="30" t="n"/>
      <c r="D1456" s="30" t="n"/>
      <c r="E1456" s="30" t="n"/>
      <c r="F1456" s="31" t="n"/>
      <c r="G1456" s="31" t="n"/>
      <c r="H1456" s="31" t="n"/>
      <c r="I1456" s="31" t="n"/>
    </row>
    <row r="1457" customFormat="1" s="26">
      <c r="A1457" s="31" t="n"/>
      <c r="B1457" s="29" t="n"/>
      <c r="C1457" s="30" t="n"/>
      <c r="D1457" s="30" t="n"/>
      <c r="E1457" s="30" t="n"/>
      <c r="F1457" s="31" t="n"/>
      <c r="G1457" s="31" t="n"/>
      <c r="H1457" s="31" t="n"/>
      <c r="I1457" s="31" t="n"/>
    </row>
    <row r="1458" customFormat="1" s="26">
      <c r="A1458" s="31" t="n"/>
      <c r="B1458" s="29" t="n"/>
      <c r="C1458" s="30" t="n"/>
      <c r="D1458" s="30" t="n"/>
      <c r="E1458" s="30" t="n"/>
      <c r="F1458" s="31" t="n"/>
      <c r="G1458" s="31" t="n"/>
      <c r="H1458" s="31" t="n"/>
      <c r="I1458" s="31" t="n"/>
    </row>
  </sheetData>
  <conditionalFormatting sqref="E707:E857">
    <cfRule type="colorScale" priority="2">
      <colorScale>
        <cfvo type="min"/>
        <cfvo type="percentile" val="50"/>
        <cfvo type="max"/>
        <color rgb="FFF8696B"/>
        <color rgb="FFFFEB84"/>
        <color rgb="FF63BE7B"/>
      </colorScale>
    </cfRule>
  </conditionalFormatting>
  <conditionalFormatting sqref="I707:I857">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2018-04-17T08:31:36Z</dcterms:created>
  <dcterms:modified xmlns:dcterms="http://purl.org/dc/terms/" xmlns:xsi="http://www.w3.org/2001/XMLSchema-instance" xsi:type="dcterms:W3CDTF">2022-09-03T04:31:16Z</dcterms:modified>
  <cp:lastModifiedBy>Mark Mukherjee</cp:lastModifiedBy>
</cp:coreProperties>
</file>